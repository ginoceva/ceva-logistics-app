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cog\OneDrive - CEVA Logistics\BPE - VW CIC\CAMIONES\18 - APP T&amp;B\BOM\"/>
    </mc:Choice>
  </mc:AlternateContent>
  <xr:revisionPtr revIDLastSave="101" documentId="11_7E247D00ADD055239EFE3B51E1F6AF1F381E6E69" xr6:coauthVersionLast="47" xr6:coauthVersionMax="47" xr10:uidLastSave="{E2FDFA69-1939-458B-BF89-4AC1FBDBBE97}"/>
  <bookViews>
    <workbookView xWindow="0" yWindow="0" windowWidth="23040" windowHeight="9072" tabRatio="748" firstSheet="4" activeTab="9" xr2:uid="{00000000-000D-0000-FFFF-FFFF00000000}"/>
  </bookViews>
  <sheets>
    <sheet name="BASE" sheetId="18" state="hidden" r:id="rId1"/>
    <sheet name="2116001_15190OD.2WLJEB.5180_02_" sheetId="44" state="hidden" r:id="rId2"/>
    <sheet name="BOM" sheetId="20" r:id="rId3"/>
    <sheet name="9.180 TBXSS1" sheetId="40" r:id="rId4"/>
    <sheet name="11.180 - TBETS1" sheetId="50" r:id="rId5"/>
    <sheet name="17280.24JC5B" sheetId="35" r:id="rId6"/>
    <sheet name="17280.24JD5B" sheetId="36" r:id="rId7"/>
    <sheet name="17280.24LC5B " sheetId="47" r:id="rId8"/>
    <sheet name="17280.27CA5B Tractor" sheetId="37" r:id="rId9"/>
    <sheet name="15190OD" sheetId="43" r:id="rId10"/>
    <sheet name="Hoja1" sheetId="51" r:id="rId11"/>
  </sheets>
  <externalReferences>
    <externalReference r:id="rId12"/>
  </externalReferences>
  <definedNames>
    <definedName name="_xlnm._FilterDatabase" localSheetId="4" hidden="1">'11.180 - TBETS1'!$A$2:$P$405</definedName>
    <definedName name="_xlnm._FilterDatabase" localSheetId="9" hidden="1">'15190OD'!$A$2:$AB$456</definedName>
    <definedName name="_xlnm._FilterDatabase" localSheetId="5" hidden="1">'17280.24JC5B'!$A$2:$AC$509</definedName>
    <definedName name="_xlnm._FilterDatabase" localSheetId="6" hidden="1">'17280.24JD5B'!$A$2:$Z$507</definedName>
    <definedName name="_xlnm._FilterDatabase" localSheetId="7" hidden="1">'17280.24LC5B '!$A$2:$X$487</definedName>
    <definedName name="_xlnm._FilterDatabase" localSheetId="8" hidden="1">'17280.27CA5B Tractor'!$A$2:$AC$523</definedName>
    <definedName name="_xlnm._FilterDatabase" localSheetId="1" hidden="1">'2116001_15190OD.2WLJEB.5180_02_'!$A$1:$H$285</definedName>
    <definedName name="_xlnm._FilterDatabase" localSheetId="3" hidden="1">'9.180 TBXSS1'!$A$2:$R$409</definedName>
    <definedName name="_xlnm._FilterDatabase" localSheetId="0" hidden="1">BASE!$A$1:$I$748</definedName>
    <definedName name="_xlnm._FilterDatabase" localSheetId="2" hidden="1">BOM!#REF!</definedName>
    <definedName name="A" localSheetId="4">#REF!</definedName>
    <definedName name="A" localSheetId="9">#REF!</definedName>
    <definedName name="A" localSheetId="5">#REF!</definedName>
    <definedName name="A" localSheetId="6">#REF!</definedName>
    <definedName name="A" localSheetId="7">#REF!</definedName>
    <definedName name="A" localSheetId="8">#REF!</definedName>
    <definedName name="A" localSheetId="3">#REF!</definedName>
    <definedName name="A">#REF!</definedName>
    <definedName name="AA" localSheetId="4">#REF!</definedName>
    <definedName name="AA" localSheetId="9">#REF!</definedName>
    <definedName name="AA" localSheetId="5">#REF!</definedName>
    <definedName name="AA" localSheetId="6">#REF!</definedName>
    <definedName name="AA" localSheetId="7">#REF!</definedName>
    <definedName name="AA" localSheetId="8">#REF!</definedName>
    <definedName name="AA" localSheetId="3">#REF!</definedName>
    <definedName name="AA">#REF!</definedName>
    <definedName name="AAA" localSheetId="4">#REF!</definedName>
    <definedName name="AAA" localSheetId="9">#REF!</definedName>
    <definedName name="AAA" localSheetId="5">#REF!</definedName>
    <definedName name="AAA" localSheetId="6">#REF!</definedName>
    <definedName name="AAA" localSheetId="7">#REF!</definedName>
    <definedName name="AAA" localSheetId="8">#REF!</definedName>
    <definedName name="AAA" localSheetId="3">#REF!</definedName>
    <definedName name="AAA">#REF!</definedName>
    <definedName name="AAAA" localSheetId="4">#REF!</definedName>
    <definedName name="AAAA" localSheetId="9">#REF!</definedName>
    <definedName name="AAAA" localSheetId="5">#REF!</definedName>
    <definedName name="AAAA" localSheetId="6">#REF!</definedName>
    <definedName name="AAAA" localSheetId="7">#REF!</definedName>
    <definedName name="AAAA" localSheetId="8">#REF!</definedName>
    <definedName name="AAAA" localSheetId="3">#REF!</definedName>
    <definedName name="AAAA">#REF!</definedName>
    <definedName name="ABC" localSheetId="4">#REF!</definedName>
    <definedName name="ABC" localSheetId="9">#REF!</definedName>
    <definedName name="ABC" localSheetId="5">#REF!</definedName>
    <definedName name="ABC" localSheetId="6">#REF!</definedName>
    <definedName name="ABC" localSheetId="7">#REF!</definedName>
    <definedName name="ABC" localSheetId="8">#REF!</definedName>
    <definedName name="ABC" localSheetId="3">#REF!</definedName>
    <definedName name="ABC">#REF!</definedName>
    <definedName name="ad" localSheetId="4">#REF!</definedName>
    <definedName name="ad" localSheetId="9">#REF!</definedName>
    <definedName name="ad" localSheetId="5">#REF!</definedName>
    <definedName name="ad" localSheetId="6">#REF!</definedName>
    <definedName name="ad" localSheetId="7">#REF!</definedName>
    <definedName name="ad" localSheetId="8">#REF!</definedName>
    <definedName name="ad" localSheetId="3">#REF!</definedName>
    <definedName name="ad">#REF!</definedName>
    <definedName name="ADDDELETE1" localSheetId="4">#REF!</definedName>
    <definedName name="ADDDELETE1" localSheetId="9">#REF!</definedName>
    <definedName name="ADDDELETE1" localSheetId="5">#REF!</definedName>
    <definedName name="ADDDELETE1" localSheetId="6">#REF!</definedName>
    <definedName name="ADDDELETE1" localSheetId="7">#REF!</definedName>
    <definedName name="ADDDELETE1" localSheetId="8">#REF!</definedName>
    <definedName name="ADDDELETE1" localSheetId="3">#REF!</definedName>
    <definedName name="ADDDELETE1">#REF!</definedName>
    <definedName name="_xlnm.Print_Area" localSheetId="4">'11.180 - TBETS1'!$A$1:$K$337</definedName>
    <definedName name="_xlnm.Print_Area" localSheetId="9">'15190OD'!$A$1:$K$446</definedName>
    <definedName name="_xlnm.Print_Area" localSheetId="5">'17280.24JC5B'!$A$1:$K$494</definedName>
    <definedName name="_xlnm.Print_Area" localSheetId="6">'17280.24JD5B'!$A$1:$K$493</definedName>
    <definedName name="_xlnm.Print_Area" localSheetId="7">'17280.24LC5B '!$A$1:$K$464</definedName>
    <definedName name="_xlnm.Print_Area" localSheetId="8">'17280.27CA5B Tractor'!$A$1:$K$422</definedName>
    <definedName name="_xlnm.Print_Area" localSheetId="3">'9.180 TBXSS1'!$A$1:$K$347</definedName>
    <definedName name="ASSUMPTION" localSheetId="4">#REF!</definedName>
    <definedName name="ASSUMPTION" localSheetId="9">#REF!</definedName>
    <definedName name="ASSUMPTION" localSheetId="5">#REF!</definedName>
    <definedName name="ASSUMPTION" localSheetId="6">#REF!</definedName>
    <definedName name="ASSUMPTION" localSheetId="7">#REF!</definedName>
    <definedName name="ASSUMPTION" localSheetId="8">#REF!</definedName>
    <definedName name="ASSUMPTION" localSheetId="3">#REF!</definedName>
    <definedName name="ASSUMPTION">#REF!</definedName>
    <definedName name="BABA" localSheetId="4">#REF!</definedName>
    <definedName name="BABA" localSheetId="9">#REF!</definedName>
    <definedName name="BABA" localSheetId="5">#REF!</definedName>
    <definedName name="BABA" localSheetId="6">#REF!</definedName>
    <definedName name="BABA" localSheetId="7">#REF!</definedName>
    <definedName name="BABA" localSheetId="8">#REF!</definedName>
    <definedName name="BABA" localSheetId="3">#REF!</definedName>
    <definedName name="BABA">#REF!</definedName>
    <definedName name="_xlnm.Database" localSheetId="4">#REF!</definedName>
    <definedName name="_xlnm.Database" localSheetId="9">#REF!</definedName>
    <definedName name="_xlnm.Database" localSheetId="5">#REF!</definedName>
    <definedName name="_xlnm.Database" localSheetId="6">#REF!</definedName>
    <definedName name="_xlnm.Database" localSheetId="7">#REF!</definedName>
    <definedName name="_xlnm.Database" localSheetId="8">#REF!</definedName>
    <definedName name="_xlnm.Database" localSheetId="3">#REF!</definedName>
    <definedName name="_xlnm.Database">#REF!</definedName>
    <definedName name="Classe" localSheetId="4">#REF!</definedName>
    <definedName name="Classe" localSheetId="9">#REF!</definedName>
    <definedName name="Classe" localSheetId="5">#REF!</definedName>
    <definedName name="Classe" localSheetId="6">#REF!</definedName>
    <definedName name="Classe" localSheetId="7">#REF!</definedName>
    <definedName name="Classe" localSheetId="8">#REF!</definedName>
    <definedName name="Classe" localSheetId="3">#REF!</definedName>
    <definedName name="Classe">#REF!</definedName>
    <definedName name="d" localSheetId="4">#REF!</definedName>
    <definedName name="d" localSheetId="9">#REF!</definedName>
    <definedName name="d" localSheetId="5">#REF!</definedName>
    <definedName name="d" localSheetId="6">#REF!</definedName>
    <definedName name="d" localSheetId="7">#REF!</definedName>
    <definedName name="d" localSheetId="8">#REF!</definedName>
    <definedName name="d" localSheetId="3">#REF!</definedName>
    <definedName name="d">#REF!</definedName>
    <definedName name="DADOS">'[1]Hourly Rate 2016'!$C$3:$E$41</definedName>
    <definedName name="dd" localSheetId="4">#REF!</definedName>
    <definedName name="dd" localSheetId="9">#REF!</definedName>
    <definedName name="dd" localSheetId="5">#REF!</definedName>
    <definedName name="dd" localSheetId="6">#REF!</definedName>
    <definedName name="dd" localSheetId="7">#REF!</definedName>
    <definedName name="dd" localSheetId="8">#REF!</definedName>
    <definedName name="dd" localSheetId="3">#REF!</definedName>
    <definedName name="dd">#REF!</definedName>
    <definedName name="dfsdf" localSheetId="4">#REF!</definedName>
    <definedName name="dfsdf" localSheetId="9">#REF!</definedName>
    <definedName name="dfsdf" localSheetId="5">#REF!</definedName>
    <definedName name="dfsdf" localSheetId="6">#REF!</definedName>
    <definedName name="dfsdf" localSheetId="7">#REF!</definedName>
    <definedName name="dfsdf" localSheetId="8">#REF!</definedName>
    <definedName name="dfsdf" localSheetId="3">#REF!</definedName>
    <definedName name="dfsdf">#REF!</definedName>
    <definedName name="EE" localSheetId="4">#REF!</definedName>
    <definedName name="EE" localSheetId="9">#REF!</definedName>
    <definedName name="EE" localSheetId="5">#REF!</definedName>
    <definedName name="EE" localSheetId="6">#REF!</definedName>
    <definedName name="EE" localSheetId="7">#REF!</definedName>
    <definedName name="EE" localSheetId="8">#REF!</definedName>
    <definedName name="EE" localSheetId="3">#REF!</definedName>
    <definedName name="EE">#REF!</definedName>
    <definedName name="Eixo" localSheetId="4">#REF!</definedName>
    <definedName name="Eixo" localSheetId="9">#REF!</definedName>
    <definedName name="Eixo" localSheetId="5">#REF!</definedName>
    <definedName name="Eixo" localSheetId="6">#REF!</definedName>
    <definedName name="Eixo" localSheetId="7">#REF!</definedName>
    <definedName name="Eixo" localSheetId="8">#REF!</definedName>
    <definedName name="Eixo" localSheetId="3">#REF!</definedName>
    <definedName name="Eixo">#REF!</definedName>
    <definedName name="EXTRUSION">'[1]Hourly Rate 2016'!$C$5:$C$9</definedName>
    <definedName name="g" localSheetId="4">#REF!</definedName>
    <definedName name="g" localSheetId="9">#REF!</definedName>
    <definedName name="g" localSheetId="5">#REF!</definedName>
    <definedName name="g" localSheetId="6">#REF!</definedName>
    <definedName name="g" localSheetId="7">#REF!</definedName>
    <definedName name="g" localSheetId="8">#REF!</definedName>
    <definedName name="g" localSheetId="3">#REF!</definedName>
    <definedName name="g">#REF!</definedName>
    <definedName name="GABRIEL" localSheetId="4">#REF!</definedName>
    <definedName name="GABRIEL" localSheetId="9">#REF!</definedName>
    <definedName name="GABRIEL" localSheetId="5">#REF!</definedName>
    <definedName name="GABRIEL" localSheetId="6">#REF!</definedName>
    <definedName name="GABRIEL" localSheetId="7">#REF!</definedName>
    <definedName name="GABRIEL" localSheetId="8">#REF!</definedName>
    <definedName name="GABRIEL" localSheetId="3">#REF!</definedName>
    <definedName name="GABRIEL">#REF!</definedName>
    <definedName name="GENERAL">'[1]Hourly Rate 2016'!$C$10:$C$41</definedName>
    <definedName name="gi" localSheetId="4">#REF!</definedName>
    <definedName name="gi" localSheetId="9">#REF!</definedName>
    <definedName name="gi" localSheetId="5">#REF!</definedName>
    <definedName name="gi" localSheetId="6">#REF!</definedName>
    <definedName name="gi" localSheetId="7">#REF!</definedName>
    <definedName name="gi" localSheetId="8">#REF!</definedName>
    <definedName name="gi" localSheetId="3">#REF!</definedName>
    <definedName name="gi">#REF!</definedName>
    <definedName name="gii" localSheetId="4">#REF!</definedName>
    <definedName name="gii" localSheetId="9">#REF!</definedName>
    <definedName name="gii" localSheetId="5">#REF!</definedName>
    <definedName name="gii" localSheetId="6">#REF!</definedName>
    <definedName name="gii" localSheetId="7">#REF!</definedName>
    <definedName name="gii" localSheetId="8">#REF!</definedName>
    <definedName name="gii" localSheetId="3">#REF!</definedName>
    <definedName name="gii">#REF!</definedName>
    <definedName name="KK" localSheetId="4">#REF!</definedName>
    <definedName name="KK" localSheetId="9">#REF!</definedName>
    <definedName name="KK" localSheetId="5">#REF!</definedName>
    <definedName name="KK" localSheetId="6">#REF!</definedName>
    <definedName name="KK" localSheetId="7">#REF!</definedName>
    <definedName name="KK" localSheetId="8">#REF!</definedName>
    <definedName name="KK" localSheetId="3">#REF!</definedName>
    <definedName name="KK">#REF!</definedName>
    <definedName name="OO" localSheetId="4">#REF!</definedName>
    <definedName name="OO" localSheetId="9">#REF!</definedName>
    <definedName name="OO" localSheetId="5">#REF!</definedName>
    <definedName name="OO" localSheetId="6">#REF!</definedName>
    <definedName name="OO" localSheetId="7">#REF!</definedName>
    <definedName name="OO" localSheetId="8">#REF!</definedName>
    <definedName name="OO" localSheetId="3">#REF!</definedName>
    <definedName name="OO">#REF!</definedName>
    <definedName name="PLAQUETA_REVISED" localSheetId="4">#REF!</definedName>
    <definedName name="PLAQUETA_REVISED" localSheetId="9">#REF!</definedName>
    <definedName name="PLAQUETA_REVISED" localSheetId="5">#REF!</definedName>
    <definedName name="PLAQUETA_REVISED" localSheetId="6">#REF!</definedName>
    <definedName name="PLAQUETA_REVISED" localSheetId="7">#REF!</definedName>
    <definedName name="PLAQUETA_REVISED" localSheetId="8">#REF!</definedName>
    <definedName name="PLAQUETA_REVISED" localSheetId="3">#REF!</definedName>
    <definedName name="PLAQUETA_REVISED">#REF!</definedName>
    <definedName name="QQ" localSheetId="4">#REF!</definedName>
    <definedName name="QQ" localSheetId="9">#REF!</definedName>
    <definedName name="QQ" localSheetId="5">#REF!</definedName>
    <definedName name="QQ" localSheetId="6">#REF!</definedName>
    <definedName name="QQ" localSheetId="7">#REF!</definedName>
    <definedName name="QQ" localSheetId="8">#REF!</definedName>
    <definedName name="QQ" localSheetId="3">#REF!</definedName>
    <definedName name="QQ">#REF!</definedName>
    <definedName name="QUADRO" localSheetId="4">#REF!</definedName>
    <definedName name="QUADRO" localSheetId="9">#REF!</definedName>
    <definedName name="QUADRO" localSheetId="5">#REF!</definedName>
    <definedName name="QUADRO" localSheetId="6">#REF!</definedName>
    <definedName name="QUADRO" localSheetId="7">#REF!</definedName>
    <definedName name="QUADRO" localSheetId="8">#REF!</definedName>
    <definedName name="QUADRO" localSheetId="3">#REF!</definedName>
    <definedName name="QUADRO">#REF!</definedName>
    <definedName name="RDT">'[1]UBL 230 NG12'!$C$111:$C$112</definedName>
    <definedName name="robust" localSheetId="4">#REF!</definedName>
    <definedName name="robust" localSheetId="9">#REF!</definedName>
    <definedName name="robust" localSheetId="5">#REF!</definedName>
    <definedName name="robust" localSheetId="6">#REF!</definedName>
    <definedName name="robust" localSheetId="7">#REF!</definedName>
    <definedName name="robust" localSheetId="8">#REF!</definedName>
    <definedName name="robust" localSheetId="3">#REF!</definedName>
    <definedName name="robust">#REF!</definedName>
    <definedName name="S" localSheetId="4">#REF!</definedName>
    <definedName name="S" localSheetId="9">#REF!</definedName>
    <definedName name="S" localSheetId="5">#REF!</definedName>
    <definedName name="S" localSheetId="6">#REF!</definedName>
    <definedName name="S" localSheetId="7">#REF!</definedName>
    <definedName name="S" localSheetId="8">#REF!</definedName>
    <definedName name="S" localSheetId="3">#REF!</definedName>
    <definedName name="S">#REF!</definedName>
    <definedName name="SA" localSheetId="4">#REF!</definedName>
    <definedName name="SA" localSheetId="9">#REF!</definedName>
    <definedName name="SA" localSheetId="5">#REF!</definedName>
    <definedName name="SA" localSheetId="6">#REF!</definedName>
    <definedName name="SA" localSheetId="7">#REF!</definedName>
    <definedName name="SA" localSheetId="8">#REF!</definedName>
    <definedName name="SA" localSheetId="3">#REF!</definedName>
    <definedName name="SA">#REF!</definedName>
    <definedName name="sd" localSheetId="4">#REF!</definedName>
    <definedName name="sd" localSheetId="9">#REF!</definedName>
    <definedName name="sd" localSheetId="5">#REF!</definedName>
    <definedName name="sd" localSheetId="6">#REF!</definedName>
    <definedName name="sd" localSheetId="7">#REF!</definedName>
    <definedName name="sd" localSheetId="8">#REF!</definedName>
    <definedName name="sd" localSheetId="3">#REF!</definedName>
    <definedName name="sd">#REF!</definedName>
    <definedName name="SGA">'[1]UBL 230 NG12'!$C$107:$C$108</definedName>
    <definedName name="SSSSSS" localSheetId="4">#REF!</definedName>
    <definedName name="SSSSSS" localSheetId="9">#REF!</definedName>
    <definedName name="SSSSSS" localSheetId="5">#REF!</definedName>
    <definedName name="SSSSSS" localSheetId="6">#REF!</definedName>
    <definedName name="SSSSSS" localSheetId="7">#REF!</definedName>
    <definedName name="SSSSSS" localSheetId="8">#REF!</definedName>
    <definedName name="SSSSSS" localSheetId="3">#REF!</definedName>
    <definedName name="SSSSSS">#REF!</definedName>
    <definedName name="STATUS" localSheetId="4">#REF!</definedName>
    <definedName name="STATUS" localSheetId="9">#REF!</definedName>
    <definedName name="STATUS" localSheetId="5">#REF!</definedName>
    <definedName name="STATUS" localSheetId="6">#REF!</definedName>
    <definedName name="STATUS" localSheetId="7">#REF!</definedName>
    <definedName name="STATUS" localSheetId="8">#REF!</definedName>
    <definedName name="STATUS" localSheetId="3">#REF!</definedName>
    <definedName name="STATUS">#REF!</definedName>
    <definedName name="status1" localSheetId="4">#REF!</definedName>
    <definedName name="status1" localSheetId="9">#REF!</definedName>
    <definedName name="status1" localSheetId="5">#REF!</definedName>
    <definedName name="status1" localSheetId="6">#REF!</definedName>
    <definedName name="status1" localSheetId="7">#REF!</definedName>
    <definedName name="status1" localSheetId="8">#REF!</definedName>
    <definedName name="status1" localSheetId="3">#REF!</definedName>
    <definedName name="status1">#REF!</definedName>
    <definedName name="t" localSheetId="4">#REF!</definedName>
    <definedName name="t" localSheetId="9">#REF!</definedName>
    <definedName name="t" localSheetId="5">#REF!</definedName>
    <definedName name="t" localSheetId="6">#REF!</definedName>
    <definedName name="t" localSheetId="7">#REF!</definedName>
    <definedName name="t" localSheetId="8">#REF!</definedName>
    <definedName name="t" localSheetId="3">#REF!</definedName>
    <definedName name="t">#REF!</definedName>
    <definedName name="teste" localSheetId="4">#REF!</definedName>
    <definedName name="teste" localSheetId="9">#REF!</definedName>
    <definedName name="teste" localSheetId="5">#REF!</definedName>
    <definedName name="teste" localSheetId="6">#REF!</definedName>
    <definedName name="teste" localSheetId="7">#REF!</definedName>
    <definedName name="teste" localSheetId="8">#REF!</definedName>
    <definedName name="teste" localSheetId="3">#REF!</definedName>
    <definedName name="teste">#REF!</definedName>
    <definedName name="teste1" localSheetId="4">#REF!</definedName>
    <definedName name="teste1" localSheetId="9">#REF!</definedName>
    <definedName name="teste1" localSheetId="5">#REF!</definedName>
    <definedName name="teste1" localSheetId="6">#REF!</definedName>
    <definedName name="teste1" localSheetId="7">#REF!</definedName>
    <definedName name="teste1" localSheetId="8">#REF!</definedName>
    <definedName name="teste1" localSheetId="3">#REF!</definedName>
    <definedName name="teste1">#REF!</definedName>
    <definedName name="TESTE2" localSheetId="4">#REF!</definedName>
    <definedName name="TESTE2" localSheetId="9">#REF!</definedName>
    <definedName name="TESTE2" localSheetId="5">#REF!</definedName>
    <definedName name="TESTE2" localSheetId="6">#REF!</definedName>
    <definedName name="TESTE2" localSheetId="7">#REF!</definedName>
    <definedName name="TESTE2" localSheetId="8">#REF!</definedName>
    <definedName name="TESTE2" localSheetId="3">#REF!</definedName>
    <definedName name="TESTE2">#REF!</definedName>
    <definedName name="TESTE9898" localSheetId="4">#REF!</definedName>
    <definedName name="TESTE9898" localSheetId="9">#REF!</definedName>
    <definedName name="TESTE9898" localSheetId="5">#REF!</definedName>
    <definedName name="TESTE9898" localSheetId="6">#REF!</definedName>
    <definedName name="TESTE9898" localSheetId="7">#REF!</definedName>
    <definedName name="TESTE9898" localSheetId="8">#REF!</definedName>
    <definedName name="TESTE9898" localSheetId="3">#REF!</definedName>
    <definedName name="TESTE9898">#REF!</definedName>
    <definedName name="testes3" localSheetId="4">#REF!</definedName>
    <definedName name="testes3" localSheetId="9">#REF!</definedName>
    <definedName name="testes3" localSheetId="5">#REF!</definedName>
    <definedName name="testes3" localSheetId="6">#REF!</definedName>
    <definedName name="testes3" localSheetId="7">#REF!</definedName>
    <definedName name="testes3" localSheetId="8">#REF!</definedName>
    <definedName name="testes3" localSheetId="3">#REF!</definedName>
    <definedName name="testes3">#REF!</definedName>
    <definedName name="_xlnm.Print_Titles" localSheetId="4">'11.180 - TBETS1'!$1:$2</definedName>
    <definedName name="_xlnm.Print_Titles" localSheetId="9">'15190OD'!$1:$2</definedName>
    <definedName name="_xlnm.Print_Titles" localSheetId="5">'17280.24JC5B'!$1:$2</definedName>
    <definedName name="_xlnm.Print_Titles" localSheetId="6">'17280.24JD5B'!$1:$2</definedName>
    <definedName name="_xlnm.Print_Titles" localSheetId="7">'17280.24LC5B '!$1:$2</definedName>
    <definedName name="_xlnm.Print_Titles" localSheetId="8">'17280.27CA5B Tractor'!$1:$2</definedName>
    <definedName name="_xlnm.Print_Titles" localSheetId="3">'9.180 TBXSS1'!$1:$2</definedName>
    <definedName name="ttttttt" localSheetId="4">#REF!</definedName>
    <definedName name="ttttttt" localSheetId="9">#REF!</definedName>
    <definedName name="ttttttt" localSheetId="5">#REF!</definedName>
    <definedName name="ttttttt" localSheetId="6">#REF!</definedName>
    <definedName name="ttttttt" localSheetId="7">#REF!</definedName>
    <definedName name="ttttttt" localSheetId="8">#REF!</definedName>
    <definedName name="ttttttt" localSheetId="3">#REF!</definedName>
    <definedName name="ttttttt">#REF!</definedName>
    <definedName name="WW" localSheetId="4">#REF!</definedName>
    <definedName name="WW" localSheetId="9">#REF!</definedName>
    <definedName name="WW" localSheetId="5">#REF!</definedName>
    <definedName name="WW" localSheetId="6">#REF!</definedName>
    <definedName name="WW" localSheetId="7">#REF!</definedName>
    <definedName name="WW" localSheetId="8">#REF!</definedName>
    <definedName name="WW" localSheetId="3">#REF!</definedName>
    <definedName name="WW">#REF!</definedName>
    <definedName name="www" localSheetId="4">#REF!</definedName>
    <definedName name="www" localSheetId="9">#REF!</definedName>
    <definedName name="www" localSheetId="5">#REF!</definedName>
    <definedName name="www" localSheetId="6">#REF!</definedName>
    <definedName name="www" localSheetId="7">#REF!</definedName>
    <definedName name="www" localSheetId="8">#REF!</definedName>
    <definedName name="www" localSheetId="3">#REF!</definedName>
    <definedName name="www">#REF!</definedName>
    <definedName name="z" localSheetId="4">#REF!</definedName>
    <definedName name="z" localSheetId="9">#REF!</definedName>
    <definedName name="z" localSheetId="5">#REF!</definedName>
    <definedName name="z" localSheetId="6">#REF!</definedName>
    <definedName name="z" localSheetId="7">#REF!</definedName>
    <definedName name="z" localSheetId="8">#REF!</definedName>
    <definedName name="z" localSheetId="3">#REF!</definedName>
    <definedName name="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6" i="50" l="1"/>
  <c r="N46" i="50"/>
  <c r="P46" i="50" s="1"/>
  <c r="N400" i="50" l="1"/>
  <c r="P400" i="50" s="1"/>
  <c r="O400" i="50"/>
  <c r="N88" i="50" l="1"/>
  <c r="O88" i="50"/>
  <c r="N90" i="50"/>
  <c r="O90" i="50"/>
  <c r="N192" i="50"/>
  <c r="P192" i="50" s="1"/>
  <c r="O192" i="50"/>
  <c r="P152" i="20" l="1"/>
  <c r="N152" i="20"/>
  <c r="N26" i="50" l="1"/>
  <c r="P26" i="50" s="1"/>
  <c r="O26" i="50"/>
  <c r="N4" i="50"/>
  <c r="P4" i="50" s="1"/>
  <c r="O4" i="50"/>
  <c r="N5" i="50"/>
  <c r="P5" i="50" s="1"/>
  <c r="O5" i="50"/>
  <c r="N6" i="50"/>
  <c r="P6" i="50" s="1"/>
  <c r="O6" i="50"/>
  <c r="N7" i="50"/>
  <c r="P7" i="50" s="1"/>
  <c r="O7" i="50"/>
  <c r="N8" i="50"/>
  <c r="P8" i="50" s="1"/>
  <c r="O8" i="50"/>
  <c r="N9" i="50"/>
  <c r="P9" i="50" s="1"/>
  <c r="O9" i="50"/>
  <c r="N10" i="50"/>
  <c r="P10" i="50" s="1"/>
  <c r="O10" i="50"/>
  <c r="N11" i="50"/>
  <c r="P11" i="50" s="1"/>
  <c r="O11" i="50"/>
  <c r="N12" i="50"/>
  <c r="P12" i="50" s="1"/>
  <c r="O12" i="50"/>
  <c r="N13" i="50"/>
  <c r="P13" i="50" s="1"/>
  <c r="O13" i="50"/>
  <c r="N14" i="50"/>
  <c r="P14" i="50" s="1"/>
  <c r="O14" i="50"/>
  <c r="N15" i="50"/>
  <c r="P15" i="50" s="1"/>
  <c r="O15" i="50"/>
  <c r="N16" i="50"/>
  <c r="P16" i="50" s="1"/>
  <c r="O16" i="50"/>
  <c r="N17" i="50"/>
  <c r="P17" i="50" s="1"/>
  <c r="O17" i="50"/>
  <c r="N18" i="50"/>
  <c r="P18" i="50" s="1"/>
  <c r="O18" i="50"/>
  <c r="N19" i="50"/>
  <c r="P19" i="50" s="1"/>
  <c r="O19" i="50"/>
  <c r="N20" i="50"/>
  <c r="P20" i="50" s="1"/>
  <c r="O20" i="50"/>
  <c r="N21" i="50"/>
  <c r="P21" i="50" s="1"/>
  <c r="O21" i="50"/>
  <c r="N22" i="50"/>
  <c r="P22" i="50" s="1"/>
  <c r="O22" i="50"/>
  <c r="N23" i="50"/>
  <c r="P23" i="50" s="1"/>
  <c r="O23" i="50"/>
  <c r="N24" i="50"/>
  <c r="P24" i="50" s="1"/>
  <c r="O24" i="50"/>
  <c r="N25" i="50"/>
  <c r="P25" i="50" s="1"/>
  <c r="O25" i="50"/>
  <c r="N27" i="50"/>
  <c r="P27" i="50" s="1"/>
  <c r="O27" i="50"/>
  <c r="N28" i="50"/>
  <c r="P28" i="50" s="1"/>
  <c r="O28" i="50"/>
  <c r="N29" i="50"/>
  <c r="P29" i="50" s="1"/>
  <c r="O29" i="50"/>
  <c r="N30" i="50"/>
  <c r="P30" i="50" s="1"/>
  <c r="O30" i="50"/>
  <c r="N31" i="50"/>
  <c r="P31" i="50" s="1"/>
  <c r="O31" i="50"/>
  <c r="N32" i="50"/>
  <c r="P32" i="50" s="1"/>
  <c r="O32" i="50"/>
  <c r="N33" i="50"/>
  <c r="P33" i="50" s="1"/>
  <c r="O33" i="50"/>
  <c r="N34" i="50"/>
  <c r="P34" i="50" s="1"/>
  <c r="O34" i="50"/>
  <c r="N35" i="50"/>
  <c r="P35" i="50" s="1"/>
  <c r="O35" i="50"/>
  <c r="N36" i="50"/>
  <c r="P36" i="50" s="1"/>
  <c r="O36" i="50"/>
  <c r="N37" i="50"/>
  <c r="P37" i="50" s="1"/>
  <c r="O37" i="50"/>
  <c r="N38" i="50"/>
  <c r="P38" i="50" s="1"/>
  <c r="O38" i="50"/>
  <c r="N39" i="50"/>
  <c r="P39" i="50" s="1"/>
  <c r="O39" i="50"/>
  <c r="N40" i="50"/>
  <c r="P40" i="50" s="1"/>
  <c r="O40" i="50"/>
  <c r="N41" i="50"/>
  <c r="P41" i="50" s="1"/>
  <c r="O41" i="50"/>
  <c r="N42" i="50"/>
  <c r="P42" i="50" s="1"/>
  <c r="O42" i="50"/>
  <c r="N43" i="50"/>
  <c r="P43" i="50" s="1"/>
  <c r="O43" i="50"/>
  <c r="N44" i="50"/>
  <c r="P44" i="50" s="1"/>
  <c r="O44" i="50"/>
  <c r="N45" i="50"/>
  <c r="P45" i="50" s="1"/>
  <c r="O45" i="50"/>
  <c r="N48" i="50"/>
  <c r="P48" i="50" s="1"/>
  <c r="O48" i="50"/>
  <c r="N50" i="50"/>
  <c r="P50" i="50" s="1"/>
  <c r="O50" i="50"/>
  <c r="N47" i="50"/>
  <c r="P47" i="50" s="1"/>
  <c r="O47" i="50"/>
  <c r="N49" i="50"/>
  <c r="P49" i="50" s="1"/>
  <c r="O49" i="50"/>
  <c r="N52" i="50"/>
  <c r="P52" i="50" s="1"/>
  <c r="O52" i="50"/>
  <c r="N51" i="50"/>
  <c r="P51" i="50" s="1"/>
  <c r="O51" i="50"/>
  <c r="N53" i="50"/>
  <c r="P53" i="50" s="1"/>
  <c r="O53" i="50"/>
  <c r="N54" i="50"/>
  <c r="P54" i="50" s="1"/>
  <c r="O54" i="50"/>
  <c r="N55" i="50"/>
  <c r="P55" i="50" s="1"/>
  <c r="O55" i="50"/>
  <c r="N56" i="50"/>
  <c r="P56" i="50" s="1"/>
  <c r="O56" i="50"/>
  <c r="N59" i="50"/>
  <c r="P59" i="50" s="1"/>
  <c r="O59" i="50"/>
  <c r="N60" i="50"/>
  <c r="P60" i="50" s="1"/>
  <c r="O60" i="50"/>
  <c r="N58" i="50"/>
  <c r="P58" i="50" s="1"/>
  <c r="O58" i="50"/>
  <c r="N57" i="50"/>
  <c r="P57" i="50" s="1"/>
  <c r="O57" i="50"/>
  <c r="N61" i="50"/>
  <c r="P61" i="50" s="1"/>
  <c r="O61" i="50"/>
  <c r="N62" i="50"/>
  <c r="P62" i="50" s="1"/>
  <c r="O62" i="50"/>
  <c r="N167" i="50"/>
  <c r="P167" i="50" s="1"/>
  <c r="O167" i="50"/>
  <c r="N63" i="50"/>
  <c r="P63" i="50" s="1"/>
  <c r="O63" i="50"/>
  <c r="N64" i="50"/>
  <c r="P64" i="50" s="1"/>
  <c r="O64" i="50"/>
  <c r="N65" i="50"/>
  <c r="P65" i="50" s="1"/>
  <c r="O65" i="50"/>
  <c r="N66" i="50"/>
  <c r="P66" i="50" s="1"/>
  <c r="O66" i="50"/>
  <c r="N69" i="50"/>
  <c r="P69" i="50" s="1"/>
  <c r="O69" i="50"/>
  <c r="N67" i="50"/>
  <c r="P67" i="50" s="1"/>
  <c r="O67" i="50"/>
  <c r="N68" i="50"/>
  <c r="P68" i="50" s="1"/>
  <c r="O68" i="50"/>
  <c r="N70" i="50"/>
  <c r="P70" i="50" s="1"/>
  <c r="O70" i="50"/>
  <c r="N71" i="50"/>
  <c r="P71" i="50" s="1"/>
  <c r="O71" i="50"/>
  <c r="N72" i="50"/>
  <c r="P72" i="50" s="1"/>
  <c r="O72" i="50"/>
  <c r="N73" i="50"/>
  <c r="P73" i="50" s="1"/>
  <c r="O73" i="50"/>
  <c r="N74" i="50"/>
  <c r="P74" i="50" s="1"/>
  <c r="O74" i="50"/>
  <c r="N75" i="50"/>
  <c r="P75" i="50" s="1"/>
  <c r="O75" i="50"/>
  <c r="N76" i="50"/>
  <c r="P76" i="50" s="1"/>
  <c r="O76" i="50"/>
  <c r="N77" i="50"/>
  <c r="P77" i="50" s="1"/>
  <c r="O77" i="50"/>
  <c r="N274" i="50"/>
  <c r="P274" i="50" s="1"/>
  <c r="O274" i="50"/>
  <c r="N78" i="50"/>
  <c r="P78" i="50" s="1"/>
  <c r="O78" i="50"/>
  <c r="N80" i="50"/>
  <c r="P80" i="50" s="1"/>
  <c r="O80" i="50"/>
  <c r="N79" i="50"/>
  <c r="P79" i="50" s="1"/>
  <c r="O79" i="50"/>
  <c r="N82" i="50"/>
  <c r="P82" i="50" s="1"/>
  <c r="O82" i="50"/>
  <c r="N83" i="50"/>
  <c r="P83" i="50" s="1"/>
  <c r="O83" i="50"/>
  <c r="N84" i="50"/>
  <c r="P84" i="50" s="1"/>
  <c r="O84" i="50"/>
  <c r="N85" i="50"/>
  <c r="P85" i="50" s="1"/>
  <c r="O85" i="50"/>
  <c r="N86" i="50"/>
  <c r="P86" i="50" s="1"/>
  <c r="O86" i="50"/>
  <c r="N170" i="50"/>
  <c r="P170" i="50" s="1"/>
  <c r="O170" i="50"/>
  <c r="N87" i="50"/>
  <c r="P87" i="50" s="1"/>
  <c r="O87" i="50"/>
  <c r="N89" i="50"/>
  <c r="O89" i="50"/>
  <c r="N91" i="50"/>
  <c r="P91" i="50" s="1"/>
  <c r="O91" i="50"/>
  <c r="N92" i="50"/>
  <c r="P92" i="50" s="1"/>
  <c r="O92" i="50"/>
  <c r="N95" i="50"/>
  <c r="P95" i="50" s="1"/>
  <c r="O95" i="50"/>
  <c r="N96" i="50"/>
  <c r="P96" i="50" s="1"/>
  <c r="O96" i="50"/>
  <c r="N98" i="50"/>
  <c r="P98" i="50" s="1"/>
  <c r="O98" i="50"/>
  <c r="N99" i="50"/>
  <c r="P99" i="50" s="1"/>
  <c r="O99" i="50"/>
  <c r="N100" i="50"/>
  <c r="P100" i="50" s="1"/>
  <c r="O100" i="50"/>
  <c r="N97" i="50"/>
  <c r="P97" i="50" s="1"/>
  <c r="O97" i="50"/>
  <c r="N101" i="50"/>
  <c r="O101" i="50"/>
  <c r="N102" i="50"/>
  <c r="P102" i="50" s="1"/>
  <c r="O102" i="50"/>
  <c r="N103" i="50"/>
  <c r="O103" i="50"/>
  <c r="N104" i="50"/>
  <c r="P104" i="50" s="1"/>
  <c r="O104" i="50"/>
  <c r="N105" i="50"/>
  <c r="P105" i="50" s="1"/>
  <c r="O105" i="50"/>
  <c r="N106" i="50"/>
  <c r="P106" i="50" s="1"/>
  <c r="O106" i="50"/>
  <c r="N107" i="50"/>
  <c r="P107" i="50" s="1"/>
  <c r="O107" i="50"/>
  <c r="N108" i="50"/>
  <c r="P108" i="50" s="1"/>
  <c r="O108" i="50"/>
  <c r="N109" i="50"/>
  <c r="P109" i="50" s="1"/>
  <c r="O109" i="50"/>
  <c r="N110" i="50"/>
  <c r="P110" i="50" s="1"/>
  <c r="O110" i="50"/>
  <c r="N112" i="50"/>
  <c r="P112" i="50" s="1"/>
  <c r="O112" i="50"/>
  <c r="N114" i="50"/>
  <c r="P114" i="50" s="1"/>
  <c r="O114" i="50"/>
  <c r="N115" i="50"/>
  <c r="P115" i="50" s="1"/>
  <c r="O115" i="50"/>
  <c r="N113" i="50"/>
  <c r="P113" i="50" s="1"/>
  <c r="O113" i="50"/>
  <c r="N117" i="50"/>
  <c r="P117" i="50" s="1"/>
  <c r="O117" i="50"/>
  <c r="N116" i="50"/>
  <c r="P116" i="50" s="1"/>
  <c r="O116" i="50"/>
  <c r="N118" i="50"/>
  <c r="P118" i="50" s="1"/>
  <c r="O118" i="50"/>
  <c r="N119" i="50"/>
  <c r="P119" i="50" s="1"/>
  <c r="O119" i="50"/>
  <c r="N120" i="50"/>
  <c r="P120" i="50" s="1"/>
  <c r="O120" i="50"/>
  <c r="N121" i="50"/>
  <c r="P121" i="50" s="1"/>
  <c r="O121" i="50"/>
  <c r="N122" i="50"/>
  <c r="P122" i="50" s="1"/>
  <c r="O122" i="50"/>
  <c r="N123" i="50"/>
  <c r="P123" i="50" s="1"/>
  <c r="O123" i="50"/>
  <c r="N124" i="50"/>
  <c r="P124" i="50" s="1"/>
  <c r="O124" i="50"/>
  <c r="N125" i="50"/>
  <c r="P125" i="50" s="1"/>
  <c r="O125" i="50"/>
  <c r="N126" i="50"/>
  <c r="P126" i="50" s="1"/>
  <c r="O126" i="50"/>
  <c r="N127" i="50"/>
  <c r="P127" i="50" s="1"/>
  <c r="O127" i="50"/>
  <c r="N128" i="50"/>
  <c r="P128" i="50" s="1"/>
  <c r="O128" i="50"/>
  <c r="N129" i="50"/>
  <c r="P129" i="50" s="1"/>
  <c r="O129" i="50"/>
  <c r="N130" i="50"/>
  <c r="P130" i="50" s="1"/>
  <c r="O130" i="50"/>
  <c r="N131" i="50"/>
  <c r="P131" i="50" s="1"/>
  <c r="O131" i="50"/>
  <c r="N132" i="50"/>
  <c r="P132" i="50" s="1"/>
  <c r="O132" i="50"/>
  <c r="N133" i="50"/>
  <c r="P133" i="50" s="1"/>
  <c r="O133" i="50"/>
  <c r="N150" i="50"/>
  <c r="P150" i="50" s="1"/>
  <c r="O150" i="50"/>
  <c r="N134" i="50"/>
  <c r="P134" i="50" s="1"/>
  <c r="O134" i="50"/>
  <c r="N137" i="50"/>
  <c r="O137" i="50"/>
  <c r="N139" i="50"/>
  <c r="P139" i="50" s="1"/>
  <c r="O139" i="50"/>
  <c r="N140" i="50"/>
  <c r="P140" i="50" s="1"/>
  <c r="O140" i="50"/>
  <c r="N141" i="50"/>
  <c r="P141" i="50" s="1"/>
  <c r="O141" i="50"/>
  <c r="N138" i="50"/>
  <c r="P138" i="50" s="1"/>
  <c r="O138" i="50"/>
  <c r="N142" i="50"/>
  <c r="P142" i="50" s="1"/>
  <c r="O142" i="50"/>
  <c r="N143" i="50"/>
  <c r="P143" i="50" s="1"/>
  <c r="O143" i="50"/>
  <c r="N144" i="50"/>
  <c r="P144" i="50" s="1"/>
  <c r="O144" i="50"/>
  <c r="N145" i="50"/>
  <c r="P145" i="50" s="1"/>
  <c r="O145" i="50"/>
  <c r="N146" i="50"/>
  <c r="P146" i="50" s="1"/>
  <c r="O146" i="50"/>
  <c r="N147" i="50"/>
  <c r="P147" i="50" s="1"/>
  <c r="O147" i="50"/>
  <c r="N148" i="50"/>
  <c r="P148" i="50" s="1"/>
  <c r="O148" i="50"/>
  <c r="N149" i="50"/>
  <c r="P149" i="50" s="1"/>
  <c r="O149" i="50"/>
  <c r="N151" i="50"/>
  <c r="P151" i="50" s="1"/>
  <c r="O151" i="50"/>
  <c r="N152" i="50"/>
  <c r="P152" i="50" s="1"/>
  <c r="O152" i="50"/>
  <c r="N153" i="50"/>
  <c r="P153" i="50" s="1"/>
  <c r="O153" i="50"/>
  <c r="N154" i="50"/>
  <c r="P154" i="50" s="1"/>
  <c r="O154" i="50"/>
  <c r="N240" i="50"/>
  <c r="P240" i="50" s="1"/>
  <c r="O240" i="50"/>
  <c r="N135" i="50"/>
  <c r="P135" i="50" s="1"/>
  <c r="O135" i="50"/>
  <c r="N159" i="50"/>
  <c r="P159" i="50" s="1"/>
  <c r="O159" i="50"/>
  <c r="N155" i="50"/>
  <c r="P155" i="50" s="1"/>
  <c r="O155" i="50"/>
  <c r="N157" i="50"/>
  <c r="P157" i="50" s="1"/>
  <c r="O157" i="50"/>
  <c r="N158" i="50"/>
  <c r="P158" i="50" s="1"/>
  <c r="O158" i="50"/>
  <c r="N161" i="50"/>
  <c r="P161" i="50" s="1"/>
  <c r="O161" i="50"/>
  <c r="N241" i="50"/>
  <c r="P241" i="50" s="1"/>
  <c r="O241" i="50"/>
  <c r="N160" i="50"/>
  <c r="P160" i="50" s="1"/>
  <c r="O160" i="50"/>
  <c r="N162" i="50"/>
  <c r="P162" i="50" s="1"/>
  <c r="O162" i="50"/>
  <c r="N163" i="50"/>
  <c r="P163" i="50" s="1"/>
  <c r="O163" i="50"/>
  <c r="N164" i="50"/>
  <c r="P164" i="50" s="1"/>
  <c r="O164" i="50"/>
  <c r="N242" i="50"/>
  <c r="P242" i="50" s="1"/>
  <c r="O242" i="50"/>
  <c r="N136" i="50"/>
  <c r="P136" i="50" s="1"/>
  <c r="O136" i="50"/>
  <c r="N165" i="50"/>
  <c r="P165" i="50" s="1"/>
  <c r="O165" i="50"/>
  <c r="N166" i="50"/>
  <c r="P166" i="50" s="1"/>
  <c r="O166" i="50"/>
  <c r="N168" i="50"/>
  <c r="P168" i="50" s="1"/>
  <c r="O168" i="50"/>
  <c r="N169" i="50"/>
  <c r="O169" i="50"/>
  <c r="N171" i="50"/>
  <c r="P171" i="50" s="1"/>
  <c r="O171" i="50"/>
  <c r="N173" i="50"/>
  <c r="P173" i="50" s="1"/>
  <c r="O173" i="50"/>
  <c r="N174" i="50"/>
  <c r="P174" i="50" s="1"/>
  <c r="O174" i="50"/>
  <c r="N175" i="50"/>
  <c r="P175" i="50" s="1"/>
  <c r="O175" i="50"/>
  <c r="N176" i="50"/>
  <c r="P176" i="50" s="1"/>
  <c r="O176" i="50"/>
  <c r="N177" i="50"/>
  <c r="P177" i="50" s="1"/>
  <c r="O177" i="50"/>
  <c r="N178" i="50"/>
  <c r="P178" i="50" s="1"/>
  <c r="O178" i="50"/>
  <c r="N179" i="50"/>
  <c r="P179" i="50" s="1"/>
  <c r="O179" i="50"/>
  <c r="N180" i="50"/>
  <c r="P180" i="50" s="1"/>
  <c r="O180" i="50"/>
  <c r="N181" i="50"/>
  <c r="P181" i="50" s="1"/>
  <c r="O181" i="50"/>
  <c r="N182" i="50"/>
  <c r="P182" i="50" s="1"/>
  <c r="O182" i="50"/>
  <c r="N184" i="50"/>
  <c r="P184" i="50" s="1"/>
  <c r="O184" i="50"/>
  <c r="N183" i="50"/>
  <c r="P183" i="50" s="1"/>
  <c r="O183" i="50"/>
  <c r="N185" i="50"/>
  <c r="P185" i="50" s="1"/>
  <c r="O185" i="50"/>
  <c r="N188" i="50"/>
  <c r="P188" i="50" s="1"/>
  <c r="O188" i="50"/>
  <c r="N190" i="50"/>
  <c r="P190" i="50" s="1"/>
  <c r="O190" i="50"/>
  <c r="N186" i="50"/>
  <c r="P186" i="50" s="1"/>
  <c r="O186" i="50"/>
  <c r="N187" i="50"/>
  <c r="P187" i="50" s="1"/>
  <c r="O187" i="50"/>
  <c r="N189" i="50"/>
  <c r="P189" i="50" s="1"/>
  <c r="O189" i="50"/>
  <c r="N191" i="50"/>
  <c r="P191" i="50" s="1"/>
  <c r="O191" i="50"/>
  <c r="N193" i="50"/>
  <c r="P193" i="50" s="1"/>
  <c r="O193" i="50"/>
  <c r="N195" i="50"/>
  <c r="P195" i="50" s="1"/>
  <c r="O195" i="50"/>
  <c r="N197" i="50"/>
  <c r="P197" i="50" s="1"/>
  <c r="O197" i="50"/>
  <c r="N198" i="50"/>
  <c r="P198" i="50" s="1"/>
  <c r="O198" i="50"/>
  <c r="N199" i="50"/>
  <c r="P199" i="50" s="1"/>
  <c r="O199" i="50"/>
  <c r="N200" i="50"/>
  <c r="P200" i="50" s="1"/>
  <c r="O200" i="50"/>
  <c r="N194" i="50"/>
  <c r="P194" i="50" s="1"/>
  <c r="O194" i="50"/>
  <c r="N201" i="50"/>
  <c r="P201" i="50" s="1"/>
  <c r="O201" i="50"/>
  <c r="N202" i="50"/>
  <c r="P202" i="50" s="1"/>
  <c r="O202" i="50"/>
  <c r="N203" i="50"/>
  <c r="P203" i="50" s="1"/>
  <c r="O203" i="50"/>
  <c r="N204" i="50"/>
  <c r="P204" i="50" s="1"/>
  <c r="O204" i="50"/>
  <c r="N205" i="50"/>
  <c r="P205" i="50" s="1"/>
  <c r="O205" i="50"/>
  <c r="N208" i="50"/>
  <c r="P208" i="50" s="1"/>
  <c r="O208" i="50"/>
  <c r="N206" i="50"/>
  <c r="P206" i="50" s="1"/>
  <c r="O206" i="50"/>
  <c r="N207" i="50"/>
  <c r="P207" i="50" s="1"/>
  <c r="O207" i="50"/>
  <c r="N209" i="50"/>
  <c r="P209" i="50" s="1"/>
  <c r="O209" i="50"/>
  <c r="N210" i="50"/>
  <c r="P210" i="50" s="1"/>
  <c r="O210" i="50"/>
  <c r="N351" i="50"/>
  <c r="P351" i="50" s="1"/>
  <c r="O351" i="50"/>
  <c r="N232" i="50"/>
  <c r="P232" i="50" s="1"/>
  <c r="O232" i="50"/>
  <c r="N233" i="50"/>
  <c r="P233" i="50" s="1"/>
  <c r="O233" i="50"/>
  <c r="N234" i="50"/>
  <c r="P234" i="50" s="1"/>
  <c r="O234" i="50"/>
  <c r="N235" i="50"/>
  <c r="P235" i="50" s="1"/>
  <c r="O235" i="50"/>
  <c r="N236" i="50"/>
  <c r="P236" i="50" s="1"/>
  <c r="O236" i="50"/>
  <c r="N237" i="50"/>
  <c r="P237" i="50" s="1"/>
  <c r="O237" i="50"/>
  <c r="N238" i="50"/>
  <c r="P238" i="50" s="1"/>
  <c r="O238" i="50"/>
  <c r="N216" i="50"/>
  <c r="P216" i="50" s="1"/>
  <c r="O216" i="50"/>
  <c r="N217" i="50"/>
  <c r="P217" i="50" s="1"/>
  <c r="O217" i="50"/>
  <c r="N218" i="50"/>
  <c r="P218" i="50" s="1"/>
  <c r="O218" i="50"/>
  <c r="N219" i="50"/>
  <c r="P219" i="50" s="1"/>
  <c r="O219" i="50"/>
  <c r="N220" i="50"/>
  <c r="P220" i="50" s="1"/>
  <c r="O220" i="50"/>
  <c r="N221" i="50"/>
  <c r="P221" i="50" s="1"/>
  <c r="O221" i="50"/>
  <c r="N222" i="50"/>
  <c r="P222" i="50" s="1"/>
  <c r="O222" i="50"/>
  <c r="N223" i="50"/>
  <c r="P223" i="50" s="1"/>
  <c r="O223" i="50"/>
  <c r="N224" i="50"/>
  <c r="P224" i="50" s="1"/>
  <c r="O224" i="50"/>
  <c r="N225" i="50"/>
  <c r="P225" i="50" s="1"/>
  <c r="O225" i="50"/>
  <c r="N226" i="50"/>
  <c r="P226" i="50" s="1"/>
  <c r="O226" i="50"/>
  <c r="N227" i="50"/>
  <c r="P227" i="50" s="1"/>
  <c r="O227" i="50"/>
  <c r="N228" i="50"/>
  <c r="P228" i="50" s="1"/>
  <c r="O228" i="50"/>
  <c r="N229" i="50"/>
  <c r="P229" i="50" s="1"/>
  <c r="O229" i="50"/>
  <c r="N231" i="50"/>
  <c r="P231" i="50" s="1"/>
  <c r="O231" i="50"/>
  <c r="N239" i="50"/>
  <c r="P239" i="50" s="1"/>
  <c r="O239" i="50"/>
  <c r="N243" i="50"/>
  <c r="P243" i="50" s="1"/>
  <c r="O243" i="50"/>
  <c r="N244" i="50"/>
  <c r="P244" i="50" s="1"/>
  <c r="O244" i="50"/>
  <c r="N245" i="50"/>
  <c r="P245" i="50" s="1"/>
  <c r="O245" i="50"/>
  <c r="N246" i="50"/>
  <c r="P246" i="50" s="1"/>
  <c r="O246" i="50"/>
  <c r="N247" i="50"/>
  <c r="P247" i="50" s="1"/>
  <c r="O247" i="50"/>
  <c r="N248" i="50"/>
  <c r="P248" i="50" s="1"/>
  <c r="O248" i="50"/>
  <c r="N249" i="50"/>
  <c r="P249" i="50" s="1"/>
  <c r="O249" i="50"/>
  <c r="N250" i="50"/>
  <c r="P250" i="50" s="1"/>
  <c r="O250" i="50"/>
  <c r="N252" i="50"/>
  <c r="P252" i="50" s="1"/>
  <c r="O252" i="50"/>
  <c r="N251" i="50"/>
  <c r="P251" i="50" s="1"/>
  <c r="O251" i="50"/>
  <c r="N254" i="50"/>
  <c r="P254" i="50" s="1"/>
  <c r="O254" i="50"/>
  <c r="N253" i="50"/>
  <c r="P253" i="50" s="1"/>
  <c r="O253" i="50"/>
  <c r="N256" i="50"/>
  <c r="P256" i="50" s="1"/>
  <c r="O256" i="50"/>
  <c r="N211" i="50"/>
  <c r="P211" i="50" s="1"/>
  <c r="O211" i="50"/>
  <c r="N255" i="50"/>
  <c r="P255" i="50" s="1"/>
  <c r="O255" i="50"/>
  <c r="N257" i="50"/>
  <c r="P257" i="50" s="1"/>
  <c r="O257" i="50"/>
  <c r="N258" i="50"/>
  <c r="P258" i="50" s="1"/>
  <c r="O258" i="50"/>
  <c r="N260" i="50"/>
  <c r="P260" i="50" s="1"/>
  <c r="O260" i="50"/>
  <c r="N261" i="50"/>
  <c r="P261" i="50" s="1"/>
  <c r="O261" i="50"/>
  <c r="N262" i="50"/>
  <c r="P262" i="50" s="1"/>
  <c r="O262" i="50"/>
  <c r="N259" i="50"/>
  <c r="P259" i="50" s="1"/>
  <c r="O259" i="50"/>
  <c r="N263" i="50"/>
  <c r="P263" i="50" s="1"/>
  <c r="O263" i="50"/>
  <c r="N265" i="50"/>
  <c r="P265" i="50" s="1"/>
  <c r="O265" i="50"/>
  <c r="N212" i="50"/>
  <c r="P212" i="50" s="1"/>
  <c r="O212" i="50"/>
  <c r="N264" i="50"/>
  <c r="P264" i="50" s="1"/>
  <c r="O264" i="50"/>
  <c r="N213" i="50"/>
  <c r="P213" i="50" s="1"/>
  <c r="O213" i="50"/>
  <c r="N214" i="50"/>
  <c r="P214" i="50" s="1"/>
  <c r="O214" i="50"/>
  <c r="N266" i="50"/>
  <c r="P266" i="50" s="1"/>
  <c r="O266" i="50"/>
  <c r="N267" i="50"/>
  <c r="P267" i="50" s="1"/>
  <c r="O267" i="50"/>
  <c r="N215" i="50"/>
  <c r="P215" i="50" s="1"/>
  <c r="O215" i="50"/>
  <c r="N268" i="50"/>
  <c r="P268" i="50" s="1"/>
  <c r="O268" i="50"/>
  <c r="N269" i="50"/>
  <c r="P269" i="50" s="1"/>
  <c r="O269" i="50"/>
  <c r="N270" i="50"/>
  <c r="P270" i="50" s="1"/>
  <c r="O270" i="50"/>
  <c r="N271" i="50"/>
  <c r="P271" i="50" s="1"/>
  <c r="O271" i="50"/>
  <c r="N272" i="50"/>
  <c r="P272" i="50" s="1"/>
  <c r="O272" i="50"/>
  <c r="N273" i="50"/>
  <c r="P273" i="50" s="1"/>
  <c r="O273" i="50"/>
  <c r="N276" i="50"/>
  <c r="P276" i="50" s="1"/>
  <c r="O276" i="50"/>
  <c r="N277" i="50"/>
  <c r="P277" i="50" s="1"/>
  <c r="O277" i="50"/>
  <c r="N278" i="50"/>
  <c r="P278" i="50" s="1"/>
  <c r="O278" i="50"/>
  <c r="N279" i="50"/>
  <c r="O279" i="50"/>
  <c r="N280" i="50"/>
  <c r="O280" i="50"/>
  <c r="N281" i="50"/>
  <c r="P281" i="50" s="1"/>
  <c r="O281" i="50"/>
  <c r="N282" i="50"/>
  <c r="P282" i="50" s="1"/>
  <c r="O282" i="50"/>
  <c r="N283" i="50"/>
  <c r="P283" i="50" s="1"/>
  <c r="O283" i="50"/>
  <c r="N285" i="50"/>
  <c r="P285" i="50" s="1"/>
  <c r="O285" i="50"/>
  <c r="N284" i="50"/>
  <c r="P284" i="50" s="1"/>
  <c r="O284" i="50"/>
  <c r="N287" i="50"/>
  <c r="P287" i="50" s="1"/>
  <c r="O287" i="50"/>
  <c r="N286" i="50"/>
  <c r="P286" i="50" s="1"/>
  <c r="O286" i="50"/>
  <c r="N288" i="50"/>
  <c r="O288" i="50"/>
  <c r="N289" i="50"/>
  <c r="P289" i="50" s="1"/>
  <c r="O289" i="50"/>
  <c r="N290" i="50"/>
  <c r="P290" i="50" s="1"/>
  <c r="O290" i="50"/>
  <c r="N291" i="50"/>
  <c r="P291" i="50" s="1"/>
  <c r="O291" i="50"/>
  <c r="N292" i="50"/>
  <c r="P292" i="50" s="1"/>
  <c r="O292" i="50"/>
  <c r="N293" i="50"/>
  <c r="P293" i="50" s="1"/>
  <c r="O293" i="50"/>
  <c r="N294" i="50"/>
  <c r="P294" i="50" s="1"/>
  <c r="O294" i="50"/>
  <c r="N295" i="50"/>
  <c r="P295" i="50" s="1"/>
  <c r="O295" i="50"/>
  <c r="N296" i="50"/>
  <c r="P296" i="50" s="1"/>
  <c r="O296" i="50"/>
  <c r="N297" i="50"/>
  <c r="P297" i="50" s="1"/>
  <c r="O297" i="50"/>
  <c r="N298" i="50"/>
  <c r="O298" i="50"/>
  <c r="N299" i="50"/>
  <c r="P299" i="50" s="1"/>
  <c r="O299" i="50"/>
  <c r="N300" i="50"/>
  <c r="P300" i="50" s="1"/>
  <c r="O300" i="50"/>
  <c r="N301" i="50"/>
  <c r="P301" i="50" s="1"/>
  <c r="O301" i="50"/>
  <c r="N302" i="50"/>
  <c r="P302" i="50" s="1"/>
  <c r="O302" i="50"/>
  <c r="N303" i="50"/>
  <c r="P303" i="50" s="1"/>
  <c r="O303" i="50"/>
  <c r="N304" i="50"/>
  <c r="P304" i="50" s="1"/>
  <c r="O304" i="50"/>
  <c r="N305" i="50"/>
  <c r="P305" i="50" s="1"/>
  <c r="O305" i="50"/>
  <c r="N306" i="50"/>
  <c r="P306" i="50" s="1"/>
  <c r="O306" i="50"/>
  <c r="N307" i="50"/>
  <c r="P307" i="50" s="1"/>
  <c r="O307" i="50"/>
  <c r="N308" i="50"/>
  <c r="P308" i="50" s="1"/>
  <c r="O308" i="50"/>
  <c r="N309" i="50"/>
  <c r="P309" i="50" s="1"/>
  <c r="O309" i="50"/>
  <c r="N310" i="50"/>
  <c r="P310" i="50" s="1"/>
  <c r="O310" i="50"/>
  <c r="N311" i="50"/>
  <c r="P311" i="50" s="1"/>
  <c r="O311" i="50"/>
  <c r="N312" i="50"/>
  <c r="P312" i="50" s="1"/>
  <c r="O312" i="50"/>
  <c r="N313" i="50"/>
  <c r="P313" i="50" s="1"/>
  <c r="O313" i="50"/>
  <c r="N314" i="50"/>
  <c r="P314" i="50" s="1"/>
  <c r="O314" i="50"/>
  <c r="N315" i="50"/>
  <c r="P315" i="50" s="1"/>
  <c r="O315" i="50"/>
  <c r="N352" i="50"/>
  <c r="P352" i="50" s="1"/>
  <c r="O352" i="50"/>
  <c r="N355" i="50"/>
  <c r="O355" i="50"/>
  <c r="N354" i="50"/>
  <c r="O354" i="50"/>
  <c r="N356" i="50"/>
  <c r="P356" i="50" s="1"/>
  <c r="O356" i="50"/>
  <c r="N319" i="50"/>
  <c r="P319" i="50" s="1"/>
  <c r="O319" i="50"/>
  <c r="N320" i="50"/>
  <c r="P320" i="50" s="1"/>
  <c r="O320" i="50"/>
  <c r="N337" i="50"/>
  <c r="P337" i="50" s="1"/>
  <c r="O337" i="50"/>
  <c r="N338" i="50"/>
  <c r="P338" i="50" s="1"/>
  <c r="O338" i="50"/>
  <c r="N339" i="50"/>
  <c r="P339" i="50" s="1"/>
  <c r="O339" i="50"/>
  <c r="N316" i="50"/>
  <c r="P316" i="50" s="1"/>
  <c r="O316" i="50"/>
  <c r="N317" i="50"/>
  <c r="P317" i="50" s="1"/>
  <c r="O317" i="50"/>
  <c r="N318" i="50"/>
  <c r="P318" i="50" s="1"/>
  <c r="O318" i="50"/>
  <c r="N340" i="50"/>
  <c r="P340" i="50" s="1"/>
  <c r="O340" i="50"/>
  <c r="N341" i="50"/>
  <c r="P341" i="50" s="1"/>
  <c r="O341" i="50"/>
  <c r="N342" i="50"/>
  <c r="P342" i="50" s="1"/>
  <c r="O342" i="50"/>
  <c r="N343" i="50"/>
  <c r="P343" i="50" s="1"/>
  <c r="O343" i="50"/>
  <c r="N344" i="50"/>
  <c r="P344" i="50" s="1"/>
  <c r="O344" i="50"/>
  <c r="N353" i="50"/>
  <c r="P353" i="50" s="1"/>
  <c r="O353" i="50"/>
  <c r="N345" i="50"/>
  <c r="P345" i="50" s="1"/>
  <c r="O345" i="50"/>
  <c r="N346" i="50"/>
  <c r="P346" i="50" s="1"/>
  <c r="O346" i="50"/>
  <c r="N347" i="50"/>
  <c r="P347" i="50" s="1"/>
  <c r="O347" i="50"/>
  <c r="N348" i="50"/>
  <c r="P348" i="50" s="1"/>
  <c r="O348" i="50"/>
  <c r="N321" i="50"/>
  <c r="P321" i="50" s="1"/>
  <c r="O321" i="50"/>
  <c r="N322" i="50"/>
  <c r="P322" i="50" s="1"/>
  <c r="O322" i="50"/>
  <c r="N323" i="50"/>
  <c r="P323" i="50" s="1"/>
  <c r="O323" i="50"/>
  <c r="N324" i="50"/>
  <c r="P324" i="50" s="1"/>
  <c r="O324" i="50"/>
  <c r="N325" i="50"/>
  <c r="P325" i="50" s="1"/>
  <c r="O325" i="50"/>
  <c r="N326" i="50"/>
  <c r="P326" i="50" s="1"/>
  <c r="O326" i="50"/>
  <c r="N327" i="50"/>
  <c r="P327" i="50" s="1"/>
  <c r="O327" i="50"/>
  <c r="N328" i="50"/>
  <c r="P328" i="50" s="1"/>
  <c r="O328" i="50"/>
  <c r="N329" i="50"/>
  <c r="P329" i="50" s="1"/>
  <c r="O329" i="50"/>
  <c r="N330" i="50"/>
  <c r="P330" i="50" s="1"/>
  <c r="O330" i="50"/>
  <c r="N331" i="50"/>
  <c r="P331" i="50" s="1"/>
  <c r="O331" i="50"/>
  <c r="N332" i="50"/>
  <c r="P332" i="50" s="1"/>
  <c r="O332" i="50"/>
  <c r="N357" i="50"/>
  <c r="P357" i="50" s="1"/>
  <c r="O357" i="50"/>
  <c r="N333" i="50"/>
  <c r="P333" i="50" s="1"/>
  <c r="O333" i="50"/>
  <c r="N334" i="50"/>
  <c r="P334" i="50" s="1"/>
  <c r="O334" i="50"/>
  <c r="N336" i="50"/>
  <c r="P336" i="50" s="1"/>
  <c r="O336" i="50"/>
  <c r="N349" i="50"/>
  <c r="P349" i="50" s="1"/>
  <c r="O349" i="50"/>
  <c r="N358" i="50"/>
  <c r="P358" i="50" s="1"/>
  <c r="O358" i="50"/>
  <c r="N361" i="50"/>
  <c r="P361" i="50" s="1"/>
  <c r="O361" i="50"/>
  <c r="N360" i="50"/>
  <c r="P360" i="50" s="1"/>
  <c r="O360" i="50"/>
  <c r="N362" i="50"/>
  <c r="P362" i="50" s="1"/>
  <c r="O362" i="50"/>
  <c r="N363" i="50"/>
  <c r="P363" i="50" s="1"/>
  <c r="O363" i="50"/>
  <c r="N364" i="50"/>
  <c r="P364" i="50" s="1"/>
  <c r="O364" i="50"/>
  <c r="N365" i="50"/>
  <c r="P365" i="50" s="1"/>
  <c r="O365" i="50"/>
  <c r="N366" i="50"/>
  <c r="P366" i="50" s="1"/>
  <c r="O366" i="50"/>
  <c r="N367" i="50"/>
  <c r="P367" i="50" s="1"/>
  <c r="O367" i="50"/>
  <c r="N368" i="50"/>
  <c r="P368" i="50" s="1"/>
  <c r="O368" i="50"/>
  <c r="N369" i="50"/>
  <c r="P369" i="50" s="1"/>
  <c r="O369" i="50"/>
  <c r="N370" i="50"/>
  <c r="P370" i="50" s="1"/>
  <c r="O370" i="50"/>
  <c r="N371" i="50"/>
  <c r="P371" i="50" s="1"/>
  <c r="O371" i="50"/>
  <c r="N372" i="50"/>
  <c r="P372" i="50" s="1"/>
  <c r="O372" i="50"/>
  <c r="N373" i="50"/>
  <c r="P373" i="50" s="1"/>
  <c r="O373" i="50"/>
  <c r="N375" i="50"/>
  <c r="P375" i="50" s="1"/>
  <c r="O375" i="50"/>
  <c r="N376" i="50"/>
  <c r="P376" i="50" s="1"/>
  <c r="O376" i="50"/>
  <c r="N378" i="50"/>
  <c r="P378" i="50" s="1"/>
  <c r="O378" i="50"/>
  <c r="N374" i="50"/>
  <c r="P374" i="50" s="1"/>
  <c r="O374" i="50"/>
  <c r="N377" i="50"/>
  <c r="P377" i="50" s="1"/>
  <c r="O377" i="50"/>
  <c r="N379" i="50"/>
  <c r="P379" i="50" s="1"/>
  <c r="O379" i="50"/>
  <c r="N380" i="50"/>
  <c r="P380" i="50" s="1"/>
  <c r="O380" i="50"/>
  <c r="N382" i="50"/>
  <c r="P382" i="50" s="1"/>
  <c r="O382" i="50"/>
  <c r="N381" i="50"/>
  <c r="P381" i="50" s="1"/>
  <c r="O381" i="50"/>
  <c r="N384" i="50"/>
  <c r="P384" i="50" s="1"/>
  <c r="O384" i="50"/>
  <c r="N383" i="50"/>
  <c r="P383" i="50" s="1"/>
  <c r="O383" i="50"/>
  <c r="N385" i="50"/>
  <c r="P385" i="50" s="1"/>
  <c r="O385" i="50"/>
  <c r="N389" i="50"/>
  <c r="P389" i="50" s="1"/>
  <c r="O389" i="50"/>
  <c r="N390" i="50"/>
  <c r="P390" i="50" s="1"/>
  <c r="O390" i="50"/>
  <c r="N391" i="50"/>
  <c r="P391" i="50" s="1"/>
  <c r="O391" i="50"/>
  <c r="N387" i="50"/>
  <c r="P387" i="50" s="1"/>
  <c r="O387" i="50"/>
  <c r="N388" i="50"/>
  <c r="P388" i="50" s="1"/>
  <c r="O388" i="50"/>
  <c r="N392" i="50"/>
  <c r="P392" i="50" s="1"/>
  <c r="O392" i="50"/>
  <c r="N393" i="50"/>
  <c r="P393" i="50" s="1"/>
  <c r="O393" i="50"/>
  <c r="N394" i="50"/>
  <c r="P394" i="50" s="1"/>
  <c r="O394" i="50"/>
  <c r="N396" i="50"/>
  <c r="P396" i="50" s="1"/>
  <c r="O396" i="50"/>
  <c r="N397" i="50"/>
  <c r="P397" i="50" s="1"/>
  <c r="O397" i="50"/>
  <c r="N398" i="50"/>
  <c r="P398" i="50" s="1"/>
  <c r="O398" i="50"/>
  <c r="N399" i="50"/>
  <c r="P399" i="50" s="1"/>
  <c r="O399" i="50"/>
  <c r="N401" i="50"/>
  <c r="P401" i="50" s="1"/>
  <c r="O401" i="50"/>
  <c r="N402" i="50"/>
  <c r="P402" i="50" s="1"/>
  <c r="O402" i="50"/>
  <c r="N111" i="50"/>
  <c r="O111" i="50"/>
  <c r="N275" i="50"/>
  <c r="O275" i="50"/>
  <c r="O3" i="50"/>
  <c r="N3" i="50"/>
  <c r="O380" i="40"/>
  <c r="N380" i="40"/>
  <c r="O314" i="40"/>
  <c r="N314" i="40"/>
  <c r="O127" i="40"/>
  <c r="N127" i="40"/>
  <c r="O171" i="40"/>
  <c r="O193" i="40"/>
  <c r="N193" i="40"/>
  <c r="O214" i="40"/>
  <c r="N309" i="40"/>
  <c r="O79" i="40"/>
  <c r="N79" i="40"/>
  <c r="O80" i="40"/>
  <c r="N80" i="40"/>
  <c r="O83" i="40"/>
  <c r="N83" i="40"/>
  <c r="N381" i="40"/>
  <c r="O381" i="40"/>
  <c r="N393" i="40"/>
  <c r="O393" i="40"/>
  <c r="N116" i="40"/>
  <c r="O116" i="40"/>
  <c r="N394" i="40"/>
  <c r="O394" i="40"/>
  <c r="N76" i="40"/>
  <c r="O76" i="40"/>
  <c r="N117" i="40"/>
  <c r="O117" i="40"/>
  <c r="N395" i="40"/>
  <c r="O395" i="40"/>
  <c r="N396" i="40"/>
  <c r="O396" i="40"/>
  <c r="O87" i="40"/>
  <c r="O88" i="40"/>
  <c r="O18" i="40"/>
  <c r="O40" i="40"/>
  <c r="O41" i="40"/>
  <c r="O358" i="40"/>
  <c r="O182" i="40"/>
  <c r="O327" i="40"/>
  <c r="O361" i="40"/>
  <c r="O39" i="40"/>
  <c r="O183" i="40"/>
  <c r="O146" i="40"/>
  <c r="O184" i="40"/>
  <c r="O147" i="40"/>
  <c r="O348" i="40"/>
  <c r="O96" i="40"/>
  <c r="O164" i="40"/>
  <c r="O60" i="40"/>
  <c r="O71" i="40"/>
  <c r="O97" i="40"/>
  <c r="O152" i="40"/>
  <c r="O61" i="40"/>
  <c r="O185" i="40"/>
  <c r="O186" i="40"/>
  <c r="O354" i="40"/>
  <c r="O364" i="40"/>
  <c r="O328" i="40"/>
  <c r="O42" i="40"/>
  <c r="O179" i="40"/>
  <c r="O359" i="40"/>
  <c r="O283" i="40"/>
  <c r="O281" i="40"/>
  <c r="O282" i="40"/>
  <c r="O110" i="40"/>
  <c r="O284" i="40"/>
  <c r="O285" i="40"/>
  <c r="O286" i="40"/>
  <c r="O288" i="40"/>
  <c r="O287" i="40"/>
  <c r="O290" i="40"/>
  <c r="O289" i="40"/>
  <c r="O19" i="40"/>
  <c r="O103" i="40"/>
  <c r="O227" i="40"/>
  <c r="O175" i="40"/>
  <c r="O78" i="40"/>
  <c r="O112" i="40"/>
  <c r="O66" i="40"/>
  <c r="O177" i="40"/>
  <c r="O36" i="40"/>
  <c r="O37" i="40"/>
  <c r="O187" i="40"/>
  <c r="O68" i="40"/>
  <c r="O69" i="40"/>
  <c r="O4" i="40"/>
  <c r="O292" i="40"/>
  <c r="O293" i="40"/>
  <c r="O294" i="40"/>
  <c r="O105" i="40"/>
  <c r="O295" i="40"/>
  <c r="O296" i="40"/>
  <c r="O297" i="40"/>
  <c r="O104" i="40"/>
  <c r="O355" i="40"/>
  <c r="O356" i="40"/>
  <c r="O150" i="40"/>
  <c r="O298" i="40"/>
  <c r="O299" i="40"/>
  <c r="O106" i="40"/>
  <c r="O107" i="40"/>
  <c r="O142" i="40"/>
  <c r="O43" i="40"/>
  <c r="O108" i="40"/>
  <c r="O304" i="40"/>
  <c r="O363" i="40"/>
  <c r="O305" i="40"/>
  <c r="O368" i="40"/>
  <c r="O306" i="40"/>
  <c r="O369" i="40"/>
  <c r="O365" i="40"/>
  <c r="O307" i="40"/>
  <c r="O370" i="40"/>
  <c r="O308" i="40"/>
  <c r="O366" i="40"/>
  <c r="O309" i="40"/>
  <c r="O5" i="40"/>
  <c r="O357" i="40"/>
  <c r="O310" i="40"/>
  <c r="O205" i="40"/>
  <c r="O372" i="40"/>
  <c r="O170" i="40"/>
  <c r="O143" i="40"/>
  <c r="O20" i="40"/>
  <c r="O21" i="40"/>
  <c r="O6" i="40"/>
  <c r="O7" i="40"/>
  <c r="O89" i="40"/>
  <c r="O8" i="40"/>
  <c r="O22" i="40"/>
  <c r="O23" i="40"/>
  <c r="O245" i="40"/>
  <c r="O85" i="40"/>
  <c r="O24" i="40"/>
  <c r="O9" i="40"/>
  <c r="O10" i="40"/>
  <c r="O241" i="40"/>
  <c r="O322" i="40"/>
  <c r="O323" i="40"/>
  <c r="O38" i="40"/>
  <c r="O236" i="40"/>
  <c r="O220" i="40"/>
  <c r="O237" i="40"/>
  <c r="O221" i="40"/>
  <c r="O238" i="40"/>
  <c r="O222" i="40"/>
  <c r="O226" i="40"/>
  <c r="O336" i="40"/>
  <c r="O338" i="40"/>
  <c r="O329" i="40"/>
  <c r="O225" i="40"/>
  <c r="O239" i="40"/>
  <c r="O223" i="40"/>
  <c r="O229" i="40"/>
  <c r="O240" i="40"/>
  <c r="O224" i="40"/>
  <c r="O144" i="40"/>
  <c r="O145" i="40"/>
  <c r="O139" i="40"/>
  <c r="O349" i="40"/>
  <c r="O111" i="40"/>
  <c r="O347" i="40"/>
  <c r="O153" i="40"/>
  <c r="O148" i="40"/>
  <c r="O149" i="40"/>
  <c r="O351" i="40"/>
  <c r="O350" i="40"/>
  <c r="O26" i="40"/>
  <c r="O27" i="40"/>
  <c r="O12" i="40"/>
  <c r="O230" i="40"/>
  <c r="O13" i="40"/>
  <c r="O246" i="40"/>
  <c r="O44" i="40"/>
  <c r="O326" i="40"/>
  <c r="O330" i="40"/>
  <c r="O331" i="40"/>
  <c r="O14" i="40"/>
  <c r="O332" i="40"/>
  <c r="O232" i="40"/>
  <c r="O15" i="40"/>
  <c r="O188" i="40"/>
  <c r="O231" i="40"/>
  <c r="O63" i="40"/>
  <c r="O64" i="40"/>
  <c r="O31" i="40"/>
  <c r="O243" i="40"/>
  <c r="O109" i="40"/>
  <c r="O248" i="40"/>
  <c r="O373" i="40"/>
  <c r="O17" i="40"/>
  <c r="O73" i="40"/>
  <c r="O374" i="40"/>
  <c r="O29" i="40"/>
  <c r="O375" i="40"/>
  <c r="O376" i="40"/>
  <c r="O249" i="40"/>
  <c r="O250" i="40"/>
  <c r="O251" i="40"/>
  <c r="O279" i="40"/>
  <c r="O167" i="40"/>
  <c r="O252" i="40"/>
  <c r="O311" i="40"/>
  <c r="O161" i="40"/>
  <c r="O189" i="40"/>
  <c r="O195" i="40"/>
  <c r="O210" i="40"/>
  <c r="O228" i="40"/>
  <c r="O206" i="40"/>
  <c r="O397" i="40"/>
  <c r="O156" i="40"/>
  <c r="O163" i="40"/>
  <c r="O207" i="40"/>
  <c r="O215" i="40"/>
  <c r="O151" i="40"/>
  <c r="O302" i="40"/>
  <c r="O377" i="40"/>
  <c r="O178" i="40"/>
  <c r="O94" i="40"/>
  <c r="O131" i="40"/>
  <c r="O218" i="40"/>
  <c r="O378" i="40"/>
  <c r="O300" i="40"/>
  <c r="O98" i="40"/>
  <c r="O208" i="40"/>
  <c r="O258" i="40"/>
  <c r="O333" i="40"/>
  <c r="O312" i="40"/>
  <c r="O257" i="40"/>
  <c r="O99" i="40"/>
  <c r="O168" i="40"/>
  <c r="O272" i="40"/>
  <c r="O244" i="40"/>
  <c r="O334" i="40"/>
  <c r="O360" i="40"/>
  <c r="O209" i="40"/>
  <c r="O271" i="40"/>
  <c r="O95" i="40"/>
  <c r="O212" i="40"/>
  <c r="O382" i="40"/>
  <c r="O260" i="40"/>
  <c r="O383" i="40"/>
  <c r="O169" i="40"/>
  <c r="O264" i="40"/>
  <c r="O70" i="40"/>
  <c r="O196" i="40"/>
  <c r="O261" i="40"/>
  <c r="O385" i="40"/>
  <c r="O262" i="40"/>
  <c r="O137" i="40"/>
  <c r="O263" i="40"/>
  <c r="O45" i="40"/>
  <c r="O62" i="40"/>
  <c r="O192" i="40"/>
  <c r="O267" i="40"/>
  <c r="O384" i="40"/>
  <c r="O266" i="40"/>
  <c r="O216" i="40"/>
  <c r="O67" i="40"/>
  <c r="O100" i="40"/>
  <c r="O165" i="40"/>
  <c r="O213" i="40"/>
  <c r="O259" i="40"/>
  <c r="O211" i="40"/>
  <c r="O198" i="40"/>
  <c r="O387" i="40"/>
  <c r="O268" i="40"/>
  <c r="O48" i="40"/>
  <c r="O125" i="40"/>
  <c r="O166" i="40"/>
  <c r="O254" i="40"/>
  <c r="O386" i="40"/>
  <c r="O269" i="40"/>
  <c r="O65" i="40"/>
  <c r="O114" i="40"/>
  <c r="O46" i="40"/>
  <c r="O49" i="40"/>
  <c r="O199" i="40"/>
  <c r="O154" i="40"/>
  <c r="O317" i="40"/>
  <c r="O155" i="40"/>
  <c r="O136" i="40"/>
  <c r="O190" i="40"/>
  <c r="O47" i="40"/>
  <c r="O51" i="40"/>
  <c r="O158" i="40"/>
  <c r="O113" i="40"/>
  <c r="O313" i="40"/>
  <c r="O50" i="40"/>
  <c r="O159" i="40"/>
  <c r="O52" i="40"/>
  <c r="O115" i="40"/>
  <c r="O388" i="40"/>
  <c r="O126" i="40"/>
  <c r="O53" i="40"/>
  <c r="O160" i="40"/>
  <c r="O54" i="40"/>
  <c r="O118" i="40"/>
  <c r="O390" i="40"/>
  <c r="O253" i="40"/>
  <c r="O194" i="40"/>
  <c r="O265" i="40"/>
  <c r="O200" i="40"/>
  <c r="O303" i="40"/>
  <c r="O124" i="40"/>
  <c r="O315" i="40"/>
  <c r="O55" i="40"/>
  <c r="O391" i="40"/>
  <c r="O128" i="40"/>
  <c r="O129" i="40"/>
  <c r="O130" i="40"/>
  <c r="O59" i="40"/>
  <c r="O277" i="40"/>
  <c r="O81" i="40"/>
  <c r="O58" i="40"/>
  <c r="O219" i="40"/>
  <c r="O392" i="40"/>
  <c r="O270" i="40"/>
  <c r="O56" i="40"/>
  <c r="O72" i="40"/>
  <c r="O255" i="40"/>
  <c r="O57" i="40"/>
  <c r="O74" i="40"/>
  <c r="O82" i="40"/>
  <c r="O273" i="40"/>
  <c r="O274" i="40"/>
  <c r="O275" i="40"/>
  <c r="O318" i="40"/>
  <c r="O119" i="40"/>
  <c r="O120" i="40"/>
  <c r="O121" i="40"/>
  <c r="O135" i="40"/>
  <c r="O316" i="40"/>
  <c r="O122" i="40"/>
  <c r="O123" i="40"/>
  <c r="O191" i="40"/>
  <c r="O276" i="40"/>
  <c r="O75" i="40"/>
  <c r="O140" i="40"/>
  <c r="O132" i="40"/>
  <c r="O32" i="40"/>
  <c r="O335" i="40"/>
  <c r="O280" i="40"/>
  <c r="O133" i="40"/>
  <c r="O202" i="40"/>
  <c r="O157" i="40"/>
  <c r="O134" i="40"/>
  <c r="O203" i="40"/>
  <c r="O247" i="40"/>
  <c r="O367" i="40"/>
  <c r="O197" i="40"/>
  <c r="O379" i="40"/>
  <c r="O217" i="40"/>
  <c r="O181" i="40"/>
  <c r="N87" i="40"/>
  <c r="N88" i="40"/>
  <c r="N18" i="40"/>
  <c r="N40" i="40"/>
  <c r="N41" i="40"/>
  <c r="N358" i="40"/>
  <c r="N182" i="40"/>
  <c r="N327" i="40"/>
  <c r="N361" i="40"/>
  <c r="N39" i="40"/>
  <c r="N183" i="40"/>
  <c r="N146" i="40"/>
  <c r="N184" i="40"/>
  <c r="N147" i="40"/>
  <c r="N348" i="40"/>
  <c r="N96" i="40"/>
  <c r="N164" i="40"/>
  <c r="N60" i="40"/>
  <c r="N71" i="40"/>
  <c r="N97" i="40"/>
  <c r="N152" i="40"/>
  <c r="N61" i="40"/>
  <c r="N185" i="40"/>
  <c r="N186" i="40"/>
  <c r="N354" i="40"/>
  <c r="N364" i="40"/>
  <c r="N328" i="40"/>
  <c r="N42" i="40"/>
  <c r="N179" i="40"/>
  <c r="N359" i="40"/>
  <c r="N283" i="40"/>
  <c r="N281" i="40"/>
  <c r="N282" i="40"/>
  <c r="N110" i="40"/>
  <c r="N284" i="40"/>
  <c r="N285" i="40"/>
  <c r="N286" i="40"/>
  <c r="N288" i="40"/>
  <c r="N287" i="40"/>
  <c r="N290" i="40"/>
  <c r="N289" i="40"/>
  <c r="N19" i="40"/>
  <c r="N103" i="40"/>
  <c r="N227" i="40"/>
  <c r="N175" i="40"/>
  <c r="N78" i="40"/>
  <c r="N112" i="40"/>
  <c r="N66" i="40"/>
  <c r="N177" i="40"/>
  <c r="N36" i="40"/>
  <c r="N37" i="40"/>
  <c r="N187" i="40"/>
  <c r="N68" i="40"/>
  <c r="N69" i="40"/>
  <c r="N4" i="40"/>
  <c r="N292" i="40"/>
  <c r="N293" i="40"/>
  <c r="N294" i="40"/>
  <c r="N105" i="40"/>
  <c r="N295" i="40"/>
  <c r="N296" i="40"/>
  <c r="N297" i="40"/>
  <c r="N104" i="40"/>
  <c r="N355" i="40"/>
  <c r="N356" i="40"/>
  <c r="N150" i="40"/>
  <c r="N298" i="40"/>
  <c r="N299" i="40"/>
  <c r="N106" i="40"/>
  <c r="N107" i="40"/>
  <c r="N142" i="40"/>
  <c r="N43" i="40"/>
  <c r="N108" i="40"/>
  <c r="N304" i="40"/>
  <c r="N363" i="40"/>
  <c r="N305" i="40"/>
  <c r="N368" i="40"/>
  <c r="N306" i="40"/>
  <c r="N369" i="40"/>
  <c r="N365" i="40"/>
  <c r="N307" i="40"/>
  <c r="N370" i="40"/>
  <c r="N308" i="40"/>
  <c r="N366" i="40"/>
  <c r="N5" i="40"/>
  <c r="N357" i="40"/>
  <c r="N310" i="40"/>
  <c r="N205" i="40"/>
  <c r="N372" i="40"/>
  <c r="N170" i="40"/>
  <c r="N143" i="40"/>
  <c r="N20" i="40"/>
  <c r="N21" i="40"/>
  <c r="N6" i="40"/>
  <c r="N7" i="40"/>
  <c r="N89" i="40"/>
  <c r="N8" i="40"/>
  <c r="N22" i="40"/>
  <c r="N23" i="40"/>
  <c r="N245" i="40"/>
  <c r="N85" i="40"/>
  <c r="N24" i="40"/>
  <c r="N9" i="40"/>
  <c r="N10" i="40"/>
  <c r="N241" i="40"/>
  <c r="N322" i="40"/>
  <c r="N323" i="40"/>
  <c r="N38" i="40"/>
  <c r="N236" i="40"/>
  <c r="N220" i="40"/>
  <c r="N237" i="40"/>
  <c r="N221" i="40"/>
  <c r="N238" i="40"/>
  <c r="N222" i="40"/>
  <c r="N226" i="40"/>
  <c r="N336" i="40"/>
  <c r="N338" i="40"/>
  <c r="N329" i="40"/>
  <c r="N225" i="40"/>
  <c r="N239" i="40"/>
  <c r="N223" i="40"/>
  <c r="N229" i="40"/>
  <c r="N240" i="40"/>
  <c r="N224" i="40"/>
  <c r="N144" i="40"/>
  <c r="N145" i="40"/>
  <c r="N139" i="40"/>
  <c r="N349" i="40"/>
  <c r="N111" i="40"/>
  <c r="N347" i="40"/>
  <c r="N153" i="40"/>
  <c r="N148" i="40"/>
  <c r="N149" i="40"/>
  <c r="N351" i="40"/>
  <c r="N350" i="40"/>
  <c r="N26" i="40"/>
  <c r="N27" i="40"/>
  <c r="N12" i="40"/>
  <c r="N230" i="40"/>
  <c r="N13" i="40"/>
  <c r="N246" i="40"/>
  <c r="N44" i="40"/>
  <c r="N326" i="40"/>
  <c r="N330" i="40"/>
  <c r="N331" i="40"/>
  <c r="N14" i="40"/>
  <c r="N332" i="40"/>
  <c r="N232" i="40"/>
  <c r="N15" i="40"/>
  <c r="N188" i="40"/>
  <c r="N231" i="40"/>
  <c r="N63" i="40"/>
  <c r="N64" i="40"/>
  <c r="N31" i="40"/>
  <c r="N243" i="40"/>
  <c r="N109" i="40"/>
  <c r="N248" i="40"/>
  <c r="N373" i="40"/>
  <c r="N17" i="40"/>
  <c r="N73" i="40"/>
  <c r="N374" i="40"/>
  <c r="N29" i="40"/>
  <c r="N375" i="40"/>
  <c r="N376" i="40"/>
  <c r="N249" i="40"/>
  <c r="N250" i="40"/>
  <c r="N251" i="40"/>
  <c r="N279" i="40"/>
  <c r="N167" i="40"/>
  <c r="N252" i="40"/>
  <c r="N311" i="40"/>
  <c r="N161" i="40"/>
  <c r="N189" i="40"/>
  <c r="N195" i="40"/>
  <c r="N210" i="40"/>
  <c r="N228" i="40"/>
  <c r="N206" i="40"/>
  <c r="N397" i="40"/>
  <c r="N156" i="40"/>
  <c r="N163" i="40"/>
  <c r="N207" i="40"/>
  <c r="N215" i="40"/>
  <c r="N151" i="40"/>
  <c r="N302" i="40"/>
  <c r="N377" i="40"/>
  <c r="N178" i="40"/>
  <c r="N94" i="40"/>
  <c r="N131" i="40"/>
  <c r="N218" i="40"/>
  <c r="N378" i="40"/>
  <c r="N300" i="40"/>
  <c r="N98" i="40"/>
  <c r="N208" i="40"/>
  <c r="N258" i="40"/>
  <c r="N333" i="40"/>
  <c r="N312" i="40"/>
  <c r="N257" i="40"/>
  <c r="N99" i="40"/>
  <c r="N168" i="40"/>
  <c r="N272" i="40"/>
  <c r="N244" i="40"/>
  <c r="N334" i="40"/>
  <c r="N360" i="40"/>
  <c r="N209" i="40"/>
  <c r="N271" i="40"/>
  <c r="N95" i="40"/>
  <c r="N212" i="40"/>
  <c r="N382" i="40"/>
  <c r="N260" i="40"/>
  <c r="N383" i="40"/>
  <c r="N169" i="40"/>
  <c r="N264" i="40"/>
  <c r="N70" i="40"/>
  <c r="N196" i="40"/>
  <c r="N261" i="40"/>
  <c r="N385" i="40"/>
  <c r="N262" i="40"/>
  <c r="N137" i="40"/>
  <c r="N263" i="40"/>
  <c r="N45" i="40"/>
  <c r="N62" i="40"/>
  <c r="N192" i="40"/>
  <c r="N267" i="40"/>
  <c r="N384" i="40"/>
  <c r="N171" i="40"/>
  <c r="N266" i="40"/>
  <c r="N216" i="40"/>
  <c r="N67" i="40"/>
  <c r="N100" i="40"/>
  <c r="N165" i="40"/>
  <c r="N213" i="40"/>
  <c r="N259" i="40"/>
  <c r="N211" i="40"/>
  <c r="N198" i="40"/>
  <c r="N387" i="40"/>
  <c r="N268" i="40"/>
  <c r="N48" i="40"/>
  <c r="N125" i="40"/>
  <c r="N166" i="40"/>
  <c r="N254" i="40"/>
  <c r="N386" i="40"/>
  <c r="N269" i="40"/>
  <c r="N65" i="40"/>
  <c r="N114" i="40"/>
  <c r="N46" i="40"/>
  <c r="N49" i="40"/>
  <c r="N199" i="40"/>
  <c r="N154" i="40"/>
  <c r="N317" i="40"/>
  <c r="N155" i="40"/>
  <c r="N136" i="40"/>
  <c r="N190" i="40"/>
  <c r="N47" i="40"/>
  <c r="N51" i="40"/>
  <c r="N158" i="40"/>
  <c r="N113" i="40"/>
  <c r="N313" i="40"/>
  <c r="N50" i="40"/>
  <c r="N159" i="40"/>
  <c r="N52" i="40"/>
  <c r="N115" i="40"/>
  <c r="N388" i="40"/>
  <c r="N126" i="40"/>
  <c r="N53" i="40"/>
  <c r="N160" i="40"/>
  <c r="N54" i="40"/>
  <c r="N118" i="40"/>
  <c r="N390" i="40"/>
  <c r="N253" i="40"/>
  <c r="N194" i="40"/>
  <c r="N265" i="40"/>
  <c r="N200" i="40"/>
  <c r="N303" i="40"/>
  <c r="N124" i="40"/>
  <c r="N315" i="40"/>
  <c r="N55" i="40"/>
  <c r="N391" i="40"/>
  <c r="N128" i="40"/>
  <c r="N129" i="40"/>
  <c r="N130" i="40"/>
  <c r="N59" i="40"/>
  <c r="N277" i="40"/>
  <c r="N81" i="40"/>
  <c r="N58" i="40"/>
  <c r="N219" i="40"/>
  <c r="N392" i="40"/>
  <c r="N270" i="40"/>
  <c r="N56" i="40"/>
  <c r="N72" i="40"/>
  <c r="N255" i="40"/>
  <c r="N57" i="40"/>
  <c r="N74" i="40"/>
  <c r="N82" i="40"/>
  <c r="N273" i="40"/>
  <c r="N274" i="40"/>
  <c r="N275" i="40"/>
  <c r="N318" i="40"/>
  <c r="N119" i="40"/>
  <c r="N120" i="40"/>
  <c r="N121" i="40"/>
  <c r="N135" i="40"/>
  <c r="N316" i="40"/>
  <c r="N122" i="40"/>
  <c r="N123" i="40"/>
  <c r="N191" i="40"/>
  <c r="N276" i="40"/>
  <c r="N75" i="40"/>
  <c r="N140" i="40"/>
  <c r="N132" i="40"/>
  <c r="N32" i="40"/>
  <c r="N335" i="40"/>
  <c r="N280" i="40"/>
  <c r="N133" i="40"/>
  <c r="N202" i="40"/>
  <c r="N157" i="40"/>
  <c r="N134" i="40"/>
  <c r="N203" i="40"/>
  <c r="N247" i="40"/>
  <c r="N367" i="40"/>
  <c r="N197" i="40"/>
  <c r="N379" i="40"/>
  <c r="N217" i="40"/>
  <c r="N181" i="40"/>
  <c r="N109" i="43"/>
  <c r="N404" i="40"/>
  <c r="N399" i="40"/>
  <c r="O77" i="40"/>
  <c r="O101" i="40"/>
  <c r="O319" i="40"/>
  <c r="O342" i="40"/>
  <c r="O341" i="40"/>
  <c r="O172" i="40"/>
  <c r="O91" i="40"/>
  <c r="N320" i="40"/>
  <c r="O405" i="40"/>
  <c r="O402" i="40"/>
  <c r="O30" i="40"/>
  <c r="O233" i="40"/>
  <c r="O340" i="40"/>
  <c r="O11" i="40"/>
  <c r="N403" i="40"/>
  <c r="N34" i="40"/>
  <c r="N174" i="40"/>
  <c r="O352" i="40"/>
  <c r="O343" i="40"/>
  <c r="O180" i="40"/>
  <c r="O242" i="40"/>
  <c r="O400" i="40"/>
  <c r="N180" i="40"/>
  <c r="O344" i="40"/>
  <c r="N204" i="40"/>
  <c r="N346" i="40"/>
  <c r="N33" i="40"/>
  <c r="N92" i="40"/>
  <c r="O404" i="40"/>
  <c r="O35" i="40"/>
  <c r="O321" i="40"/>
  <c r="O235" i="40"/>
  <c r="O399" i="40"/>
  <c r="N343" i="40"/>
  <c r="O16" i="40"/>
  <c r="N242" i="40"/>
  <c r="N256" i="40"/>
  <c r="N16" i="40"/>
  <c r="N11" i="40"/>
  <c r="N401" i="40"/>
  <c r="O345" i="40"/>
  <c r="O28" i="40"/>
  <c r="O320" i="40"/>
  <c r="O25" i="40"/>
  <c r="O141" i="40"/>
  <c r="O256" i="40"/>
  <c r="N77" i="40"/>
  <c r="N101" i="40"/>
  <c r="N319" i="40"/>
  <c r="N172" i="40"/>
  <c r="O403" i="40"/>
  <c r="O34" i="40"/>
  <c r="O325" i="40"/>
  <c r="O337" i="40"/>
  <c r="O174" i="40"/>
  <c r="N400" i="40"/>
  <c r="O401" i="40"/>
  <c r="N405" i="40"/>
  <c r="N402" i="40"/>
  <c r="O204" i="40"/>
  <c r="O346" i="40"/>
  <c r="O33" i="40"/>
  <c r="O92" i="40"/>
  <c r="O3" i="40"/>
  <c r="N173" i="40"/>
  <c r="O291" i="40"/>
  <c r="N138" i="40"/>
  <c r="O90" i="40"/>
  <c r="O173" i="40"/>
  <c r="O93" i="40"/>
  <c r="N93" i="40"/>
  <c r="N301" i="40"/>
  <c r="N324" i="40"/>
  <c r="O138" i="40"/>
  <c r="O86" i="40"/>
  <c r="N90" i="40"/>
  <c r="O301" i="40"/>
  <c r="N233" i="40"/>
  <c r="O324" i="40"/>
  <c r="O278" i="40"/>
  <c r="N278" i="40"/>
  <c r="N86" i="40"/>
  <c r="N337" i="40"/>
  <c r="N325" i="40"/>
  <c r="N291" i="40"/>
  <c r="N3" i="40"/>
  <c r="N344" i="40"/>
  <c r="N35" i="40"/>
  <c r="N321" i="40"/>
  <c r="N235" i="40"/>
  <c r="N341" i="40"/>
  <c r="N141" i="40"/>
  <c r="N345" i="40"/>
  <c r="N28" i="40"/>
  <c r="N25" i="40"/>
  <c r="N340" i="40"/>
  <c r="N30" i="40"/>
  <c r="N91" i="40"/>
  <c r="N352" i="40"/>
  <c r="N342" i="40"/>
  <c r="N30" i="43"/>
  <c r="N226" i="43"/>
  <c r="N216" i="43"/>
  <c r="N181" i="43"/>
  <c r="N43" i="43"/>
  <c r="N97" i="43"/>
  <c r="N25" i="43"/>
  <c r="N207" i="43"/>
  <c r="N64" i="43"/>
  <c r="N63" i="43"/>
  <c r="N278" i="43"/>
  <c r="N237" i="43"/>
  <c r="N55" i="43"/>
  <c r="N54" i="43"/>
  <c r="N102" i="43"/>
  <c r="N65" i="43"/>
  <c r="N294" i="43"/>
  <c r="N146" i="43"/>
  <c r="N276" i="43"/>
  <c r="N259" i="43"/>
  <c r="N7" i="43"/>
  <c r="N78" i="43"/>
  <c r="N180" i="43"/>
  <c r="N6" i="43"/>
  <c r="N9" i="43"/>
  <c r="N10" i="43"/>
  <c r="N11" i="43"/>
  <c r="N138" i="43"/>
  <c r="N314" i="43"/>
  <c r="N15" i="43"/>
  <c r="N315" i="43"/>
  <c r="N316" i="43"/>
  <c r="N16" i="43"/>
  <c r="N17" i="43"/>
  <c r="N18" i="43"/>
  <c r="N19" i="43"/>
  <c r="N322" i="43"/>
  <c r="N140" i="43"/>
  <c r="N70" i="43"/>
  <c r="N22" i="43"/>
  <c r="N24" i="43"/>
  <c r="N26" i="43"/>
  <c r="N27" i="43"/>
  <c r="N29" i="43"/>
  <c r="N73" i="43"/>
  <c r="N33" i="43"/>
  <c r="N219" i="43"/>
  <c r="N34" i="43"/>
  <c r="N37" i="43"/>
  <c r="N38" i="43"/>
  <c r="N40" i="43"/>
  <c r="N41" i="43"/>
  <c r="N42" i="43"/>
  <c r="N44" i="43"/>
  <c r="N143" i="43"/>
  <c r="N46" i="43"/>
  <c r="N47" i="43"/>
  <c r="N233" i="43"/>
  <c r="N334" i="43"/>
  <c r="N48" i="43"/>
  <c r="N50" i="43"/>
  <c r="N52" i="43"/>
  <c r="N53" i="43"/>
  <c r="N273" i="43"/>
  <c r="N236" i="43"/>
  <c r="N56" i="43"/>
  <c r="N57" i="43"/>
  <c r="N337" i="43"/>
  <c r="N58" i="43"/>
  <c r="N59" i="43"/>
  <c r="N8" i="43"/>
  <c r="N61" i="43"/>
  <c r="N62" i="43"/>
  <c r="N301" i="43"/>
  <c r="N12" i="43"/>
  <c r="N197" i="43"/>
  <c r="N312" i="43"/>
  <c r="N14" i="43"/>
  <c r="N198" i="43"/>
  <c r="N67" i="43"/>
  <c r="N68" i="43"/>
  <c r="N319" i="43"/>
  <c r="N320" i="43"/>
  <c r="N94" i="43"/>
  <c r="N23" i="43"/>
  <c r="N96" i="43"/>
  <c r="N71" i="43"/>
  <c r="N209" i="43"/>
  <c r="N211" i="43"/>
  <c r="N72" i="43"/>
  <c r="N32" i="43"/>
  <c r="N74" i="43"/>
  <c r="N75" i="43"/>
  <c r="N45" i="43"/>
  <c r="N51" i="43"/>
  <c r="N336" i="43"/>
  <c r="N118" i="43"/>
  <c r="N128" i="43"/>
  <c r="N129" i="43"/>
  <c r="N60" i="43"/>
  <c r="N76" i="43"/>
  <c r="N77" i="43"/>
  <c r="N79" i="43"/>
  <c r="N137" i="43"/>
  <c r="N80" i="43"/>
  <c r="N81" i="43"/>
  <c r="N82" i="43"/>
  <c r="N83" i="43"/>
  <c r="N242" i="43"/>
  <c r="N84" i="43"/>
  <c r="N85" i="43"/>
  <c r="N86" i="43"/>
  <c r="N158" i="43"/>
  <c r="N87" i="43"/>
  <c r="N88" i="43"/>
  <c r="N89" i="43"/>
  <c r="N90" i="43"/>
  <c r="N91" i="43"/>
  <c r="N252" i="43"/>
  <c r="N92" i="43"/>
  <c r="N93" i="43"/>
  <c r="N95" i="43"/>
  <c r="N258" i="43"/>
  <c r="N69" i="43"/>
  <c r="N98" i="43"/>
  <c r="N99" i="43"/>
  <c r="N100" i="43"/>
  <c r="N101" i="43"/>
  <c r="N28" i="43"/>
  <c r="N168" i="43"/>
  <c r="N142" i="43"/>
  <c r="N103" i="43"/>
  <c r="N104" i="43"/>
  <c r="N105" i="43"/>
  <c r="N144" i="43"/>
  <c r="N106" i="43"/>
  <c r="N263" i="43"/>
  <c r="N107" i="43"/>
  <c r="N108" i="43"/>
  <c r="N110" i="43"/>
  <c r="N111" i="43"/>
  <c r="N112" i="43"/>
  <c r="N113" i="43"/>
  <c r="N114" i="43"/>
  <c r="N115" i="43"/>
  <c r="N116" i="43"/>
  <c r="N117" i="43"/>
  <c r="N122" i="43"/>
  <c r="N123" i="43"/>
  <c r="N124" i="43"/>
  <c r="N125" i="43"/>
  <c r="N126" i="43"/>
  <c r="N127" i="43"/>
  <c r="N130" i="43"/>
  <c r="N131" i="43"/>
  <c r="N132" i="43"/>
  <c r="N133" i="43"/>
  <c r="N134" i="43"/>
  <c r="N135" i="43"/>
  <c r="N136" i="43"/>
  <c r="N4" i="43"/>
  <c r="N139" i="43"/>
  <c r="N21" i="43"/>
  <c r="N141" i="43"/>
  <c r="N31" i="43"/>
  <c r="N35" i="43"/>
  <c r="N36" i="43"/>
  <c r="N39" i="43"/>
  <c r="N49" i="43"/>
  <c r="N145" i="43"/>
  <c r="N147" i="43"/>
  <c r="N148" i="43"/>
  <c r="N149" i="43"/>
  <c r="N5" i="43"/>
  <c r="N150" i="43"/>
  <c r="N152" i="43"/>
  <c r="N153" i="43"/>
  <c r="N13" i="43"/>
  <c r="N154" i="43"/>
  <c r="N155" i="43"/>
  <c r="N156" i="43"/>
  <c r="N157" i="43"/>
  <c r="N206" i="43"/>
  <c r="N66" i="43"/>
  <c r="N20" i="43"/>
  <c r="N159" i="43"/>
  <c r="N160" i="43"/>
  <c r="N161" i="43"/>
  <c r="N162" i="43"/>
  <c r="N163" i="43"/>
  <c r="N164" i="43"/>
  <c r="N165" i="43"/>
  <c r="N166" i="43"/>
  <c r="N167" i="43"/>
  <c r="N169" i="43"/>
  <c r="N170" i="43"/>
  <c r="N171" i="43"/>
  <c r="N172" i="43"/>
  <c r="N173" i="43"/>
  <c r="N174" i="43"/>
  <c r="N175" i="43"/>
  <c r="N176" i="43"/>
  <c r="N177" i="43"/>
  <c r="N182" i="43"/>
  <c r="N183" i="43"/>
  <c r="N184" i="43"/>
  <c r="N185" i="43"/>
  <c r="N187" i="43"/>
  <c r="N188" i="43"/>
  <c r="N189" i="43"/>
  <c r="N191" i="43"/>
  <c r="N192" i="43"/>
  <c r="N194" i="43"/>
  <c r="N195" i="43"/>
  <c r="N196" i="43"/>
  <c r="N199" i="43"/>
  <c r="N200" i="43"/>
  <c r="N201" i="43"/>
  <c r="N205" i="43"/>
  <c r="N208" i="43"/>
  <c r="N210" i="43"/>
  <c r="N215" i="43"/>
  <c r="N217" i="43"/>
  <c r="N218" i="43"/>
  <c r="N220" i="43"/>
  <c r="N221" i="43"/>
  <c r="N222" i="43"/>
  <c r="N223" i="43"/>
  <c r="N224" i="43"/>
  <c r="N225" i="43"/>
  <c r="N227" i="43"/>
  <c r="N228" i="43"/>
  <c r="N229" i="43"/>
  <c r="N230" i="43"/>
  <c r="N231" i="43"/>
  <c r="N232" i="43"/>
  <c r="N234" i="43"/>
  <c r="N235" i="43"/>
  <c r="N238" i="43"/>
  <c r="N239" i="43"/>
  <c r="N240" i="43"/>
  <c r="N241" i="43"/>
  <c r="N243" i="43"/>
  <c r="N244" i="43"/>
  <c r="N245" i="43"/>
  <c r="N246" i="43"/>
  <c r="N247" i="43"/>
  <c r="N248" i="43"/>
  <c r="N249" i="43"/>
  <c r="N250" i="43"/>
  <c r="N251" i="43"/>
  <c r="N253" i="43"/>
  <c r="N254" i="43"/>
  <c r="N255" i="43"/>
  <c r="N256" i="43"/>
  <c r="N257" i="43"/>
  <c r="N260" i="43"/>
  <c r="N261" i="43"/>
  <c r="N262" i="43"/>
  <c r="N264" i="43"/>
  <c r="N265" i="43"/>
  <c r="N266" i="43"/>
  <c r="N267" i="43"/>
  <c r="N268" i="43"/>
  <c r="N269" i="43"/>
  <c r="N270" i="43"/>
  <c r="N271" i="43"/>
  <c r="N272" i="43"/>
  <c r="N274" i="43"/>
  <c r="N275" i="43"/>
  <c r="N119" i="43"/>
  <c r="N120" i="43"/>
  <c r="N121" i="43"/>
  <c r="N277" i="43"/>
  <c r="N279" i="43"/>
  <c r="N280" i="43"/>
  <c r="N281" i="43"/>
  <c r="N282" i="43"/>
  <c r="N283" i="43"/>
  <c r="N179" i="43"/>
  <c r="N284" i="43"/>
  <c r="N285" i="43"/>
  <c r="N286" i="43"/>
  <c r="N287" i="43"/>
  <c r="N288" i="43"/>
  <c r="N289" i="43"/>
  <c r="N290" i="43"/>
  <c r="N291" i="43"/>
  <c r="N292" i="43"/>
  <c r="N293" i="43"/>
  <c r="N186" i="43"/>
  <c r="N295" i="43"/>
  <c r="N296" i="43"/>
  <c r="N190" i="43"/>
  <c r="N151" i="43"/>
  <c r="N297" i="43"/>
  <c r="N298" i="43"/>
  <c r="N299" i="43"/>
  <c r="N300" i="43"/>
  <c r="N193" i="43"/>
  <c r="N302" i="43"/>
  <c r="N303" i="43"/>
  <c r="N304" i="43"/>
  <c r="N305" i="43"/>
  <c r="N306" i="43"/>
  <c r="N307" i="43"/>
  <c r="N308" i="43"/>
  <c r="N309" i="43"/>
  <c r="N310" i="43"/>
  <c r="N311" i="43"/>
  <c r="N313" i="43"/>
  <c r="N317" i="43"/>
  <c r="N318" i="43"/>
  <c r="N203" i="43"/>
  <c r="N321" i="43"/>
  <c r="N323" i="43"/>
  <c r="N324" i="43"/>
  <c r="N325" i="43"/>
  <c r="N326" i="43"/>
  <c r="N327" i="43"/>
  <c r="N212" i="43"/>
  <c r="N328" i="43"/>
  <c r="N213" i="43"/>
  <c r="N214" i="43"/>
  <c r="N329" i="43"/>
  <c r="N330" i="43"/>
  <c r="N331" i="43"/>
  <c r="N332" i="43"/>
  <c r="N333" i="43"/>
  <c r="N335" i="43"/>
  <c r="N3" i="43"/>
  <c r="H714" i="20"/>
  <c r="N714" i="20"/>
  <c r="P714" i="20"/>
  <c r="K1" i="50" l="1"/>
  <c r="P309" i="40"/>
  <c r="P79" i="40"/>
  <c r="P80" i="40"/>
  <c r="P83" i="40"/>
  <c r="P381" i="40"/>
  <c r="P393" i="40"/>
  <c r="P116" i="40"/>
  <c r="P394" i="40"/>
  <c r="P76" i="40"/>
  <c r="P117" i="40"/>
  <c r="P395" i="40"/>
  <c r="P396" i="40"/>
  <c r="P87" i="40"/>
  <c r="P88" i="40"/>
  <c r="P358" i="40"/>
  <c r="P182" i="40"/>
  <c r="P327" i="40"/>
  <c r="P361" i="40"/>
  <c r="P39" i="40"/>
  <c r="P183" i="40"/>
  <c r="P146" i="40"/>
  <c r="P184" i="40"/>
  <c r="P147" i="40"/>
  <c r="P348" i="40"/>
  <c r="P96" i="40"/>
  <c r="P164" i="40"/>
  <c r="P60" i="40"/>
  <c r="P71" i="40"/>
  <c r="P97" i="40"/>
  <c r="P152" i="40"/>
  <c r="P61" i="40"/>
  <c r="P185" i="40"/>
  <c r="P186" i="40"/>
  <c r="P354" i="40"/>
  <c r="P364" i="40"/>
  <c r="P328" i="40"/>
  <c r="P42" i="40"/>
  <c r="P179" i="40"/>
  <c r="P359" i="40"/>
  <c r="P283" i="40"/>
  <c r="P281" i="40"/>
  <c r="P282" i="40"/>
  <c r="P110" i="40"/>
  <c r="P284" i="40"/>
  <c r="P285" i="40"/>
  <c r="P286" i="40"/>
  <c r="P288" i="40"/>
  <c r="P287" i="40"/>
  <c r="P290" i="40"/>
  <c r="P289" i="40"/>
  <c r="P19" i="40"/>
  <c r="P103" i="40"/>
  <c r="P227" i="40"/>
  <c r="P175" i="40"/>
  <c r="P78" i="40"/>
  <c r="P112" i="40"/>
  <c r="P66" i="40"/>
  <c r="P177" i="40"/>
  <c r="P36" i="40"/>
  <c r="P37" i="40"/>
  <c r="P187" i="40"/>
  <c r="P68" i="40"/>
  <c r="P69" i="40"/>
  <c r="P4" i="40"/>
  <c r="P292" i="40"/>
  <c r="P293" i="40"/>
  <c r="P294" i="40"/>
  <c r="P105" i="40"/>
  <c r="P295" i="40"/>
  <c r="P296" i="40"/>
  <c r="P297" i="40"/>
  <c r="P104" i="40"/>
  <c r="P355" i="40"/>
  <c r="P356" i="40"/>
  <c r="P150" i="40"/>
  <c r="P298" i="40"/>
  <c r="P299" i="40"/>
  <c r="P106" i="40"/>
  <c r="P107" i="40"/>
  <c r="P142" i="40"/>
  <c r="P43" i="40"/>
  <c r="P108" i="40"/>
  <c r="P304" i="40"/>
  <c r="P363" i="40"/>
  <c r="P305" i="40"/>
  <c r="P368" i="40"/>
  <c r="P306" i="40"/>
  <c r="P369" i="40"/>
  <c r="P365" i="40"/>
  <c r="P307" i="40"/>
  <c r="P370" i="40"/>
  <c r="P308" i="40"/>
  <c r="P366" i="40"/>
  <c r="P5" i="40"/>
  <c r="P357" i="40"/>
  <c r="P310" i="40"/>
  <c r="P205" i="40"/>
  <c r="P372" i="40"/>
  <c r="P170" i="40"/>
  <c r="P143" i="40"/>
  <c r="P20" i="40"/>
  <c r="P21" i="40"/>
  <c r="P6" i="40"/>
  <c r="P7" i="40"/>
  <c r="P89" i="40"/>
  <c r="P8" i="40"/>
  <c r="P22" i="40"/>
  <c r="P23" i="40"/>
  <c r="P245" i="40"/>
  <c r="P85" i="40"/>
  <c r="P24" i="40"/>
  <c r="P9" i="40"/>
  <c r="P10" i="40"/>
  <c r="P241" i="40"/>
  <c r="P322" i="40"/>
  <c r="P323" i="40"/>
  <c r="P38" i="40"/>
  <c r="P236" i="40"/>
  <c r="P220" i="40"/>
  <c r="P237" i="40"/>
  <c r="P221" i="40"/>
  <c r="P238" i="40"/>
  <c r="P222" i="40"/>
  <c r="P226" i="40"/>
  <c r="P336" i="40"/>
  <c r="P338" i="40"/>
  <c r="P329" i="40"/>
  <c r="P225" i="40"/>
  <c r="P239" i="40"/>
  <c r="P223" i="40"/>
  <c r="P229" i="40"/>
  <c r="P240" i="40"/>
  <c r="P224" i="40"/>
  <c r="P144" i="40"/>
  <c r="P145" i="40"/>
  <c r="P139" i="40"/>
  <c r="P349" i="40"/>
  <c r="P111" i="40"/>
  <c r="P347" i="40"/>
  <c r="P153" i="40"/>
  <c r="P148" i="40"/>
  <c r="P149" i="40"/>
  <c r="P351" i="40"/>
  <c r="P350" i="40"/>
  <c r="P26" i="40"/>
  <c r="P27" i="40"/>
  <c r="P12" i="40"/>
  <c r="P230" i="40"/>
  <c r="P13" i="40"/>
  <c r="P246" i="40"/>
  <c r="P44" i="40"/>
  <c r="P326" i="40"/>
  <c r="P330" i="40"/>
  <c r="P331" i="40"/>
  <c r="P14" i="40"/>
  <c r="P332" i="40"/>
  <c r="P232" i="40"/>
  <c r="P15" i="40"/>
  <c r="P188" i="40"/>
  <c r="P231" i="40"/>
  <c r="P63" i="40"/>
  <c r="P64" i="40"/>
  <c r="P31" i="40"/>
  <c r="P243" i="40"/>
  <c r="P109" i="40"/>
  <c r="P248" i="40"/>
  <c r="P373" i="40"/>
  <c r="P17" i="40"/>
  <c r="P73" i="40"/>
  <c r="P374" i="40"/>
  <c r="P29" i="40"/>
  <c r="P375" i="40"/>
  <c r="P376" i="40"/>
  <c r="P249" i="40"/>
  <c r="P250" i="40"/>
  <c r="P251" i="40"/>
  <c r="P279" i="40"/>
  <c r="P167" i="40"/>
  <c r="P252" i="40"/>
  <c r="P311" i="40"/>
  <c r="P161" i="40"/>
  <c r="P189" i="40"/>
  <c r="P195" i="40"/>
  <c r="P210" i="40"/>
  <c r="P228" i="40"/>
  <c r="P206" i="40"/>
  <c r="P397" i="40"/>
  <c r="P156" i="40"/>
  <c r="P163" i="40"/>
  <c r="P207" i="40"/>
  <c r="P215" i="40"/>
  <c r="P151" i="40"/>
  <c r="P302" i="40"/>
  <c r="P377" i="40"/>
  <c r="P178" i="40"/>
  <c r="P94" i="40"/>
  <c r="P131" i="40"/>
  <c r="P218" i="40"/>
  <c r="P378" i="40"/>
  <c r="P300" i="40"/>
  <c r="P98" i="40"/>
  <c r="P208" i="40"/>
  <c r="P258" i="40"/>
  <c r="P333" i="40"/>
  <c r="P312" i="40"/>
  <c r="P257" i="40"/>
  <c r="P99" i="40"/>
  <c r="P168" i="40"/>
  <c r="P272" i="40"/>
  <c r="P244" i="40"/>
  <c r="P334" i="40"/>
  <c r="P360" i="40"/>
  <c r="P209" i="40"/>
  <c r="P271" i="40"/>
  <c r="P95" i="40"/>
  <c r="P212" i="40"/>
  <c r="P382" i="40"/>
  <c r="P260" i="40"/>
  <c r="P383" i="40"/>
  <c r="P169" i="40"/>
  <c r="P264" i="40"/>
  <c r="P70" i="40"/>
  <c r="P196" i="40"/>
  <c r="P261" i="40"/>
  <c r="P385" i="40"/>
  <c r="P262" i="40"/>
  <c r="P137" i="40"/>
  <c r="P263" i="40"/>
  <c r="P45" i="40"/>
  <c r="P62" i="40"/>
  <c r="P192" i="40"/>
  <c r="P267" i="40"/>
  <c r="P384" i="40"/>
  <c r="P171" i="40"/>
  <c r="P266" i="40"/>
  <c r="P216" i="40"/>
  <c r="P67" i="40"/>
  <c r="P100" i="40"/>
  <c r="P165" i="40"/>
  <c r="P213" i="40"/>
  <c r="P259" i="40"/>
  <c r="P211" i="40"/>
  <c r="P198" i="40"/>
  <c r="P387" i="40"/>
  <c r="P268" i="40"/>
  <c r="P48" i="40"/>
  <c r="P125" i="40"/>
  <c r="P166" i="40"/>
  <c r="P254" i="40"/>
  <c r="P386" i="40"/>
  <c r="P269" i="40"/>
  <c r="P65" i="40"/>
  <c r="P114" i="40"/>
  <c r="P46" i="40"/>
  <c r="P49" i="40"/>
  <c r="P199" i="40"/>
  <c r="P154" i="40"/>
  <c r="P317" i="40"/>
  <c r="P155" i="40"/>
  <c r="P136" i="40"/>
  <c r="P190" i="40"/>
  <c r="P47" i="40"/>
  <c r="P51" i="40"/>
  <c r="P158" i="40"/>
  <c r="P113" i="40"/>
  <c r="P313" i="40"/>
  <c r="P50" i="40"/>
  <c r="P159" i="40"/>
  <c r="P52" i="40"/>
  <c r="P115" i="40"/>
  <c r="P388" i="40"/>
  <c r="P126" i="40"/>
  <c r="P53" i="40"/>
  <c r="P160" i="40"/>
  <c r="P54" i="40"/>
  <c r="P118" i="40"/>
  <c r="P390" i="40"/>
  <c r="P253" i="40"/>
  <c r="P194" i="40"/>
  <c r="P265" i="40"/>
  <c r="P200" i="40"/>
  <c r="P303" i="40"/>
  <c r="P124" i="40"/>
  <c r="P315" i="40"/>
  <c r="P55" i="40"/>
  <c r="P391" i="40"/>
  <c r="P128" i="40"/>
  <c r="P129" i="40"/>
  <c r="P130" i="40"/>
  <c r="P59" i="40"/>
  <c r="P277" i="40"/>
  <c r="P81" i="40"/>
  <c r="P58" i="40"/>
  <c r="P219" i="40"/>
  <c r="P392" i="40"/>
  <c r="P270" i="40"/>
  <c r="P56" i="40"/>
  <c r="P72" i="40"/>
  <c r="P255" i="40"/>
  <c r="P57" i="40"/>
  <c r="P74" i="40"/>
  <c r="P82" i="40"/>
  <c r="P273" i="40"/>
  <c r="P274" i="40"/>
  <c r="P275" i="40"/>
  <c r="P318" i="40"/>
  <c r="P119" i="40"/>
  <c r="P120" i="40"/>
  <c r="P121" i="40"/>
  <c r="P135" i="40"/>
  <c r="P316" i="40"/>
  <c r="P122" i="40"/>
  <c r="P123" i="40"/>
  <c r="P191" i="40"/>
  <c r="P276" i="40"/>
  <c r="P75" i="40"/>
  <c r="P140" i="40"/>
  <c r="P132" i="40"/>
  <c r="P32" i="40"/>
  <c r="P335" i="40"/>
  <c r="P280" i="40"/>
  <c r="P133" i="40"/>
  <c r="P202" i="40"/>
  <c r="P157" i="40"/>
  <c r="P134" i="40"/>
  <c r="P203" i="40"/>
  <c r="P247" i="40"/>
  <c r="P367" i="40"/>
  <c r="P197" i="40"/>
  <c r="P379" i="40"/>
  <c r="P217" i="40"/>
  <c r="P181" i="40"/>
  <c r="P404" i="40" l="1"/>
  <c r="P399" i="40"/>
  <c r="P320" i="40"/>
  <c r="P403" i="40"/>
  <c r="P34" i="40"/>
  <c r="P174" i="40"/>
  <c r="P180" i="40"/>
  <c r="P204" i="40"/>
  <c r="P346" i="40"/>
  <c r="P33" i="40"/>
  <c r="P92" i="40"/>
  <c r="P343" i="40"/>
  <c r="P242" i="40"/>
  <c r="P256" i="40"/>
  <c r="P16" i="40"/>
  <c r="P11" i="40"/>
  <c r="P401" i="40"/>
  <c r="P77" i="40"/>
  <c r="P101" i="40"/>
  <c r="P319" i="40"/>
  <c r="P172" i="40"/>
  <c r="P400" i="40"/>
  <c r="P405" i="40"/>
  <c r="P402" i="40"/>
  <c r="P173" i="40"/>
  <c r="P138" i="40"/>
  <c r="P93" i="40"/>
  <c r="P301" i="40"/>
  <c r="P324" i="40"/>
  <c r="P90" i="40"/>
  <c r="P233" i="40"/>
  <c r="P278" i="40"/>
  <c r="P86" i="40"/>
  <c r="P337" i="40"/>
  <c r="P325" i="40"/>
  <c r="P291" i="40"/>
  <c r="P3" i="40"/>
  <c r="P344" i="40"/>
  <c r="P35" i="40"/>
  <c r="P321" i="40"/>
  <c r="P235" i="40"/>
  <c r="P341" i="40"/>
  <c r="P141" i="40"/>
  <c r="P345" i="40"/>
  <c r="P28" i="40"/>
  <c r="P25" i="40"/>
  <c r="P340" i="40"/>
  <c r="P30" i="40"/>
  <c r="P91" i="40"/>
  <c r="P352" i="40"/>
  <c r="P342" i="40"/>
  <c r="K1" i="47"/>
  <c r="P923" i="20"/>
  <c r="P685" i="20"/>
  <c r="P699" i="20"/>
  <c r="K1" i="43" l="1"/>
  <c r="K1" i="37"/>
  <c r="K1" i="36"/>
  <c r="K1" i="35"/>
  <c r="K1" i="40"/>
  <c r="H88" i="20"/>
  <c r="N88" i="20"/>
  <c r="P88" i="20"/>
  <c r="H691" i="20"/>
  <c r="N691" i="20"/>
  <c r="P691" i="20"/>
  <c r="H30" i="20" l="1"/>
  <c r="H31" i="20"/>
  <c r="H38" i="20"/>
  <c r="H39" i="20"/>
  <c r="H54" i="20"/>
  <c r="H59" i="20"/>
  <c r="H63" i="20"/>
  <c r="H65" i="20"/>
  <c r="H69" i="20"/>
  <c r="H101" i="20"/>
  <c r="H102" i="20"/>
  <c r="H119" i="20"/>
  <c r="H127" i="20"/>
  <c r="H135" i="20"/>
  <c r="H137" i="20"/>
  <c r="H155" i="20"/>
  <c r="H156" i="20"/>
  <c r="H161" i="20"/>
  <c r="H163" i="20"/>
  <c r="H171" i="20"/>
  <c r="H175" i="20"/>
  <c r="H185" i="20"/>
  <c r="H192" i="20"/>
  <c r="H212" i="20"/>
  <c r="H213" i="20"/>
  <c r="H215" i="20"/>
  <c r="H229" i="20"/>
  <c r="H231" i="20"/>
  <c r="H239" i="20"/>
  <c r="H241" i="20"/>
  <c r="H253" i="20"/>
  <c r="H258" i="20"/>
  <c r="H259" i="20"/>
  <c r="H260" i="20"/>
  <c r="H261" i="20"/>
  <c r="H263" i="20"/>
  <c r="H264" i="20"/>
  <c r="H265" i="20"/>
  <c r="H266" i="20"/>
  <c r="H268" i="20"/>
  <c r="H269" i="20"/>
  <c r="H271" i="20"/>
  <c r="H459" i="20"/>
  <c r="H492" i="20"/>
  <c r="H655" i="20"/>
  <c r="H656" i="20"/>
  <c r="H658" i="20"/>
  <c r="H695" i="20"/>
  <c r="H701" i="20"/>
  <c r="H755" i="20"/>
  <c r="H906" i="20"/>
  <c r="H907" i="20"/>
  <c r="H926" i="20"/>
  <c r="H32" i="20"/>
  <c r="H40" i="20"/>
  <c r="H68" i="20"/>
  <c r="H105" i="20"/>
  <c r="H128" i="20"/>
  <c r="H172" i="20"/>
  <c r="H176" i="20"/>
  <c r="H252" i="20"/>
  <c r="H1058" i="20"/>
  <c r="H364" i="20"/>
  <c r="H1065" i="20"/>
  <c r="H1066" i="20"/>
  <c r="H1067" i="20"/>
  <c r="H1068" i="20"/>
  <c r="H1069" i="20"/>
  <c r="H1070" i="20"/>
  <c r="H1071" i="20"/>
  <c r="H1072" i="20"/>
  <c r="H1073" i="20"/>
  <c r="H1074" i="20"/>
  <c r="H1075" i="20"/>
  <c r="H1076" i="20"/>
  <c r="H1077" i="20"/>
  <c r="H1078" i="20"/>
  <c r="N30" i="20"/>
  <c r="N31" i="20"/>
  <c r="N38" i="20"/>
  <c r="N39" i="20"/>
  <c r="N54" i="20"/>
  <c r="N59" i="20"/>
  <c r="N63" i="20"/>
  <c r="N65" i="20"/>
  <c r="N69" i="20"/>
  <c r="N101" i="20"/>
  <c r="N102" i="20"/>
  <c r="N119" i="20"/>
  <c r="N127" i="20"/>
  <c r="N135" i="20"/>
  <c r="N137" i="20"/>
  <c r="N155" i="20"/>
  <c r="N156" i="20"/>
  <c r="N161" i="20"/>
  <c r="N163" i="20"/>
  <c r="N171" i="20"/>
  <c r="N175" i="20"/>
  <c r="N185" i="20"/>
  <c r="N192" i="20"/>
  <c r="N212" i="20"/>
  <c r="N213" i="20"/>
  <c r="N215" i="20"/>
  <c r="N229" i="20"/>
  <c r="N231" i="20"/>
  <c r="N239" i="20"/>
  <c r="N241" i="20"/>
  <c r="N253" i="20"/>
  <c r="N258" i="20"/>
  <c r="N259" i="20"/>
  <c r="N260" i="20"/>
  <c r="N261" i="20"/>
  <c r="N263" i="20"/>
  <c r="N264" i="20"/>
  <c r="N265" i="20"/>
  <c r="N266" i="20"/>
  <c r="N268" i="20"/>
  <c r="N269" i="20"/>
  <c r="N271" i="20"/>
  <c r="N459" i="20"/>
  <c r="N492" i="20"/>
  <c r="N655" i="20"/>
  <c r="N656" i="20"/>
  <c r="N658" i="20"/>
  <c r="N695" i="20"/>
  <c r="N701" i="20"/>
  <c r="N755" i="20"/>
  <c r="N906" i="20"/>
  <c r="N907" i="20"/>
  <c r="N926" i="20"/>
  <c r="N32" i="20"/>
  <c r="N40" i="20"/>
  <c r="N68" i="20"/>
  <c r="N105" i="20"/>
  <c r="N128" i="20"/>
  <c r="N172" i="20"/>
  <c r="N176" i="20"/>
  <c r="N252" i="20"/>
  <c r="N1058" i="20"/>
  <c r="N364" i="20"/>
  <c r="N1065" i="20"/>
  <c r="N1066" i="20"/>
  <c r="N1067" i="20"/>
  <c r="N1070" i="20"/>
  <c r="N1071" i="20"/>
  <c r="N1073" i="20"/>
  <c r="N1074" i="20"/>
  <c r="N1075" i="20"/>
  <c r="N1076" i="20"/>
  <c r="N1077" i="20"/>
  <c r="N1078" i="20"/>
  <c r="P30" i="20"/>
  <c r="P31" i="20"/>
  <c r="P38" i="20"/>
  <c r="P39" i="20"/>
  <c r="P54" i="20"/>
  <c r="P59" i="20"/>
  <c r="P63" i="20"/>
  <c r="P65" i="20"/>
  <c r="P69" i="20"/>
  <c r="P101" i="20"/>
  <c r="P102" i="20"/>
  <c r="P119" i="20"/>
  <c r="P127" i="20"/>
  <c r="P135" i="20"/>
  <c r="P137" i="20"/>
  <c r="P155" i="20"/>
  <c r="P156" i="20"/>
  <c r="P161" i="20"/>
  <c r="P163" i="20"/>
  <c r="P171" i="20"/>
  <c r="P175" i="20"/>
  <c r="P185" i="20"/>
  <c r="P192" i="20"/>
  <c r="P212" i="20"/>
  <c r="P213" i="20"/>
  <c r="P215" i="20"/>
  <c r="P229" i="20"/>
  <c r="P231" i="20"/>
  <c r="P239" i="20"/>
  <c r="P241" i="20"/>
  <c r="P253" i="20"/>
  <c r="P258" i="20"/>
  <c r="P259" i="20"/>
  <c r="P260" i="20"/>
  <c r="P261" i="20"/>
  <c r="P263" i="20"/>
  <c r="P264" i="20"/>
  <c r="P265" i="20"/>
  <c r="P266" i="20"/>
  <c r="P268" i="20"/>
  <c r="P269" i="20"/>
  <c r="P271" i="20"/>
  <c r="P459" i="20"/>
  <c r="P492" i="20"/>
  <c r="P655" i="20"/>
  <c r="P656" i="20"/>
  <c r="P658" i="20"/>
  <c r="P695" i="20"/>
  <c r="P701" i="20"/>
  <c r="P755" i="20"/>
  <c r="P906" i="20"/>
  <c r="P907" i="20"/>
  <c r="P926" i="20"/>
  <c r="P32" i="20"/>
  <c r="P40" i="20"/>
  <c r="P68" i="20"/>
  <c r="P105" i="20"/>
  <c r="P128" i="20"/>
  <c r="P172" i="20"/>
  <c r="P176" i="20"/>
  <c r="P252" i="20"/>
  <c r="P1058" i="20"/>
  <c r="P364" i="20"/>
  <c r="P1065" i="20"/>
  <c r="P1066" i="20"/>
  <c r="P1067" i="20"/>
  <c r="P1068" i="20"/>
  <c r="P1070" i="20"/>
  <c r="P1071" i="20"/>
  <c r="P1073" i="20"/>
  <c r="P1074" i="20"/>
  <c r="P1075" i="20"/>
  <c r="P1076" i="20"/>
  <c r="P1077" i="20"/>
  <c r="P1078" i="20"/>
  <c r="H187" i="20" l="1"/>
  <c r="N35" i="20" l="1"/>
  <c r="N285" i="20"/>
  <c r="N300" i="20"/>
  <c r="N309" i="20"/>
  <c r="N311" i="20"/>
  <c r="N312" i="20"/>
  <c r="N315" i="20"/>
  <c r="N317" i="20"/>
  <c r="N318" i="20"/>
  <c r="N323" i="20"/>
  <c r="N356" i="20"/>
  <c r="N376" i="20"/>
  <c r="N390" i="20"/>
  <c r="N405" i="20"/>
  <c r="N457" i="20"/>
  <c r="N458" i="20"/>
  <c r="N525" i="20"/>
  <c r="N526" i="20"/>
  <c r="N527" i="20"/>
  <c r="N530" i="20"/>
  <c r="N535" i="20"/>
  <c r="N558" i="20"/>
  <c r="N593" i="20"/>
  <c r="N647" i="20"/>
  <c r="N652" i="20"/>
  <c r="N771" i="20"/>
  <c r="N776" i="20"/>
  <c r="N785" i="20"/>
  <c r="N821" i="20"/>
  <c r="N827" i="20"/>
  <c r="N832" i="20"/>
  <c r="N834" i="20"/>
  <c r="N837" i="20"/>
  <c r="N853" i="20"/>
  <c r="N855" i="20"/>
  <c r="N857" i="20"/>
  <c r="N861" i="20"/>
  <c r="N870" i="20"/>
  <c r="N875" i="20"/>
  <c r="N884" i="20"/>
  <c r="N890" i="20"/>
  <c r="N922" i="20"/>
  <c r="N925" i="20"/>
  <c r="N932" i="20"/>
  <c r="N956" i="20"/>
  <c r="N972" i="20"/>
  <c r="N974" i="20"/>
  <c r="N977" i="20"/>
  <c r="N997" i="20"/>
  <c r="N1015" i="20"/>
  <c r="N1016" i="20"/>
  <c r="N1023" i="20"/>
  <c r="N1030" i="20"/>
  <c r="N1038" i="20"/>
  <c r="N1039" i="20"/>
  <c r="N313" i="20"/>
  <c r="N12" i="20"/>
  <c r="N13" i="20"/>
  <c r="N14" i="20"/>
  <c r="N15" i="20"/>
  <c r="N17" i="20"/>
  <c r="N10" i="20"/>
  <c r="N19" i="20"/>
  <c r="N20" i="20"/>
  <c r="N21" i="20"/>
  <c r="N22" i="20"/>
  <c r="N23" i="20"/>
  <c r="N24" i="20"/>
  <c r="N262" i="20"/>
  <c r="N25" i="20"/>
  <c r="N26" i="20"/>
  <c r="N27" i="20"/>
  <c r="N29" i="20"/>
  <c r="N33" i="20"/>
  <c r="N34" i="20"/>
  <c r="N36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5" i="20"/>
  <c r="N56" i="20"/>
  <c r="N57" i="20"/>
  <c r="N58" i="20"/>
  <c r="N60" i="20"/>
  <c r="N61" i="20"/>
  <c r="N62" i="20"/>
  <c r="N64" i="20"/>
  <c r="N66" i="20"/>
  <c r="N67" i="20"/>
  <c r="N70" i="20"/>
  <c r="N71" i="20"/>
  <c r="N73" i="20"/>
  <c r="N75" i="20"/>
  <c r="N76" i="20"/>
  <c r="N77" i="20"/>
  <c r="N78" i="20"/>
  <c r="N79" i="20"/>
  <c r="N80" i="20"/>
  <c r="N81" i="20"/>
  <c r="N82" i="20"/>
  <c r="N83" i="20"/>
  <c r="N84" i="20"/>
  <c r="N86" i="20"/>
  <c r="N87" i="20"/>
  <c r="N89" i="20"/>
  <c r="N90" i="20"/>
  <c r="N91" i="20"/>
  <c r="N92" i="20"/>
  <c r="N93" i="20"/>
  <c r="N95" i="20"/>
  <c r="N96" i="20"/>
  <c r="N97" i="20"/>
  <c r="N98" i="20"/>
  <c r="N99" i="20"/>
  <c r="N100" i="20"/>
  <c r="N106" i="20"/>
  <c r="N107" i="20"/>
  <c r="N108" i="20"/>
  <c r="N109" i="20"/>
  <c r="N110" i="20"/>
  <c r="N111" i="20"/>
  <c r="N112" i="20"/>
  <c r="N113" i="20"/>
  <c r="N117" i="20"/>
  <c r="N118" i="20"/>
  <c r="N120" i="20"/>
  <c r="N121" i="20"/>
  <c r="N122" i="20"/>
  <c r="N123" i="20"/>
  <c r="N124" i="20"/>
  <c r="N125" i="20"/>
  <c r="N129" i="20"/>
  <c r="N130" i="20"/>
  <c r="N131" i="20"/>
  <c r="N132" i="20"/>
  <c r="N138" i="20"/>
  <c r="N139" i="20"/>
  <c r="N140" i="20"/>
  <c r="N141" i="20"/>
  <c r="N142" i="20"/>
  <c r="N143" i="20"/>
  <c r="N144" i="20"/>
  <c r="N145" i="20"/>
  <c r="N146" i="20"/>
  <c r="N147" i="20"/>
  <c r="N148" i="20"/>
  <c r="N149" i="20"/>
  <c r="N150" i="20"/>
  <c r="N151" i="20"/>
  <c r="N157" i="20"/>
  <c r="N158" i="20"/>
  <c r="N159" i="20"/>
  <c r="N160" i="20"/>
  <c r="N162" i="20"/>
  <c r="N164" i="20"/>
  <c r="N165" i="20"/>
  <c r="N166" i="20"/>
  <c r="N167" i="20"/>
  <c r="N168" i="20"/>
  <c r="N169" i="20"/>
  <c r="N173" i="20"/>
  <c r="N177" i="20"/>
  <c r="N178" i="20"/>
  <c r="N179" i="20"/>
  <c r="N180" i="20"/>
  <c r="N182" i="20"/>
  <c r="N183" i="20"/>
  <c r="N184" i="20"/>
  <c r="N186" i="20"/>
  <c r="N187" i="20"/>
  <c r="N188" i="20"/>
  <c r="N189" i="20"/>
  <c r="N190" i="20"/>
  <c r="N191" i="20"/>
  <c r="N193" i="20"/>
  <c r="N194" i="20"/>
  <c r="N195" i="20"/>
  <c r="N196" i="20"/>
  <c r="N197" i="20"/>
  <c r="N198" i="20"/>
  <c r="N199" i="20"/>
  <c r="N200" i="20"/>
  <c r="N201" i="20"/>
  <c r="N202" i="20"/>
  <c r="N203" i="20"/>
  <c r="N204" i="20"/>
  <c r="N205" i="20"/>
  <c r="N206" i="20"/>
  <c r="N207" i="20"/>
  <c r="N208" i="20"/>
  <c r="N209" i="20"/>
  <c r="N214" i="20"/>
  <c r="N216" i="20"/>
  <c r="N217" i="20"/>
  <c r="N218" i="20"/>
  <c r="N219" i="20"/>
  <c r="N220" i="20"/>
  <c r="N221" i="20"/>
  <c r="N222" i="20"/>
  <c r="N223" i="20"/>
  <c r="N224" i="20"/>
  <c r="N225" i="20"/>
  <c r="N226" i="20"/>
  <c r="N227" i="20"/>
  <c r="N228" i="20"/>
  <c r="N230" i="20"/>
  <c r="N232" i="20"/>
  <c r="N233" i="20"/>
  <c r="N234" i="20"/>
  <c r="N235" i="20"/>
  <c r="N236" i="20"/>
  <c r="N237" i="20"/>
  <c r="N238" i="20"/>
  <c r="N240" i="20"/>
  <c r="N242" i="20"/>
  <c r="N243" i="20"/>
  <c r="N244" i="20"/>
  <c r="N245" i="20"/>
  <c r="N246" i="20"/>
  <c r="N247" i="20"/>
  <c r="N248" i="20"/>
  <c r="N249" i="20"/>
  <c r="N251" i="20"/>
  <c r="N254" i="20"/>
  <c r="N255" i="20"/>
  <c r="N256" i="20"/>
  <c r="N257" i="20"/>
  <c r="N272" i="20"/>
  <c r="N273" i="20"/>
  <c r="N277" i="20"/>
  <c r="N278" i="20"/>
  <c r="N280" i="20"/>
  <c r="N282" i="20"/>
  <c r="N283" i="20"/>
  <c r="N284" i="20"/>
  <c r="N286" i="20"/>
  <c r="N287" i="20"/>
  <c r="N288" i="20"/>
  <c r="N290" i="20"/>
  <c r="N292" i="20"/>
  <c r="N293" i="20"/>
  <c r="N294" i="20"/>
  <c r="N296" i="20"/>
  <c r="N297" i="20"/>
  <c r="N298" i="20"/>
  <c r="N301" i="20"/>
  <c r="N302" i="20"/>
  <c r="N304" i="20"/>
  <c r="N305" i="20"/>
  <c r="N306" i="20"/>
  <c r="N307" i="20"/>
  <c r="N308" i="20"/>
  <c r="N310" i="20"/>
  <c r="N314" i="20"/>
  <c r="N316" i="20"/>
  <c r="N319" i="20"/>
  <c r="N320" i="20"/>
  <c r="N322" i="20"/>
  <c r="N324" i="20"/>
  <c r="N325" i="20"/>
  <c r="N326" i="20"/>
  <c r="N327" i="20"/>
  <c r="N328" i="20"/>
  <c r="N330" i="20"/>
  <c r="N331" i="20"/>
  <c r="N332" i="20"/>
  <c r="N333" i="20"/>
  <c r="N334" i="20"/>
  <c r="N335" i="20"/>
  <c r="N336" i="20"/>
  <c r="N337" i="20"/>
  <c r="N338" i="20"/>
  <c r="N339" i="20"/>
  <c r="N341" i="20"/>
  <c r="N343" i="20"/>
  <c r="N344" i="20"/>
  <c r="N345" i="20"/>
  <c r="N346" i="20"/>
  <c r="N347" i="20"/>
  <c r="N348" i="20"/>
  <c r="N349" i="20"/>
  <c r="N350" i="20"/>
  <c r="N351" i="20"/>
  <c r="N353" i="20"/>
  <c r="N354" i="20"/>
  <c r="N355" i="20"/>
  <c r="N358" i="20"/>
  <c r="N359" i="20"/>
  <c r="N360" i="20"/>
  <c r="N361" i="20"/>
  <c r="N362" i="20"/>
  <c r="N366" i="20"/>
  <c r="N367" i="20"/>
  <c r="N368" i="20"/>
  <c r="N369" i="20"/>
  <c r="N370" i="20"/>
  <c r="N371" i="20"/>
  <c r="N372" i="20"/>
  <c r="N373" i="20"/>
  <c r="N377" i="20"/>
  <c r="N384" i="20"/>
  <c r="N386" i="20"/>
  <c r="N388" i="20"/>
  <c r="N392" i="20"/>
  <c r="N395" i="20"/>
  <c r="N399" i="20"/>
  <c r="N400" i="20"/>
  <c r="N401" i="20"/>
  <c r="N404" i="20"/>
  <c r="N407" i="20"/>
  <c r="N410" i="20"/>
  <c r="N411" i="20"/>
  <c r="N412" i="20"/>
  <c r="N416" i="20"/>
  <c r="N417" i="20"/>
  <c r="N418" i="20"/>
  <c r="N421" i="20"/>
  <c r="N422" i="20"/>
  <c r="N423" i="20"/>
  <c r="N424" i="20"/>
  <c r="N425" i="20"/>
  <c r="N426" i="20"/>
  <c r="N427" i="20"/>
  <c r="N428" i="20"/>
  <c r="N429" i="20"/>
  <c r="N430" i="20"/>
  <c r="N431" i="20"/>
  <c r="N432" i="20"/>
  <c r="N433" i="20"/>
  <c r="N434" i="20"/>
  <c r="N436" i="20"/>
  <c r="N438" i="20"/>
  <c r="N439" i="20"/>
  <c r="N440" i="20"/>
  <c r="N441" i="20"/>
  <c r="N442" i="20"/>
  <c r="N443" i="20"/>
  <c r="N444" i="20"/>
  <c r="N445" i="20"/>
  <c r="N446" i="20"/>
  <c r="N447" i="20"/>
  <c r="N448" i="20"/>
  <c r="N449" i="20"/>
  <c r="N451" i="20"/>
  <c r="N452" i="20"/>
  <c r="N453" i="20"/>
  <c r="N454" i="20"/>
  <c r="N455" i="20"/>
  <c r="N456" i="20"/>
  <c r="N460" i="20"/>
  <c r="N462" i="20"/>
  <c r="N463" i="20"/>
  <c r="N465" i="20"/>
  <c r="N466" i="20"/>
  <c r="N468" i="20"/>
  <c r="N471" i="20"/>
  <c r="N472" i="20"/>
  <c r="N474" i="20"/>
  <c r="N475" i="20"/>
  <c r="N476" i="20"/>
  <c r="N480" i="20"/>
  <c r="N481" i="20"/>
  <c r="N482" i="20"/>
  <c r="N485" i="20"/>
  <c r="N494" i="20"/>
  <c r="N495" i="20"/>
  <c r="N499" i="20"/>
  <c r="N503" i="20"/>
  <c r="N504" i="20"/>
  <c r="N505" i="20"/>
  <c r="N507" i="20"/>
  <c r="N508" i="20"/>
  <c r="N509" i="20"/>
  <c r="N512" i="20"/>
  <c r="N513" i="20"/>
  <c r="N514" i="20"/>
  <c r="N515" i="20"/>
  <c r="N516" i="20"/>
  <c r="N517" i="20"/>
  <c r="N520" i="20"/>
  <c r="N522" i="20"/>
  <c r="N524" i="20"/>
  <c r="N528" i="20"/>
  <c r="N529" i="20"/>
  <c r="N531" i="20"/>
  <c r="N532" i="20"/>
  <c r="N534" i="20"/>
  <c r="N538" i="20"/>
  <c r="N539" i="20"/>
  <c r="N540" i="20"/>
  <c r="N541" i="20"/>
  <c r="N543" i="20"/>
  <c r="N545" i="20"/>
  <c r="N546" i="20"/>
  <c r="N547" i="20"/>
  <c r="N548" i="20"/>
  <c r="N549" i="20"/>
  <c r="N554" i="20"/>
  <c r="N559" i="20"/>
  <c r="N560" i="20"/>
  <c r="N567" i="20"/>
  <c r="N568" i="20"/>
  <c r="N569" i="20"/>
  <c r="N570" i="20"/>
  <c r="N572" i="20"/>
  <c r="N573" i="20"/>
  <c r="N574" i="20"/>
  <c r="N575" i="20"/>
  <c r="N576" i="20"/>
  <c r="N577" i="20"/>
  <c r="N578" i="20"/>
  <c r="N579" i="20"/>
  <c r="N580" i="20"/>
  <c r="N584" i="20"/>
  <c r="N588" i="20"/>
  <c r="N589" i="20"/>
  <c r="N590" i="20"/>
  <c r="N591" i="20"/>
  <c r="N592" i="20"/>
  <c r="N594" i="20"/>
  <c r="N595" i="20"/>
  <c r="N597" i="20"/>
  <c r="N598" i="20"/>
  <c r="N599" i="20"/>
  <c r="N600" i="20"/>
  <c r="N605" i="20"/>
  <c r="N606" i="20"/>
  <c r="N607" i="20"/>
  <c r="N608" i="20"/>
  <c r="N609" i="20"/>
  <c r="N612" i="20"/>
  <c r="N613" i="20"/>
  <c r="N615" i="20"/>
  <c r="N616" i="20"/>
  <c r="N619" i="20"/>
  <c r="N620" i="20"/>
  <c r="N625" i="20"/>
  <c r="N626" i="20"/>
  <c r="N628" i="20"/>
  <c r="N631" i="20"/>
  <c r="N634" i="20"/>
  <c r="N635" i="20"/>
  <c r="N639" i="20"/>
  <c r="N640" i="20"/>
  <c r="N641" i="20"/>
  <c r="N642" i="20"/>
  <c r="N643" i="20"/>
  <c r="N646" i="20"/>
  <c r="N648" i="20"/>
  <c r="N659" i="20"/>
  <c r="N660" i="20"/>
  <c r="N662" i="20"/>
  <c r="N683" i="20"/>
  <c r="N690" i="20"/>
  <c r="N692" i="20"/>
  <c r="N693" i="20"/>
  <c r="N694" i="20"/>
  <c r="N704" i="20"/>
  <c r="N707" i="20"/>
  <c r="N708" i="20"/>
  <c r="N709" i="20"/>
  <c r="N711" i="20"/>
  <c r="N712" i="20"/>
  <c r="N734" i="20"/>
  <c r="N738" i="20"/>
  <c r="N743" i="20"/>
  <c r="N746" i="20"/>
  <c r="N748" i="20"/>
  <c r="N754" i="20"/>
  <c r="N760" i="20"/>
  <c r="N764" i="20"/>
  <c r="N765" i="20"/>
  <c r="N766" i="20"/>
  <c r="N768" i="20"/>
  <c r="N769" i="20"/>
  <c r="N773" i="20"/>
  <c r="N774" i="20"/>
  <c r="N775" i="20"/>
  <c r="N786" i="20"/>
  <c r="N792" i="20"/>
  <c r="N793" i="20"/>
  <c r="N794" i="20"/>
  <c r="N795" i="20"/>
  <c r="N796" i="20"/>
  <c r="N799" i="20"/>
  <c r="N800" i="20"/>
  <c r="N801" i="20"/>
  <c r="N805" i="20"/>
  <c r="N806" i="20"/>
  <c r="N807" i="20"/>
  <c r="N810" i="20"/>
  <c r="N811" i="20"/>
  <c r="N812" i="20"/>
  <c r="N813" i="20"/>
  <c r="N816" i="20"/>
  <c r="N817" i="20"/>
  <c r="N818" i="20"/>
  <c r="N819" i="20"/>
  <c r="N822" i="20"/>
  <c r="N828" i="20"/>
  <c r="N829" i="20"/>
  <c r="N830" i="20"/>
  <c r="N833" i="20"/>
  <c r="N835" i="20"/>
  <c r="N836" i="20"/>
  <c r="N839" i="20"/>
  <c r="N840" i="20"/>
  <c r="N841" i="20"/>
  <c r="N842" i="20"/>
  <c r="N843" i="20"/>
  <c r="N844" i="20"/>
  <c r="N845" i="20"/>
  <c r="N848" i="20"/>
  <c r="N849" i="20"/>
  <c r="N850" i="20"/>
  <c r="N851" i="20"/>
  <c r="N852" i="20"/>
  <c r="N854" i="20"/>
  <c r="N859" i="20"/>
  <c r="N862" i="20"/>
  <c r="N863" i="20"/>
  <c r="N864" i="20"/>
  <c r="N867" i="20"/>
  <c r="N868" i="20"/>
  <c r="N869" i="20"/>
  <c r="N871" i="20"/>
  <c r="N873" i="20"/>
  <c r="N874" i="20"/>
  <c r="N877" i="20"/>
  <c r="N878" i="20"/>
  <c r="N879" i="20"/>
  <c r="N880" i="20"/>
  <c r="N881" i="20"/>
  <c r="N882" i="20"/>
  <c r="N883" i="20"/>
  <c r="N885" i="20"/>
  <c r="N886" i="20"/>
  <c r="N887" i="20"/>
  <c r="N888" i="20"/>
  <c r="N889" i="20"/>
  <c r="N891" i="20"/>
  <c r="N892" i="20"/>
  <c r="N894" i="20"/>
  <c r="N895" i="20"/>
  <c r="N896" i="20"/>
  <c r="N897" i="20"/>
  <c r="N898" i="20"/>
  <c r="N899" i="20"/>
  <c r="N900" i="20"/>
  <c r="N901" i="20"/>
  <c r="N903" i="20"/>
  <c r="N904" i="20"/>
  <c r="N905" i="20"/>
  <c r="N908" i="20"/>
  <c r="N909" i="20"/>
  <c r="N910" i="20"/>
  <c r="N911" i="20"/>
  <c r="N912" i="20"/>
  <c r="N913" i="20"/>
  <c r="N914" i="20"/>
  <c r="N915" i="20"/>
  <c r="N916" i="20"/>
  <c r="N917" i="20"/>
  <c r="N918" i="20"/>
  <c r="N919" i="20"/>
  <c r="N921" i="20"/>
  <c r="N923" i="20"/>
  <c r="N924" i="20"/>
  <c r="N927" i="20"/>
  <c r="N928" i="20"/>
  <c r="N929" i="20"/>
  <c r="N930" i="20"/>
  <c r="N931" i="20"/>
  <c r="N933" i="20"/>
  <c r="N934" i="20"/>
  <c r="N935" i="20"/>
  <c r="N936" i="20"/>
  <c r="N937" i="20"/>
  <c r="N938" i="20"/>
  <c r="N939" i="20"/>
  <c r="N942" i="20"/>
  <c r="N943" i="20"/>
  <c r="N944" i="20"/>
  <c r="N945" i="20"/>
  <c r="N946" i="20"/>
  <c r="N947" i="20"/>
  <c r="N948" i="20"/>
  <c r="N949" i="20"/>
  <c r="N950" i="20"/>
  <c r="N951" i="20"/>
  <c r="N952" i="20"/>
  <c r="N953" i="20"/>
  <c r="N954" i="20"/>
  <c r="N955" i="20"/>
  <c r="N957" i="20"/>
  <c r="N958" i="20"/>
  <c r="N959" i="20"/>
  <c r="N960" i="20"/>
  <c r="N961" i="20"/>
  <c r="N962" i="20"/>
  <c r="N963" i="20"/>
  <c r="N965" i="20"/>
  <c r="N966" i="20"/>
  <c r="N967" i="20"/>
  <c r="N968" i="20"/>
  <c r="N969" i="20"/>
  <c r="N970" i="20"/>
  <c r="N971" i="20"/>
  <c r="N973" i="20"/>
  <c r="N975" i="20"/>
  <c r="N976" i="20"/>
  <c r="N985" i="20"/>
  <c r="N991" i="20"/>
  <c r="N992" i="20"/>
  <c r="N993" i="20"/>
  <c r="N994" i="20"/>
  <c r="N996" i="20"/>
  <c r="N1000" i="20"/>
  <c r="N1001" i="20"/>
  <c r="N1002" i="20"/>
  <c r="N1003" i="20"/>
  <c r="N1004" i="20"/>
  <c r="N1005" i="20"/>
  <c r="N1006" i="20"/>
  <c r="N1008" i="20"/>
  <c r="N1009" i="20"/>
  <c r="N1010" i="20"/>
  <c r="N1011" i="20"/>
  <c r="N1012" i="20"/>
  <c r="N1013" i="20"/>
  <c r="N1014" i="20"/>
  <c r="N1017" i="20"/>
  <c r="N1018" i="20"/>
  <c r="N1019" i="20"/>
  <c r="N1020" i="20"/>
  <c r="N1021" i="20"/>
  <c r="N1022" i="20"/>
  <c r="N1024" i="20"/>
  <c r="N1025" i="20"/>
  <c r="N1026" i="20"/>
  <c r="N1028" i="20"/>
  <c r="N1029" i="20"/>
  <c r="N1032" i="20"/>
  <c r="N1033" i="20"/>
  <c r="N1035" i="20"/>
  <c r="N1036" i="20"/>
  <c r="N1037" i="20"/>
  <c r="N1040" i="20"/>
  <c r="N1041" i="20"/>
  <c r="N1043" i="20"/>
  <c r="N1044" i="20"/>
  <c r="N1046" i="20"/>
  <c r="N1047" i="20"/>
  <c r="N1048" i="20"/>
  <c r="N1049" i="20"/>
  <c r="N1051" i="20"/>
  <c r="N1052" i="20"/>
  <c r="N1053" i="20"/>
  <c r="N1054" i="20"/>
  <c r="N1056" i="20"/>
  <c r="N1060" i="20"/>
  <c r="N1061" i="20"/>
  <c r="N1062" i="20"/>
  <c r="N1063" i="20"/>
  <c r="N1064" i="20"/>
  <c r="N357" i="20"/>
  <c r="N374" i="20"/>
  <c r="N941" i="20"/>
  <c r="N365" i="20"/>
  <c r="N210" i="20"/>
  <c r="N211" i="20"/>
  <c r="N181" i="20"/>
  <c r="N473" i="20"/>
  <c r="N136" i="20"/>
  <c r="N902" i="20"/>
  <c r="N291" i="20"/>
  <c r="N860" i="20"/>
  <c r="N995" i="20"/>
  <c r="N18" i="20"/>
  <c r="N133" i="20"/>
  <c r="N134" i="20"/>
  <c r="N274" i="20"/>
  <c r="N281" i="20"/>
  <c r="N289" i="20"/>
  <c r="N299" i="20"/>
  <c r="N321" i="20"/>
  <c r="N363" i="20"/>
  <c r="N375" i="20"/>
  <c r="N378" i="20"/>
  <c r="N379" i="20"/>
  <c r="N380" i="20"/>
  <c r="N385" i="20"/>
  <c r="N403" i="20"/>
  <c r="N413" i="20"/>
  <c r="N464" i="20"/>
  <c r="N470" i="20"/>
  <c r="N491" i="20"/>
  <c r="N523" i="20"/>
  <c r="N533" i="20"/>
  <c r="N624" i="20"/>
  <c r="N632" i="20"/>
  <c r="N633" i="20"/>
  <c r="N636" i="20"/>
  <c r="N637" i="20"/>
  <c r="N638" i="20"/>
  <c r="N661" i="20"/>
  <c r="N702" i="20"/>
  <c r="N706" i="20"/>
  <c r="N710" i="20"/>
  <c r="N713" i="20"/>
  <c r="N715" i="20"/>
  <c r="N716" i="20"/>
  <c r="N717" i="20"/>
  <c r="N718" i="20"/>
  <c r="N719" i="20"/>
  <c r="N720" i="20"/>
  <c r="N721" i="20"/>
  <c r="N722" i="20"/>
  <c r="N723" i="20"/>
  <c r="N724" i="20"/>
  <c r="N725" i="20"/>
  <c r="N726" i="20"/>
  <c r="N727" i="20"/>
  <c r="N728" i="20"/>
  <c r="N729" i="20"/>
  <c r="N730" i="20"/>
  <c r="N731" i="20"/>
  <c r="N732" i="20"/>
  <c r="N733" i="20"/>
  <c r="N736" i="20"/>
  <c r="N737" i="20"/>
  <c r="N740" i="20"/>
  <c r="N741" i="20"/>
  <c r="N742" i="20"/>
  <c r="N744" i="20"/>
  <c r="N745" i="20"/>
  <c r="N747" i="20"/>
  <c r="N750" i="20"/>
  <c r="N751" i="20"/>
  <c r="N752" i="20"/>
  <c r="N753" i="20"/>
  <c r="N756" i="20"/>
  <c r="N757" i="20"/>
  <c r="N758" i="20"/>
  <c r="N761" i="20"/>
  <c r="N763" i="20"/>
  <c r="N767" i="20"/>
  <c r="N770" i="20"/>
  <c r="N777" i="20"/>
  <c r="N778" i="20"/>
  <c r="N779" i="20"/>
  <c r="N780" i="20"/>
  <c r="N781" i="20"/>
  <c r="N782" i="20"/>
  <c r="N783" i="20"/>
  <c r="N784" i="20"/>
  <c r="N787" i="20"/>
  <c r="N788" i="20"/>
  <c r="N789" i="20"/>
  <c r="N790" i="20"/>
  <c r="N791" i="20"/>
  <c r="N802" i="20"/>
  <c r="N803" i="20"/>
  <c r="N804" i="20"/>
  <c r="N9" i="20"/>
  <c r="N808" i="20"/>
  <c r="N809" i="20"/>
  <c r="N814" i="20"/>
  <c r="N815" i="20"/>
  <c r="N820" i="20"/>
  <c r="N823" i="20"/>
  <c r="N825" i="20"/>
  <c r="N831" i="20"/>
  <c r="N838" i="20"/>
  <c r="N846" i="20"/>
  <c r="N847" i="20"/>
  <c r="N856" i="20"/>
  <c r="N858" i="20"/>
  <c r="N866" i="20"/>
  <c r="N978" i="20"/>
  <c r="N979" i="20"/>
  <c r="N980" i="20"/>
  <c r="N981" i="20"/>
  <c r="N982" i="20"/>
  <c r="N983" i="20"/>
  <c r="N984" i="20"/>
  <c r="N986" i="20"/>
  <c r="N987" i="20"/>
  <c r="N988" i="20"/>
  <c r="N989" i="20"/>
  <c r="N990" i="20"/>
  <c r="N998" i="20"/>
  <c r="N999" i="20"/>
  <c r="N1007" i="20"/>
  <c r="N1027" i="20"/>
  <c r="N1031" i="20"/>
  <c r="N1034" i="20"/>
  <c r="N1042" i="20"/>
  <c r="N1045" i="20"/>
  <c r="N1055" i="20"/>
  <c r="N1057" i="20"/>
  <c r="N267" i="20"/>
  <c r="N329" i="20"/>
  <c r="N340" i="20"/>
  <c r="N342" i="20"/>
  <c r="N352" i="20"/>
  <c r="N393" i="20"/>
  <c r="N396" i="20"/>
  <c r="N398" i="20"/>
  <c r="N402" i="20"/>
  <c r="N408" i="20"/>
  <c r="N435" i="20"/>
  <c r="N437" i="20"/>
  <c r="N450" i="20"/>
  <c r="N519" i="20"/>
  <c r="N521" i="20"/>
  <c r="N604" i="20"/>
  <c r="N610" i="20"/>
  <c r="N611" i="20"/>
  <c r="N614" i="20"/>
  <c r="N617" i="20"/>
  <c r="N644" i="20"/>
  <c r="N657" i="20"/>
  <c r="N663" i="20"/>
  <c r="N664" i="20"/>
  <c r="N666" i="20"/>
  <c r="N697" i="20"/>
  <c r="N698" i="20"/>
  <c r="N699" i="20"/>
  <c r="N700" i="20"/>
  <c r="N705" i="20"/>
  <c r="N872" i="20"/>
  <c r="N920" i="20"/>
  <c r="N940" i="20"/>
  <c r="N1059" i="20"/>
  <c r="N391" i="20"/>
  <c r="N394" i="20"/>
  <c r="N406" i="20"/>
  <c r="N414" i="20"/>
  <c r="N415" i="20"/>
  <c r="N419" i="20"/>
  <c r="N420" i="20"/>
  <c r="N493" i="20"/>
  <c r="N550" i="20"/>
  <c r="N703" i="20"/>
  <c r="N497" i="20"/>
  <c r="N501" i="20"/>
  <c r="N537" i="20"/>
  <c r="N552" i="20"/>
  <c r="N557" i="20"/>
  <c r="N563" i="20"/>
  <c r="N564" i="20"/>
  <c r="N582" i="20"/>
  <c r="N586" i="20"/>
  <c r="N622" i="20"/>
  <c r="N154" i="20"/>
  <c r="N295" i="20"/>
  <c r="N303" i="20"/>
  <c r="N381" i="20"/>
  <c r="N383" i="20"/>
  <c r="N389" i="20"/>
  <c r="N397" i="20"/>
  <c r="N461" i="20"/>
  <c r="N467" i="20"/>
  <c r="N469" i="20"/>
  <c r="N477" i="20"/>
  <c r="N478" i="20"/>
  <c r="N479" i="20"/>
  <c r="N483" i="20"/>
  <c r="N484" i="20"/>
  <c r="N486" i="20"/>
  <c r="N487" i="20"/>
  <c r="N488" i="20"/>
  <c r="N489" i="20"/>
  <c r="N490" i="20"/>
  <c r="N498" i="20"/>
  <c r="N502" i="20"/>
  <c r="N506" i="20"/>
  <c r="N510" i="20"/>
  <c r="N511" i="20"/>
  <c r="N542" i="20"/>
  <c r="N544" i="20"/>
  <c r="N553" i="20"/>
  <c r="N555" i="20"/>
  <c r="N565" i="20"/>
  <c r="N566" i="20"/>
  <c r="N571" i="20"/>
  <c r="N583" i="20"/>
  <c r="N587" i="20"/>
  <c r="N596" i="20"/>
  <c r="N601" i="20"/>
  <c r="N602" i="20"/>
  <c r="N603" i="20"/>
  <c r="N627" i="20"/>
  <c r="N629" i="20"/>
  <c r="N645" i="20"/>
  <c r="N649" i="20"/>
  <c r="N650" i="20"/>
  <c r="N651" i="20"/>
  <c r="N653" i="20"/>
  <c r="N654" i="20"/>
  <c r="N667" i="20"/>
  <c r="N668" i="20"/>
  <c r="N669" i="20"/>
  <c r="N670" i="20"/>
  <c r="N671" i="20"/>
  <c r="N672" i="20"/>
  <c r="N673" i="20"/>
  <c r="N674" i="20"/>
  <c r="N675" i="20"/>
  <c r="N676" i="20"/>
  <c r="N677" i="20"/>
  <c r="N678" i="20"/>
  <c r="N679" i="20"/>
  <c r="N680" i="20"/>
  <c r="N681" i="20"/>
  <c r="N682" i="20"/>
  <c r="N684" i="20"/>
  <c r="N686" i="20"/>
  <c r="N687" i="20"/>
  <c r="N688" i="20"/>
  <c r="N689" i="20"/>
  <c r="N696" i="20"/>
  <c r="N735" i="20"/>
  <c r="N762" i="20"/>
  <c r="N798" i="20"/>
  <c r="N824" i="20"/>
  <c r="N865" i="20"/>
  <c r="N893" i="20"/>
  <c r="N964" i="20"/>
  <c r="N1050" i="20"/>
  <c r="N28" i="20"/>
  <c r="N37" i="20"/>
  <c r="N72" i="20"/>
  <c r="N74" i="20"/>
  <c r="N85" i="20"/>
  <c r="N94" i="20"/>
  <c r="N103" i="20"/>
  <c r="N104" i="20"/>
  <c r="N114" i="20"/>
  <c r="N115" i="20"/>
  <c r="N116" i="20"/>
  <c r="N126" i="20"/>
  <c r="N153" i="20"/>
  <c r="N170" i="20"/>
  <c r="N174" i="20"/>
  <c r="N250" i="20"/>
  <c r="N270" i="20"/>
  <c r="N275" i="20"/>
  <c r="N276" i="20"/>
  <c r="N382" i="20"/>
  <c r="N387" i="20"/>
  <c r="N630" i="20"/>
  <c r="N739" i="20"/>
  <c r="N749" i="20"/>
  <c r="N772" i="20"/>
  <c r="N797" i="20"/>
  <c r="N623" i="20"/>
  <c r="P35" i="20"/>
  <c r="P285" i="20"/>
  <c r="P300" i="20"/>
  <c r="P309" i="20"/>
  <c r="P311" i="20"/>
  <c r="P312" i="20"/>
  <c r="P315" i="20"/>
  <c r="P317" i="20"/>
  <c r="P318" i="20"/>
  <c r="P323" i="20"/>
  <c r="P356" i="20"/>
  <c r="P376" i="20"/>
  <c r="P390" i="20"/>
  <c r="P405" i="20"/>
  <c r="P457" i="20"/>
  <c r="P458" i="20"/>
  <c r="P525" i="20"/>
  <c r="P526" i="20"/>
  <c r="P527" i="20"/>
  <c r="P530" i="20"/>
  <c r="P535" i="20"/>
  <c r="P558" i="20"/>
  <c r="P593" i="20"/>
  <c r="P647" i="20"/>
  <c r="P652" i="20"/>
  <c r="P771" i="20"/>
  <c r="P776" i="20"/>
  <c r="P785" i="20"/>
  <c r="P821" i="20"/>
  <c r="P827" i="20"/>
  <c r="P832" i="20"/>
  <c r="P834" i="20"/>
  <c r="P837" i="20"/>
  <c r="P853" i="20"/>
  <c r="P855" i="20"/>
  <c r="P857" i="20"/>
  <c r="P861" i="20"/>
  <c r="P870" i="20"/>
  <c r="P875" i="20"/>
  <c r="P884" i="20"/>
  <c r="P890" i="20"/>
  <c r="P922" i="20"/>
  <c r="P932" i="20"/>
  <c r="P956" i="20"/>
  <c r="P972" i="20"/>
  <c r="P974" i="20"/>
  <c r="P977" i="20"/>
  <c r="P997" i="20"/>
  <c r="P1015" i="20"/>
  <c r="P1016" i="20"/>
  <c r="P1023" i="20"/>
  <c r="P1030" i="20"/>
  <c r="P1038" i="20"/>
  <c r="P1039" i="20"/>
  <c r="P313" i="20"/>
  <c r="P12" i="20"/>
  <c r="P13" i="20"/>
  <c r="P14" i="20"/>
  <c r="P15" i="20"/>
  <c r="P17" i="20"/>
  <c r="P10" i="20"/>
  <c r="P19" i="20"/>
  <c r="P20" i="20"/>
  <c r="P21" i="20"/>
  <c r="P22" i="20"/>
  <c r="P23" i="20"/>
  <c r="P24" i="20"/>
  <c r="P262" i="20"/>
  <c r="P25" i="20"/>
  <c r="P26" i="20"/>
  <c r="P27" i="20"/>
  <c r="P29" i="20"/>
  <c r="P33" i="20"/>
  <c r="P34" i="20"/>
  <c r="P36" i="20"/>
  <c r="P41" i="20"/>
  <c r="P42" i="20"/>
  <c r="P43" i="20"/>
  <c r="P44" i="20"/>
  <c r="P45" i="20"/>
  <c r="P46" i="20"/>
  <c r="P47" i="20"/>
  <c r="P48" i="20"/>
  <c r="P49" i="20"/>
  <c r="P50" i="20"/>
  <c r="P51" i="20"/>
  <c r="P52" i="20"/>
  <c r="P53" i="20"/>
  <c r="P55" i="20"/>
  <c r="P56" i="20"/>
  <c r="P57" i="20"/>
  <c r="P58" i="20"/>
  <c r="P60" i="20"/>
  <c r="P61" i="20"/>
  <c r="P62" i="20"/>
  <c r="P64" i="20"/>
  <c r="P66" i="20"/>
  <c r="P67" i="20"/>
  <c r="P70" i="20"/>
  <c r="P71" i="20"/>
  <c r="P73" i="20"/>
  <c r="P75" i="20"/>
  <c r="P76" i="20"/>
  <c r="P77" i="20"/>
  <c r="P78" i="20"/>
  <c r="P79" i="20"/>
  <c r="P80" i="20"/>
  <c r="P81" i="20"/>
  <c r="P82" i="20"/>
  <c r="P83" i="20"/>
  <c r="P84" i="20"/>
  <c r="P86" i="20"/>
  <c r="P87" i="20"/>
  <c r="P89" i="20"/>
  <c r="P90" i="20"/>
  <c r="P91" i="20"/>
  <c r="P92" i="20"/>
  <c r="P93" i="20"/>
  <c r="P95" i="20"/>
  <c r="P96" i="20"/>
  <c r="P97" i="20"/>
  <c r="P98" i="20"/>
  <c r="P99" i="20"/>
  <c r="P100" i="20"/>
  <c r="P106" i="20"/>
  <c r="P107" i="20"/>
  <c r="P108" i="20"/>
  <c r="P109" i="20"/>
  <c r="P110" i="20"/>
  <c r="P111" i="20"/>
  <c r="P112" i="20"/>
  <c r="P113" i="20"/>
  <c r="P117" i="20"/>
  <c r="P118" i="20"/>
  <c r="P120" i="20"/>
  <c r="P121" i="20"/>
  <c r="P122" i="20"/>
  <c r="P123" i="20"/>
  <c r="P124" i="20"/>
  <c r="P125" i="20"/>
  <c r="P129" i="20"/>
  <c r="P130" i="20"/>
  <c r="P131" i="20"/>
  <c r="P132" i="20"/>
  <c r="P138" i="20"/>
  <c r="P139" i="20"/>
  <c r="P140" i="20"/>
  <c r="P141" i="20"/>
  <c r="P142" i="20"/>
  <c r="P143" i="20"/>
  <c r="P144" i="20"/>
  <c r="P145" i="20"/>
  <c r="P146" i="20"/>
  <c r="P147" i="20"/>
  <c r="P148" i="20"/>
  <c r="P149" i="20"/>
  <c r="P150" i="20"/>
  <c r="P151" i="20"/>
  <c r="P157" i="20"/>
  <c r="P158" i="20"/>
  <c r="P159" i="20"/>
  <c r="P160" i="20"/>
  <c r="P162" i="20"/>
  <c r="P164" i="20"/>
  <c r="P165" i="20"/>
  <c r="P166" i="20"/>
  <c r="P167" i="20"/>
  <c r="P168" i="20"/>
  <c r="P169" i="20"/>
  <c r="P173" i="20"/>
  <c r="P177" i="20"/>
  <c r="P178" i="20"/>
  <c r="P179" i="20"/>
  <c r="P180" i="20"/>
  <c r="P182" i="20"/>
  <c r="P183" i="20"/>
  <c r="P184" i="20"/>
  <c r="P186" i="20"/>
  <c r="P187" i="20"/>
  <c r="P188" i="20"/>
  <c r="P189" i="20"/>
  <c r="P190" i="20"/>
  <c r="P191" i="20"/>
  <c r="P193" i="20"/>
  <c r="P194" i="20"/>
  <c r="P195" i="20"/>
  <c r="P196" i="20"/>
  <c r="P197" i="20"/>
  <c r="P198" i="20"/>
  <c r="P199" i="20"/>
  <c r="P200" i="20"/>
  <c r="P201" i="20"/>
  <c r="P202" i="20"/>
  <c r="P203" i="20"/>
  <c r="P204" i="20"/>
  <c r="P205" i="20"/>
  <c r="P206" i="20"/>
  <c r="P207" i="20"/>
  <c r="P208" i="20"/>
  <c r="P209" i="20"/>
  <c r="P214" i="20"/>
  <c r="P216" i="20"/>
  <c r="P217" i="20"/>
  <c r="P218" i="20"/>
  <c r="P219" i="20"/>
  <c r="P220" i="20"/>
  <c r="P221" i="20"/>
  <c r="P222" i="20"/>
  <c r="P223" i="20"/>
  <c r="P224" i="20"/>
  <c r="P225" i="20"/>
  <c r="P226" i="20"/>
  <c r="P227" i="20"/>
  <c r="P228" i="20"/>
  <c r="P230" i="20"/>
  <c r="P232" i="20"/>
  <c r="P233" i="20"/>
  <c r="P234" i="20"/>
  <c r="P235" i="20"/>
  <c r="P236" i="20"/>
  <c r="P237" i="20"/>
  <c r="P238" i="20"/>
  <c r="P240" i="20"/>
  <c r="P242" i="20"/>
  <c r="P243" i="20"/>
  <c r="P244" i="20"/>
  <c r="P245" i="20"/>
  <c r="P246" i="20"/>
  <c r="P247" i="20"/>
  <c r="P248" i="20"/>
  <c r="P249" i="20"/>
  <c r="P251" i="20"/>
  <c r="P254" i="20"/>
  <c r="P255" i="20"/>
  <c r="P256" i="20"/>
  <c r="P257" i="20"/>
  <c r="P272" i="20"/>
  <c r="P273" i="20"/>
  <c r="P277" i="20"/>
  <c r="P278" i="20"/>
  <c r="P280" i="20"/>
  <c r="P282" i="20"/>
  <c r="P283" i="20"/>
  <c r="P284" i="20"/>
  <c r="P286" i="20"/>
  <c r="P287" i="20"/>
  <c r="P288" i="20"/>
  <c r="P290" i="20"/>
  <c r="P292" i="20"/>
  <c r="P293" i="20"/>
  <c r="P294" i="20"/>
  <c r="P296" i="20"/>
  <c r="P297" i="20"/>
  <c r="P298" i="20"/>
  <c r="P301" i="20"/>
  <c r="P302" i="20"/>
  <c r="P304" i="20"/>
  <c r="P305" i="20"/>
  <c r="P307" i="20"/>
  <c r="P308" i="20"/>
  <c r="P310" i="20"/>
  <c r="P314" i="20"/>
  <c r="P316" i="20"/>
  <c r="P319" i="20"/>
  <c r="P320" i="20"/>
  <c r="P322" i="20"/>
  <c r="P324" i="20"/>
  <c r="P325" i="20"/>
  <c r="P326" i="20"/>
  <c r="P327" i="20"/>
  <c r="P328" i="20"/>
  <c r="P330" i="20"/>
  <c r="P331" i="20"/>
  <c r="P332" i="20"/>
  <c r="P333" i="20"/>
  <c r="P334" i="20"/>
  <c r="P335" i="20"/>
  <c r="P336" i="20"/>
  <c r="P337" i="20"/>
  <c r="P338" i="20"/>
  <c r="P343" i="20"/>
  <c r="P344" i="20"/>
  <c r="P345" i="20"/>
  <c r="P346" i="20"/>
  <c r="P347" i="20"/>
  <c r="P348" i="20"/>
  <c r="P349" i="20"/>
  <c r="P350" i="20"/>
  <c r="P351" i="20"/>
  <c r="P353" i="20"/>
  <c r="P354" i="20"/>
  <c r="P355" i="20"/>
  <c r="P358" i="20"/>
  <c r="P359" i="20"/>
  <c r="P360" i="20"/>
  <c r="P361" i="20"/>
  <c r="P362" i="20"/>
  <c r="P366" i="20"/>
  <c r="P367" i="20"/>
  <c r="P368" i="20"/>
  <c r="P369" i="20"/>
  <c r="P370" i="20"/>
  <c r="P371" i="20"/>
  <c r="P372" i="20"/>
  <c r="P373" i="20"/>
  <c r="P377" i="20"/>
  <c r="P384" i="20"/>
  <c r="P386" i="20"/>
  <c r="P388" i="20"/>
  <c r="P392" i="20"/>
  <c r="P395" i="20"/>
  <c r="P399" i="20"/>
  <c r="P400" i="20"/>
  <c r="P401" i="20"/>
  <c r="P404" i="20"/>
  <c r="P407" i="20"/>
  <c r="P410" i="20"/>
  <c r="P411" i="20"/>
  <c r="P412" i="20"/>
  <c r="P416" i="20"/>
  <c r="P417" i="20"/>
  <c r="P418" i="20"/>
  <c r="P421" i="20"/>
  <c r="P422" i="20"/>
  <c r="P423" i="20"/>
  <c r="P424" i="20"/>
  <c r="P425" i="20"/>
  <c r="P426" i="20"/>
  <c r="P427" i="20"/>
  <c r="P428" i="20"/>
  <c r="P429" i="20"/>
  <c r="P430" i="20"/>
  <c r="P431" i="20"/>
  <c r="P433" i="20"/>
  <c r="P438" i="20"/>
  <c r="P439" i="20"/>
  <c r="P440" i="20"/>
  <c r="P441" i="20"/>
  <c r="P442" i="20"/>
  <c r="P443" i="20"/>
  <c r="P444" i="20"/>
  <c r="P445" i="20"/>
  <c r="P446" i="20"/>
  <c r="P447" i="20"/>
  <c r="P451" i="20"/>
  <c r="P452" i="20"/>
  <c r="P453" i="20"/>
  <c r="P454" i="20"/>
  <c r="P455" i="20"/>
  <c r="P456" i="20"/>
  <c r="P460" i="20"/>
  <c r="P462" i="20"/>
  <c r="P463" i="20"/>
  <c r="P465" i="20"/>
  <c r="P466" i="20"/>
  <c r="P468" i="20"/>
  <c r="P471" i="20"/>
  <c r="P472" i="20"/>
  <c r="P474" i="20"/>
  <c r="P475" i="20"/>
  <c r="P476" i="20"/>
  <c r="P480" i="20"/>
  <c r="P481" i="20"/>
  <c r="P482" i="20"/>
  <c r="P485" i="20"/>
  <c r="P494" i="20"/>
  <c r="P495" i="20"/>
  <c r="P499" i="20"/>
  <c r="P503" i="20"/>
  <c r="P504" i="20"/>
  <c r="P505" i="20"/>
  <c r="P507" i="20"/>
  <c r="P508" i="20"/>
  <c r="P509" i="20"/>
  <c r="P512" i="20"/>
  <c r="P513" i="20"/>
  <c r="P514" i="20"/>
  <c r="P515" i="20"/>
  <c r="P516" i="20"/>
  <c r="P517" i="20"/>
  <c r="P520" i="20"/>
  <c r="P524" i="20"/>
  <c r="P528" i="20"/>
  <c r="P529" i="20"/>
  <c r="P531" i="20"/>
  <c r="P532" i="20"/>
  <c r="P534" i="20"/>
  <c r="P538" i="20"/>
  <c r="P539" i="20"/>
  <c r="P540" i="20"/>
  <c r="P541" i="20"/>
  <c r="P543" i="20"/>
  <c r="P545" i="20"/>
  <c r="P546" i="20"/>
  <c r="P547" i="20"/>
  <c r="P548" i="20"/>
  <c r="P549" i="20"/>
  <c r="P554" i="20"/>
  <c r="P559" i="20"/>
  <c r="P560" i="20"/>
  <c r="P567" i="20"/>
  <c r="P568" i="20"/>
  <c r="P569" i="20"/>
  <c r="P570" i="20"/>
  <c r="P572" i="20"/>
  <c r="P573" i="20"/>
  <c r="P574" i="20"/>
  <c r="P575" i="20"/>
  <c r="P576" i="20"/>
  <c r="P577" i="20"/>
  <c r="P578" i="20"/>
  <c r="P579" i="20"/>
  <c r="P580" i="20"/>
  <c r="P584" i="20"/>
  <c r="P588" i="20"/>
  <c r="P589" i="20"/>
  <c r="P590" i="20"/>
  <c r="P591" i="20"/>
  <c r="P592" i="20"/>
  <c r="P594" i="20"/>
  <c r="P595" i="20"/>
  <c r="P597" i="20"/>
  <c r="P598" i="20"/>
  <c r="P599" i="20"/>
  <c r="P600" i="20"/>
  <c r="P605" i="20"/>
  <c r="P606" i="20"/>
  <c r="P607" i="20"/>
  <c r="P608" i="20"/>
  <c r="P612" i="20"/>
  <c r="P615" i="20"/>
  <c r="P616" i="20"/>
  <c r="P620" i="20"/>
  <c r="P625" i="20"/>
  <c r="P626" i="20"/>
  <c r="P628" i="20"/>
  <c r="P631" i="20"/>
  <c r="P634" i="20"/>
  <c r="P635" i="20"/>
  <c r="P639" i="20"/>
  <c r="P640" i="20"/>
  <c r="P641" i="20"/>
  <c r="P642" i="20"/>
  <c r="P643" i="20"/>
  <c r="P646" i="20"/>
  <c r="P659" i="20"/>
  <c r="P660" i="20"/>
  <c r="P662" i="20"/>
  <c r="P683" i="20"/>
  <c r="P690" i="20"/>
  <c r="P692" i="20"/>
  <c r="P704" i="20"/>
  <c r="P707" i="20"/>
  <c r="P708" i="20"/>
  <c r="P709" i="20"/>
  <c r="P711" i="20"/>
  <c r="P734" i="20"/>
  <c r="P738" i="20"/>
  <c r="P743" i="20"/>
  <c r="P746" i="20"/>
  <c r="P748" i="20"/>
  <c r="P754" i="20"/>
  <c r="P760" i="20"/>
  <c r="P764" i="20"/>
  <c r="P765" i="20"/>
  <c r="P766" i="20"/>
  <c r="P768" i="20"/>
  <c r="P769" i="20"/>
  <c r="P773" i="20"/>
  <c r="P774" i="20"/>
  <c r="P775" i="20"/>
  <c r="P786" i="20"/>
  <c r="P792" i="20"/>
  <c r="P793" i="20"/>
  <c r="P795" i="20"/>
  <c r="P796" i="20"/>
  <c r="P799" i="20"/>
  <c r="P801" i="20"/>
  <c r="P806" i="20"/>
  <c r="P807" i="20"/>
  <c r="P811" i="20"/>
  <c r="P812" i="20"/>
  <c r="P813" i="20"/>
  <c r="P816" i="20"/>
  <c r="P817" i="20"/>
  <c r="P818" i="20"/>
  <c r="P819" i="20"/>
  <c r="P822" i="20"/>
  <c r="P828" i="20"/>
  <c r="P829" i="20"/>
  <c r="P830" i="20"/>
  <c r="P833" i="20"/>
  <c r="P835" i="20"/>
  <c r="P836" i="20"/>
  <c r="P839" i="20"/>
  <c r="P840" i="20"/>
  <c r="P841" i="20"/>
  <c r="P842" i="20"/>
  <c r="P843" i="20"/>
  <c r="P844" i="20"/>
  <c r="P845" i="20"/>
  <c r="P848" i="20"/>
  <c r="P849" i="20"/>
  <c r="P850" i="20"/>
  <c r="P851" i="20"/>
  <c r="P852" i="20"/>
  <c r="P854" i="20"/>
  <c r="P859" i="20"/>
  <c r="P862" i="20"/>
  <c r="P863" i="20"/>
  <c r="P864" i="20"/>
  <c r="P867" i="20"/>
  <c r="P868" i="20"/>
  <c r="P869" i="20"/>
  <c r="P871" i="20"/>
  <c r="P873" i="20"/>
  <c r="P874" i="20"/>
  <c r="P877" i="20"/>
  <c r="P878" i="20"/>
  <c r="P879" i="20"/>
  <c r="P880" i="20"/>
  <c r="P881" i="20"/>
  <c r="P882" i="20"/>
  <c r="P883" i="20"/>
  <c r="P885" i="20"/>
  <c r="P886" i="20"/>
  <c r="P887" i="20"/>
  <c r="P888" i="20"/>
  <c r="P889" i="20"/>
  <c r="P891" i="20"/>
  <c r="P892" i="20"/>
  <c r="P894" i="20"/>
  <c r="P895" i="20"/>
  <c r="P896" i="20"/>
  <c r="P897" i="20"/>
  <c r="P898" i="20"/>
  <c r="P899" i="20"/>
  <c r="P900" i="20"/>
  <c r="P901" i="20"/>
  <c r="P903" i="20"/>
  <c r="P904" i="20"/>
  <c r="P905" i="20"/>
  <c r="P908" i="20"/>
  <c r="P909" i="20"/>
  <c r="P910" i="20"/>
  <c r="P911" i="20"/>
  <c r="P912" i="20"/>
  <c r="P913" i="20"/>
  <c r="P914" i="20"/>
  <c r="P915" i="20"/>
  <c r="P916" i="20"/>
  <c r="P917" i="20"/>
  <c r="P918" i="20"/>
  <c r="P919" i="20"/>
  <c r="P921" i="20"/>
  <c r="P924" i="20"/>
  <c r="P927" i="20"/>
  <c r="P928" i="20"/>
  <c r="P929" i="20"/>
  <c r="P930" i="20"/>
  <c r="P931" i="20"/>
  <c r="P933" i="20"/>
  <c r="P934" i="20"/>
  <c r="P935" i="20"/>
  <c r="P936" i="20"/>
  <c r="P937" i="20"/>
  <c r="P938" i="20"/>
  <c r="P939" i="20"/>
  <c r="P942" i="20"/>
  <c r="P943" i="20"/>
  <c r="P944" i="20"/>
  <c r="P945" i="20"/>
  <c r="P946" i="20"/>
  <c r="P947" i="20"/>
  <c r="P948" i="20"/>
  <c r="P949" i="20"/>
  <c r="P950" i="20"/>
  <c r="P951" i="20"/>
  <c r="P952" i="20"/>
  <c r="P953" i="20"/>
  <c r="P954" i="20"/>
  <c r="P955" i="20"/>
  <c r="P957" i="20"/>
  <c r="P958" i="20"/>
  <c r="P959" i="20"/>
  <c r="P960" i="20"/>
  <c r="P961" i="20"/>
  <c r="P962" i="20"/>
  <c r="P963" i="20"/>
  <c r="P965" i="20"/>
  <c r="P966" i="20"/>
  <c r="P967" i="20"/>
  <c r="P968" i="20"/>
  <c r="P969" i="20"/>
  <c r="P970" i="20"/>
  <c r="P971" i="20"/>
  <c r="P973" i="20"/>
  <c r="P975" i="20"/>
  <c r="P976" i="20"/>
  <c r="P985" i="20"/>
  <c r="P991" i="20"/>
  <c r="P993" i="20"/>
  <c r="P994" i="20"/>
  <c r="P996" i="20"/>
  <c r="P1000" i="20"/>
  <c r="P1001" i="20"/>
  <c r="P1002" i="20"/>
  <c r="P1003" i="20"/>
  <c r="P1004" i="20"/>
  <c r="P1005" i="20"/>
  <c r="P1006" i="20"/>
  <c r="P1008" i="20"/>
  <c r="P1009" i="20"/>
  <c r="P1010" i="20"/>
  <c r="P1011" i="20"/>
  <c r="P1012" i="20"/>
  <c r="P1013" i="20"/>
  <c r="P1014" i="20"/>
  <c r="P1017" i="20"/>
  <c r="P1018" i="20"/>
  <c r="P1019" i="20"/>
  <c r="P1020" i="20"/>
  <c r="P1021" i="20"/>
  <c r="P1022" i="20"/>
  <c r="P1024" i="20"/>
  <c r="P1025" i="20"/>
  <c r="P1026" i="20"/>
  <c r="P1028" i="20"/>
  <c r="P1029" i="20"/>
  <c r="P1032" i="20"/>
  <c r="P1033" i="20"/>
  <c r="P1035" i="20"/>
  <c r="P1036" i="20"/>
  <c r="P1037" i="20"/>
  <c r="P1040" i="20"/>
  <c r="P1041" i="20"/>
  <c r="P1043" i="20"/>
  <c r="P1044" i="20"/>
  <c r="P1046" i="20"/>
  <c r="P1047" i="20"/>
  <c r="P1048" i="20"/>
  <c r="P1049" i="20"/>
  <c r="P1051" i="20"/>
  <c r="P1052" i="20"/>
  <c r="P1053" i="20"/>
  <c r="P1054" i="20"/>
  <c r="P1056" i="20"/>
  <c r="P1060" i="20"/>
  <c r="P1061" i="20"/>
  <c r="P1062" i="20"/>
  <c r="P1063" i="20"/>
  <c r="P1064" i="20"/>
  <c r="P357" i="20"/>
  <c r="P374" i="20"/>
  <c r="P941" i="20"/>
  <c r="P365" i="20"/>
  <c r="P210" i="20"/>
  <c r="P211" i="20"/>
  <c r="P473" i="20"/>
  <c r="P136" i="20"/>
  <c r="P902" i="20"/>
  <c r="P291" i="20"/>
  <c r="P860" i="20"/>
  <c r="P995" i="20"/>
  <c r="P18" i="20"/>
  <c r="P133" i="20"/>
  <c r="P134" i="20"/>
  <c r="P274" i="20"/>
  <c r="P281" i="20"/>
  <c r="P289" i="20"/>
  <c r="P299" i="20"/>
  <c r="P321" i="20"/>
  <c r="P363" i="20"/>
  <c r="P375" i="20"/>
  <c r="P378" i="20"/>
  <c r="P379" i="20"/>
  <c r="P380" i="20"/>
  <c r="P385" i="20"/>
  <c r="P403" i="20"/>
  <c r="P413" i="20"/>
  <c r="P464" i="20"/>
  <c r="P470" i="20"/>
  <c r="P491" i="20"/>
  <c r="P523" i="20"/>
  <c r="P533" i="20"/>
  <c r="P624" i="20"/>
  <c r="P632" i="20"/>
  <c r="P633" i="20"/>
  <c r="P636" i="20"/>
  <c r="P637" i="20"/>
  <c r="P638" i="20"/>
  <c r="P661" i="20"/>
  <c r="P702" i="20"/>
  <c r="P706" i="20"/>
  <c r="P710" i="20"/>
  <c r="P713" i="20"/>
  <c r="P715" i="20"/>
  <c r="P716" i="20"/>
  <c r="P717" i="20"/>
  <c r="P718" i="20"/>
  <c r="P719" i="20"/>
  <c r="P720" i="20"/>
  <c r="P721" i="20"/>
  <c r="P722" i="20"/>
  <c r="P723" i="20"/>
  <c r="P724" i="20"/>
  <c r="P725" i="20"/>
  <c r="P726" i="20"/>
  <c r="P727" i="20"/>
  <c r="P728" i="20"/>
  <c r="P729" i="20"/>
  <c r="P730" i="20"/>
  <c r="P731" i="20"/>
  <c r="P732" i="20"/>
  <c r="P733" i="20"/>
  <c r="P736" i="20"/>
  <c r="P737" i="20"/>
  <c r="P740" i="20"/>
  <c r="P741" i="20"/>
  <c r="P742" i="20"/>
  <c r="P744" i="20"/>
  <c r="P745" i="20"/>
  <c r="P747" i="20"/>
  <c r="P750" i="20"/>
  <c r="P751" i="20"/>
  <c r="P752" i="20"/>
  <c r="P753" i="20"/>
  <c r="P756" i="20"/>
  <c r="P757" i="20"/>
  <c r="P758" i="20"/>
  <c r="P761" i="20"/>
  <c r="P763" i="20"/>
  <c r="P767" i="20"/>
  <c r="P770" i="20"/>
  <c r="P777" i="20"/>
  <c r="P778" i="20"/>
  <c r="P779" i="20"/>
  <c r="P780" i="20"/>
  <c r="P781" i="20"/>
  <c r="P782" i="20"/>
  <c r="P783" i="20"/>
  <c r="P784" i="20"/>
  <c r="P787" i="20"/>
  <c r="P788" i="20"/>
  <c r="P789" i="20"/>
  <c r="P790" i="20"/>
  <c r="P791" i="20"/>
  <c r="P802" i="20"/>
  <c r="P803" i="20"/>
  <c r="P804" i="20"/>
  <c r="P9" i="20"/>
  <c r="P808" i="20"/>
  <c r="P809" i="20"/>
  <c r="P814" i="20"/>
  <c r="P815" i="20"/>
  <c r="P820" i="20"/>
  <c r="P823" i="20"/>
  <c r="P825" i="20"/>
  <c r="P831" i="20"/>
  <c r="P838" i="20"/>
  <c r="P846" i="20"/>
  <c r="P847" i="20"/>
  <c r="P856" i="20"/>
  <c r="P858" i="20"/>
  <c r="P866" i="20"/>
  <c r="P978" i="20"/>
  <c r="P979" i="20"/>
  <c r="P980" i="20"/>
  <c r="P981" i="20"/>
  <c r="P982" i="20"/>
  <c r="P983" i="20"/>
  <c r="P984" i="20"/>
  <c r="P986" i="20"/>
  <c r="P987" i="20"/>
  <c r="P988" i="20"/>
  <c r="P989" i="20"/>
  <c r="P990" i="20"/>
  <c r="P998" i="20"/>
  <c r="P999" i="20"/>
  <c r="P1007" i="20"/>
  <c r="P1027" i="20"/>
  <c r="P1031" i="20"/>
  <c r="P1034" i="20"/>
  <c r="P1042" i="20"/>
  <c r="P1045" i="20"/>
  <c r="P1055" i="20"/>
  <c r="P1057" i="20"/>
  <c r="P267" i="20"/>
  <c r="P329" i="20"/>
  <c r="P340" i="20"/>
  <c r="P342" i="20"/>
  <c r="P393" i="20"/>
  <c r="P409" i="20"/>
  <c r="P437" i="20"/>
  <c r="P450" i="20"/>
  <c r="P496" i="20"/>
  <c r="P500" i="20"/>
  <c r="P521" i="20"/>
  <c r="P536" i="20"/>
  <c r="P551" i="20"/>
  <c r="P581" i="20"/>
  <c r="P585" i="20"/>
  <c r="P604" i="20"/>
  <c r="P610" i="20"/>
  <c r="P611" i="20"/>
  <c r="P614" i="20"/>
  <c r="P700" i="20"/>
  <c r="P872" i="20"/>
  <c r="P1059" i="20"/>
  <c r="P497" i="20"/>
  <c r="P501" i="20"/>
  <c r="P537" i="20"/>
  <c r="P552" i="20"/>
  <c r="P557" i="20"/>
  <c r="P563" i="20"/>
  <c r="P564" i="20"/>
  <c r="P582" i="20"/>
  <c r="P586" i="20"/>
  <c r="P622" i="20"/>
  <c r="P154" i="20"/>
  <c r="P295" i="20"/>
  <c r="P303" i="20"/>
  <c r="P381" i="20"/>
  <c r="P383" i="20"/>
  <c r="P389" i="20"/>
  <c r="P397" i="20"/>
  <c r="P461" i="20"/>
  <c r="P467" i="20"/>
  <c r="P469" i="20"/>
  <c r="P477" i="20"/>
  <c r="P478" i="20"/>
  <c r="P479" i="20"/>
  <c r="P483" i="20"/>
  <c r="P484" i="20"/>
  <c r="P486" i="20"/>
  <c r="P487" i="20"/>
  <c r="P488" i="20"/>
  <c r="P489" i="20"/>
  <c r="P490" i="20"/>
  <c r="P498" i="20"/>
  <c r="P502" i="20"/>
  <c r="P506" i="20"/>
  <c r="P510" i="20"/>
  <c r="P511" i="20"/>
  <c r="P542" i="20"/>
  <c r="P544" i="20"/>
  <c r="P553" i="20"/>
  <c r="P555" i="20"/>
  <c r="P565" i="20"/>
  <c r="P566" i="20"/>
  <c r="P571" i="20"/>
  <c r="P583" i="20"/>
  <c r="P587" i="20"/>
  <c r="P596" i="20"/>
  <c r="P601" i="20"/>
  <c r="P602" i="20"/>
  <c r="P603" i="20"/>
  <c r="P627" i="20"/>
  <c r="P629" i="20"/>
  <c r="P645" i="20"/>
  <c r="P649" i="20"/>
  <c r="P650" i="20"/>
  <c r="P651" i="20"/>
  <c r="P653" i="20"/>
  <c r="P654" i="20"/>
  <c r="P667" i="20"/>
  <c r="P668" i="20"/>
  <c r="P669" i="20"/>
  <c r="P670" i="20"/>
  <c r="P671" i="20"/>
  <c r="P672" i="20"/>
  <c r="P673" i="20"/>
  <c r="P674" i="20"/>
  <c r="P675" i="20"/>
  <c r="P676" i="20"/>
  <c r="P677" i="20"/>
  <c r="P678" i="20"/>
  <c r="P679" i="20"/>
  <c r="P680" i="20"/>
  <c r="P681" i="20"/>
  <c r="P682" i="20"/>
  <c r="P684" i="20"/>
  <c r="P686" i="20"/>
  <c r="P687" i="20"/>
  <c r="P688" i="20"/>
  <c r="P689" i="20"/>
  <c r="P696" i="20"/>
  <c r="P735" i="20"/>
  <c r="P762" i="20"/>
  <c r="P798" i="20"/>
  <c r="P824" i="20"/>
  <c r="P865" i="20"/>
  <c r="P893" i="20"/>
  <c r="P964" i="20"/>
  <c r="P1050" i="20"/>
  <c r="P28" i="20"/>
  <c r="P37" i="20"/>
  <c r="P72" i="20"/>
  <c r="P74" i="20"/>
  <c r="P85" i="20"/>
  <c r="P94" i="20"/>
  <c r="P103" i="20"/>
  <c r="P104" i="20"/>
  <c r="P114" i="20"/>
  <c r="P115" i="20"/>
  <c r="P116" i="20"/>
  <c r="P126" i="20"/>
  <c r="P153" i="20"/>
  <c r="P170" i="20"/>
  <c r="P174" i="20"/>
  <c r="P250" i="20"/>
  <c r="P270" i="20"/>
  <c r="P275" i="20"/>
  <c r="P276" i="20"/>
  <c r="P382" i="20"/>
  <c r="P387" i="20"/>
  <c r="P630" i="20"/>
  <c r="P739" i="20"/>
  <c r="P749" i="20"/>
  <c r="P772" i="20"/>
  <c r="P797" i="20"/>
  <c r="P16" i="20"/>
  <c r="N16" i="20"/>
  <c r="H365" i="20" l="1"/>
  <c r="H35" i="20"/>
  <c r="H285" i="20"/>
  <c r="H300" i="20"/>
  <c r="H309" i="20"/>
  <c r="H311" i="20"/>
  <c r="H312" i="20"/>
  <c r="H315" i="20"/>
  <c r="H317" i="20"/>
  <c r="H318" i="20"/>
  <c r="H323" i="20"/>
  <c r="H356" i="20"/>
  <c r="H376" i="20"/>
  <c r="H390" i="20"/>
  <c r="H405" i="20"/>
  <c r="H457" i="20"/>
  <c r="H458" i="20"/>
  <c r="H525" i="20"/>
  <c r="H526" i="20"/>
  <c r="H527" i="20"/>
  <c r="H530" i="20"/>
  <c r="H535" i="20"/>
  <c r="H556" i="20"/>
  <c r="H558" i="20"/>
  <c r="H593" i="20"/>
  <c r="H647" i="20"/>
  <c r="H652" i="20"/>
  <c r="H771" i="20"/>
  <c r="H776" i="20"/>
  <c r="H785" i="20"/>
  <c r="H821" i="20"/>
  <c r="H827" i="20"/>
  <c r="H832" i="20"/>
  <c r="H834" i="20"/>
  <c r="H837" i="20"/>
  <c r="H853" i="20"/>
  <c r="H855" i="20"/>
  <c r="H857" i="20"/>
  <c r="H861" i="20"/>
  <c r="H870" i="20"/>
  <c r="H875" i="20"/>
  <c r="H884" i="20"/>
  <c r="H890" i="20"/>
  <c r="H922" i="20"/>
  <c r="H925" i="20"/>
  <c r="H932" i="20"/>
  <c r="H956" i="20"/>
  <c r="H972" i="20"/>
  <c r="H974" i="20"/>
  <c r="H977" i="20"/>
  <c r="H997" i="20"/>
  <c r="H1015" i="20"/>
  <c r="H1016" i="20"/>
  <c r="H1023" i="20"/>
  <c r="H1030" i="20"/>
  <c r="H1038" i="20"/>
  <c r="H1039" i="20"/>
  <c r="H313" i="20"/>
  <c r="H12" i="20"/>
  <c r="H13" i="20"/>
  <c r="H14" i="20"/>
  <c r="H15" i="20"/>
  <c r="H17" i="20"/>
  <c r="H10" i="20"/>
  <c r="H19" i="20"/>
  <c r="H20" i="20"/>
  <c r="H21" i="20"/>
  <c r="H22" i="20"/>
  <c r="H23" i="20"/>
  <c r="H24" i="20"/>
  <c r="H262" i="20"/>
  <c r="H25" i="20"/>
  <c r="H26" i="20"/>
  <c r="H27" i="20"/>
  <c r="H29" i="20"/>
  <c r="H33" i="20"/>
  <c r="H36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5" i="20"/>
  <c r="H56" i="20"/>
  <c r="H58" i="20"/>
  <c r="H60" i="20"/>
  <c r="H61" i="20"/>
  <c r="H62" i="20"/>
  <c r="H64" i="20"/>
  <c r="H66" i="20"/>
  <c r="H67" i="20"/>
  <c r="H70" i="20"/>
  <c r="H71" i="20"/>
  <c r="H73" i="20"/>
  <c r="H75" i="20"/>
  <c r="H76" i="20"/>
  <c r="H77" i="20"/>
  <c r="H78" i="20"/>
  <c r="H80" i="20"/>
  <c r="H81" i="20"/>
  <c r="H82" i="20"/>
  <c r="H83" i="20"/>
  <c r="H84" i="20"/>
  <c r="H86" i="20"/>
  <c r="H87" i="20"/>
  <c r="H89" i="20"/>
  <c r="H90" i="20"/>
  <c r="H91" i="20"/>
  <c r="H92" i="20"/>
  <c r="H93" i="20"/>
  <c r="H95" i="20"/>
  <c r="H96" i="20"/>
  <c r="H97" i="20"/>
  <c r="H98" i="20"/>
  <c r="H99" i="20"/>
  <c r="H100" i="20"/>
  <c r="H106" i="20"/>
  <c r="H107" i="20"/>
  <c r="H108" i="20"/>
  <c r="H109" i="20"/>
  <c r="H110" i="20"/>
  <c r="H111" i="20"/>
  <c r="H112" i="20"/>
  <c r="H113" i="20"/>
  <c r="H117" i="20"/>
  <c r="H118" i="20"/>
  <c r="H120" i="20"/>
  <c r="H121" i="20"/>
  <c r="H122" i="20"/>
  <c r="H123" i="20"/>
  <c r="H124" i="20"/>
  <c r="H125" i="20"/>
  <c r="H129" i="20"/>
  <c r="H130" i="20"/>
  <c r="H131" i="20"/>
  <c r="H132" i="20"/>
  <c r="H138" i="20"/>
  <c r="H139" i="20"/>
  <c r="H140" i="20"/>
  <c r="H141" i="20"/>
  <c r="H142" i="20"/>
  <c r="H143" i="20"/>
  <c r="H144" i="20"/>
  <c r="H145" i="20"/>
  <c r="H146" i="20"/>
  <c r="H147" i="20"/>
  <c r="H148" i="20"/>
  <c r="H149" i="20"/>
  <c r="H150" i="20"/>
  <c r="H151" i="20"/>
  <c r="H157" i="20"/>
  <c r="H158" i="20"/>
  <c r="H160" i="20"/>
  <c r="H162" i="20"/>
  <c r="H164" i="20"/>
  <c r="H165" i="20"/>
  <c r="H166" i="20"/>
  <c r="H167" i="20"/>
  <c r="H168" i="20"/>
  <c r="H169" i="20"/>
  <c r="H173" i="20"/>
  <c r="H177" i="20"/>
  <c r="H178" i="20"/>
  <c r="H179" i="20"/>
  <c r="H182" i="20"/>
  <c r="H183" i="20"/>
  <c r="H184" i="20"/>
  <c r="H186" i="20"/>
  <c r="H188" i="20"/>
  <c r="H189" i="20"/>
  <c r="H190" i="20"/>
  <c r="H191" i="20"/>
  <c r="H193" i="20"/>
  <c r="H194" i="20"/>
  <c r="H195" i="20"/>
  <c r="H196" i="20"/>
  <c r="H197" i="20"/>
  <c r="H198" i="20"/>
  <c r="H199" i="20"/>
  <c r="H200" i="20"/>
  <c r="H201" i="20"/>
  <c r="H202" i="20"/>
  <c r="H203" i="20"/>
  <c r="H204" i="20"/>
  <c r="H205" i="20"/>
  <c r="H206" i="20"/>
  <c r="H207" i="20"/>
  <c r="H208" i="20"/>
  <c r="H209" i="20"/>
  <c r="H214" i="20"/>
  <c r="H216" i="20"/>
  <c r="H217" i="20"/>
  <c r="H218" i="20"/>
  <c r="H219" i="20"/>
  <c r="H220" i="20"/>
  <c r="H221" i="20"/>
  <c r="H222" i="20"/>
  <c r="H223" i="20"/>
  <c r="H224" i="20"/>
  <c r="H225" i="20"/>
  <c r="H226" i="20"/>
  <c r="H227" i="20"/>
  <c r="H228" i="20"/>
  <c r="H230" i="20"/>
  <c r="H232" i="20"/>
  <c r="H233" i="20"/>
  <c r="H234" i="20"/>
  <c r="H235" i="20"/>
  <c r="H236" i="20"/>
  <c r="H237" i="20"/>
  <c r="H238" i="20"/>
  <c r="H240" i="20"/>
  <c r="H242" i="20"/>
  <c r="H243" i="20"/>
  <c r="H244" i="20"/>
  <c r="H245" i="20"/>
  <c r="H246" i="20"/>
  <c r="H247" i="20"/>
  <c r="H248" i="20"/>
  <c r="H249" i="20"/>
  <c r="H251" i="20"/>
  <c r="H254" i="20"/>
  <c r="H255" i="20"/>
  <c r="H256" i="20"/>
  <c r="H257" i="20"/>
  <c r="H272" i="20"/>
  <c r="H273" i="20"/>
  <c r="H277" i="20"/>
  <c r="H278" i="20"/>
  <c r="H280" i="20"/>
  <c r="H282" i="20"/>
  <c r="H283" i="20"/>
  <c r="H284" i="20"/>
  <c r="H286" i="20"/>
  <c r="H287" i="20"/>
  <c r="H288" i="20"/>
  <c r="H290" i="20"/>
  <c r="H292" i="20"/>
  <c r="H293" i="20"/>
  <c r="H294" i="20"/>
  <c r="H296" i="20"/>
  <c r="H297" i="20"/>
  <c r="H298" i="20"/>
  <c r="H301" i="20"/>
  <c r="H302" i="20"/>
  <c r="H304" i="20"/>
  <c r="H305" i="20"/>
  <c r="H306" i="20"/>
  <c r="H307" i="20"/>
  <c r="H308" i="20"/>
  <c r="H310" i="20"/>
  <c r="H314" i="20"/>
  <c r="H316" i="20"/>
  <c r="H319" i="20"/>
  <c r="H320" i="20"/>
  <c r="H322" i="20"/>
  <c r="H324" i="20"/>
  <c r="H325" i="20"/>
  <c r="H326" i="20"/>
  <c r="H327" i="20"/>
  <c r="H328" i="20"/>
  <c r="H330" i="20"/>
  <c r="H331" i="20"/>
  <c r="H332" i="20"/>
  <c r="H333" i="20"/>
  <c r="H334" i="20"/>
  <c r="H335" i="20"/>
  <c r="H336" i="20"/>
  <c r="H337" i="20"/>
  <c r="H338" i="20"/>
  <c r="H339" i="20"/>
  <c r="H341" i="20"/>
  <c r="H343" i="20"/>
  <c r="H344" i="20"/>
  <c r="H345" i="20"/>
  <c r="H346" i="20"/>
  <c r="H347" i="20"/>
  <c r="H348" i="20"/>
  <c r="H349" i="20"/>
  <c r="H350" i="20"/>
  <c r="H351" i="20"/>
  <c r="H353" i="20"/>
  <c r="H354" i="20"/>
  <c r="H355" i="20"/>
  <c r="H358" i="20"/>
  <c r="H359" i="20"/>
  <c r="H360" i="20"/>
  <c r="H361" i="20"/>
  <c r="H362" i="20"/>
  <c r="H366" i="20"/>
  <c r="H367" i="20"/>
  <c r="H368" i="20"/>
  <c r="H369" i="20"/>
  <c r="H370" i="20"/>
  <c r="H371" i="20"/>
  <c r="H372" i="20"/>
  <c r="H373" i="20"/>
  <c r="H377" i="20"/>
  <c r="H384" i="20"/>
  <c r="H386" i="20"/>
  <c r="H388" i="20"/>
  <c r="H392" i="20"/>
  <c r="H395" i="20"/>
  <c r="H399" i="20"/>
  <c r="H400" i="20"/>
  <c r="H401" i="20"/>
  <c r="H404" i="20"/>
  <c r="H407" i="20"/>
  <c r="H410" i="20"/>
  <c r="H411" i="20"/>
  <c r="H412" i="20"/>
  <c r="H416" i="20"/>
  <c r="H417" i="20"/>
  <c r="H418" i="20"/>
  <c r="H421" i="20"/>
  <c r="H422" i="20"/>
  <c r="H423" i="20"/>
  <c r="H424" i="20"/>
  <c r="H425" i="20"/>
  <c r="H426" i="20"/>
  <c r="H427" i="20"/>
  <c r="H428" i="20"/>
  <c r="H429" i="20"/>
  <c r="H430" i="20"/>
  <c r="H431" i="20"/>
  <c r="H432" i="20"/>
  <c r="H433" i="20"/>
  <c r="H434" i="20"/>
  <c r="H436" i="20"/>
  <c r="H438" i="20"/>
  <c r="H439" i="20"/>
  <c r="H440" i="20"/>
  <c r="H441" i="20"/>
  <c r="H442" i="20"/>
  <c r="H443" i="20"/>
  <c r="H444" i="20"/>
  <c r="H445" i="20"/>
  <c r="H446" i="20"/>
  <c r="H447" i="20"/>
  <c r="H448" i="20"/>
  <c r="H449" i="20"/>
  <c r="H451" i="20"/>
  <c r="H452" i="20"/>
  <c r="H453" i="20"/>
  <c r="H454" i="20"/>
  <c r="H455" i="20"/>
  <c r="H456" i="20"/>
  <c r="H460" i="20"/>
  <c r="H462" i="20"/>
  <c r="H463" i="20"/>
  <c r="H465" i="20"/>
  <c r="H466" i="20"/>
  <c r="H468" i="20"/>
  <c r="H471" i="20"/>
  <c r="H472" i="20"/>
  <c r="H474" i="20"/>
  <c r="H475" i="20"/>
  <c r="H476" i="20"/>
  <c r="H480" i="20"/>
  <c r="H481" i="20"/>
  <c r="H482" i="20"/>
  <c r="H485" i="20"/>
  <c r="H494" i="20"/>
  <c r="H495" i="20"/>
  <c r="H499" i="20"/>
  <c r="H503" i="20"/>
  <c r="H504" i="20"/>
  <c r="H505" i="20"/>
  <c r="H507" i="20"/>
  <c r="H508" i="20"/>
  <c r="H509" i="20"/>
  <c r="H512" i="20"/>
  <c r="H513" i="20"/>
  <c r="H514" i="20"/>
  <c r="H515" i="20"/>
  <c r="H516" i="20"/>
  <c r="H517" i="20"/>
  <c r="H518" i="20"/>
  <c r="H520" i="20"/>
  <c r="H522" i="20"/>
  <c r="H524" i="20"/>
  <c r="H528" i="20"/>
  <c r="H529" i="20"/>
  <c r="H531" i="20"/>
  <c r="H532" i="20"/>
  <c r="H534" i="20"/>
  <c r="H538" i="20"/>
  <c r="H539" i="20"/>
  <c r="H540" i="20"/>
  <c r="H541" i="20"/>
  <c r="H543" i="20"/>
  <c r="H545" i="20"/>
  <c r="H546" i="20"/>
  <c r="H547" i="20"/>
  <c r="H548" i="20"/>
  <c r="H549" i="20"/>
  <c r="H554" i="20"/>
  <c r="H559" i="20"/>
  <c r="H560" i="20"/>
  <c r="H567" i="20"/>
  <c r="H568" i="20"/>
  <c r="H569" i="20"/>
  <c r="H570" i="20"/>
  <c r="H572" i="20"/>
  <c r="H573" i="20"/>
  <c r="H574" i="20"/>
  <c r="H575" i="20"/>
  <c r="H576" i="20"/>
  <c r="H577" i="20"/>
  <c r="H578" i="20"/>
  <c r="H579" i="20"/>
  <c r="H580" i="20"/>
  <c r="H584" i="20"/>
  <c r="H588" i="20"/>
  <c r="H589" i="20"/>
  <c r="H590" i="20"/>
  <c r="H591" i="20"/>
  <c r="H592" i="20"/>
  <c r="H594" i="20"/>
  <c r="H595" i="20"/>
  <c r="H597" i="20"/>
  <c r="H598" i="20"/>
  <c r="H599" i="20"/>
  <c r="H600" i="20"/>
  <c r="H605" i="20"/>
  <c r="H606" i="20"/>
  <c r="H607" i="20"/>
  <c r="H608" i="20"/>
  <c r="H609" i="20"/>
  <c r="H612" i="20"/>
  <c r="H613" i="20"/>
  <c r="H615" i="20"/>
  <c r="H616" i="20"/>
  <c r="H619" i="20"/>
  <c r="H620" i="20"/>
  <c r="H625" i="20"/>
  <c r="H626" i="20"/>
  <c r="H628" i="20"/>
  <c r="H631" i="20"/>
  <c r="H634" i="20"/>
  <c r="H635" i="20"/>
  <c r="H639" i="20"/>
  <c r="H640" i="20"/>
  <c r="H641" i="20"/>
  <c r="H642" i="20"/>
  <c r="H643" i="20"/>
  <c r="H646" i="20"/>
  <c r="H648" i="20"/>
  <c r="H659" i="20"/>
  <c r="H660" i="20"/>
  <c r="H662" i="20"/>
  <c r="H683" i="20"/>
  <c r="H690" i="20"/>
  <c r="H692" i="20"/>
  <c r="H693" i="20"/>
  <c r="H694" i="20"/>
  <c r="H704" i="20"/>
  <c r="H707" i="20"/>
  <c r="H708" i="20"/>
  <c r="H709" i="20"/>
  <c r="H711" i="20"/>
  <c r="H712" i="20"/>
  <c r="H734" i="20"/>
  <c r="H738" i="20"/>
  <c r="H743" i="20"/>
  <c r="H746" i="20"/>
  <c r="H748" i="20"/>
  <c r="H754" i="20"/>
  <c r="H760" i="20"/>
  <c r="H764" i="20"/>
  <c r="H765" i="20"/>
  <c r="H766" i="20"/>
  <c r="H768" i="20"/>
  <c r="H769" i="20"/>
  <c r="H773" i="20"/>
  <c r="H774" i="20"/>
  <c r="H775" i="20"/>
  <c r="H786" i="20"/>
  <c r="H792" i="20"/>
  <c r="H793" i="20"/>
  <c r="H794" i="20"/>
  <c r="H795" i="20"/>
  <c r="H796" i="20"/>
  <c r="H799" i="20"/>
  <c r="H800" i="20"/>
  <c r="H801" i="20"/>
  <c r="H805" i="20"/>
  <c r="H806" i="20"/>
  <c r="H807" i="20"/>
  <c r="H810" i="20"/>
  <c r="H811" i="20"/>
  <c r="H812" i="20"/>
  <c r="H813" i="20"/>
  <c r="H816" i="20"/>
  <c r="H817" i="20"/>
  <c r="H818" i="20"/>
  <c r="H819" i="20"/>
  <c r="H822" i="20"/>
  <c r="H826" i="20"/>
  <c r="H828" i="20"/>
  <c r="H829" i="20"/>
  <c r="H830" i="20"/>
  <c r="H833" i="20"/>
  <c r="H835" i="20"/>
  <c r="H836" i="20"/>
  <c r="H839" i="20"/>
  <c r="H840" i="20"/>
  <c r="H841" i="20"/>
  <c r="H842" i="20"/>
  <c r="H843" i="20"/>
  <c r="H844" i="20"/>
  <c r="H845" i="20"/>
  <c r="H848" i="20"/>
  <c r="H849" i="20"/>
  <c r="H850" i="20"/>
  <c r="H851" i="20"/>
  <c r="H852" i="20"/>
  <c r="H854" i="20"/>
  <c r="H859" i="20"/>
  <c r="H862" i="20"/>
  <c r="H863" i="20"/>
  <c r="H864" i="20"/>
  <c r="H867" i="20"/>
  <c r="H868" i="20"/>
  <c r="H869" i="20"/>
  <c r="H871" i="20"/>
  <c r="H873" i="20"/>
  <c r="H874" i="20"/>
  <c r="H877" i="20"/>
  <c r="H878" i="20"/>
  <c r="H879" i="20"/>
  <c r="H880" i="20"/>
  <c r="H881" i="20"/>
  <c r="H882" i="20"/>
  <c r="H883" i="20"/>
  <c r="H885" i="20"/>
  <c r="H886" i="20"/>
  <c r="H887" i="20"/>
  <c r="H888" i="20"/>
  <c r="H889" i="20"/>
  <c r="H891" i="20"/>
  <c r="H892" i="20"/>
  <c r="H894" i="20"/>
  <c r="H895" i="20"/>
  <c r="H896" i="20"/>
  <c r="H897" i="20"/>
  <c r="H898" i="20"/>
  <c r="H899" i="20"/>
  <c r="H900" i="20"/>
  <c r="H901" i="20"/>
  <c r="H903" i="20"/>
  <c r="H904" i="20"/>
  <c r="H905" i="20"/>
  <c r="H908" i="20"/>
  <c r="H909" i="20"/>
  <c r="H910" i="20"/>
  <c r="H911" i="20"/>
  <c r="H912" i="20"/>
  <c r="H913" i="20"/>
  <c r="H914" i="20"/>
  <c r="H915" i="20"/>
  <c r="H916" i="20"/>
  <c r="H917" i="20"/>
  <c r="H918" i="20"/>
  <c r="H919" i="20"/>
  <c r="H921" i="20"/>
  <c r="H923" i="20"/>
  <c r="H924" i="20"/>
  <c r="H927" i="20"/>
  <c r="H928" i="20"/>
  <c r="H929" i="20"/>
  <c r="H930" i="20"/>
  <c r="H931" i="20"/>
  <c r="H933" i="20"/>
  <c r="H934" i="20"/>
  <c r="H935" i="20"/>
  <c r="H936" i="20"/>
  <c r="H937" i="20"/>
  <c r="H938" i="20"/>
  <c r="H939" i="20"/>
  <c r="H942" i="20"/>
  <c r="H943" i="20"/>
  <c r="H944" i="20"/>
  <c r="H945" i="20"/>
  <c r="H946" i="20"/>
  <c r="H947" i="20"/>
  <c r="H948" i="20"/>
  <c r="H949" i="20"/>
  <c r="H950" i="20"/>
  <c r="H951" i="20"/>
  <c r="H952" i="20"/>
  <c r="H953" i="20"/>
  <c r="H954" i="20"/>
  <c r="H955" i="20"/>
  <c r="H957" i="20"/>
  <c r="H958" i="20"/>
  <c r="H959" i="20"/>
  <c r="H960" i="20"/>
  <c r="H961" i="20"/>
  <c r="H962" i="20"/>
  <c r="H963" i="20"/>
  <c r="H965" i="20"/>
  <c r="H966" i="20"/>
  <c r="H967" i="20"/>
  <c r="H968" i="20"/>
  <c r="H969" i="20"/>
  <c r="H970" i="20"/>
  <c r="H971" i="20"/>
  <c r="H973" i="20"/>
  <c r="H975" i="20"/>
  <c r="H976" i="20"/>
  <c r="H985" i="20"/>
  <c r="H991" i="20"/>
  <c r="H992" i="20"/>
  <c r="H993" i="20"/>
  <c r="H994" i="20"/>
  <c r="H996" i="20"/>
  <c r="H1000" i="20"/>
  <c r="H1001" i="20"/>
  <c r="H1002" i="20"/>
  <c r="H1003" i="20"/>
  <c r="H1004" i="20"/>
  <c r="H1005" i="20"/>
  <c r="H1006" i="20"/>
  <c r="H1008" i="20"/>
  <c r="H1009" i="20"/>
  <c r="H1010" i="20"/>
  <c r="H1011" i="20"/>
  <c r="H1012" i="20"/>
  <c r="H1013" i="20"/>
  <c r="H1014" i="20"/>
  <c r="H1017" i="20"/>
  <c r="H1018" i="20"/>
  <c r="H1019" i="20"/>
  <c r="H1020" i="20"/>
  <c r="H1021" i="20"/>
  <c r="H1022" i="20"/>
  <c r="H1024" i="20"/>
  <c r="H1025" i="20"/>
  <c r="H1026" i="20"/>
  <c r="H1028" i="20"/>
  <c r="H1029" i="20"/>
  <c r="H1032" i="20"/>
  <c r="H1033" i="20"/>
  <c r="H1035" i="20"/>
  <c r="H1036" i="20"/>
  <c r="H1037" i="20"/>
  <c r="H1040" i="20"/>
  <c r="H1041" i="20"/>
  <c r="H1043" i="20"/>
  <c r="H1044" i="20"/>
  <c r="H1046" i="20"/>
  <c r="H1047" i="20"/>
  <c r="H1048" i="20"/>
  <c r="H1049" i="20"/>
  <c r="H1051" i="20"/>
  <c r="H1052" i="20"/>
  <c r="H1053" i="20"/>
  <c r="H1054" i="20"/>
  <c r="H1056" i="20"/>
  <c r="H1060" i="20"/>
  <c r="H1061" i="20"/>
  <c r="H1062" i="20"/>
  <c r="H1063" i="20"/>
  <c r="H1064" i="20"/>
  <c r="H357" i="20"/>
  <c r="H374" i="20"/>
  <c r="H941" i="20"/>
  <c r="H210" i="20"/>
  <c r="H211" i="20"/>
  <c r="H473" i="20"/>
  <c r="H136" i="20"/>
  <c r="H902" i="20"/>
  <c r="H291" i="20"/>
  <c r="H860" i="20"/>
  <c r="H995" i="20"/>
  <c r="H18" i="20"/>
  <c r="H133" i="20"/>
  <c r="H134" i="20"/>
  <c r="H274" i="20"/>
  <c r="H281" i="20"/>
  <c r="H289" i="20"/>
  <c r="H299" i="20"/>
  <c r="H321" i="20"/>
  <c r="H363" i="20"/>
  <c r="H375" i="20"/>
  <c r="H378" i="20"/>
  <c r="H379" i="20"/>
  <c r="H380" i="20"/>
  <c r="H385" i="20"/>
  <c r="H403" i="20"/>
  <c r="H413" i="20"/>
  <c r="H464" i="20"/>
  <c r="H470" i="20"/>
  <c r="H491" i="20"/>
  <c r="H523" i="20"/>
  <c r="H533" i="20"/>
  <c r="H624" i="20"/>
  <c r="H632" i="20"/>
  <c r="H633" i="20"/>
  <c r="H636" i="20"/>
  <c r="H637" i="20"/>
  <c r="H638" i="20"/>
  <c r="H661" i="20"/>
  <c r="H702" i="20"/>
  <c r="H706" i="20"/>
  <c r="H710" i="20"/>
  <c r="H713" i="20"/>
  <c r="H715" i="20"/>
  <c r="H716" i="20"/>
  <c r="H717" i="20"/>
  <c r="H718" i="20"/>
  <c r="H719" i="20"/>
  <c r="H720" i="20"/>
  <c r="H721" i="20"/>
  <c r="H722" i="20"/>
  <c r="H723" i="20"/>
  <c r="H724" i="20"/>
  <c r="H725" i="20"/>
  <c r="H726" i="20"/>
  <c r="H727" i="20"/>
  <c r="H728" i="20"/>
  <c r="H729" i="20"/>
  <c r="H730" i="20"/>
  <c r="H731" i="20"/>
  <c r="H732" i="20"/>
  <c r="H733" i="20"/>
  <c r="H736" i="20"/>
  <c r="H737" i="20"/>
  <c r="H740" i="20"/>
  <c r="H741" i="20"/>
  <c r="H742" i="20"/>
  <c r="H744" i="20"/>
  <c r="H745" i="20"/>
  <c r="H747" i="20"/>
  <c r="H750" i="20"/>
  <c r="H751" i="20"/>
  <c r="H752" i="20"/>
  <c r="H753" i="20"/>
  <c r="H756" i="20"/>
  <c r="H757" i="20"/>
  <c r="H758" i="20"/>
  <c r="H761" i="20"/>
  <c r="H763" i="20"/>
  <c r="H767" i="20"/>
  <c r="H770" i="20"/>
  <c r="H777" i="20"/>
  <c r="H778" i="20"/>
  <c r="H779" i="20"/>
  <c r="H780" i="20"/>
  <c r="H781" i="20"/>
  <c r="H782" i="20"/>
  <c r="H783" i="20"/>
  <c r="H784" i="20"/>
  <c r="H787" i="20"/>
  <c r="H788" i="20"/>
  <c r="H789" i="20"/>
  <c r="H790" i="20"/>
  <c r="H791" i="20"/>
  <c r="H802" i="20"/>
  <c r="H803" i="20"/>
  <c r="H804" i="20"/>
  <c r="H9" i="20"/>
  <c r="H808" i="20"/>
  <c r="H809" i="20"/>
  <c r="H814" i="20"/>
  <c r="H815" i="20"/>
  <c r="H820" i="20"/>
  <c r="H823" i="20"/>
  <c r="H825" i="20"/>
  <c r="H831" i="20"/>
  <c r="H838" i="20"/>
  <c r="H846" i="20"/>
  <c r="H847" i="20"/>
  <c r="H856" i="20"/>
  <c r="H858" i="20"/>
  <c r="H866" i="20"/>
  <c r="H978" i="20"/>
  <c r="H979" i="20"/>
  <c r="H980" i="20"/>
  <c r="H981" i="20"/>
  <c r="H982" i="20"/>
  <c r="H983" i="20"/>
  <c r="H984" i="20"/>
  <c r="H986" i="20"/>
  <c r="H987" i="20"/>
  <c r="H988" i="20"/>
  <c r="H989" i="20"/>
  <c r="H990" i="20"/>
  <c r="H998" i="20"/>
  <c r="H999" i="20"/>
  <c r="H1007" i="20"/>
  <c r="H1027" i="20"/>
  <c r="H1031" i="20"/>
  <c r="H1034" i="20"/>
  <c r="H1042" i="20"/>
  <c r="H1045" i="20"/>
  <c r="H1055" i="20"/>
  <c r="H1057" i="20"/>
  <c r="H267" i="20"/>
  <c r="H329" i="20"/>
  <c r="H340" i="20"/>
  <c r="H342" i="20"/>
  <c r="H352" i="20"/>
  <c r="H393" i="20"/>
  <c r="H396" i="20"/>
  <c r="H398" i="20"/>
  <c r="H402" i="20"/>
  <c r="H408" i="20"/>
  <c r="H409" i="20"/>
  <c r="H435" i="20"/>
  <c r="H437" i="20"/>
  <c r="H450" i="20"/>
  <c r="H496" i="20"/>
  <c r="H500" i="20"/>
  <c r="H519" i="20"/>
  <c r="H521" i="20"/>
  <c r="H536" i="20"/>
  <c r="H551" i="20"/>
  <c r="H561" i="20"/>
  <c r="H562" i="20"/>
  <c r="H581" i="20"/>
  <c r="H585" i="20"/>
  <c r="H604" i="20"/>
  <c r="H610" i="20"/>
  <c r="H611" i="20"/>
  <c r="H614" i="20"/>
  <c r="H617" i="20"/>
  <c r="H621" i="20"/>
  <c r="H644" i="20"/>
  <c r="H657" i="20"/>
  <c r="H663" i="20"/>
  <c r="H664" i="20"/>
  <c r="H665" i="20"/>
  <c r="H666" i="20"/>
  <c r="H685" i="20"/>
  <c r="H697" i="20"/>
  <c r="H698" i="20"/>
  <c r="H699" i="20"/>
  <c r="H700" i="20"/>
  <c r="H705" i="20"/>
  <c r="H759" i="20"/>
  <c r="H872" i="20"/>
  <c r="H920" i="20"/>
  <c r="H940" i="20"/>
  <c r="H1059" i="20"/>
  <c r="H391" i="20"/>
  <c r="H394" i="20"/>
  <c r="H406" i="20"/>
  <c r="H414" i="20"/>
  <c r="H415" i="20"/>
  <c r="H419" i="20"/>
  <c r="H420" i="20"/>
  <c r="H493" i="20"/>
  <c r="H550" i="20"/>
  <c r="H703" i="20"/>
  <c r="H497" i="20"/>
  <c r="H501" i="20"/>
  <c r="H537" i="20"/>
  <c r="H552" i="20"/>
  <c r="H557" i="20"/>
  <c r="H563" i="20"/>
  <c r="H564" i="20"/>
  <c r="H582" i="20"/>
  <c r="H586" i="20"/>
  <c r="H622" i="20"/>
  <c r="H154" i="20"/>
  <c r="H295" i="20"/>
  <c r="H303" i="20"/>
  <c r="H381" i="20"/>
  <c r="H383" i="20"/>
  <c r="H389" i="20"/>
  <c r="H397" i="20"/>
  <c r="H461" i="20"/>
  <c r="H467" i="20"/>
  <c r="H469" i="20"/>
  <c r="H477" i="20"/>
  <c r="H478" i="20"/>
  <c r="H479" i="20"/>
  <c r="H483" i="20"/>
  <c r="H484" i="20"/>
  <c r="H486" i="20"/>
  <c r="H487" i="20"/>
  <c r="H488" i="20"/>
  <c r="H489" i="20"/>
  <c r="H490" i="20"/>
  <c r="H498" i="20"/>
  <c r="H502" i="20"/>
  <c r="H506" i="20"/>
  <c r="H510" i="20"/>
  <c r="H511" i="20"/>
  <c r="H542" i="20"/>
  <c r="H544" i="20"/>
  <c r="H553" i="20"/>
  <c r="H555" i="20"/>
  <c r="H565" i="20"/>
  <c r="H566" i="20"/>
  <c r="H571" i="20"/>
  <c r="H583" i="20"/>
  <c r="H587" i="20"/>
  <c r="H596" i="20"/>
  <c r="H601" i="20"/>
  <c r="H602" i="20"/>
  <c r="H603" i="20"/>
  <c r="H627" i="20"/>
  <c r="H629" i="20"/>
  <c r="H645" i="20"/>
  <c r="H649" i="20"/>
  <c r="H650" i="20"/>
  <c r="H651" i="20"/>
  <c r="H653" i="20"/>
  <c r="H654" i="20"/>
  <c r="H667" i="20"/>
  <c r="H668" i="20"/>
  <c r="H669" i="20"/>
  <c r="H670" i="20"/>
  <c r="H671" i="20"/>
  <c r="H672" i="20"/>
  <c r="H673" i="20"/>
  <c r="H674" i="20"/>
  <c r="H675" i="20"/>
  <c r="H676" i="20"/>
  <c r="H677" i="20"/>
  <c r="H678" i="20"/>
  <c r="H679" i="20"/>
  <c r="H680" i="20"/>
  <c r="H681" i="20"/>
  <c r="H682" i="20"/>
  <c r="H684" i="20"/>
  <c r="H686" i="20"/>
  <c r="H687" i="20"/>
  <c r="H688" i="20"/>
  <c r="H689" i="20"/>
  <c r="H696" i="20"/>
  <c r="H735" i="20"/>
  <c r="H762" i="20"/>
  <c r="H798" i="20"/>
  <c r="H824" i="20"/>
  <c r="H865" i="20"/>
  <c r="H893" i="20"/>
  <c r="H964" i="20"/>
  <c r="H1050" i="20"/>
  <c r="H270" i="20"/>
  <c r="H275" i="20"/>
  <c r="H276" i="20"/>
  <c r="H382" i="20"/>
  <c r="H387" i="20"/>
  <c r="H630" i="20"/>
  <c r="H739" i="20"/>
  <c r="H749" i="20"/>
  <c r="H772" i="20"/>
  <c r="H797" i="20"/>
  <c r="H623" i="20"/>
  <c r="H16" i="20"/>
</calcChain>
</file>

<file path=xl/sharedStrings.xml><?xml version="1.0" encoding="utf-8"?>
<sst xmlns="http://schemas.openxmlformats.org/spreadsheetml/2006/main" count="41561" uniqueCount="5819">
  <si>
    <t>PARTNUMBER</t>
  </si>
  <si>
    <t>UM</t>
  </si>
  <si>
    <t>DESCRIÇÃO</t>
  </si>
  <si>
    <t>BOX</t>
  </si>
  <si>
    <t>ORIGEM</t>
  </si>
  <si>
    <t>COMMENTS</t>
  </si>
  <si>
    <t>QTD</t>
  </si>
  <si>
    <t>Modelo</t>
  </si>
  <si>
    <t>1J0121321B</t>
  </si>
  <si>
    <t>Peça</t>
  </si>
  <si>
    <t>COVER</t>
  </si>
  <si>
    <t>TAMPA DO RESERVATORIO DE COMPENSACA</t>
  </si>
  <si>
    <t>BX3</t>
  </si>
  <si>
    <t>Avulsa</t>
  </si>
  <si>
    <t>11180CUM.ModelCode.EE</t>
  </si>
  <si>
    <t>22B607359</t>
  </si>
  <si>
    <t>FOUR-WAY VALVE</t>
  </si>
  <si>
    <t>VALVULA</t>
  </si>
  <si>
    <t>BX1</t>
  </si>
  <si>
    <t>2376119872</t>
  </si>
  <si>
    <t>PIPE CLAMP</t>
  </si>
  <si>
    <t>BRACADEIRA</t>
  </si>
  <si>
    <t>SHW</t>
  </si>
  <si>
    <t>23A131983B</t>
  </si>
  <si>
    <t>TUBULACAO</t>
  </si>
  <si>
    <t>TUBO PLASTICO RESERVATORIO ADBLUE</t>
  </si>
  <si>
    <t>23A131983D</t>
  </si>
  <si>
    <t>TUBO DE PLASTICO PARA ALIMENTACAO</t>
  </si>
  <si>
    <t>23A131983E</t>
  </si>
  <si>
    <t>TUBO PLAST RETORNO RESERVATORIO ADBLUE</t>
  </si>
  <si>
    <t>23A201353C</t>
  </si>
  <si>
    <t>TUBULACAO COMBUST.</t>
  </si>
  <si>
    <t>TUBO PLAST P TANQUE PRE FILTRO USO AUTO</t>
  </si>
  <si>
    <t>23A201512</t>
  </si>
  <si>
    <t>FILTROCOMBUSTIVEL</t>
  </si>
  <si>
    <t>FILTRO DE COMBUSTIVEL P USO AUTOMOTIVO</t>
  </si>
  <si>
    <t>23A253047</t>
  </si>
  <si>
    <t>APOIO</t>
  </si>
  <si>
    <t>SUPORTE PTUBO GAS DE ESCAPE DE USO AUTO</t>
  </si>
  <si>
    <t>BX2</t>
  </si>
  <si>
    <t>23A253319</t>
  </si>
  <si>
    <t>SUPORTE</t>
  </si>
  <si>
    <t>SUPORTE  DO CATALISADOR TRAS P USO AUTO</t>
  </si>
  <si>
    <t>23A253319A</t>
  </si>
  <si>
    <t>SUPORTE DO CATALISADOR TRAS P USO AUTO</t>
  </si>
  <si>
    <t>23A254253</t>
  </si>
  <si>
    <t>CONVERSORCATALIT.</t>
  </si>
  <si>
    <t>CONVERSOR CATALITICO PARA USO AUTOMOTIVO</t>
  </si>
  <si>
    <t>23B000013JI9A</t>
  </si>
  <si>
    <t>Cab</t>
  </si>
  <si>
    <t>KIT CABINE</t>
  </si>
  <si>
    <t>C01</t>
  </si>
  <si>
    <t>23B000451</t>
  </si>
  <si>
    <t>ETIQUETA ADVERTENENCIA</t>
  </si>
  <si>
    <t>ETIQUETA ADVERTEN.</t>
  </si>
  <si>
    <t>23B000451A</t>
  </si>
  <si>
    <t>STICKER</t>
  </si>
  <si>
    <t>23B100009C</t>
  </si>
  <si>
    <t>FRONT AXLE</t>
  </si>
  <si>
    <t>EIXO DIANTEIRO PARA USO AUTOMOTIVO</t>
  </si>
  <si>
    <t>23B121103</t>
  </si>
  <si>
    <t>MANGUEIRA REFRIG.</t>
  </si>
  <si>
    <t>MANGUEIRA DE REFRIGERACAO P USO AUTO</t>
  </si>
  <si>
    <t>23B121103A</t>
  </si>
  <si>
    <t>COOLANT HOSE</t>
  </si>
  <si>
    <t>TUBO DE BORRACHA VULC  DE USO AUTOMOTIVO</t>
  </si>
  <si>
    <t>bx3</t>
  </si>
  <si>
    <t>23B121249F</t>
  </si>
  <si>
    <t>MODULO DE RADIADOR</t>
  </si>
  <si>
    <t>MODULO DE RADIADOR PARA USO AUTOMOTIVO</t>
  </si>
  <si>
    <t>BRA</t>
  </si>
  <si>
    <t>23B121373A</t>
  </si>
  <si>
    <t>DEFLECTOR RAIL</t>
  </si>
  <si>
    <t>PROTETOR DO RADIADOR FIXADA NA LONGARINA</t>
  </si>
  <si>
    <t>23B121405</t>
  </si>
  <si>
    <t>RESERVDEEXPANSAO</t>
  </si>
  <si>
    <t>RESERVATORIO DE EXPANSAO PARA USO AUTOMO</t>
  </si>
  <si>
    <t>23B121481</t>
  </si>
  <si>
    <t>TUBOD'AGUA</t>
  </si>
  <si>
    <t>TUBO D'AGUA DE ACO PARA USO AUTOMOTIVO</t>
  </si>
  <si>
    <t>23B129607</t>
  </si>
  <si>
    <t>FILTRODEAR</t>
  </si>
  <si>
    <t>FILTRO DE AR MUFFLER PARA USO AUTOMOTIVO</t>
  </si>
  <si>
    <t>23B129687C</t>
  </si>
  <si>
    <t>BRACKET</t>
  </si>
  <si>
    <t>SUPORTE ACO FILTRO AR DE USO AUTOMOTIVO</t>
  </si>
  <si>
    <t>23B131121N</t>
  </si>
  <si>
    <t>SUPORTE UNIDADE DE ASPIRACAO USO AUTOM</t>
  </si>
  <si>
    <t>23B131131</t>
  </si>
  <si>
    <t>SPACER BLOCK</t>
  </si>
  <si>
    <t>CALCO DISTANCIADOR PLASTICO DE USO AUTOM</t>
  </si>
  <si>
    <t>23B131603</t>
  </si>
  <si>
    <t>MOUNTING</t>
  </si>
  <si>
    <t>PINO COLAR SUPORTE TANQUE COMBUSTIVEL</t>
  </si>
  <si>
    <t>23B131736</t>
  </si>
  <si>
    <t>STRIP</t>
  </si>
  <si>
    <t>CINTA PLASTICA DE FIXACAOPARA USO AUTOM</t>
  </si>
  <si>
    <t>23B131913</t>
  </si>
  <si>
    <t>JOURNAL</t>
  </si>
  <si>
    <t>PINO COLAR PARA DO TANQ. DE COMBUSTIVEL</t>
  </si>
  <si>
    <t>23B145593A</t>
  </si>
  <si>
    <t>CHARGE AIR HOSE</t>
  </si>
  <si>
    <t>MANGUEIRA DE PRESSAO DE AR</t>
  </si>
  <si>
    <t>23B145593F</t>
  </si>
  <si>
    <t>MANG ADMISSAO AR</t>
  </si>
  <si>
    <t>MANGUEIRA DE ADMISSAO AR DE USO AUTOMOTI</t>
  </si>
  <si>
    <t>23B201020S</t>
  </si>
  <si>
    <t>FUEL TANK</t>
  </si>
  <si>
    <t>RESERVATORIO DE COMBUSTIVEL DE USO AUTOM</t>
  </si>
  <si>
    <t>23B201136B</t>
  </si>
  <si>
    <t>BLEEDER VALVE</t>
  </si>
  <si>
    <t>VALVULA BOCAL ABAS</t>
  </si>
  <si>
    <t>23B201173N</t>
  </si>
  <si>
    <t>RETURN PIPE</t>
  </si>
  <si>
    <t>TUBO PLAST RETORNO COMBUSTIVEL USO AUTOM</t>
  </si>
  <si>
    <t>23B201179</t>
  </si>
  <si>
    <t>MANGUEIRA</t>
  </si>
  <si>
    <t>TUBO PLAST RESPIRO RESERVATORIO COMBUSTI</t>
  </si>
  <si>
    <t>23B201260E</t>
  </si>
  <si>
    <t>SUPORTE DO TANQUE DE COMBUSTIVEL</t>
  </si>
  <si>
    <t>23B201392D</t>
  </si>
  <si>
    <t>STRAP</t>
  </si>
  <si>
    <t>CINTA TENSORA FIX TANQUE COMBUSTIVEL</t>
  </si>
  <si>
    <t>23B251523A</t>
  </si>
  <si>
    <t>CINTATENSORA</t>
  </si>
  <si>
    <t>CINTA TENSORA PARA FIXACAO ESCAPE</t>
  </si>
  <si>
    <t>23B400019C</t>
  </si>
  <si>
    <t>23B411057</t>
  </si>
  <si>
    <t>SUPPORT</t>
  </si>
  <si>
    <t>BARRA ESTABILIZADORA DA SUSPENSAO DIANTE</t>
  </si>
  <si>
    <t>23B411101A</t>
  </si>
  <si>
    <t>FRONT SPRING</t>
  </si>
  <si>
    <t>MOLA DIANTEIRA PARABOLIC</t>
  </si>
  <si>
    <t>23B411101C</t>
  </si>
  <si>
    <t>MOLA DIANTEIRA PARA USO AUTOMOTIVO</t>
  </si>
  <si>
    <t>23B411127</t>
  </si>
  <si>
    <t>SPRING SHACKLE</t>
  </si>
  <si>
    <t>CHAPA APOIO DE ACO SUSPENSAO PARA USO AU</t>
  </si>
  <si>
    <t>23B411129</t>
  </si>
  <si>
    <t>SPRING CLIP</t>
  </si>
  <si>
    <t>GRAMPO DA MOLA U</t>
  </si>
  <si>
    <t>23B411129B</t>
  </si>
  <si>
    <t>GRAMPO MOLA DIANTEIRA PARA USO AUTOMOTI</t>
  </si>
  <si>
    <t>23B411207</t>
  </si>
  <si>
    <t>PLATE U BOLT</t>
  </si>
  <si>
    <t>SUPORTE GRAMPO DA MOLA USO AUTOMOTIVO</t>
  </si>
  <si>
    <t>23B411239</t>
  </si>
  <si>
    <t>BEARING SHELL</t>
  </si>
  <si>
    <t>CASQUILHO MANCAL STABILIZER</t>
  </si>
  <si>
    <t>23B411309</t>
  </si>
  <si>
    <t>STABILIZER BAR</t>
  </si>
  <si>
    <t>ESTABILIZADOR FRONT INDEP.SUSPEN</t>
  </si>
  <si>
    <t>23B411346</t>
  </si>
  <si>
    <t>BUSH</t>
  </si>
  <si>
    <t>BUCHA STABILIZER BAR</t>
  </si>
  <si>
    <t>23B411379</t>
  </si>
  <si>
    <t>MOUNTING BRACKET</t>
  </si>
  <si>
    <t>SUPORTE DA BARRA ESTABILIZADORA SUSPENSA</t>
  </si>
  <si>
    <t>23B411617</t>
  </si>
  <si>
    <t>SUPORTE DE ACO DE FIXACAO USO AUTOMOTIVO</t>
  </si>
  <si>
    <t>23B413119A</t>
  </si>
  <si>
    <t>SHOCK ABSORBER</t>
  </si>
  <si>
    <t>AMORTECEDOR</t>
  </si>
  <si>
    <t>23B419831A</t>
  </si>
  <si>
    <t>CUP</t>
  </si>
  <si>
    <t>COIFA DE BORRACHA COLUNA DE DIRECAO</t>
  </si>
  <si>
    <t>23B419831D</t>
  </si>
  <si>
    <t>23B422256</t>
  </si>
  <si>
    <t>CLIP FECHAMENTO</t>
  </si>
  <si>
    <t>CLIP PLASTICO PARA USO AUTOMOTIVO</t>
  </si>
  <si>
    <t>23B422335</t>
  </si>
  <si>
    <t>DRAG LINK</t>
  </si>
  <si>
    <t>BARRA DE LIGACAO DA DIRECAO</t>
  </si>
  <si>
    <t>23B422613</t>
  </si>
  <si>
    <t>CLAMP</t>
  </si>
  <si>
    <t>ABRACADEIRA BIPARTIDA TUBOS DH</t>
  </si>
  <si>
    <t>23B422849A</t>
  </si>
  <si>
    <t>SUPORTE RESERVATORIO DIRECAO HIDRAULICA</t>
  </si>
  <si>
    <t>23B422859</t>
  </si>
  <si>
    <t>TUBO</t>
  </si>
  <si>
    <t>23B422897</t>
  </si>
  <si>
    <t>TUBO DE PRESSAO</t>
  </si>
  <si>
    <t>TUBO DE PRESSAO DIRECAO HIDRAULICA</t>
  </si>
  <si>
    <t>23B422898</t>
  </si>
  <si>
    <t>RETURN HOSE</t>
  </si>
  <si>
    <t>MANGUEIRA RETORNO DIREÇÃO</t>
  </si>
  <si>
    <t>23B422913</t>
  </si>
  <si>
    <t>CONNECTING PIECE</t>
  </si>
  <si>
    <t>PECA DE CONEXAO SISTEMA PARA DIRECAO HID</t>
  </si>
  <si>
    <t>23B422913A</t>
  </si>
  <si>
    <t>23B422926</t>
  </si>
  <si>
    <t>SUPORTE DE TUBO DIRECAO HIDRAULICA</t>
  </si>
  <si>
    <t>23B500048C</t>
  </si>
  <si>
    <t>REAR AXLE</t>
  </si>
  <si>
    <t>EIXO TRASEIRO PARA USO AUTOMOTIVO</t>
  </si>
  <si>
    <t>BEX2</t>
  </si>
  <si>
    <t>23B511151D</t>
  </si>
  <si>
    <t>REAR SPRING</t>
  </si>
  <si>
    <t>FEIXE DE MOLAS TRASEIRO PARA USO AUTOMOT</t>
  </si>
  <si>
    <t>23B511253</t>
  </si>
  <si>
    <t>STRUT</t>
  </si>
  <si>
    <t>TIRANTE APOIO DO ESTABILIZADOR TRASEIRO</t>
  </si>
  <si>
    <t>23B511309A</t>
  </si>
  <si>
    <t>BARRA ESTABILIZADORA SUSPENSAO TRASEIRA</t>
  </si>
  <si>
    <t>23B511415</t>
  </si>
  <si>
    <t>BUCHA DE RETENCAO DE ACO</t>
  </si>
  <si>
    <t>23B511415A</t>
  </si>
  <si>
    <t>BUCHA DE RETENCAO DE ACO DA SUSPENSAO</t>
  </si>
  <si>
    <t>23B511462</t>
  </si>
  <si>
    <t>PLACA DO GRAMPO DA MOLA</t>
  </si>
  <si>
    <t>23B511463</t>
  </si>
  <si>
    <t>PLACA DO GRAMPO DA  MOLA</t>
  </si>
  <si>
    <t>23B513045D</t>
  </si>
  <si>
    <t>AMORTECEDOR CHOQUE USO AUTOMOTIVO</t>
  </si>
  <si>
    <t>23B521101DE</t>
  </si>
  <si>
    <t>PROPELLER SHAFT</t>
  </si>
  <si>
    <t>ARVORE TRANSMISSAO CARDAN USO AUTOMOTIVO</t>
  </si>
  <si>
    <t>23B521101DF</t>
  </si>
  <si>
    <t>23B521525</t>
  </si>
  <si>
    <t>BRACKET,CENTER</t>
  </si>
  <si>
    <t>CINTA DE APOIO DO EIXO CARDAN DE USO AUT</t>
  </si>
  <si>
    <t>23B599173</t>
  </si>
  <si>
    <t>GRAMPO DE MOLA U</t>
  </si>
  <si>
    <t>23B599175</t>
  </si>
  <si>
    <t>23B599195</t>
  </si>
  <si>
    <t>PLACA DE ACO DO  JUMELO ROSCADO</t>
  </si>
  <si>
    <t>23B599196</t>
  </si>
  <si>
    <t>23B601011C</t>
  </si>
  <si>
    <t>DISK WHEEL W.TIRE</t>
  </si>
  <si>
    <t>RODA E PNEU PARA USO AUTOMOTIVO</t>
  </si>
  <si>
    <t>BRD</t>
  </si>
  <si>
    <t>23B601173A</t>
  </si>
  <si>
    <t>PROTETOR</t>
  </si>
  <si>
    <t>CAPA DE BORRACHA PARAFUSO RODA</t>
  </si>
  <si>
    <t>23B601203</t>
  </si>
  <si>
    <t>BRACKET,SPARE WHEE</t>
  </si>
  <si>
    <t>SUPORTE ESTEPE 8/10TON DE USO AUTOMOTIVO</t>
  </si>
  <si>
    <t>23B601253</t>
  </si>
  <si>
    <t>RETAINING PART</t>
  </si>
  <si>
    <t>PEÇA SUPORTE PNEU SOBRESSALENTE</t>
  </si>
  <si>
    <t>23B607085A</t>
  </si>
  <si>
    <t>NIPPLE</t>
  </si>
  <si>
    <t>CONECTOR SISTEMA FREIOS USO AUTOMOTIVO</t>
  </si>
  <si>
    <t>23B607085B</t>
  </si>
  <si>
    <t>23B607085C</t>
  </si>
  <si>
    <t>23B607085D</t>
  </si>
  <si>
    <t>23B607085E</t>
  </si>
  <si>
    <t>23B607085F</t>
  </si>
  <si>
    <t>23B607085N</t>
  </si>
  <si>
    <t>23B607085P</t>
  </si>
  <si>
    <t>23B607085Q</t>
  </si>
  <si>
    <t>23B607085R</t>
  </si>
  <si>
    <t>23B607085S</t>
  </si>
  <si>
    <t>23B607110</t>
  </si>
  <si>
    <t>SUPORTE DO TUBO DE DESCARGA DO COMPRESSO</t>
  </si>
  <si>
    <t>23B607251</t>
  </si>
  <si>
    <t>PRESSURE ACCUMULAT</t>
  </si>
  <si>
    <t>RESERVATORIO DE AR</t>
  </si>
  <si>
    <t>23B607263D</t>
  </si>
  <si>
    <t>FASTENER</t>
  </si>
  <si>
    <t>COTOVELO COBRE SISTEMA FREIO USO AUTOMOT</t>
  </si>
  <si>
    <t>23B607289A</t>
  </si>
  <si>
    <t>BRAKE LINE</t>
  </si>
  <si>
    <t>TUBO DE FREIO DE USO AUTOMOTIVO</t>
  </si>
  <si>
    <t>23B607367</t>
  </si>
  <si>
    <t>PECA DE CONEXAO</t>
  </si>
  <si>
    <t>23B607373</t>
  </si>
  <si>
    <t>SECADOR</t>
  </si>
  <si>
    <t>SECADOR DE AR DO FREIO PARA USO AUTOMOTI</t>
  </si>
  <si>
    <t>23B607415</t>
  </si>
  <si>
    <t>CINTA TENSORA PLASTICA PARA USO AUTOMOTI</t>
  </si>
  <si>
    <t>23B607462B</t>
  </si>
  <si>
    <t>TUBE</t>
  </si>
  <si>
    <t>TUBO DESCARGA COMPRESSOR P USO AUTOMO</t>
  </si>
  <si>
    <t>23B607862F</t>
  </si>
  <si>
    <t>TUBO DE FREIO PARA USO AUTOMOTIVO</t>
  </si>
  <si>
    <t>23B607879</t>
  </si>
  <si>
    <t>SUPORTE ACO TUBOS AR COMPRIMIDO FREIO US</t>
  </si>
  <si>
    <t>23B607879D</t>
  </si>
  <si>
    <t>23B607879E</t>
  </si>
  <si>
    <t>23B611775</t>
  </si>
  <si>
    <t>BRAKE HOSE</t>
  </si>
  <si>
    <t>MANGUEIRA DO FREIO ABS MODUL.VALVE</t>
  </si>
  <si>
    <t>23B611776</t>
  </si>
  <si>
    <t>MANGUEIRA DO FREIO</t>
  </si>
  <si>
    <t>23B698705D</t>
  </si>
  <si>
    <t>23B700025D</t>
  </si>
  <si>
    <t>CHASSIS</t>
  </si>
  <si>
    <t>KIT CHASSI PARA USO AUTOMOTIVO</t>
  </si>
  <si>
    <t>BCH</t>
  </si>
  <si>
    <t>23B701693G</t>
  </si>
  <si>
    <t>STIFFENING</t>
  </si>
  <si>
    <t>REFORCO DA SUSPENSAO PARA USO AUTOMOTIVO</t>
  </si>
  <si>
    <t>bx1</t>
  </si>
  <si>
    <t>23B711886A</t>
  </si>
  <si>
    <t>SUPORTE PARA CABO DE USO AUTOMOTIVO</t>
  </si>
  <si>
    <t>23B711886D</t>
  </si>
  <si>
    <t>1UPORTE PARA CABO DE USO AUTOMOTIVO</t>
  </si>
  <si>
    <t>23B711940</t>
  </si>
  <si>
    <t>CABLE CLIP</t>
  </si>
  <si>
    <t>CLIP DE ACO PARA CABO USO AUTOMOTIVO</t>
  </si>
  <si>
    <t>23B721482</t>
  </si>
  <si>
    <t>TUBO DE PRESSAO  DA EMBREAGEM DE USO AUT</t>
  </si>
  <si>
    <t>23B721882</t>
  </si>
  <si>
    <t>SUPORTE  DE  USO AUTOMOTIVO</t>
  </si>
  <si>
    <t>23B8070719B9</t>
  </si>
  <si>
    <t>BUMPER,FRONT</t>
  </si>
  <si>
    <t>PARA CHOQUE DIANT P USO AUTOMOTIVO</t>
  </si>
  <si>
    <t>BX4</t>
  </si>
  <si>
    <t>23B807131</t>
  </si>
  <si>
    <t>SUPORTE DO PARACHOQUE DE USO AUTOMOTIVO</t>
  </si>
  <si>
    <t>23B819055</t>
  </si>
  <si>
    <t>CLIP</t>
  </si>
  <si>
    <t>SUPORTE EM ACO PARA  TUBO DE USO AUTOMOT</t>
  </si>
  <si>
    <t>23B820742</t>
  </si>
  <si>
    <t>REFRIGERANT LINE</t>
  </si>
  <si>
    <t>TUBULACAO DE REFRIGER DO AR CONDICIONADO</t>
  </si>
  <si>
    <t>23B821103</t>
  </si>
  <si>
    <t>FENDER,FR</t>
  </si>
  <si>
    <t>PARALAM DIANTEIRO DE USO AUTOMOTIVO</t>
  </si>
  <si>
    <t>23B8211059B9</t>
  </si>
  <si>
    <t>PARA</t>
  </si>
  <si>
    <t>bx4</t>
  </si>
  <si>
    <t>23B8211069B9</t>
  </si>
  <si>
    <t>23B821151D</t>
  </si>
  <si>
    <t>SUPTE PARA-LAMA</t>
  </si>
  <si>
    <t>SUPORTE PARA</t>
  </si>
  <si>
    <t>23B821152D</t>
  </si>
  <si>
    <t>BRACKET,FENDER</t>
  </si>
  <si>
    <t>SUPORTE ACO PARALAMA LD USO AUTOMOTIVO</t>
  </si>
  <si>
    <t>23B821653A9B9</t>
  </si>
  <si>
    <t>COBERTURA DA PORTA DE USO AUTOMOTIVO</t>
  </si>
  <si>
    <t>23B821654A9B9</t>
  </si>
  <si>
    <t>23B8219439B9</t>
  </si>
  <si>
    <t>COBERTURA COLUNA B USO AUTOMOTIVO</t>
  </si>
  <si>
    <t>23B8219449B9</t>
  </si>
  <si>
    <t>COBERTURA DA COLUNA B LADO DIREITO</t>
  </si>
  <si>
    <t>23B853117I9A</t>
  </si>
  <si>
    <t>COVER,PILLAR A</t>
  </si>
  <si>
    <t>COBERTURA COLUNA A PARA USO AUTOMOTIVO</t>
  </si>
  <si>
    <t>23B853118I9A</t>
  </si>
  <si>
    <t>23B853153</t>
  </si>
  <si>
    <t>EDGE PROTECTION</t>
  </si>
  <si>
    <t>PROTETOR PARA USO AUTOMOTIVO</t>
  </si>
  <si>
    <t>23B853601</t>
  </si>
  <si>
    <t>TRADE MARK</t>
  </si>
  <si>
    <t>LOGOTIPO PLASTICO ADESIVADO "VW"</t>
  </si>
  <si>
    <t>23B853653ALDM</t>
  </si>
  <si>
    <t>RADIATOR GRILLE</t>
  </si>
  <si>
    <t>GRADE DO RADIADOR PARA USO AUTOMOTIVO</t>
  </si>
  <si>
    <t>23B854431</t>
  </si>
  <si>
    <t>NAMEPLATE,FRONT</t>
  </si>
  <si>
    <t>LOGOTIPO DIANTEIRO USO AUTOMOTIVO</t>
  </si>
  <si>
    <t>23B854735C</t>
  </si>
  <si>
    <t>CANTONEIRA REFORCO DO ESTRIBO DE USO AUT</t>
  </si>
  <si>
    <t>23B854749B9B9</t>
  </si>
  <si>
    <t>STEP</t>
  </si>
  <si>
    <t>ESTRIBO DE USO AUTOMOTIVO</t>
  </si>
  <si>
    <t>23B854750B9B9</t>
  </si>
  <si>
    <t>23B857645</t>
  </si>
  <si>
    <t>GRAB HANDLE</t>
  </si>
  <si>
    <t>ALCA DE SEGURANCA SUPORTE CINTO SEGURANC</t>
  </si>
  <si>
    <t>23B858217NA2</t>
  </si>
  <si>
    <t>END PLATE</t>
  </si>
  <si>
    <t>TAMPA FECHAMENTO PAINEL INSTRUMENTOS</t>
  </si>
  <si>
    <t>23B863801B</t>
  </si>
  <si>
    <t>ANTIRUIDO</t>
  </si>
  <si>
    <t>ANTIRUIDO LADO ESQUERDO CABINA</t>
  </si>
  <si>
    <t>23B863802B</t>
  </si>
  <si>
    <t>ANTIRUIDO LADO DIREITO CABINA</t>
  </si>
  <si>
    <t>23B898171</t>
  </si>
  <si>
    <t>SECURING CABLE</t>
  </si>
  <si>
    <t>CABO DE RETENCAO PARA USO AUTOMOTIVO</t>
  </si>
  <si>
    <t>23B898171A</t>
  </si>
  <si>
    <t>CABO DE SEGURANCA P VEICULOS AUTOMOTORES</t>
  </si>
  <si>
    <t>23B899330</t>
  </si>
  <si>
    <t>ABRACADEIRA BARRA DE TORCAO</t>
  </si>
  <si>
    <t>23B899381</t>
  </si>
  <si>
    <t>APOIO FIXACAO DA CABINA</t>
  </si>
  <si>
    <t>23B899383</t>
  </si>
  <si>
    <t>SUPORTE DE LIMITACAO DA TRAVA DA CABINE</t>
  </si>
  <si>
    <t>23B899397</t>
  </si>
  <si>
    <t>SPRING HANGER</t>
  </si>
  <si>
    <t>COXIM DE BORRACHA SUSPENSAO DA CABINA</t>
  </si>
  <si>
    <t>23B899441</t>
  </si>
  <si>
    <t>NUT HOLDER</t>
  </si>
  <si>
    <t>BUCHA SUPORTE DE PORCA DE PLASTICO</t>
  </si>
  <si>
    <t>23B899513</t>
  </si>
  <si>
    <t>TORSION BAR</t>
  </si>
  <si>
    <t>BARRA DE TORCAO SUSPENSAO CABINE</t>
  </si>
  <si>
    <t>23B899514</t>
  </si>
  <si>
    <t>23B899515</t>
  </si>
  <si>
    <t>AMORTECEDOR DA CABINE USO AUTOMOTIVO</t>
  </si>
  <si>
    <t>23B899517</t>
  </si>
  <si>
    <t>SUSPENSION</t>
  </si>
  <si>
    <t>SUPORTE PARA AMORTECEDOR SUPERIOR</t>
  </si>
  <si>
    <t>23B899555</t>
  </si>
  <si>
    <t>SUPPORT BRACKET</t>
  </si>
  <si>
    <t>TRAVA LINGUETA DE SEGURANCA PARA CABINA</t>
  </si>
  <si>
    <t>23B906357</t>
  </si>
  <si>
    <t>SUPORTE SENSOR DE USO AUTOMOTIVO</t>
  </si>
  <si>
    <t>23B907631G</t>
  </si>
  <si>
    <t>SOLENOID VALVE</t>
  </si>
  <si>
    <t>VALVULA MAGNETICA SOLENOIDE</t>
  </si>
  <si>
    <t>23B911463A</t>
  </si>
  <si>
    <t>SUPORTE DE BATERIA DE USO AUTOMOTIVO</t>
  </si>
  <si>
    <t>23B915516</t>
  </si>
  <si>
    <t>SUPORTE DE FIXACAO PARA USO AUTOMOTIVO</t>
  </si>
  <si>
    <t>23B915521</t>
  </si>
  <si>
    <t>PROTECTIVE CAP</t>
  </si>
  <si>
    <t>TAMPA COBERTURA BATERIA USO AUTOMOTIVO</t>
  </si>
  <si>
    <t>23B915543A</t>
  </si>
  <si>
    <t>23B919183C</t>
  </si>
  <si>
    <t>TANK UNIT</t>
  </si>
  <si>
    <t>SENSOR DO NIVEL DE COMBUSTIVEL PARA USO</t>
  </si>
  <si>
    <t>23B937550H</t>
  </si>
  <si>
    <t>CAIXA FUSIVEL PRIN</t>
  </si>
  <si>
    <t>CAIXA DE FUSIVEIS DE USO AUTOMOTIVO</t>
  </si>
  <si>
    <t>23B941033N</t>
  </si>
  <si>
    <t>HEADLAMP</t>
  </si>
  <si>
    <t>FAROL LADO ESQUERDO DE USO AUTOMOTIVO</t>
  </si>
  <si>
    <t>23B941034N</t>
  </si>
  <si>
    <t>FAROL LADO DIREITO DE USO AUTOMOTIVO</t>
  </si>
  <si>
    <t>23B945403B</t>
  </si>
  <si>
    <t>SUPORTE DA LANTERNA TRASEIRA</t>
  </si>
  <si>
    <t>23B949101</t>
  </si>
  <si>
    <t>TURN SIGNAL</t>
  </si>
  <si>
    <t>SIDE TURN SIGNAL</t>
  </si>
  <si>
    <t>23B949102</t>
  </si>
  <si>
    <t>23B951183</t>
  </si>
  <si>
    <t>BRACKET,HORN</t>
  </si>
  <si>
    <t>SUPORTE DA BUZINA DE USO AUTOMOTOR</t>
  </si>
  <si>
    <t>23B953037</t>
  </si>
  <si>
    <t>WARNING LIGHT</t>
  </si>
  <si>
    <t>23B955451A</t>
  </si>
  <si>
    <t>WASHER FLUID</t>
  </si>
  <si>
    <t>RESERVATORIO PARA LIQUIDO DO SISTEMA LAV</t>
  </si>
  <si>
    <t>23B971003F</t>
  </si>
  <si>
    <t>CABLE HOLDER</t>
  </si>
  <si>
    <t>SUPORTE DE ACO PARA CABO USO AUTOMOTIVO</t>
  </si>
  <si>
    <t>23B971011CK</t>
  </si>
  <si>
    <t>CHICOTELANTERNAT</t>
  </si>
  <si>
    <t>CHICOTE DA LANTERNA TRASEIRA DE USO AUTO</t>
  </si>
  <si>
    <t>23B971235A</t>
  </si>
  <si>
    <t>CABOMASSABATERIA</t>
  </si>
  <si>
    <t>CABO MASSA DA BATERIA P USO AUTOMOTIVO</t>
  </si>
  <si>
    <t>23B971255</t>
  </si>
  <si>
    <t>CHICOTE PARA BATERIA DE USO AUTOMOTIVO</t>
  </si>
  <si>
    <t>23B971911</t>
  </si>
  <si>
    <t>ILHOPARACABO</t>
  </si>
  <si>
    <t>ILHO DE BORRACHA  PARA CABO</t>
  </si>
  <si>
    <t>23B971911A</t>
  </si>
  <si>
    <t>CABLE BUSHING</t>
  </si>
  <si>
    <t>ILHO PRETETOR DE BORRACHA</t>
  </si>
  <si>
    <t>2P0131113</t>
  </si>
  <si>
    <t>UNIDADE DE DOSAGEM</t>
  </si>
  <si>
    <t>BOMBA DE DOSAGEM UREIA SISTEMA EXAUSTAO</t>
  </si>
  <si>
    <t>2P0253143G</t>
  </si>
  <si>
    <t>2P0906261B</t>
  </si>
  <si>
    <t>SENSOR</t>
  </si>
  <si>
    <t>SENSOR DE MASSA DE AR NOX USO AUTOMOTIVO</t>
  </si>
  <si>
    <t>2P0915089</t>
  </si>
  <si>
    <t>BATTERY</t>
  </si>
  <si>
    <t>BATERIA</t>
  </si>
  <si>
    <t>2R0253093</t>
  </si>
  <si>
    <t>SUPORTE COMPLETO</t>
  </si>
  <si>
    <t>2R0419635</t>
  </si>
  <si>
    <t>DETENT PART</t>
  </si>
  <si>
    <t>PECA DE RETENCAO</t>
  </si>
  <si>
    <t>2R0607261D</t>
  </si>
  <si>
    <t>DRAIN VALVE</t>
  </si>
  <si>
    <t>VALVULA, DRENAGEM</t>
  </si>
  <si>
    <t>2R0871195</t>
  </si>
  <si>
    <t>WELT</t>
  </si>
  <si>
    <t>GALAO</t>
  </si>
  <si>
    <t>2R0871195A</t>
  </si>
  <si>
    <t>2R0899531</t>
  </si>
  <si>
    <t>BUCHA</t>
  </si>
  <si>
    <t>2R0947561</t>
  </si>
  <si>
    <t>CONTACT SWITCH</t>
  </si>
  <si>
    <t>INTERRUPTOR</t>
  </si>
  <si>
    <t>2R0951209B</t>
  </si>
  <si>
    <t>HORN W.BRACKET</t>
  </si>
  <si>
    <t>BUZINA COM SUPORTE PARA USO AUTOMOTIVO</t>
  </si>
  <si>
    <t>2R2803875B</t>
  </si>
  <si>
    <t>PECA DE FIXACAO</t>
  </si>
  <si>
    <t>2R2803875C</t>
  </si>
  <si>
    <t>2R2803875G</t>
  </si>
  <si>
    <t>2R2803875P</t>
  </si>
  <si>
    <t>PORCA</t>
  </si>
  <si>
    <t>2R2803877A</t>
  </si>
  <si>
    <t>2R2803877DG</t>
  </si>
  <si>
    <t>PARAFUSO</t>
  </si>
  <si>
    <t>2R2806223</t>
  </si>
  <si>
    <t>BLIND RIVET</t>
  </si>
  <si>
    <t>REBITE</t>
  </si>
  <si>
    <t>2R2971963</t>
  </si>
  <si>
    <t>PIN HOUSING</t>
  </si>
  <si>
    <t>RECEPTÁCULO</t>
  </si>
  <si>
    <t>2RD115657A</t>
  </si>
  <si>
    <t>BRACADEIRA DO RESERVATORIO</t>
  </si>
  <si>
    <t>2RD507141</t>
  </si>
  <si>
    <t>PLUG</t>
  </si>
  <si>
    <t>TUBO DE RESPIRO DE PLASTICO</t>
  </si>
  <si>
    <t>2RD805137</t>
  </si>
  <si>
    <t>COVER-I/PANEL HOLE</t>
  </si>
  <si>
    <t>PINO</t>
  </si>
  <si>
    <t>2RE117273A</t>
  </si>
  <si>
    <t>2RE121255C</t>
  </si>
  <si>
    <t>2RE145425</t>
  </si>
  <si>
    <t>2S2000101M</t>
  </si>
  <si>
    <t>IDENTIFICATION</t>
  </si>
  <si>
    <t>ETIQUETA IDENTIFICACAO</t>
  </si>
  <si>
    <t>2S2145687</t>
  </si>
  <si>
    <t>ABRACADEIRA DE ACO DE USO AUTOMOTIVO</t>
  </si>
  <si>
    <t>2S2945095B</t>
  </si>
  <si>
    <t>REAR COMBINATION</t>
  </si>
  <si>
    <t>LANTERNA TRASEIRA LADO ESQUERDO</t>
  </si>
  <si>
    <t>2S2945096B</t>
  </si>
  <si>
    <t>LANTERNA TRASEIRA LADO DIREITO</t>
  </si>
  <si>
    <t>2T0000331A</t>
  </si>
  <si>
    <t>ETIQUETA</t>
  </si>
  <si>
    <t>2T0000331C</t>
  </si>
  <si>
    <t>2T2121477A</t>
  </si>
  <si>
    <t>2T2601371</t>
  </si>
  <si>
    <t>VALVE BODY</t>
  </si>
  <si>
    <t>VALVULA RODA PARA USO AUTOMOTIVO</t>
  </si>
  <si>
    <t>2T2607316D</t>
  </si>
  <si>
    <t>DISTRIBUTOR</t>
  </si>
  <si>
    <t>VALVULA PARA CHECK DE PRESSAO DO SISTEMA</t>
  </si>
  <si>
    <t>2TA145171</t>
  </si>
  <si>
    <t>OIL RESERVOIR</t>
  </si>
  <si>
    <t>RESERVATORIO OLEO</t>
  </si>
  <si>
    <t>2TA265220</t>
  </si>
  <si>
    <t>ABRACADEIRA P/CABO</t>
  </si>
  <si>
    <t>2TB499151</t>
  </si>
  <si>
    <t>LOCK NUT</t>
  </si>
  <si>
    <t>PORCA DE SEGURANCA</t>
  </si>
  <si>
    <t>2TB607515A</t>
  </si>
  <si>
    <t>ADAPTER</t>
  </si>
  <si>
    <t>ADAPTADOR</t>
  </si>
  <si>
    <t>2TE121255</t>
  </si>
  <si>
    <t>2TJ607139</t>
  </si>
  <si>
    <t>ABRACADEIRA PARA USO AUTOMOTIVO</t>
  </si>
  <si>
    <t>2TK507515</t>
  </si>
  <si>
    <t>HOSE</t>
  </si>
  <si>
    <t>2V2607359A</t>
  </si>
  <si>
    <t>2V2971739</t>
  </si>
  <si>
    <t>PRESILHA PLASTICA DO CHICOTE</t>
  </si>
  <si>
    <t>2V3131980</t>
  </si>
  <si>
    <t>CATCH</t>
  </si>
  <si>
    <t>TAMPA PLASTICA C/CHAVE DO TANQUE DE ARLA</t>
  </si>
  <si>
    <t>2W0511417</t>
  </si>
  <si>
    <t>2W0521347</t>
  </si>
  <si>
    <t>SHIM</t>
  </si>
  <si>
    <t>PLACA BASE</t>
  </si>
  <si>
    <t>2W0703529D</t>
  </si>
  <si>
    <t>SPACER SLEEVE</t>
  </si>
  <si>
    <t>ESPACADOR</t>
  </si>
  <si>
    <t>2W0905121</t>
  </si>
  <si>
    <t>CINTA TENSORA</t>
  </si>
  <si>
    <t>2Z0000313</t>
  </si>
  <si>
    <t>2Z0201551</t>
  </si>
  <si>
    <t>CAP</t>
  </si>
  <si>
    <t>TAMPA</t>
  </si>
  <si>
    <t>2Z0607262B</t>
  </si>
  <si>
    <t>PRESSURE CONTROL V</t>
  </si>
  <si>
    <t>2Z0906088</t>
  </si>
  <si>
    <t>SENSOR TEMPERATURA</t>
  </si>
  <si>
    <t>SENSOR TEMPERATURA PARA USO AUTOMOTIVO</t>
  </si>
  <si>
    <t>3D0971838D</t>
  </si>
  <si>
    <t>CABLE TIE BASE</t>
  </si>
  <si>
    <t>SOQUETE CLIP CABO</t>
  </si>
  <si>
    <t>3D0971838K</t>
  </si>
  <si>
    <t>CABLE TIE</t>
  </si>
  <si>
    <t>CLIP  DE PLASTICO PARA CABOS DE USO AUTO</t>
  </si>
  <si>
    <t>N01024232</t>
  </si>
  <si>
    <t>HEXAGON HEAD BOLT</t>
  </si>
  <si>
    <t>PARAF SEXT NP M8X25 AÇO MÉD CARBONO</t>
  </si>
  <si>
    <t>N01118311</t>
  </si>
  <si>
    <t>PREV.TORQUE TYPE H</t>
  </si>
  <si>
    <t>N01118316</t>
  </si>
  <si>
    <t>PORCA APERTO SEXT.</t>
  </si>
  <si>
    <t>N01118410</t>
  </si>
  <si>
    <t>PORCA APERTO SEXTAVADA M8 USO AUTOMOTIVO</t>
  </si>
  <si>
    <t>N0115247</t>
  </si>
  <si>
    <t>WASHER</t>
  </si>
  <si>
    <t>ARRUELA</t>
  </si>
  <si>
    <t>N01166618</t>
  </si>
  <si>
    <t>ARRUELA 6.4X18X1.6 P USO AUTOMOTIVO</t>
  </si>
  <si>
    <t>N01166620</t>
  </si>
  <si>
    <t>ARRUELA INFERIOR 6.4X18X1.6 USO AUTOMOTI</t>
  </si>
  <si>
    <t>N01167016</t>
  </si>
  <si>
    <t>ARRUELA 8,4X24X2 DO PARAFUSO DE FIX</t>
  </si>
  <si>
    <t>N01167026</t>
  </si>
  <si>
    <t>N0141313</t>
  </si>
  <si>
    <t>PAN HEAD BOLT</t>
  </si>
  <si>
    <t>PARAF CABECA PLANA</t>
  </si>
  <si>
    <t>N0150816</t>
  </si>
  <si>
    <t>HEXAGON FLANGE NUT</t>
  </si>
  <si>
    <t>PORCA ROSCA CARB MED. M10X1.5(CI 09 0B)</t>
  </si>
  <si>
    <t>N01508210</t>
  </si>
  <si>
    <t>PORCA ACO MEDIO CARBONO M6(CD 04 0B)*RP*</t>
  </si>
  <si>
    <t>N0150839</t>
  </si>
  <si>
    <t>PORCA SEXTAVADA FL</t>
  </si>
  <si>
    <t>N0195307</t>
  </si>
  <si>
    <t>HEXAGON FLANGE BOL</t>
  </si>
  <si>
    <t>PARAF NP AÇO CARB M8X25 *RP* (CC 01 0B)</t>
  </si>
  <si>
    <t>N0195315</t>
  </si>
  <si>
    <t>PARAFUSO NP AÇO MEDIO CARBONO AM8X40</t>
  </si>
  <si>
    <t>N0197006</t>
  </si>
  <si>
    <t>PARAFUSO SEXT. FLA</t>
  </si>
  <si>
    <t>N0209057</t>
  </si>
  <si>
    <t>UNBEKANNT</t>
  </si>
  <si>
    <t>PRESILHA PLASTICA</t>
  </si>
  <si>
    <t>N02300411</t>
  </si>
  <si>
    <t>PORCA HEXAGONAL DE</t>
  </si>
  <si>
    <t>N10017304</t>
  </si>
  <si>
    <t>PORCA AÇO MEDIO CARBONO M5 *VDA*</t>
  </si>
  <si>
    <t>N10082911</t>
  </si>
  <si>
    <t>PARAFUSO COMBINADO</t>
  </si>
  <si>
    <t>N10106402</t>
  </si>
  <si>
    <t>PORCA HEXAGO  SEGURA M12X1.5 (CJ 02 0A)</t>
  </si>
  <si>
    <t>N10118104</t>
  </si>
  <si>
    <t>N10128110</t>
  </si>
  <si>
    <t>PARAFUSO SEXTAVADO M8 X 30</t>
  </si>
  <si>
    <t>N10156004</t>
  </si>
  <si>
    <t>PARAFUSO SEXT.</t>
  </si>
  <si>
    <t>N10156009</t>
  </si>
  <si>
    <t>N10208907</t>
  </si>
  <si>
    <t>PARAFUSO SEXTAVADO</t>
  </si>
  <si>
    <t>N10240304</t>
  </si>
  <si>
    <t>PORCA SEXTAVADA FLANGEADA P USO AUTOM.</t>
  </si>
  <si>
    <t>N10261302</t>
  </si>
  <si>
    <t>PORCA SEXTAVADA</t>
  </si>
  <si>
    <t>N10261311</t>
  </si>
  <si>
    <t>PORCASEXTAVADAFL</t>
  </si>
  <si>
    <t>N10272302</t>
  </si>
  <si>
    <t>PORCA DE ACO MEDIO CARBONO M10</t>
  </si>
  <si>
    <t>N10285601</t>
  </si>
  <si>
    <t>N10285602</t>
  </si>
  <si>
    <t>N10314403</t>
  </si>
  <si>
    <t>N10401801</t>
  </si>
  <si>
    <t>PORCA HEXAGONAL DE SEGURANCA</t>
  </si>
  <si>
    <t>N10403203</t>
  </si>
  <si>
    <t>PARAFUSO SEXT. FLA (BY 08 0A)</t>
  </si>
  <si>
    <t>N10404402</t>
  </si>
  <si>
    <t>PARAFUSO DE COLAR SEXTAVADO M10 X 4 0</t>
  </si>
  <si>
    <t>N10426702</t>
  </si>
  <si>
    <t>N10435508</t>
  </si>
  <si>
    <t>PORCAHEXAGONALDE</t>
  </si>
  <si>
    <t>PORCA  DE SEGURANCA M8 *RP*(BY 11 0B)</t>
  </si>
  <si>
    <t>N10585602</t>
  </si>
  <si>
    <t>HEXAGON FLANGE</t>
  </si>
  <si>
    <t>PARAFUSO SEXT. FLANG P USO AUTOMOTIVO</t>
  </si>
  <si>
    <t>N10626602</t>
  </si>
  <si>
    <t>PARAFUSO SEXT. FLANG. M8X30 P USO AUTO</t>
  </si>
  <si>
    <t>N10628401</t>
  </si>
  <si>
    <t>PARAFUSO SEXT. FLANG. P USO AUTOMOTIVO</t>
  </si>
  <si>
    <t>N10629501</t>
  </si>
  <si>
    <t>PARAFUSO DE COLAR SEXTAVADO FLANGEADO</t>
  </si>
  <si>
    <t>N10661101</t>
  </si>
  <si>
    <t>PARAFUSO SEXT FLANG12x1.50x55 P USO AUTO</t>
  </si>
  <si>
    <t>N10671801</t>
  </si>
  <si>
    <t>12-POINT SOCKET</t>
  </si>
  <si>
    <t>PARAF FLG INTERIOR</t>
  </si>
  <si>
    <t>N10729601</t>
  </si>
  <si>
    <t>PARAFUSO SEXT. FLA(CJ 08 0A)*RP*</t>
  </si>
  <si>
    <t>N10733601</t>
  </si>
  <si>
    <t>PARAFUSO NP SEXT FLANGEADO M14X1.50X45</t>
  </si>
  <si>
    <t>N10742901</t>
  </si>
  <si>
    <t>PARAFUSO SEXT FLANG M12x1.50x50 USO AUTO</t>
  </si>
  <si>
    <t>N10782201</t>
  </si>
  <si>
    <t>PARAFUSO SEXT. FLANGEADO</t>
  </si>
  <si>
    <t>N10784702</t>
  </si>
  <si>
    <t>PARAFUSO SEXTAVADO N PERF. 12x1.5x85</t>
  </si>
  <si>
    <t>N10818601</t>
  </si>
  <si>
    <t>PARAFUSO SEXT M16x1.5x130x100 P USO AUTO</t>
  </si>
  <si>
    <t>N10819101</t>
  </si>
  <si>
    <t>LUG NUT</t>
  </si>
  <si>
    <t>PORCA DE RODA M18x1.5 N P USO AUTOMOTIVO</t>
  </si>
  <si>
    <t>N10821101</t>
  </si>
  <si>
    <t>PREV.TORQUE TYPE</t>
  </si>
  <si>
    <t>PORCA HEXAGONAL DE SEGURANCA M16X1.5</t>
  </si>
  <si>
    <t>N10824801</t>
  </si>
  <si>
    <t>PARAFUSO SEXTAVADO FLANGEADO M12X1.5X65</t>
  </si>
  <si>
    <t>N10861701</t>
  </si>
  <si>
    <t>PARAFUSO SEXTAVADO M12x1.5x35</t>
  </si>
  <si>
    <t>N10861801</t>
  </si>
  <si>
    <t>PARAFUSO SEXTAVADO P USO AUTOMOTIVO</t>
  </si>
  <si>
    <t>N10871001</t>
  </si>
  <si>
    <t>PARAFUSO SEXTAVADO M20x1.5x100 EM ACO 10</t>
  </si>
  <si>
    <t>N90183802</t>
  </si>
  <si>
    <t>PORCA  AUTO</t>
  </si>
  <si>
    <t>N90183803</t>
  </si>
  <si>
    <t>PORCA HEXAGONAL DE SEGURANCA M8</t>
  </si>
  <si>
    <t>N90548305</t>
  </si>
  <si>
    <t>N90655801</t>
  </si>
  <si>
    <t>SPRING CLAMP</t>
  </si>
  <si>
    <t>LBRACADEIRA CLIP DE ACO A40X12</t>
  </si>
  <si>
    <t>N90698601</t>
  </si>
  <si>
    <t>FLANGE TAPPING SCR</t>
  </si>
  <si>
    <t>PARAF PERF AÇO STB 4.2X16.0(CD 06 0A)</t>
  </si>
  <si>
    <t>N90698606</t>
  </si>
  <si>
    <t>PARAFUSO PERF. ACO 2x16 (CC 02 0A)</t>
  </si>
  <si>
    <t>N90708504</t>
  </si>
  <si>
    <t>N90761102</t>
  </si>
  <si>
    <t>N90761103</t>
  </si>
  <si>
    <t>PORCA HEXAGONAL ACO MEDIO (CD 09 0A)*RP*</t>
  </si>
  <si>
    <t>N90796502</t>
  </si>
  <si>
    <t>ARRUELA DE TRAVAMENTO ACO LIGA</t>
  </si>
  <si>
    <t>N90798805</t>
  </si>
  <si>
    <t>PORCA SEXTAVAD FLANGEADA M8 (CC 01 0A)</t>
  </si>
  <si>
    <t>N90969101</t>
  </si>
  <si>
    <t>HEXALOBULAR SOCKET</t>
  </si>
  <si>
    <t>PARAFUSO TORX INTE</t>
  </si>
  <si>
    <t>N91048903</t>
  </si>
  <si>
    <t>PARAFUSO SEXTAVADO COM FLANGE  M8X28</t>
  </si>
  <si>
    <t>N91071801</t>
  </si>
  <si>
    <t>N91240501</t>
  </si>
  <si>
    <t>N91240601</t>
  </si>
  <si>
    <t>N91240701</t>
  </si>
  <si>
    <t>PARAFUSO SEXT. FLANGEADO P USO AUTOM.</t>
  </si>
  <si>
    <t>N91241101</t>
  </si>
  <si>
    <t>HEXAGON SHOULDER</t>
  </si>
  <si>
    <t>PARAFUSO SEXTAVADO PASSANTE</t>
  </si>
  <si>
    <t>N91241201</t>
  </si>
  <si>
    <t>PARAFUSO NAO PERF HEXAG MED M18X1,5X35</t>
  </si>
  <si>
    <t>N91241501</t>
  </si>
  <si>
    <t>N91242001</t>
  </si>
  <si>
    <t>N91243902</t>
  </si>
  <si>
    <t>FLAT HEAD BOLT</t>
  </si>
  <si>
    <t>PARAFUSO CABECA REBAIXADA AM12X1.5X50 US</t>
  </si>
  <si>
    <t>N91258001</t>
  </si>
  <si>
    <t>N91273501</t>
  </si>
  <si>
    <t>ARRUELA DE ACO MEDIDA  13X52X3</t>
  </si>
  <si>
    <t>N91283501</t>
  </si>
  <si>
    <t>PARAFUSO HEXAGONAL PARA USO AUTOMOTIVO</t>
  </si>
  <si>
    <t>T06607701A</t>
  </si>
  <si>
    <t>PRESILHA</t>
  </si>
  <si>
    <t>T12945411</t>
  </si>
  <si>
    <t>T15507139</t>
  </si>
  <si>
    <t>T16413431</t>
  </si>
  <si>
    <t>TAP803295</t>
  </si>
  <si>
    <t>RADIUS ROD</t>
  </si>
  <si>
    <t>TIRANTE</t>
  </si>
  <si>
    <t>TAP8078019B9</t>
  </si>
  <si>
    <t>TJG521151</t>
  </si>
  <si>
    <t>MANCAL</t>
  </si>
  <si>
    <t>TJG971911B</t>
  </si>
  <si>
    <t>TMG521153</t>
  </si>
  <si>
    <t>WASHER HEAD BOLT</t>
  </si>
  <si>
    <t>WHT005023</t>
  </si>
  <si>
    <t>NUT</t>
  </si>
  <si>
    <t>WHT005036</t>
  </si>
  <si>
    <t>SCREW</t>
  </si>
  <si>
    <t>WHT005102</t>
  </si>
  <si>
    <t>WHT005107</t>
  </si>
  <si>
    <t>WHT008105</t>
  </si>
  <si>
    <t>PARAFUSO SEXTAVADO M14X167 USO AUTOMOTI</t>
  </si>
  <si>
    <t>WHT009661</t>
  </si>
  <si>
    <t>HOSE CLAMP</t>
  </si>
  <si>
    <t>BRACADEIRA DE ACO A90 110X12 SW8 USO AUT</t>
  </si>
  <si>
    <t>07W145287</t>
  </si>
  <si>
    <t>BUCHA USB</t>
  </si>
  <si>
    <t>17.180. ModelCode.EE</t>
  </si>
  <si>
    <t>22B201100</t>
  </si>
  <si>
    <t>CONECTOR TUBULACAO COMBUSTIVEL USO AUTOM</t>
  </si>
  <si>
    <t>23B000911A</t>
  </si>
  <si>
    <t>ETIQUETA ADESIVA</t>
  </si>
  <si>
    <t>2R0000441B</t>
  </si>
  <si>
    <t>PLATE</t>
  </si>
  <si>
    <t>ETIQUETA INSTRUCAO CONEXAO MODULO</t>
  </si>
  <si>
    <t>2R0012239B</t>
  </si>
  <si>
    <t>LEVER</t>
  </si>
  <si>
    <t>HASTE DE COMANDO PARA O MACACO</t>
  </si>
  <si>
    <t>2R0121136</t>
  </si>
  <si>
    <t>2R0121136B</t>
  </si>
  <si>
    <t>BRAÇADEIRA</t>
  </si>
  <si>
    <t>2R0201136</t>
  </si>
  <si>
    <t>2R0422913</t>
  </si>
  <si>
    <t>2R0609719</t>
  </si>
  <si>
    <t>2R0703529</t>
  </si>
  <si>
    <t>2R0945403A</t>
  </si>
  <si>
    <t>2R2000299</t>
  </si>
  <si>
    <t>2R2000300</t>
  </si>
  <si>
    <t>2R2000547A</t>
  </si>
  <si>
    <t>2R2129573B</t>
  </si>
  <si>
    <t>AIR DEFLECTOR</t>
  </si>
  <si>
    <t>DUTO DE AR</t>
  </si>
  <si>
    <t>BX5</t>
  </si>
  <si>
    <t>2R2607269</t>
  </si>
  <si>
    <t>SUPORTE POSICION.</t>
  </si>
  <si>
    <t>2R2803875A</t>
  </si>
  <si>
    <t>2R2803877</t>
  </si>
  <si>
    <t>2R2803877AA</t>
  </si>
  <si>
    <t>2R2803877AE</t>
  </si>
  <si>
    <t>2R2803877AG</t>
  </si>
  <si>
    <t>2R2803877AJ</t>
  </si>
  <si>
    <t>2R2803877BT</t>
  </si>
  <si>
    <t>2R2803877CM</t>
  </si>
  <si>
    <t>2R2803877CP</t>
  </si>
  <si>
    <t>2R2803877D</t>
  </si>
  <si>
    <t>2R2803877F</t>
  </si>
  <si>
    <t>2R2803877M</t>
  </si>
  <si>
    <t>2R2803877S</t>
  </si>
  <si>
    <t>2R2819639</t>
  </si>
  <si>
    <t>FILTER HOUSING</t>
  </si>
  <si>
    <t>CARCACA DO FILTRO</t>
  </si>
  <si>
    <t>2R2820761</t>
  </si>
  <si>
    <t>2R2821245</t>
  </si>
  <si>
    <t>SEALING PART</t>
  </si>
  <si>
    <t>PECA SELADORA</t>
  </si>
  <si>
    <t>2R2821719</t>
  </si>
  <si>
    <t>PLACA</t>
  </si>
  <si>
    <t>2R2823359</t>
  </si>
  <si>
    <t>GAS SPRING</t>
  </si>
  <si>
    <t>AMORTECEDOR A GAS</t>
  </si>
  <si>
    <t>2R2863631D</t>
  </si>
  <si>
    <t>SOUND ABSORBER,</t>
  </si>
  <si>
    <t>ISOLACAO ACUSTICA</t>
  </si>
  <si>
    <t>2R2863632E</t>
  </si>
  <si>
    <t>2R2899501B</t>
  </si>
  <si>
    <t>HYDRAULIC PUMP</t>
  </si>
  <si>
    <t>BOMBA HIDRAULICA PARA USO AUTOMOTIVO</t>
  </si>
  <si>
    <t>2R2899505C</t>
  </si>
  <si>
    <t>HYDRAULIC CYLINDER</t>
  </si>
  <si>
    <t>CILINDRO HIDRAULICO DA SUSPENSAO DA CABI</t>
  </si>
  <si>
    <t>2R2899512A</t>
  </si>
  <si>
    <t>SPACER BUSH</t>
  </si>
  <si>
    <t>BUCHA DISTANCIADOR</t>
  </si>
  <si>
    <t>2R2907291B</t>
  </si>
  <si>
    <t>CONTROL UNIT W.</t>
  </si>
  <si>
    <t>UNIDADE CONTROLE PARTIDA REMOTA</t>
  </si>
  <si>
    <t>2R2937565</t>
  </si>
  <si>
    <t>CAPA</t>
  </si>
  <si>
    <t>2R2941031</t>
  </si>
  <si>
    <t>FAROL DO LADO ESQUERDO</t>
  </si>
  <si>
    <t>2R2941032</t>
  </si>
  <si>
    <t>FAROL</t>
  </si>
  <si>
    <t>2R2945511</t>
  </si>
  <si>
    <t>SWITCH,BRAKE PEDAL</t>
  </si>
  <si>
    <t>TRANSDUTOR DE PRESSAO PARA USO AUTOMOTIV</t>
  </si>
  <si>
    <t>2R2949101A</t>
  </si>
  <si>
    <t>TURN SIGNAL REPEAT</t>
  </si>
  <si>
    <t>LUZ INDIC DIRECAO</t>
  </si>
  <si>
    <t>2R2949102A</t>
  </si>
  <si>
    <t>2R2953037</t>
  </si>
  <si>
    <t>LUZ DE EMERGENCIA</t>
  </si>
  <si>
    <t>2RD201735</t>
  </si>
  <si>
    <t>MM</t>
  </si>
  <si>
    <t>HEAT SHRINK TUBING</t>
  </si>
  <si>
    <t>TUBO CORRUGADO</t>
  </si>
  <si>
    <t>SHW0</t>
  </si>
  <si>
    <t>2RD201737</t>
  </si>
  <si>
    <t>TUBO CORRUGADO 1"</t>
  </si>
  <si>
    <t>TUBO CORRUGADO 1</t>
  </si>
  <si>
    <t>2RD599179</t>
  </si>
  <si>
    <t>2RD607700A</t>
  </si>
  <si>
    <t>TUBO CORRUGADO DIRECAO HIDRAULICA</t>
  </si>
  <si>
    <t>2RD607999</t>
  </si>
  <si>
    <t>SEALING RING</t>
  </si>
  <si>
    <t>ANEL DE ALUMÍNIO PARA VEDACAO</t>
  </si>
  <si>
    <t>2RE121255</t>
  </si>
  <si>
    <t>OIL RING</t>
  </si>
  <si>
    <t>ANEL FITA DE ACO</t>
  </si>
  <si>
    <t>2RE121255E</t>
  </si>
  <si>
    <t>2RE121255F</t>
  </si>
  <si>
    <t>ABRAÇADEIRA</t>
  </si>
  <si>
    <t>2RE145425A</t>
  </si>
  <si>
    <t>2RE201511</t>
  </si>
  <si>
    <t>2RG607731</t>
  </si>
  <si>
    <t>2RL201385</t>
  </si>
  <si>
    <t>SEALING FRAME</t>
  </si>
  <si>
    <t>GUARNICAO</t>
  </si>
  <si>
    <t>2RL599179</t>
  </si>
  <si>
    <t>PORCA SEXTAVADA PARA USO AUTOMOTIVO</t>
  </si>
  <si>
    <t>2S0201021D</t>
  </si>
  <si>
    <t>RESERVATORIO COMBUSTIVEL DE USO AUTOMOTI</t>
  </si>
  <si>
    <t>2S0201179A</t>
  </si>
  <si>
    <t>BREATHER HOSE</t>
  </si>
  <si>
    <t>MANGUEIRA, RESPIRO</t>
  </si>
  <si>
    <t>2S0803431</t>
  </si>
  <si>
    <t>SUPORTE ESTEPE</t>
  </si>
  <si>
    <t>2S2121333D</t>
  </si>
  <si>
    <t>CONDUTOR DE AR INFERIOR PARA USO AUTOMOT</t>
  </si>
  <si>
    <t>2S2129142B</t>
  </si>
  <si>
    <t>2S2253319E</t>
  </si>
  <si>
    <t>SUPORTE LATERAL</t>
  </si>
  <si>
    <t>2S2253319G</t>
  </si>
  <si>
    <t>SUPORTE SILENCIOSO</t>
  </si>
  <si>
    <t>2S2253683K</t>
  </si>
  <si>
    <t>TAILPIPE</t>
  </si>
  <si>
    <t>TUBO PONTEIRA DA EXAUSTAO DE USO AUTOMOT</t>
  </si>
  <si>
    <t>2S2422891</t>
  </si>
  <si>
    <t>MANGUEIRA RETORNO</t>
  </si>
  <si>
    <t>2S2422921A</t>
  </si>
  <si>
    <t>LINE BRACKET</t>
  </si>
  <si>
    <t>SUPORTE DE TUBO PARA DIRECAO HIDRAULICA</t>
  </si>
  <si>
    <t>2S2422921B</t>
  </si>
  <si>
    <t>SUPORTE DE TUBO DIR HIDRAULICA USO AUTOM</t>
  </si>
  <si>
    <t>2S2607263</t>
  </si>
  <si>
    <t>PORCA BORBOLETA</t>
  </si>
  <si>
    <t>CONECTOR DE COBRE NG8 M16X1,5  DE USO AU</t>
  </si>
  <si>
    <t>2S2607263A</t>
  </si>
  <si>
    <t>PORCA DE CONEXAO</t>
  </si>
  <si>
    <t>ELEMENTO FIXACAO</t>
  </si>
  <si>
    <t>2S2607891F</t>
  </si>
  <si>
    <t>2S2777515</t>
  </si>
  <si>
    <t>BATTERY COVER</t>
  </si>
  <si>
    <t>TAMPA BATERIA</t>
  </si>
  <si>
    <t>2S2803561</t>
  </si>
  <si>
    <t>REINFORCEMENT</t>
  </si>
  <si>
    <t>REFORCO</t>
  </si>
  <si>
    <t>2S2803562</t>
  </si>
  <si>
    <t>2S2807071A54V</t>
  </si>
  <si>
    <t>PARA CHOQUE DIANTEIRO</t>
  </si>
  <si>
    <t>PARA CHOQUES DIANTEIRO</t>
  </si>
  <si>
    <t>2S2807075A54V</t>
  </si>
  <si>
    <t>2S2807076A54V</t>
  </si>
  <si>
    <t>2S2807109E</t>
  </si>
  <si>
    <t>BUMPER BAR,FRONT</t>
  </si>
  <si>
    <t>SUPORTE PARA CHOQUE DIANTEIRO</t>
  </si>
  <si>
    <t>BX6</t>
  </si>
  <si>
    <t>2S2820761</t>
  </si>
  <si>
    <t>SUPORTE DA MANGUEIRA DO AR CONDICIONADO</t>
  </si>
  <si>
    <t>2S282110554V</t>
  </si>
  <si>
    <t>2S282110654V</t>
  </si>
  <si>
    <t>2S2821173B</t>
  </si>
  <si>
    <t>SPLASH GUARD</t>
  </si>
  <si>
    <t>PROTECAO PARA BARRO</t>
  </si>
  <si>
    <t>2S282121654V</t>
  </si>
  <si>
    <t>ADAPTER,FENDER</t>
  </si>
  <si>
    <t>ADAPTADOR,PARALAMA</t>
  </si>
  <si>
    <t>2S2821245</t>
  </si>
  <si>
    <t>2S282130154V</t>
  </si>
  <si>
    <t>FENDER</t>
  </si>
  <si>
    <t>PARA LAMAS</t>
  </si>
  <si>
    <t>2S282130654V</t>
  </si>
  <si>
    <t>PARA PRETO UNIVERS</t>
  </si>
  <si>
    <t>2S282164754V</t>
  </si>
  <si>
    <t>ESTRIBO</t>
  </si>
  <si>
    <t>2S282164854V</t>
  </si>
  <si>
    <t>2S28216819B9</t>
  </si>
  <si>
    <t>ANTI-SLIP MAT</t>
  </si>
  <si>
    <t>MANTA ANTI</t>
  </si>
  <si>
    <t>2S28216829B9</t>
  </si>
  <si>
    <t>MANTA</t>
  </si>
  <si>
    <t>2S28216859B9</t>
  </si>
  <si>
    <t>MANTA ANTIDERRAPANTE DEGRAU ESTRIBO USO</t>
  </si>
  <si>
    <t>2S28216869B9</t>
  </si>
  <si>
    <t>2S285452154V</t>
  </si>
  <si>
    <t>COBERTURA</t>
  </si>
  <si>
    <t>2S285452254V</t>
  </si>
  <si>
    <t>2S2863159</t>
  </si>
  <si>
    <t>ANGLE BRACKET</t>
  </si>
  <si>
    <t>SUPORTE FIXACAO</t>
  </si>
  <si>
    <t>2S2863883D</t>
  </si>
  <si>
    <t>DAMPING</t>
  </si>
  <si>
    <t>2S2863885D</t>
  </si>
  <si>
    <t>SOUND DEADENING</t>
  </si>
  <si>
    <t>ISOLANTE ACUSTICO DO LADO ESQUERDO</t>
  </si>
  <si>
    <t>2S2863886</t>
  </si>
  <si>
    <t>ANTI RUIDO</t>
  </si>
  <si>
    <t>2S2899361A</t>
  </si>
  <si>
    <t>COXIM SUSTENTACAO</t>
  </si>
  <si>
    <t>2S2899362A</t>
  </si>
  <si>
    <t>2S2907333</t>
  </si>
  <si>
    <t>2S2915403</t>
  </si>
  <si>
    <t>BATTERY BRACKET</t>
  </si>
  <si>
    <t>SUPORTE DA BATERIA</t>
  </si>
  <si>
    <t>2S2919183</t>
  </si>
  <si>
    <t>SENSOR DE NIVEL COMBUSTIVEL P USO AUTOM.</t>
  </si>
  <si>
    <t>2S2971723</t>
  </si>
  <si>
    <t>SPACER</t>
  </si>
  <si>
    <t>ARRUELA VEDACAO BORRACHA USO AUTOMOTIVO</t>
  </si>
  <si>
    <t>2T0413031B</t>
  </si>
  <si>
    <t>2T0500048A</t>
  </si>
  <si>
    <t>2T0607313D</t>
  </si>
  <si>
    <t>CONEXAO</t>
  </si>
  <si>
    <t>2T0607313E</t>
  </si>
  <si>
    <t>2T0607359D</t>
  </si>
  <si>
    <t>VALVULA 4 VIAS DESCARGA RAPIDA</t>
  </si>
  <si>
    <t>2T0607359G</t>
  </si>
  <si>
    <t>VALVULA 4 VIAS</t>
  </si>
  <si>
    <t>2T0803713</t>
  </si>
  <si>
    <t>CARRIER</t>
  </si>
  <si>
    <t>PECA DE SUPORTE</t>
  </si>
  <si>
    <t>2T0803778A</t>
  </si>
  <si>
    <t>CANTONEIRA</t>
  </si>
  <si>
    <t>2T0803948</t>
  </si>
  <si>
    <t>2T0804919</t>
  </si>
  <si>
    <t>2T0971255</t>
  </si>
  <si>
    <t>LINE</t>
  </si>
  <si>
    <t>2T2121071G</t>
  </si>
  <si>
    <t>COOLANT PIPE</t>
  </si>
  <si>
    <t>TUBO DE ABASTECIMENTO DE AGUA P USO AUTO</t>
  </si>
  <si>
    <t>2T2121103A</t>
  </si>
  <si>
    <t>TUBO BORRACHA RADIADOR USO AUTOMOTIVO</t>
  </si>
  <si>
    <t>2T2121207AM</t>
  </si>
  <si>
    <t>DEFLETOR RADIADOR</t>
  </si>
  <si>
    <t>DEFLETOR_RADIADOR</t>
  </si>
  <si>
    <t>2T2121213</t>
  </si>
  <si>
    <t>2T2121228</t>
  </si>
  <si>
    <t>SEAL</t>
  </si>
  <si>
    <t>VEDACAO</t>
  </si>
  <si>
    <t>2T2121251F</t>
  </si>
  <si>
    <t>RADIATOR</t>
  </si>
  <si>
    <t>RADIADOR DE AGUA</t>
  </si>
  <si>
    <t>2T2121283E</t>
  </si>
  <si>
    <t>2T2121313L</t>
  </si>
  <si>
    <t>2T2121313M</t>
  </si>
  <si>
    <t>2T2121373A</t>
  </si>
  <si>
    <t>DEFLETOR LATERAL RADIADOR</t>
  </si>
  <si>
    <t>2T2121393B</t>
  </si>
  <si>
    <t>HEATING HOSE</t>
  </si>
  <si>
    <t>MANG AQUECIMENTO</t>
  </si>
  <si>
    <t>2T2121425</t>
  </si>
  <si>
    <t>RADIATOR MOUNT</t>
  </si>
  <si>
    <t>ALOJAM.RADIADOR</t>
  </si>
  <si>
    <t>2T2129601E</t>
  </si>
  <si>
    <t>AIR FILTER/MUFFLER</t>
  </si>
  <si>
    <t>FILTRO DE AR PARA USO AUTOMOTIVO</t>
  </si>
  <si>
    <t>2T2129621F</t>
  </si>
  <si>
    <t>2T2129973AM</t>
  </si>
  <si>
    <t>MOLDED HOSE</t>
  </si>
  <si>
    <t>MANGUEIRA CONF.</t>
  </si>
  <si>
    <t>2T2145418</t>
  </si>
  <si>
    <t>SUCTION NOZZLE</t>
  </si>
  <si>
    <t>TUBO  SUCCAO</t>
  </si>
  <si>
    <t>2T2201173BE</t>
  </si>
  <si>
    <t>TUBO DE RETORNO</t>
  </si>
  <si>
    <t>TUBO RETORNO COMBUSTIVEL USO AUTOMOTIVO</t>
  </si>
  <si>
    <t>2T2201260A</t>
  </si>
  <si>
    <t>2T2201351BH</t>
  </si>
  <si>
    <t>TUBO ALIMENTACAO COMBUSTIVEL USO AUTOMOT</t>
  </si>
  <si>
    <t>2T2201353AC</t>
  </si>
  <si>
    <t>FUEL LINE</t>
  </si>
  <si>
    <t>2T2201513M</t>
  </si>
  <si>
    <t>2T2253143AA</t>
  </si>
  <si>
    <t>2T2253143AB</t>
  </si>
  <si>
    <t>2T2253173AJ</t>
  </si>
  <si>
    <t>TUBO INTERMEDIÁRIO</t>
  </si>
  <si>
    <t>TUBO INTERMEDIARIO</t>
  </si>
  <si>
    <t>2T2253319AA</t>
  </si>
  <si>
    <t>2T2400019AD</t>
  </si>
  <si>
    <t>EIXO DIANTEIRO</t>
  </si>
  <si>
    <t>BEX1</t>
  </si>
  <si>
    <t>2T2401161</t>
  </si>
  <si>
    <t>ENGRAXADEIRA DE PRESSAO DE USO AUTOMOTIV</t>
  </si>
  <si>
    <t>2T2411023D</t>
  </si>
  <si>
    <t>ESTABILIZADOR SUSPENSAO DIANTEIRA</t>
  </si>
  <si>
    <t>2T2411077</t>
  </si>
  <si>
    <t>2T2411101D</t>
  </si>
  <si>
    <t>MOLA DIANTEIRA DE USO AUTOMOTIVO</t>
  </si>
  <si>
    <t>2T2411102D</t>
  </si>
  <si>
    <t>ZMOLA DIANTEIRA</t>
  </si>
  <si>
    <t>2T2422335Q</t>
  </si>
  <si>
    <t>BARRA DE LIGACAO EIXO DIANTEIRO USO AUTO</t>
  </si>
  <si>
    <t>2T2422859E</t>
  </si>
  <si>
    <t>2T2422897J</t>
  </si>
  <si>
    <t>TUBO DE PRESSÃO</t>
  </si>
  <si>
    <t>2T2601173</t>
  </si>
  <si>
    <t>CAP,WHEEL BOLT</t>
  </si>
  <si>
    <t>CAPA DE BORRACHA DO PARAFUSO DA RODA DE</t>
  </si>
  <si>
    <t>2T2607098</t>
  </si>
  <si>
    <t>TUBO FLEXIVEL FREIO PARA USO AUTOMOTIVO</t>
  </si>
  <si>
    <t>2T2607099</t>
  </si>
  <si>
    <t>HEAT SHIELD</t>
  </si>
  <si>
    <t>DEFLETOR DE CALOR</t>
  </si>
  <si>
    <t>2T2607251R</t>
  </si>
  <si>
    <t>ZRESERVATORIO DE AR</t>
  </si>
  <si>
    <t>RESERVATORIO DE AR PRESSAO PARA USO AUTO</t>
  </si>
  <si>
    <t>2T2607251S</t>
  </si>
  <si>
    <t>RESERVATORIO DE AR PRESSAO USO AUTOMO</t>
  </si>
  <si>
    <t>2T2607312CH</t>
  </si>
  <si>
    <t>TUBO SECUNDARIO FREIO DE USO AUTOMOTIVO</t>
  </si>
  <si>
    <t>2T2607363M</t>
  </si>
  <si>
    <t>2T2607373AK</t>
  </si>
  <si>
    <t>SECADOR DE AR</t>
  </si>
  <si>
    <t>2T2607891AM</t>
  </si>
  <si>
    <t>2T2703529</t>
  </si>
  <si>
    <t>2T2711881B</t>
  </si>
  <si>
    <t>2T2711881C</t>
  </si>
  <si>
    <t>2T2711881D</t>
  </si>
  <si>
    <t>2T2711881E</t>
  </si>
  <si>
    <t>2T2721482Q</t>
  </si>
  <si>
    <t>TUBO SISTEMA EMBREAGEM USO AUTOMOTIVO</t>
  </si>
  <si>
    <t>2T2803367B</t>
  </si>
  <si>
    <t>BRACKET,BATTERY</t>
  </si>
  <si>
    <t>SUPORTE BATERIA</t>
  </si>
  <si>
    <t>2T2803413A</t>
  </si>
  <si>
    <t>2T2820413</t>
  </si>
  <si>
    <t>CONDENSER</t>
  </si>
  <si>
    <t>CONDENSADOR AR CONDICIONADO USO AUTOMOTI</t>
  </si>
  <si>
    <t>2T2820742E</t>
  </si>
  <si>
    <t>2T2821151H</t>
  </si>
  <si>
    <t>SUPORTE DO PARA</t>
  </si>
  <si>
    <t>2T2821152H</t>
  </si>
  <si>
    <t>SUPTE PARA</t>
  </si>
  <si>
    <t>2T2863584</t>
  </si>
  <si>
    <t>SUPORTE ANTI RUIDO</t>
  </si>
  <si>
    <t>2T2863861D</t>
  </si>
  <si>
    <t>ANTI</t>
  </si>
  <si>
    <t>2T2863862D</t>
  </si>
  <si>
    <t>2T2863866B</t>
  </si>
  <si>
    <t>ANTIRUIDO / DAMPING</t>
  </si>
  <si>
    <t>ISOLANTE ACUSTICO  INFERIOR LADO DIREITO</t>
  </si>
  <si>
    <t>2T2863881A</t>
  </si>
  <si>
    <t>2T2899365A</t>
  </si>
  <si>
    <t>2T2899365B</t>
  </si>
  <si>
    <t>2T2903237A</t>
  </si>
  <si>
    <t>SPACER RING</t>
  </si>
  <si>
    <t>ANEL DISTANCIADOR</t>
  </si>
  <si>
    <t>2T2971057AC</t>
  </si>
  <si>
    <t>HARNESS,ENGINE</t>
  </si>
  <si>
    <t>CHICOTE COMP MOTOR</t>
  </si>
  <si>
    <t>2TE117273</t>
  </si>
  <si>
    <t>2TJ511315</t>
  </si>
  <si>
    <t>2TJ511316</t>
  </si>
  <si>
    <t>2TK821123</t>
  </si>
  <si>
    <t>PECA DE FECHAMENTO</t>
  </si>
  <si>
    <t>2U2607262</t>
  </si>
  <si>
    <t>PRESSURE CONTROL</t>
  </si>
  <si>
    <t>VALVULA DE CONTROLE REG PRESSAO USO AUTO</t>
  </si>
  <si>
    <t>2U2607891H</t>
  </si>
  <si>
    <t>SUPORTE TUBO COMPRESSOR AR USO AUTOMOTIV</t>
  </si>
  <si>
    <t>2U2915516</t>
  </si>
  <si>
    <t>2V2254253H</t>
  </si>
  <si>
    <t>G CONVERSOR CATALIT</t>
  </si>
  <si>
    <t>CONVERSOR CATALITICO DE USO AUTOMOTIVO</t>
  </si>
  <si>
    <t>2V2607891C</t>
  </si>
  <si>
    <t>2V2899365</t>
  </si>
  <si>
    <t>2VF607161B</t>
  </si>
  <si>
    <t>ANEL VEDACAO</t>
  </si>
  <si>
    <t>2VF607789</t>
  </si>
  <si>
    <t>2VF915415</t>
  </si>
  <si>
    <t>2VF971235</t>
  </si>
  <si>
    <t>Z CABO MASSA BATERIA</t>
  </si>
  <si>
    <t>CABO MASSA BATERIA</t>
  </si>
  <si>
    <t>2VH803330</t>
  </si>
  <si>
    <t>CHAPA ANGULAR</t>
  </si>
  <si>
    <t>2W0401161</t>
  </si>
  <si>
    <t>2W0411129B</t>
  </si>
  <si>
    <t>GRAMPO DA MOLA</t>
  </si>
  <si>
    <t>2W0601273</t>
  </si>
  <si>
    <t>2W0607359</t>
  </si>
  <si>
    <t>2W0611909B</t>
  </si>
  <si>
    <t>COTOVELO</t>
  </si>
  <si>
    <t>2W0703529AE</t>
  </si>
  <si>
    <t>2W0703529AH</t>
  </si>
  <si>
    <t>2W0703529AJ</t>
  </si>
  <si>
    <t>2W0703529AM</t>
  </si>
  <si>
    <t>2W0703529F</t>
  </si>
  <si>
    <t>2W0703529K</t>
  </si>
  <si>
    <t>2W0703529L</t>
  </si>
  <si>
    <t>2W0703529N</t>
  </si>
  <si>
    <t>2W0703529P</t>
  </si>
  <si>
    <t>2W0905121B</t>
  </si>
  <si>
    <t>2Z0129642</t>
  </si>
  <si>
    <t>2Z0422705</t>
  </si>
  <si>
    <t>2Z0611767</t>
  </si>
  <si>
    <t>DISTANCIADOR</t>
  </si>
  <si>
    <t>2Z0711940</t>
  </si>
  <si>
    <t>CLIP DE CABOS</t>
  </si>
  <si>
    <t>N0101972</t>
  </si>
  <si>
    <t>N01021513</t>
  </si>
  <si>
    <t>N0102168</t>
  </si>
  <si>
    <t>N01024011</t>
  </si>
  <si>
    <t>N0102407</t>
  </si>
  <si>
    <t>N01024234</t>
  </si>
  <si>
    <t>N0102753</t>
  </si>
  <si>
    <t>N01035018</t>
  </si>
  <si>
    <t>N0110106</t>
  </si>
  <si>
    <t>N0111846</t>
  </si>
  <si>
    <t>N0115112</t>
  </si>
  <si>
    <t>N01152426</t>
  </si>
  <si>
    <t>ARRUELA 6.4X12.5X1.6 USO AUTOMOTIVO</t>
  </si>
  <si>
    <t>N0115258</t>
  </si>
  <si>
    <t>N0115274</t>
  </si>
  <si>
    <t>N0115311</t>
  </si>
  <si>
    <t>N0116667</t>
  </si>
  <si>
    <t>N0116706</t>
  </si>
  <si>
    <t>N0221412</t>
  </si>
  <si>
    <t>LOCKNUT FLANGED</t>
  </si>
  <si>
    <t>TUERCA HEXAGONAL</t>
  </si>
  <si>
    <t>N0221481</t>
  </si>
  <si>
    <t>N02300313</t>
  </si>
  <si>
    <t>PORCA HEXAGONAL DE SEGURANCA*RP*</t>
  </si>
  <si>
    <t>N0401881</t>
  </si>
  <si>
    <t>N0402201</t>
  </si>
  <si>
    <t>N0447062</t>
  </si>
  <si>
    <t>SOCKET HEAD CAP</t>
  </si>
  <si>
    <t>PARAF.CILINDRICO</t>
  </si>
  <si>
    <t>N10109206</t>
  </si>
  <si>
    <t>N10124310</t>
  </si>
  <si>
    <t>PARAFUSO HEXALOBULAR M6x20</t>
  </si>
  <si>
    <t>N10156003</t>
  </si>
  <si>
    <t>N10306501</t>
  </si>
  <si>
    <t>N10506402</t>
  </si>
  <si>
    <t>PARAF AÇO CABEÇA SEXTA M6X27</t>
  </si>
  <si>
    <t>N10643401</t>
  </si>
  <si>
    <t>N10661001</t>
  </si>
  <si>
    <t>N10676801</t>
  </si>
  <si>
    <t>PARAFUSO SEXTAVADO COM FLANGE M5X25</t>
  </si>
  <si>
    <t>N90179704</t>
  </si>
  <si>
    <t>N90682301</t>
  </si>
  <si>
    <t>N90829802</t>
  </si>
  <si>
    <t>PARAFUSO SEXTAVADO INTERNO</t>
  </si>
  <si>
    <t>N90905903</t>
  </si>
  <si>
    <t>N90914402</t>
  </si>
  <si>
    <t>T14599173</t>
  </si>
  <si>
    <t>T16511319</t>
  </si>
  <si>
    <t>BRACADEIRA PARA USO AUTOMOTIVO</t>
  </si>
  <si>
    <t>T16511347</t>
  </si>
  <si>
    <t>TENSIONING PLATE</t>
  </si>
  <si>
    <t>PLACA TENSORA</t>
  </si>
  <si>
    <t>T16511349</t>
  </si>
  <si>
    <t>T16513479</t>
  </si>
  <si>
    <t>T16599515</t>
  </si>
  <si>
    <t>SUPORTE APOIO MOLA</t>
  </si>
  <si>
    <t>T16601141</t>
  </si>
  <si>
    <t>T2D611727</t>
  </si>
  <si>
    <t>T2D957079</t>
  </si>
  <si>
    <t>SCHRAUBE M8X1,25</t>
  </si>
  <si>
    <t>PARAF.M8X1.25X16</t>
  </si>
  <si>
    <t>TAC413435</t>
  </si>
  <si>
    <t>DAMPING RING</t>
  </si>
  <si>
    <t>ANEL AMORTECEDOR</t>
  </si>
  <si>
    <t>TAC511515</t>
  </si>
  <si>
    <t>BOLT</t>
  </si>
  <si>
    <t>TAC807141</t>
  </si>
  <si>
    <t>TAG201343</t>
  </si>
  <si>
    <t>TAG511151</t>
  </si>
  <si>
    <t>MOLA TRASEIRA</t>
  </si>
  <si>
    <t>TAK521153</t>
  </si>
  <si>
    <t>PARAF.1/2</t>
  </si>
  <si>
    <t>TAP899329</t>
  </si>
  <si>
    <t>TAR513479</t>
  </si>
  <si>
    <t>TE3803994</t>
  </si>
  <si>
    <t>TJ3607483</t>
  </si>
  <si>
    <t>TJG115633</t>
  </si>
  <si>
    <t>CINTA</t>
  </si>
  <si>
    <t xml:space="preserve"> INTERRUPTOR DE USO AUTOMOTIVO</t>
  </si>
  <si>
    <t>TJG411167A</t>
  </si>
  <si>
    <t>TJG411173</t>
  </si>
  <si>
    <t>TJG411175</t>
  </si>
  <si>
    <t>TJG411185</t>
  </si>
  <si>
    <t>PLACA DO GRAMPO DA</t>
  </si>
  <si>
    <t>TJG413353</t>
  </si>
  <si>
    <t>SUPORTE DO AMORTEC</t>
  </si>
  <si>
    <t>TJG413354</t>
  </si>
  <si>
    <t>TJG511341</t>
  </si>
  <si>
    <t>TJG511367</t>
  </si>
  <si>
    <t>FILLER</t>
  </si>
  <si>
    <t>INSERTO</t>
  </si>
  <si>
    <t>TJG511413</t>
  </si>
  <si>
    <t>BUCHA DE BORRACHA DE USO AUTOMOTIVO</t>
  </si>
  <si>
    <t>TJG599175</t>
  </si>
  <si>
    <t>TMJ521151</t>
  </si>
  <si>
    <t>BRACADEIRA, EXTER</t>
  </si>
  <si>
    <t>TMJ803909</t>
  </si>
  <si>
    <t>CINTA TIRANTE EIXO TRANSMISSAO USO AUTOM</t>
  </si>
  <si>
    <t>TNS511441</t>
  </si>
  <si>
    <t>TENSION TEST BAR</t>
  </si>
  <si>
    <t>TIRANTE BRACO SUPORTE BARRA ESTABILIZADO</t>
  </si>
  <si>
    <t>TNS803683</t>
  </si>
  <si>
    <t>SUPORTE BARRA ESTABILIZADORA USO AUTOMO</t>
  </si>
  <si>
    <t>TNS803684</t>
  </si>
  <si>
    <t>TPL411177</t>
  </si>
  <si>
    <t>TRA121110</t>
  </si>
  <si>
    <t>WHT002947</t>
  </si>
  <si>
    <t>WHT005014</t>
  </si>
  <si>
    <t>WHT005024</t>
  </si>
  <si>
    <t>WHT005025</t>
  </si>
  <si>
    <t>WHT005033</t>
  </si>
  <si>
    <t>WHT005044</t>
  </si>
  <si>
    <t>WHT005047</t>
  </si>
  <si>
    <t>WHT005050</t>
  </si>
  <si>
    <t>WHT005051</t>
  </si>
  <si>
    <t>WHT005053</t>
  </si>
  <si>
    <t>WHT005056</t>
  </si>
  <si>
    <t>WHT005057</t>
  </si>
  <si>
    <t>WHT005073</t>
  </si>
  <si>
    <t>PIN</t>
  </si>
  <si>
    <t>PASSADOR</t>
  </si>
  <si>
    <t>WHT005077</t>
  </si>
  <si>
    <t>WHT005085</t>
  </si>
  <si>
    <t>WHT005087</t>
  </si>
  <si>
    <t>WHT005088</t>
  </si>
  <si>
    <t>WHT005094</t>
  </si>
  <si>
    <t>PORCA / NUT</t>
  </si>
  <si>
    <t>WHT005106</t>
  </si>
  <si>
    <t>WHT005110</t>
  </si>
  <si>
    <t>WHT005124</t>
  </si>
  <si>
    <t>WHT007086</t>
  </si>
  <si>
    <t>PARAFUSO FECHAMENTO</t>
  </si>
  <si>
    <t>PARAFUSO FECHAMENTO M22X1.5X12</t>
  </si>
  <si>
    <t>WHT007136</t>
  </si>
  <si>
    <t>2P0915089D</t>
  </si>
  <si>
    <t>BATERRY</t>
  </si>
  <si>
    <t xml:space="preserve"> ATERIA 135AH PARA USO AUTOMOTIVO</t>
  </si>
  <si>
    <t>2RD201237</t>
  </si>
  <si>
    <t>TUBO DE NYLON</t>
  </si>
  <si>
    <t>22B201512B</t>
  </si>
  <si>
    <t>FILTER WITH PRESSU</t>
  </si>
  <si>
    <t>FILTRO COMBUSTIVEL PARA USO AUTOMOTIVO</t>
  </si>
  <si>
    <t>2S2907631</t>
  </si>
  <si>
    <t>2S2145743</t>
  </si>
  <si>
    <t>TUBO BORRACHA DIRECAO HIDRAULICA USO AUT</t>
  </si>
  <si>
    <t>2T2971015EP</t>
  </si>
  <si>
    <t>CHICOTE CHASSIS</t>
  </si>
  <si>
    <t>CHICOTE 24V DE USO AUTOMOTIVO</t>
  </si>
  <si>
    <t>2T2422053F</t>
  </si>
  <si>
    <t>STEERING GEAR, COM</t>
  </si>
  <si>
    <t>MECANISMO DIRECAO HIDRAULICA</t>
  </si>
  <si>
    <t>WHT008891</t>
  </si>
  <si>
    <t>SOCKET HEAD CAP BO</t>
  </si>
  <si>
    <t>PARAFUSO CILINDRICO M20X2.5X13 USO AUTOM</t>
  </si>
  <si>
    <t>357971939</t>
  </si>
  <si>
    <t>KABELKLEMME</t>
  </si>
  <si>
    <t>PRENDEDOR PARA CABO</t>
  </si>
  <si>
    <t>2376119871</t>
  </si>
  <si>
    <t>SCHELLE</t>
  </si>
  <si>
    <t>07W145933</t>
  </si>
  <si>
    <t>CORREIA POLY-V</t>
  </si>
  <si>
    <t>CORREIA POLY</t>
  </si>
  <si>
    <t>2S0201021L</t>
  </si>
  <si>
    <t>RESERV.COMBUSTIVEL</t>
  </si>
  <si>
    <t>RESERVATORIO DE COMBUSTIVEL</t>
  </si>
  <si>
    <t>2T0201551</t>
  </si>
  <si>
    <t>TAMPARESERV.COMBUSTIVEL</t>
  </si>
  <si>
    <t>2T0607329B</t>
  </si>
  <si>
    <t>VALVULADISTRIBUIDORA</t>
  </si>
  <si>
    <t>2T2000013AEI9A</t>
  </si>
  <si>
    <t>CABINA</t>
  </si>
  <si>
    <t>KIT CABINE SKD ARGENTINA CONSTELLATION</t>
  </si>
  <si>
    <t>2T2100009H</t>
  </si>
  <si>
    <t>MOTOR/TRANSMISSAO</t>
  </si>
  <si>
    <t>KIT MOTOR SKD ARGENTINA CONSTELLATION</t>
  </si>
  <si>
    <t>C04</t>
  </si>
  <si>
    <t>2T2501141</t>
  </si>
  <si>
    <t>SUPORTESUP.AMORT.TRAS.</t>
  </si>
  <si>
    <t>BSUPORTE</t>
  </si>
  <si>
    <t>2T2521115AQ</t>
  </si>
  <si>
    <t>ARVORETRANSMISSAOTRAS.</t>
  </si>
  <si>
    <t>ARVORE EIXO DE TRANSMISSAO USO AUTOMOTIV</t>
  </si>
  <si>
    <t>2T2521157DJ</t>
  </si>
  <si>
    <t>ARVORETRANSMISSAODIANT.</t>
  </si>
  <si>
    <t>2T2601011G</t>
  </si>
  <si>
    <t>RODAEPNEU</t>
  </si>
  <si>
    <t>KIT RODA SKD ARGENTINA CONSTELLATION</t>
  </si>
  <si>
    <t>2T2601011H</t>
  </si>
  <si>
    <t>2T2607891N</t>
  </si>
  <si>
    <t>SUPORTEVALVULADISTRIBUIDORA</t>
  </si>
  <si>
    <t>2T2698705M</t>
  </si>
  <si>
    <t>TUBODEFREIO</t>
  </si>
  <si>
    <t>KIT TUBO FREIO SKD ARGENTINA CONSTELLA</t>
  </si>
  <si>
    <t>2T2700025AD</t>
  </si>
  <si>
    <t>QUADRO</t>
  </si>
  <si>
    <t>KIT CHASSIS SKD ARGENTINA CONSTELLATION</t>
  </si>
  <si>
    <t>2T2971169DP</t>
  </si>
  <si>
    <t>CHICOTELANTERNATRAS.</t>
  </si>
  <si>
    <t>CHICOTE LANTERNA TRASEIRA</t>
  </si>
  <si>
    <t>2U2607899</t>
  </si>
  <si>
    <t>2V3201050</t>
  </si>
  <si>
    <t>VALVE</t>
  </si>
  <si>
    <t>2V3201883</t>
  </si>
  <si>
    <t>2VQ607359</t>
  </si>
  <si>
    <t>VALVULA4VIAS</t>
  </si>
  <si>
    <t>N0100211</t>
  </si>
  <si>
    <t>PARAFUSOSEXTAVADO</t>
  </si>
  <si>
    <t>N0120064</t>
  </si>
  <si>
    <t>ANELDEFIXACAO</t>
  </si>
  <si>
    <t>ANEL DE FIXACAO</t>
  </si>
  <si>
    <t>N90560602</t>
  </si>
  <si>
    <t>SCHEIBE</t>
  </si>
  <si>
    <t>sHW</t>
  </si>
  <si>
    <t>TJ3607525</t>
  </si>
  <si>
    <t>BOCAL</t>
  </si>
  <si>
    <t>TJ3607527</t>
  </si>
  <si>
    <t>TJG201281A</t>
  </si>
  <si>
    <t>TJG513031B</t>
  </si>
  <si>
    <t>AMORTECEDORTRAS.</t>
  </si>
  <si>
    <t>AMORTECEDOR TRAS</t>
  </si>
  <si>
    <t>TNS511409</t>
  </si>
  <si>
    <t>BARRAESTABILIZADORA</t>
  </si>
  <si>
    <t>BARRA ESTABILIZADORA TRASEIRA</t>
  </si>
  <si>
    <t>TRG201171</t>
  </si>
  <si>
    <t>TRAVESSA</t>
  </si>
  <si>
    <t>TRN607272</t>
  </si>
  <si>
    <t>CONEXÃORT.3/8/X3/8</t>
  </si>
  <si>
    <t>CONEX.RT.3/8/X3/8</t>
  </si>
  <si>
    <t>KNR</t>
  </si>
  <si>
    <t>CANT.</t>
  </si>
  <si>
    <t>PUESTO</t>
  </si>
  <si>
    <t>WARNING TRIANGLE</t>
  </si>
  <si>
    <t>22B937548</t>
  </si>
  <si>
    <t xml:space="preserve">MAIN FUSE BOX </t>
  </si>
  <si>
    <t>D</t>
  </si>
  <si>
    <t>4xA + 12xC</t>
  </si>
  <si>
    <t>23B607085AE</t>
  </si>
  <si>
    <t>C</t>
  </si>
  <si>
    <t>23B607085AH</t>
  </si>
  <si>
    <t>2xA + 1xC</t>
  </si>
  <si>
    <t>1x4 + 5xC</t>
  </si>
  <si>
    <t>2xA + 2xC</t>
  </si>
  <si>
    <t>23P607085</t>
  </si>
  <si>
    <t>2P0611778</t>
  </si>
  <si>
    <t>2P0857567F</t>
  </si>
  <si>
    <t>2P0857813A1NN</t>
  </si>
  <si>
    <t>LAP BELT</t>
  </si>
  <si>
    <t>2P0915089E</t>
  </si>
  <si>
    <t xml:space="preserve">BATTERY </t>
  </si>
  <si>
    <t>2R0422705A</t>
  </si>
  <si>
    <t>2R0915509A</t>
  </si>
  <si>
    <t>2x6 + 3xC</t>
  </si>
  <si>
    <t>2x0 + 1x3 + 3x6</t>
  </si>
  <si>
    <t>2R2803877AL</t>
  </si>
  <si>
    <t>M</t>
  </si>
  <si>
    <t xml:space="preserve">4,35x2 + </t>
  </si>
  <si>
    <t>A</t>
  </si>
  <si>
    <t>2RD863719</t>
  </si>
  <si>
    <t xml:space="preserve">SCREW </t>
  </si>
  <si>
    <t>2RL201312</t>
  </si>
  <si>
    <t xml:space="preserve">HEAT SHIELD </t>
  </si>
  <si>
    <t>2RP253143</t>
  </si>
  <si>
    <t xml:space="preserve">1x3 + </t>
  </si>
  <si>
    <t>2RP253143A</t>
  </si>
  <si>
    <t>2RP511409</t>
  </si>
  <si>
    <t xml:space="preserve">TIE ROD </t>
  </si>
  <si>
    <t>2RP721489</t>
  </si>
  <si>
    <t>2S0201021G</t>
  </si>
  <si>
    <t xml:space="preserve">FUEL TANK </t>
  </si>
  <si>
    <t>2S0201179</t>
  </si>
  <si>
    <t>2S2000101Q</t>
  </si>
  <si>
    <t>2S2253143B</t>
  </si>
  <si>
    <t>2S2521109C</t>
  </si>
  <si>
    <t>PROPELLER SHAFT,RR</t>
  </si>
  <si>
    <t>2T0012219A</t>
  </si>
  <si>
    <t>LUG WRENCH</t>
  </si>
  <si>
    <t>2T0607251D</t>
  </si>
  <si>
    <t>PRESSURE ACCUMULATOR</t>
  </si>
  <si>
    <t>2T0915519</t>
  </si>
  <si>
    <t>BATTERY SWITCH</t>
  </si>
  <si>
    <t>2T2129642B</t>
  </si>
  <si>
    <t>2T2253143J</t>
  </si>
  <si>
    <t>B</t>
  </si>
  <si>
    <t>2T4201551</t>
  </si>
  <si>
    <t xml:space="preserve">CAP </t>
  </si>
  <si>
    <t>1x2 + 2x6</t>
  </si>
  <si>
    <t>2TB607251A</t>
  </si>
  <si>
    <t>2TB608821</t>
  </si>
  <si>
    <t xml:space="preserve">ADAPTER </t>
  </si>
  <si>
    <t>2TD121255</t>
  </si>
  <si>
    <t xml:space="preserve">CLAMP </t>
  </si>
  <si>
    <t>2TG521151</t>
  </si>
  <si>
    <t xml:space="preserve">MOUNTING FLANGE </t>
  </si>
  <si>
    <t xml:space="preserve"> 2x3 + 2x5 + 2xD + </t>
  </si>
  <si>
    <t>2TJ511151</t>
  </si>
  <si>
    <t xml:space="preserve">LEAF SPRING </t>
  </si>
  <si>
    <t>2TJ511152</t>
  </si>
  <si>
    <t>2V2607891B</t>
  </si>
  <si>
    <t xml:space="preserve">BRACKET </t>
  </si>
  <si>
    <t>2x2 + 8x6</t>
  </si>
  <si>
    <t>2VB863708</t>
  </si>
  <si>
    <t>INSULATING PIECE</t>
  </si>
  <si>
    <t>2VG129723</t>
  </si>
  <si>
    <t>2W0100009G</t>
  </si>
  <si>
    <t xml:space="preserve">ENGINE,TRANSMISS. </t>
  </si>
  <si>
    <t>2W0121207K</t>
  </si>
  <si>
    <t xml:space="preserve">RADIATOR SHROUD </t>
  </si>
  <si>
    <t>2W0121251Q</t>
  </si>
  <si>
    <t>2W0121377N</t>
  </si>
  <si>
    <t>2W0121377P</t>
  </si>
  <si>
    <t>2W0129573</t>
  </si>
  <si>
    <t xml:space="preserve">AIR DEFLECTOR </t>
  </si>
  <si>
    <t>2W0129647C</t>
  </si>
  <si>
    <t xml:space="preserve">INTAKE HOSE </t>
  </si>
  <si>
    <t>2W0201173F</t>
  </si>
  <si>
    <t xml:space="preserve">RETURN PIPE </t>
  </si>
  <si>
    <t>2W0201351AF</t>
  </si>
  <si>
    <t xml:space="preserve">FUEL LINE </t>
  </si>
  <si>
    <t>2W0201353P</t>
  </si>
  <si>
    <t>2W0253047F</t>
  </si>
  <si>
    <t xml:space="preserve">SUPPORT </t>
  </si>
  <si>
    <t>2W0253143D</t>
  </si>
  <si>
    <t>2W0253173AB</t>
  </si>
  <si>
    <t xml:space="preserve">INTERMEDIATE PIPE </t>
  </si>
  <si>
    <t>2W0253173AD</t>
  </si>
  <si>
    <t>2W0253198A</t>
  </si>
  <si>
    <t>2W0253198G</t>
  </si>
  <si>
    <t>2W0253319C</t>
  </si>
  <si>
    <t>2W0253683H</t>
  </si>
  <si>
    <t>BTI</t>
  </si>
  <si>
    <t>2W0400019DF</t>
  </si>
  <si>
    <t>2W0411023F</t>
  </si>
  <si>
    <t>2W0411101M</t>
  </si>
  <si>
    <t>2W0422803L</t>
  </si>
  <si>
    <t>2W0422803M</t>
  </si>
  <si>
    <t>2W0422859A</t>
  </si>
  <si>
    <t>2W0500048A</t>
  </si>
  <si>
    <t xml:space="preserve">REAR AXLE </t>
  </si>
  <si>
    <t>2W0521104</t>
  </si>
  <si>
    <t xml:space="preserve">PROPELLER SHAFT, MIDDLE </t>
  </si>
  <si>
    <t>2W0521109</t>
  </si>
  <si>
    <t>2W0601011G</t>
  </si>
  <si>
    <t xml:space="preserve">DISK WHEEL W.TIRE </t>
  </si>
  <si>
    <t>2W0607085C</t>
  </si>
  <si>
    <t>2W0607085D</t>
  </si>
  <si>
    <t>2W0607085E</t>
  </si>
  <si>
    <t>2W0607085F</t>
  </si>
  <si>
    <t>2W0607312AD</t>
  </si>
  <si>
    <t>2W0607815</t>
  </si>
  <si>
    <t>2W0609155</t>
  </si>
  <si>
    <t xml:space="preserve">PROTECTIVE PART </t>
  </si>
  <si>
    <t>2W0611775B</t>
  </si>
  <si>
    <t>2W0698705J</t>
  </si>
  <si>
    <t>2W0703529AD</t>
  </si>
  <si>
    <t xml:space="preserve">SPACER SLEEVE </t>
  </si>
  <si>
    <t>2W0703529AL</t>
  </si>
  <si>
    <t>2x0 +8x3 + 2x6 +8xB</t>
  </si>
  <si>
    <t>2W0703529E</t>
  </si>
  <si>
    <t>2x0 +</t>
  </si>
  <si>
    <t xml:space="preserve">16x3 + 16xA + </t>
  </si>
  <si>
    <t>2W0703529J</t>
  </si>
  <si>
    <t>4x3 + 8xB</t>
  </si>
  <si>
    <t>2W0703529R</t>
  </si>
  <si>
    <t>2W0711881</t>
  </si>
  <si>
    <t>2W0721478C</t>
  </si>
  <si>
    <t xml:space="preserve">PRESSURE LINE </t>
  </si>
  <si>
    <t>2W0801147</t>
  </si>
  <si>
    <t>2W0801177</t>
  </si>
  <si>
    <t>FOOT BOARD</t>
  </si>
  <si>
    <t>2W0803539</t>
  </si>
  <si>
    <t>2W0805917</t>
  </si>
  <si>
    <t>2W0863069J</t>
  </si>
  <si>
    <t xml:space="preserve">DASHBOARD </t>
  </si>
  <si>
    <t>C03</t>
  </si>
  <si>
    <t xml:space="preserve">32x2 + 5x5 + </t>
  </si>
  <si>
    <t>2W0919183D</t>
  </si>
  <si>
    <t xml:space="preserve">TANK UNIT </t>
  </si>
  <si>
    <t>2W0971011DM</t>
  </si>
  <si>
    <t xml:space="preserve">HARNESS,REAR COMB. LAMP </t>
  </si>
  <si>
    <t>2W0971228C</t>
  </si>
  <si>
    <t xml:space="preserve">HARNESS,BATTERY </t>
  </si>
  <si>
    <t>2W0971228E</t>
  </si>
  <si>
    <t xml:space="preserve">1x6 + </t>
  </si>
  <si>
    <t>2Z0607359</t>
  </si>
  <si>
    <t>2Z0951279</t>
  </si>
  <si>
    <t>2Z0971747</t>
  </si>
  <si>
    <t xml:space="preserve">ANGLE BRACKET </t>
  </si>
  <si>
    <t>2Z0971989</t>
  </si>
  <si>
    <t xml:space="preserve">PIN HOUSING </t>
  </si>
  <si>
    <t>L2S000007H</t>
  </si>
  <si>
    <t xml:space="preserve">FRAME </t>
  </si>
  <si>
    <t xml:space="preserve">6xD + </t>
  </si>
  <si>
    <t>N0102187</t>
  </si>
  <si>
    <t xml:space="preserve">HEXAGON HEAD BOLT </t>
  </si>
  <si>
    <t>N0102305</t>
  </si>
  <si>
    <t xml:space="preserve">2x0 + </t>
  </si>
  <si>
    <t>N0102449</t>
  </si>
  <si>
    <t>N0103506</t>
  </si>
  <si>
    <t>N01100813</t>
  </si>
  <si>
    <t xml:space="preserve">HEX.NUT </t>
  </si>
  <si>
    <t>1x0 + 4x6</t>
  </si>
  <si>
    <t>N0111852</t>
  </si>
  <si>
    <t>PREV.TORQUE TYPE HEXAGON NUT</t>
  </si>
  <si>
    <t xml:space="preserve">4x0 + </t>
  </si>
  <si>
    <t>1x3 + 2x5</t>
  </si>
  <si>
    <t>N0115315</t>
  </si>
  <si>
    <t>2x0 + 8x6</t>
  </si>
  <si>
    <t>N0121052</t>
  </si>
  <si>
    <t>SERRATED LOCK WASHER</t>
  </si>
  <si>
    <t>N0138125</t>
  </si>
  <si>
    <t xml:space="preserve">21x2 +20x4 + 9x5 + 22x6 + </t>
  </si>
  <si>
    <t>N0210741</t>
  </si>
  <si>
    <t>BANJO BOLT</t>
  </si>
  <si>
    <t>N0221461</t>
  </si>
  <si>
    <t>N02214813</t>
  </si>
  <si>
    <t>HEXAGON NUT</t>
  </si>
  <si>
    <t>4x0 + 2x2 + 2x5 + 3xC</t>
  </si>
  <si>
    <t>N0402641</t>
  </si>
  <si>
    <t>6x0 + 1x3 + 2x6</t>
  </si>
  <si>
    <t xml:space="preserve">21x0 + 5x3 + 2x5 + </t>
  </si>
  <si>
    <t xml:space="preserve">11x0 + </t>
  </si>
  <si>
    <t>8x0 + 2x4 + 10x5</t>
  </si>
  <si>
    <t>TAR411367</t>
  </si>
  <si>
    <t>INSERT</t>
  </si>
  <si>
    <t>TAR413031</t>
  </si>
  <si>
    <t>DAMPER</t>
  </si>
  <si>
    <t>TAR413353A</t>
  </si>
  <si>
    <t>TAR413354A</t>
  </si>
  <si>
    <t>TAR417045</t>
  </si>
  <si>
    <t xml:space="preserve">STEERING GEAR, COMPL. </t>
  </si>
  <si>
    <t>TAR417671</t>
  </si>
  <si>
    <t>TRACK CONTROL ARM, UPPER</t>
  </si>
  <si>
    <t>TAR513031</t>
  </si>
  <si>
    <t>TAR599173</t>
  </si>
  <si>
    <t>STAPLE</t>
  </si>
  <si>
    <t>TAR599175</t>
  </si>
  <si>
    <t xml:space="preserve">PLATE </t>
  </si>
  <si>
    <t>TAR599515</t>
  </si>
  <si>
    <t>SPRING BRACKET</t>
  </si>
  <si>
    <t>TAR599516</t>
  </si>
  <si>
    <t>TAR803333</t>
  </si>
  <si>
    <t>TJG253167</t>
  </si>
  <si>
    <t xml:space="preserve">1x0 + 1x3 + </t>
  </si>
  <si>
    <t>TJG253191A</t>
  </si>
  <si>
    <t xml:space="preserve">1x0 + </t>
  </si>
  <si>
    <t>2x3 + 2xB</t>
  </si>
  <si>
    <t>TJG511347</t>
  </si>
  <si>
    <t xml:space="preserve">4x3 + 4x5 + 4xD + </t>
  </si>
  <si>
    <t>WHT005021</t>
  </si>
  <si>
    <t xml:space="preserve">NUT </t>
  </si>
  <si>
    <t xml:space="preserve">1x0 + 5x3 + 1x4 + 1x6 + 4xB + </t>
  </si>
  <si>
    <t xml:space="preserve">8x3 + 8xA + </t>
  </si>
  <si>
    <t>WHT005028</t>
  </si>
  <si>
    <t>WHT005043</t>
  </si>
  <si>
    <t>4x3 + 4xB</t>
  </si>
  <si>
    <t xml:space="preserve">2x3 + </t>
  </si>
  <si>
    <t>WHT005068</t>
  </si>
  <si>
    <t>WHT005082</t>
  </si>
  <si>
    <t>WHT005119</t>
  </si>
  <si>
    <t>WHT005133</t>
  </si>
  <si>
    <t>2x0 + 1x3</t>
  </si>
  <si>
    <t>xKD BoM 2024</t>
  </si>
  <si>
    <t>Fecha de revisión</t>
  </si>
  <si>
    <t>VW ARG - Cordoba</t>
  </si>
  <si>
    <t>9170.TBXSH1.4000</t>
  </si>
  <si>
    <t>11180.TBETV1.4600</t>
  </si>
  <si>
    <t>17.280.24LD5B.4800</t>
  </si>
  <si>
    <t>17280.24JC5B.4340</t>
  </si>
  <si>
    <t>17280.24LC5B.4340</t>
  </si>
  <si>
    <t>17280.24JD5B.4800</t>
  </si>
  <si>
    <t>17280.27CA5B.3560</t>
  </si>
  <si>
    <t>15190OD.2WLJEB.5180</t>
  </si>
  <si>
    <t xml:space="preserve">9.180 TBXSS1 </t>
  </si>
  <si>
    <t xml:space="preserve">11.180 TBETS1 </t>
  </si>
  <si>
    <t>DESCRIÇÃO INGLÊS</t>
  </si>
  <si>
    <t>DESCRIÇÃO PORTUGUÊS</t>
  </si>
  <si>
    <t>Cant.</t>
  </si>
  <si>
    <t>Puesto</t>
  </si>
  <si>
    <t>Cant.2</t>
  </si>
  <si>
    <t>Puesto2</t>
  </si>
  <si>
    <t>Cant.3</t>
  </si>
  <si>
    <t>Puesto3</t>
  </si>
  <si>
    <t>Cant.4</t>
  </si>
  <si>
    <t>Puesto4</t>
  </si>
  <si>
    <t>Cant.5</t>
  </si>
  <si>
    <t>Puesto5</t>
  </si>
  <si>
    <t>Cant.6</t>
  </si>
  <si>
    <t>Puesto6</t>
  </si>
  <si>
    <t>Cant.7</t>
  </si>
  <si>
    <t>Puesto7</t>
  </si>
  <si>
    <t>Cant.8</t>
  </si>
  <si>
    <t>Puesto8</t>
  </si>
  <si>
    <t>Módulo SHW minutería</t>
  </si>
  <si>
    <t>EMBALAJE</t>
  </si>
  <si>
    <t>Cant.9</t>
  </si>
  <si>
    <t>Puesto9</t>
  </si>
  <si>
    <t>Cant.10</t>
  </si>
  <si>
    <t>Puesto10</t>
  </si>
  <si>
    <t/>
  </si>
  <si>
    <t>KLT 3214</t>
  </si>
  <si>
    <t xml:space="preserve">WARNING TRIANGLE                        </t>
  </si>
  <si>
    <t xml:space="preserve">TRIANGULO DE SEG                                            </t>
  </si>
  <si>
    <t>Pieza individual</t>
  </si>
  <si>
    <t xml:space="preserve">MAIN FUSE BOX                           </t>
  </si>
  <si>
    <t xml:space="preserve">CAIXA FUSIVEL     PRINCIPAL                                 </t>
  </si>
  <si>
    <t>23B000013LI9A</t>
  </si>
  <si>
    <t xml:space="preserve">CABINA            </t>
  </si>
  <si>
    <t>23B000013MI9A</t>
  </si>
  <si>
    <t>23B000013NI9A</t>
  </si>
  <si>
    <t>23B000013RI9A</t>
  </si>
  <si>
    <t>CABIN</t>
  </si>
  <si>
    <t>23B000013SI9A</t>
  </si>
  <si>
    <t>23B100009E</t>
  </si>
  <si>
    <t>ENGINE,TRANSMISS</t>
  </si>
  <si>
    <t>23B100009F</t>
  </si>
  <si>
    <t>MOTOR/TRANSMISSÃO</t>
  </si>
  <si>
    <t>23B100009G</t>
  </si>
  <si>
    <t>23B100009K</t>
  </si>
  <si>
    <t xml:space="preserve">ENGINE,TRANSMISS.                       </t>
  </si>
  <si>
    <t>23B100009L</t>
  </si>
  <si>
    <t>18x1 + 41x2 + 1x4</t>
  </si>
  <si>
    <t>KLT 4314</t>
  </si>
  <si>
    <t>18x1 + 36x2 + 1x4</t>
  </si>
  <si>
    <t>23B131983S</t>
  </si>
  <si>
    <t>23B201173L</t>
  </si>
  <si>
    <t>23B201353S</t>
  </si>
  <si>
    <t>FUEL PIPE</t>
  </si>
  <si>
    <t>23B201512D</t>
  </si>
  <si>
    <t>FILTER W/ PRESSURE REGULATOR</t>
  </si>
  <si>
    <t>23B400019G</t>
  </si>
  <si>
    <t>23B400019J</t>
  </si>
  <si>
    <t xml:space="preserve">FRONT AXLE                              </t>
  </si>
  <si>
    <t>23B411101B</t>
  </si>
  <si>
    <t>MOLA DIANTEIRA PARABÓLICA L.D.</t>
  </si>
  <si>
    <t>23B411101D</t>
  </si>
  <si>
    <t>MOLA DIANTEIRA PARABÓLICA L.E.</t>
  </si>
  <si>
    <t>2xA+ 2xB</t>
  </si>
  <si>
    <t>23B413119C</t>
  </si>
  <si>
    <t>23B422195</t>
  </si>
  <si>
    <t>BX2 (9.170) BX3(11.180)</t>
  </si>
  <si>
    <t>23B422335C</t>
  </si>
  <si>
    <t>23B422889</t>
  </si>
  <si>
    <t>MANGUEIRA DE SUCÇÃO</t>
  </si>
  <si>
    <t>23B500048E</t>
  </si>
  <si>
    <t>23B500048G</t>
  </si>
  <si>
    <t>23B500048K</t>
  </si>
  <si>
    <t>23B500048L</t>
  </si>
  <si>
    <t>EIXO TRASEIRO</t>
  </si>
  <si>
    <t>23B500051BM</t>
  </si>
  <si>
    <t>23B500051BS</t>
  </si>
  <si>
    <t>23B513045H</t>
  </si>
  <si>
    <t>23B521101CK</t>
  </si>
  <si>
    <t>ÁRVORE DE TRANSMISSÃO DIANTEIRA</t>
  </si>
  <si>
    <t>23B521101CP</t>
  </si>
  <si>
    <t>ÁRVORE DE TRANSMISSÃO TRASEIRA</t>
  </si>
  <si>
    <t>23B521101DG</t>
  </si>
  <si>
    <t xml:space="preserve">PROPELLER SHAFT            </t>
  </si>
  <si>
    <t>23B601011E</t>
  </si>
  <si>
    <t>23B601011F</t>
  </si>
  <si>
    <t>RODA E PNEU</t>
  </si>
  <si>
    <t>23B601011K</t>
  </si>
  <si>
    <t xml:space="preserve">DISK WHEEL W.TIRE                       </t>
  </si>
  <si>
    <t>23B601011L</t>
  </si>
  <si>
    <t>RIMS AND TYRES</t>
  </si>
  <si>
    <t>Bolsa x12</t>
  </si>
  <si>
    <t>2xA + 12xC</t>
  </si>
  <si>
    <t xml:space="preserve">NIPPLE                                  </t>
  </si>
  <si>
    <t xml:space="preserve">CONECTOR                                                    </t>
  </si>
  <si>
    <t xml:space="preserve">SHW    </t>
  </si>
  <si>
    <t>23B607085AJ</t>
  </si>
  <si>
    <t>23B607085AK</t>
  </si>
  <si>
    <t>Conector</t>
  </si>
  <si>
    <t>Nipple</t>
  </si>
  <si>
    <t>23B607085AM</t>
  </si>
  <si>
    <t>2xA + 6xC</t>
  </si>
  <si>
    <t>2xC+A</t>
  </si>
  <si>
    <t>23B607289B</t>
  </si>
  <si>
    <t>23B607313C</t>
  </si>
  <si>
    <t>CONEXÃO RETA</t>
  </si>
  <si>
    <t>5, ESTA PIEZA DEBERIA VENIR MONTADA EN EL KIT MOTOR</t>
  </si>
  <si>
    <t>23B607359A</t>
  </si>
  <si>
    <t xml:space="preserve">FOUR-WAY VALVE                          </t>
  </si>
  <si>
    <t xml:space="preserve">VALVULA 4 VIAS                                              </t>
  </si>
  <si>
    <t>23B607359C</t>
  </si>
  <si>
    <t>23B607359D</t>
  </si>
  <si>
    <t>4x4</t>
  </si>
  <si>
    <t>23B607815</t>
  </si>
  <si>
    <t xml:space="preserve">ADAPTER                                 </t>
  </si>
  <si>
    <t>23B607862H</t>
  </si>
  <si>
    <t xml:space="preserve">BRAKE LINE                              </t>
  </si>
  <si>
    <t>23B698705G</t>
  </si>
  <si>
    <t>23B698705J</t>
  </si>
  <si>
    <t>TUBO DE FREIO</t>
  </si>
  <si>
    <t>23B698705N</t>
  </si>
  <si>
    <t>23B698705P</t>
  </si>
  <si>
    <t>23B700025F</t>
  </si>
  <si>
    <t xml:space="preserve">FRAME                                   </t>
  </si>
  <si>
    <t>23B700025G</t>
  </si>
  <si>
    <t>23B700025L</t>
  </si>
  <si>
    <t>23B700025M</t>
  </si>
  <si>
    <t>23B711940A</t>
  </si>
  <si>
    <t>CLIP PARA CABOS</t>
  </si>
  <si>
    <t>23B807071A9B9</t>
  </si>
  <si>
    <t xml:space="preserve">BUMPER,FRONT                            </t>
  </si>
  <si>
    <t>23B821151</t>
  </si>
  <si>
    <t xml:space="preserve">BRACKET,FENDER                          </t>
  </si>
  <si>
    <t>23B861817ALSE</t>
  </si>
  <si>
    <t>23B861818ALSE</t>
  </si>
  <si>
    <t>23B863421D</t>
  </si>
  <si>
    <t xml:space="preserve">DAMPING                                 </t>
  </si>
  <si>
    <t>23B863801</t>
  </si>
  <si>
    <t>23B863802</t>
  </si>
  <si>
    <t>23B905367G</t>
  </si>
  <si>
    <t xml:space="preserve">EL.CONTROL UNIT                         </t>
  </si>
  <si>
    <t>23B907631B</t>
  </si>
  <si>
    <t xml:space="preserve">SOLENOID VALVE                          </t>
  </si>
  <si>
    <t>Caja de cartón</t>
  </si>
  <si>
    <t>23B941033J</t>
  </si>
  <si>
    <t xml:space="preserve">HEADLAMP                                </t>
  </si>
  <si>
    <t>23B941034J</t>
  </si>
  <si>
    <t>23B971011CG</t>
  </si>
  <si>
    <t>CHICOTE DA LANTERNA TRASEIRA</t>
  </si>
  <si>
    <t>23B971011HJ</t>
  </si>
  <si>
    <t xml:space="preserve">HARNESS,REAR COMB. LAMP                 </t>
  </si>
  <si>
    <t>23B971011HK</t>
  </si>
  <si>
    <t>23C941205</t>
  </si>
  <si>
    <t xml:space="preserve">SPOT LIGHT                              </t>
  </si>
  <si>
    <t>23C941206</t>
  </si>
  <si>
    <t>23C971530A</t>
  </si>
  <si>
    <t xml:space="preserve">BRACKET                                 </t>
  </si>
  <si>
    <t>23F131113</t>
  </si>
  <si>
    <t xml:space="preserve">METERING UNIT                           </t>
  </si>
  <si>
    <t>23F253047C</t>
  </si>
  <si>
    <t>23F607251A</t>
  </si>
  <si>
    <t xml:space="preserve">PRESSURE ACCUMULATOR                    </t>
  </si>
  <si>
    <t>23F701693</t>
  </si>
  <si>
    <t xml:space="preserve">STIFFENING                              </t>
  </si>
  <si>
    <t>23G945095</t>
  </si>
  <si>
    <t xml:space="preserve">REAR COMBINATION LAMP                   </t>
  </si>
  <si>
    <t>23G945096A</t>
  </si>
  <si>
    <t>23H121333</t>
  </si>
  <si>
    <t>peça</t>
  </si>
  <si>
    <t xml:space="preserve">AIR DEFLECTOR                           </t>
  </si>
  <si>
    <t xml:space="preserve">CONDUTOR DE AR                                              </t>
  </si>
  <si>
    <t>23M945403</t>
  </si>
  <si>
    <t>23M945509</t>
  </si>
  <si>
    <t xml:space="preserve">PORCA DE CONEXAO                                            </t>
  </si>
  <si>
    <t>23P607879B</t>
  </si>
  <si>
    <t xml:space="preserve">CLIP                                    </t>
  </si>
  <si>
    <t xml:space="preserve">PRESILHA                                                    </t>
  </si>
  <si>
    <t xml:space="preserve">BOX    </t>
  </si>
  <si>
    <t xml:space="preserve">COBERTURA                                                   </t>
  </si>
  <si>
    <t xml:space="preserve">LAP BELT                                </t>
  </si>
  <si>
    <t xml:space="preserve">CINTO SEG ABDOMIN                                           </t>
  </si>
  <si>
    <t>2P0915089C</t>
  </si>
  <si>
    <t>BATERÍA</t>
  </si>
  <si>
    <t xml:space="preserve">BATTERY                                 </t>
  </si>
  <si>
    <t xml:space="preserve">BATERIA                                                     </t>
  </si>
  <si>
    <t>1x2 + 1x5</t>
  </si>
  <si>
    <t>1x 2 + 1x 5</t>
  </si>
  <si>
    <t>2R0607261</t>
  </si>
  <si>
    <t>2R0703529A</t>
  </si>
  <si>
    <t xml:space="preserve">SPACER SLEEVE                           </t>
  </si>
  <si>
    <t xml:space="preserve">ESPACADOR                                                   </t>
  </si>
  <si>
    <t>2R0971013</t>
  </si>
  <si>
    <t xml:space="preserve">HARNESS                                 </t>
  </si>
  <si>
    <t xml:space="preserve">CHICOTE                                                     </t>
  </si>
  <si>
    <t>4x0 + 4x3</t>
  </si>
  <si>
    <t>4x 0 + 4x 3 + 2x C</t>
  </si>
  <si>
    <t>3xC + 2x5</t>
  </si>
  <si>
    <t xml:space="preserve">BEFESTIGUNGSTEIL                        </t>
  </si>
  <si>
    <t>2x0 + 2x3</t>
  </si>
  <si>
    <t xml:space="preserve">FASTENER                                </t>
  </si>
  <si>
    <t xml:space="preserve">PECA DE FIXACAO                                             </t>
  </si>
  <si>
    <t>2x 3</t>
  </si>
  <si>
    <t>4x0 + 2x3</t>
  </si>
  <si>
    <t>4x0 + 2x3 + 1x5</t>
  </si>
  <si>
    <t>2R2803877Q</t>
  </si>
  <si>
    <t>23H899501</t>
  </si>
  <si>
    <t xml:space="preserve">HYDRAULIC PUMP                          </t>
  </si>
  <si>
    <t xml:space="preserve">BOMBA HIDRAULICA                                            </t>
  </si>
  <si>
    <t>2R2899505E</t>
  </si>
  <si>
    <t xml:space="preserve">HYDRAULIC CYLINDER                      </t>
  </si>
  <si>
    <t xml:space="preserve">CILINDRO HIDRAULIC                                          </t>
  </si>
  <si>
    <t>2R2971838</t>
  </si>
  <si>
    <t xml:space="preserve">CABLE TIE BASE                          </t>
  </si>
  <si>
    <t xml:space="preserve">SOQUETE CLIP CABO                                           </t>
  </si>
  <si>
    <t xml:space="preserve">TUBO CORRUGADO </t>
  </si>
  <si>
    <t xml:space="preserve">SCREW                                   </t>
  </si>
  <si>
    <t xml:space="preserve">PARAFUSO                                                    </t>
  </si>
  <si>
    <t>2RD971881</t>
  </si>
  <si>
    <t>Funda plástica termocontraible</t>
  </si>
  <si>
    <t>2RD998919A</t>
  </si>
  <si>
    <t>LACRE</t>
  </si>
  <si>
    <t>CALIDAD</t>
  </si>
  <si>
    <t>2x6 + 1xD</t>
  </si>
  <si>
    <t>2x6 + 1x D</t>
  </si>
  <si>
    <t xml:space="preserve">HEAT SHIELD                             </t>
  </si>
  <si>
    <t xml:space="preserve">DEFLETOR DE CALOR                                           </t>
  </si>
  <si>
    <t xml:space="preserve">OIL RING                                </t>
  </si>
  <si>
    <t xml:space="preserve">ANEL FITA DE ACO                                            </t>
  </si>
  <si>
    <t xml:space="preserve">BRACADEIRA                                                  </t>
  </si>
  <si>
    <t xml:space="preserve">TIE ROD                                 </t>
  </si>
  <si>
    <t xml:space="preserve">ESTABILIZADOR                                               </t>
  </si>
  <si>
    <t>2RP607383</t>
  </si>
  <si>
    <t xml:space="preserve">PLUG                                    </t>
  </si>
  <si>
    <t xml:space="preserve">PARA BRASIL FALTA DEFINIR NOME PECA                         </t>
  </si>
  <si>
    <t>2RT607109</t>
  </si>
  <si>
    <t xml:space="preserve">SIEHE PORT. BEN                         </t>
  </si>
  <si>
    <t xml:space="preserve">ETQ.BASC.CABINA                                             </t>
  </si>
  <si>
    <t>BX7</t>
  </si>
  <si>
    <t xml:space="preserve">FUEL TANK                               </t>
  </si>
  <si>
    <t xml:space="preserve">RESERV.COMBUSTIVEL                                          </t>
  </si>
  <si>
    <t xml:space="preserve">BREATHER HOSE              </t>
  </si>
  <si>
    <t xml:space="preserve">MANGUEIRA                                                   </t>
  </si>
  <si>
    <t>2S0601273A</t>
  </si>
  <si>
    <t xml:space="preserve">SEALING RING                            </t>
  </si>
  <si>
    <t xml:space="preserve">ANEL VEDACAO                                                </t>
  </si>
  <si>
    <t>2S2000013RI9A</t>
  </si>
  <si>
    <t xml:space="preserve">CAB                                     </t>
  </si>
  <si>
    <t xml:space="preserve">CABINA                                                      </t>
  </si>
  <si>
    <t>2S2010001A</t>
  </si>
  <si>
    <t xml:space="preserve">STICKER                                 </t>
  </si>
  <si>
    <t xml:space="preserve">ETIQUETA DADOS DO VEICULO                                   </t>
  </si>
  <si>
    <t>2S2100009C</t>
  </si>
  <si>
    <t xml:space="preserve">MOTOR/TRANSMISSAO                                           </t>
  </si>
  <si>
    <t>2S2121473A</t>
  </si>
  <si>
    <t xml:space="preserve">BREATHER HOSE                           </t>
  </si>
  <si>
    <t xml:space="preserve">MANGUEIRA, RESPIRO                                          </t>
  </si>
  <si>
    <t>2S2127191</t>
  </si>
  <si>
    <t>2S2129141A</t>
  </si>
  <si>
    <t xml:space="preserve">SUPORTE                                                     </t>
  </si>
  <si>
    <t>2x5 + 1xC</t>
  </si>
  <si>
    <t>2S2201063B</t>
  </si>
  <si>
    <t xml:space="preserve">COVER                                   </t>
  </si>
  <si>
    <t xml:space="preserve">TAMPA                                                       </t>
  </si>
  <si>
    <t xml:space="preserve">PIPE CLAMP                              </t>
  </si>
  <si>
    <t>2S2253355</t>
  </si>
  <si>
    <t xml:space="preserve">EXHAUST SYSTEM                          </t>
  </si>
  <si>
    <t>2S2265053D</t>
  </si>
  <si>
    <t xml:space="preserve">MOLDED HOSE                             </t>
  </si>
  <si>
    <t xml:space="preserve">MANGUEIRA CONF.                                             </t>
  </si>
  <si>
    <t>2S2422335J</t>
  </si>
  <si>
    <t xml:space="preserve">DRAG LINK                               </t>
  </si>
  <si>
    <t xml:space="preserve">BARRA DE LIGACAODA DIRECAO                                  </t>
  </si>
  <si>
    <t xml:space="preserve">PROPELLER SHAFT,RR                      </t>
  </si>
  <si>
    <t xml:space="preserve">ARVORE TRANSMISSAOTRASEIRA                                  </t>
  </si>
  <si>
    <t>2S2601011B</t>
  </si>
  <si>
    <t xml:space="preserve">RODA E PNEU                                                 </t>
  </si>
  <si>
    <t>2S2601011C</t>
  </si>
  <si>
    <t>6xB + 26xC</t>
  </si>
  <si>
    <t>4x A + 2x B + 23x C</t>
  </si>
  <si>
    <t>2S2698705D</t>
  </si>
  <si>
    <t xml:space="preserve">TUBO DE FREIO                                               </t>
  </si>
  <si>
    <t>2S2700025B</t>
  </si>
  <si>
    <t xml:space="preserve">KITS MEXICO/AFRICA                                          </t>
  </si>
  <si>
    <t>2S2821305A54V</t>
  </si>
  <si>
    <t xml:space="preserve">FENDER                                  </t>
  </si>
  <si>
    <t xml:space="preserve">PARA LAMA                                                   </t>
  </si>
  <si>
    <t>2S2821306A54V</t>
  </si>
  <si>
    <t>2S2863895</t>
  </si>
  <si>
    <t xml:space="preserve">ANTIRUIDO                                                   </t>
  </si>
  <si>
    <t>2S2947561</t>
  </si>
  <si>
    <t xml:space="preserve">CONTACT SWITCH                          </t>
  </si>
  <si>
    <t>2SH599177</t>
  </si>
  <si>
    <t xml:space="preserve">WASHER                                  </t>
  </si>
  <si>
    <t xml:space="preserve">ARRUELA                                                     </t>
  </si>
  <si>
    <t xml:space="preserve">LUG WRENCH                              </t>
  </si>
  <si>
    <t xml:space="preserve">CHAVE DE RODAS                                              </t>
  </si>
  <si>
    <t>2T0499041</t>
  </si>
  <si>
    <t>2T0511151G</t>
  </si>
  <si>
    <t xml:space="preserve">REAR SPRING                             </t>
  </si>
  <si>
    <t xml:space="preserve">MOLA TRASEIRA                                               </t>
  </si>
  <si>
    <t xml:space="preserve">RESERVATORIO DE AR                                          </t>
  </si>
  <si>
    <t>VÁLVULA DISTRIBUIDORA</t>
  </si>
  <si>
    <t>2T0607329C</t>
  </si>
  <si>
    <t>COMENTARIO</t>
  </si>
  <si>
    <t>2T0611717C</t>
  </si>
  <si>
    <t xml:space="preserve">BRAKE HOSE                              </t>
  </si>
  <si>
    <t xml:space="preserve">MANGUEIRA DO FREIO                                          </t>
  </si>
  <si>
    <t>2T0803245</t>
  </si>
  <si>
    <t xml:space="preserve">GUIDE BRACKET                           </t>
  </si>
  <si>
    <t xml:space="preserve">GUIA DE APOIO                                               </t>
  </si>
  <si>
    <t>2T0803246</t>
  </si>
  <si>
    <t>2T0804875</t>
  </si>
  <si>
    <t xml:space="preserve">TOWING BRACKET                          </t>
  </si>
  <si>
    <t xml:space="preserve">DISPOSITIV.REBOQUE                                          </t>
  </si>
  <si>
    <t>2T0804899E</t>
  </si>
  <si>
    <t xml:space="preserve">MOUNTING                                </t>
  </si>
  <si>
    <t xml:space="preserve">FIXACAO                                                     </t>
  </si>
  <si>
    <t>2T0821143</t>
  </si>
  <si>
    <t>2T0821147</t>
  </si>
  <si>
    <t>12x0 + 4x4</t>
  </si>
  <si>
    <t>2T0821149</t>
  </si>
  <si>
    <t xml:space="preserve">NUT                                     </t>
  </si>
  <si>
    <t xml:space="preserve">PORCA                                                       </t>
  </si>
  <si>
    <t>2T0877455</t>
  </si>
  <si>
    <t xml:space="preserve">TOOTHED LOCK WASHER                     </t>
  </si>
  <si>
    <t xml:space="preserve">PECAS DE REPETICAO                                          </t>
  </si>
  <si>
    <t>2T0911094</t>
  </si>
  <si>
    <t xml:space="preserve">ELEMENTO FIXACAO                                            </t>
  </si>
  <si>
    <t xml:space="preserve">BATTERY SWITCH                          </t>
  </si>
  <si>
    <t xml:space="preserve">INTERRUPTORBATERIA                                          </t>
  </si>
  <si>
    <t>2T0945055A</t>
  </si>
  <si>
    <t xml:space="preserve">VIBRATION DAMPER                        </t>
  </si>
  <si>
    <t>2T0971231</t>
  </si>
  <si>
    <t xml:space="preserve">SINGLE WIRE                             </t>
  </si>
  <si>
    <t xml:space="preserve">CHICOTE INDIVIDUAL                                          </t>
  </si>
  <si>
    <t>2T2000013AGI9A</t>
  </si>
  <si>
    <t>2T2000013AHI9A</t>
  </si>
  <si>
    <t>2T2000013AJI9A</t>
  </si>
  <si>
    <t>2T2000013AKI9A</t>
  </si>
  <si>
    <t>2T2100009J</t>
  </si>
  <si>
    <t>2T2100009K</t>
  </si>
  <si>
    <t>2T2100009L</t>
  </si>
  <si>
    <t>2T2100009M</t>
  </si>
  <si>
    <t>2T2121207AN</t>
  </si>
  <si>
    <t xml:space="preserve">RADIATOR SHROUD                         </t>
  </si>
  <si>
    <t xml:space="preserve">DEFLETOR RADIADOR                                           </t>
  </si>
  <si>
    <t>2T2121251G</t>
  </si>
  <si>
    <t xml:space="preserve">RADIATOR                                </t>
  </si>
  <si>
    <t xml:space="preserve">RADIADOR DE AGUA                                            </t>
  </si>
  <si>
    <t>2T2121283D</t>
  </si>
  <si>
    <t xml:space="preserve">DUTO DE AR                                                  </t>
  </si>
  <si>
    <t>1xc+5</t>
  </si>
  <si>
    <t>1xc+4x5</t>
  </si>
  <si>
    <t>2T2121590A</t>
  </si>
  <si>
    <t>2T2129621E</t>
  </si>
  <si>
    <t>2T2253355A</t>
  </si>
  <si>
    <t>2T2253355B</t>
  </si>
  <si>
    <t>2T2411101B</t>
  </si>
  <si>
    <t xml:space="preserve">FRONT SPRING                            </t>
  </si>
  <si>
    <t xml:space="preserve">MOLA DIANTEIRA                                              </t>
  </si>
  <si>
    <t>2T2411102B</t>
  </si>
  <si>
    <t>2T2500048C</t>
  </si>
  <si>
    <t xml:space="preserve">REAR AXLE                               </t>
  </si>
  <si>
    <t xml:space="preserve">EIXO TRASEIRO                                               </t>
  </si>
  <si>
    <t>2T2500048D</t>
  </si>
  <si>
    <t>2T2500048E</t>
  </si>
  <si>
    <t>2T2500048F</t>
  </si>
  <si>
    <t>2T2521101E</t>
  </si>
  <si>
    <t xml:space="preserve">PROPELLER SHAFT                         </t>
  </si>
  <si>
    <t xml:space="preserve">ARVORE TRANSMISSAO                                          </t>
  </si>
  <si>
    <t>2T2521115AR</t>
  </si>
  <si>
    <t>2T2601011K</t>
  </si>
  <si>
    <t>2T2601011L</t>
  </si>
  <si>
    <t>|</t>
  </si>
  <si>
    <t>2T2601011M</t>
  </si>
  <si>
    <t>2T2601011N</t>
  </si>
  <si>
    <t>2T2601011P</t>
  </si>
  <si>
    <t>2T2601011Q</t>
  </si>
  <si>
    <t>2T2601011R</t>
  </si>
  <si>
    <t>2T2601011S</t>
  </si>
  <si>
    <t>2T2607251A</t>
  </si>
  <si>
    <t>1xB + 2xC</t>
  </si>
  <si>
    <t>1x B + 2x C</t>
  </si>
  <si>
    <t>2T2698705N</t>
  </si>
  <si>
    <t>2T2698705P</t>
  </si>
  <si>
    <t>2T2698705Q</t>
  </si>
  <si>
    <t>2T2698705R</t>
  </si>
  <si>
    <t>2T2700025AE</t>
  </si>
  <si>
    <t>2T2700025AF</t>
  </si>
  <si>
    <t>2T2700025AG</t>
  </si>
  <si>
    <t>2T2700025AH</t>
  </si>
  <si>
    <t xml:space="preserve">QUADRO                                                      </t>
  </si>
  <si>
    <t>2x0 + 2x5</t>
  </si>
  <si>
    <t>2x 0 + 2x 5</t>
  </si>
  <si>
    <t>2T2803877C</t>
  </si>
  <si>
    <t>2T2821152J</t>
  </si>
  <si>
    <t xml:space="preserve">SUPTE PARA-LAMA                                             </t>
  </si>
  <si>
    <t>2T2821305B1NN</t>
  </si>
  <si>
    <t>2T2821306B1NN</t>
  </si>
  <si>
    <t>2T2861709H</t>
  </si>
  <si>
    <t xml:space="preserve">NET                                     </t>
  </si>
  <si>
    <t xml:space="preserve">ALOJ.PARED DIVIS.DE MALLA                                   </t>
  </si>
  <si>
    <t>2T2863896B</t>
  </si>
  <si>
    <t>2T2864921G</t>
  </si>
  <si>
    <t xml:space="preserve">SOUND DEADENING PAD                     </t>
  </si>
  <si>
    <t xml:space="preserve">ANTI RUIDO                                                  </t>
  </si>
  <si>
    <t>2T2899365C</t>
  </si>
  <si>
    <t xml:space="preserve">TUBE                                    </t>
  </si>
  <si>
    <t xml:space="preserve">TUBO                                                        </t>
  </si>
  <si>
    <t>2T2971015FT</t>
  </si>
  <si>
    <t xml:space="preserve">CHICOTES                                                    </t>
  </si>
  <si>
    <t>2T2971015JF</t>
  </si>
  <si>
    <t xml:space="preserve">HARNESS                 </t>
  </si>
  <si>
    <t>2T2971169FF</t>
  </si>
  <si>
    <t xml:space="preserve">CHICOTE LANTERNATRASEIRA                                    </t>
  </si>
  <si>
    <t>2T2971169EL</t>
  </si>
  <si>
    <t>2T2971169GH</t>
  </si>
  <si>
    <t>HARNESS,REAR COMB. LAMP</t>
  </si>
  <si>
    <t xml:space="preserve">CHICOTE LANTERNATRASEIRA        </t>
  </si>
  <si>
    <t xml:space="preserve">CAP                                     </t>
  </si>
  <si>
    <t>2TB499085A</t>
  </si>
  <si>
    <t>2TB499151A</t>
  </si>
  <si>
    <t xml:space="preserve">ADAPTADOR                                                   </t>
  </si>
  <si>
    <t xml:space="preserve">CLAMP                                   </t>
  </si>
  <si>
    <t xml:space="preserve">MANGUEIRA REFRIG._MK                                        </t>
  </si>
  <si>
    <t xml:space="preserve">MOUNTING FLANGE                         </t>
  </si>
  <si>
    <t xml:space="preserve">MANCAL                                                      </t>
  </si>
  <si>
    <t xml:space="preserve">LEAF SPRING                             </t>
  </si>
  <si>
    <t xml:space="preserve">MOLA                                                        </t>
  </si>
  <si>
    <t>2U2121455</t>
  </si>
  <si>
    <t xml:space="preserve">BREATHER PIPE                           </t>
  </si>
  <si>
    <t xml:space="preserve">DUTO VENTILACAO                                             </t>
  </si>
  <si>
    <t>2U2129621F</t>
  </si>
  <si>
    <t>2U2807109D</t>
  </si>
  <si>
    <t xml:space="preserve">BUMPER BAR,FRONT                        </t>
  </si>
  <si>
    <t xml:space="preserve">SUPORTE PARA CHOQU DIANT                                    </t>
  </si>
  <si>
    <t>2U282110554V</t>
  </si>
  <si>
    <t xml:space="preserve">FENDER,FR                               </t>
  </si>
  <si>
    <t xml:space="preserve">PARA-LAMA DIANT.                                            </t>
  </si>
  <si>
    <t>2U282110654V</t>
  </si>
  <si>
    <t>2U2915516F</t>
  </si>
  <si>
    <t>2UU511349</t>
  </si>
  <si>
    <t xml:space="preserve">PLACA                                   </t>
  </si>
  <si>
    <t xml:space="preserve">PLACA                                                       </t>
  </si>
  <si>
    <t>2V1607359B</t>
  </si>
  <si>
    <t>2V1607891B</t>
  </si>
  <si>
    <t>2V2000547A</t>
  </si>
  <si>
    <t xml:space="preserve">ETIQUETA                                                    </t>
  </si>
  <si>
    <t>2V2010564</t>
  </si>
  <si>
    <t xml:space="preserve">LABEL                                   </t>
  </si>
  <si>
    <t>2V2607891F</t>
  </si>
  <si>
    <t>2V2607891G</t>
  </si>
  <si>
    <t>2V2607891L</t>
  </si>
  <si>
    <t>2V2607891M</t>
  </si>
  <si>
    <t>2V2803185B</t>
  </si>
  <si>
    <t xml:space="preserve">NODE                                    </t>
  </si>
  <si>
    <t>2V2803186B</t>
  </si>
  <si>
    <t>2V2803347B</t>
  </si>
  <si>
    <t xml:space="preserve">CROSSMEMBER                             </t>
  </si>
  <si>
    <t xml:space="preserve">TRAVESSA                                                    </t>
  </si>
  <si>
    <t>2V2803393A</t>
  </si>
  <si>
    <t xml:space="preserve">HOOK                                    </t>
  </si>
  <si>
    <t xml:space="preserve">GANCHO                                                      </t>
  </si>
  <si>
    <t>2V2803394A</t>
  </si>
  <si>
    <t xml:space="preserve">BRACKET,TOWING EYE                      </t>
  </si>
  <si>
    <t xml:space="preserve">SOP.GANCHO ARRAST.                                          </t>
  </si>
  <si>
    <t>2V2804261B</t>
  </si>
  <si>
    <t xml:space="preserve">SECURING GUIDE BAR                      </t>
  </si>
  <si>
    <t xml:space="preserve">TRILHO DE FIXACAO                                           </t>
  </si>
  <si>
    <t>2V2804311C</t>
  </si>
  <si>
    <t>2V2804633</t>
  </si>
  <si>
    <t xml:space="preserve">MOUNTING PLATE                          </t>
  </si>
  <si>
    <t xml:space="preserve">PLACA DE FIXACAO                                            </t>
  </si>
  <si>
    <t>2V2804679</t>
  </si>
  <si>
    <t xml:space="preserve">STEP                                    </t>
  </si>
  <si>
    <t xml:space="preserve">ESTRIBO                                                     </t>
  </si>
  <si>
    <t>2V2821119D</t>
  </si>
  <si>
    <t xml:space="preserve">REINFORCEMENT                           </t>
  </si>
  <si>
    <t xml:space="preserve">REFORCO                                                     </t>
  </si>
  <si>
    <t>2V2821120D</t>
  </si>
  <si>
    <t>2V2821151</t>
  </si>
  <si>
    <t>2V2821173</t>
  </si>
  <si>
    <t xml:space="preserve">SPLASH GUARD                            </t>
  </si>
  <si>
    <t xml:space="preserve">PROTEC./BARRO POST                                          </t>
  </si>
  <si>
    <t>2V2821455</t>
  </si>
  <si>
    <t xml:space="preserve">WHEEL HOUSING                           </t>
  </si>
  <si>
    <t>2V2899361B</t>
  </si>
  <si>
    <t xml:space="preserve">SUSPENSION                              </t>
  </si>
  <si>
    <t xml:space="preserve">COXIM SUSTENTACAO                                           </t>
  </si>
  <si>
    <t>2V2899362B</t>
  </si>
  <si>
    <t>2V2899505A</t>
  </si>
  <si>
    <t>2V2907657</t>
  </si>
  <si>
    <t xml:space="preserve">YAW SENSOR                              </t>
  </si>
  <si>
    <t xml:space="preserve">SENSOR DE GIRO                                              </t>
  </si>
  <si>
    <t>2V2971015GR</t>
  </si>
  <si>
    <t>2V2971057J</t>
  </si>
  <si>
    <t xml:space="preserve">HARNESS,ENGINE COMPARTMENT              </t>
  </si>
  <si>
    <t xml:space="preserve">CHIC COMP MOTOR                                             </t>
  </si>
  <si>
    <t>2V2971169DA</t>
  </si>
  <si>
    <t>2V2971225C</t>
  </si>
  <si>
    <t xml:space="preserve">HARNESS,BATTERY                         </t>
  </si>
  <si>
    <t xml:space="preserve">CHICOTE DA BATERIA                                          </t>
  </si>
  <si>
    <t>4x2 + 1x5 + 6x6</t>
  </si>
  <si>
    <t>1x2 + 4x6</t>
  </si>
  <si>
    <t>2V3010527B</t>
  </si>
  <si>
    <t>2V3607262B</t>
  </si>
  <si>
    <t xml:space="preserve">PRESSURE CONTROL VALVE                  </t>
  </si>
  <si>
    <t>2V3607815C</t>
  </si>
  <si>
    <t xml:space="preserve">PECA DE CONEXAO                                             </t>
  </si>
  <si>
    <t>2V5071335</t>
  </si>
  <si>
    <t xml:space="preserve">VALVULA_MK                                                  </t>
  </si>
  <si>
    <t>2V5607329C</t>
  </si>
  <si>
    <t xml:space="preserve">VALVE                                   </t>
  </si>
  <si>
    <t xml:space="preserve">VALVULA                                                     </t>
  </si>
  <si>
    <t>2V5611555C</t>
  </si>
  <si>
    <t>2V5611555D</t>
  </si>
  <si>
    <t>2V5947561</t>
  </si>
  <si>
    <t xml:space="preserve">INSULATING PIECE                        </t>
  </si>
  <si>
    <t xml:space="preserve">ISOLADOR                                                    </t>
  </si>
  <si>
    <t>2VC607359</t>
  </si>
  <si>
    <t xml:space="preserve">BASE VALVE                              </t>
  </si>
  <si>
    <t>2VF607591</t>
  </si>
  <si>
    <t xml:space="preserve">CONNECTING PIECE                        </t>
  </si>
  <si>
    <t>2VF607591A</t>
  </si>
  <si>
    <t>2W0121103A</t>
  </si>
  <si>
    <t>MANGUITO RADIADOR. SUPERIOR</t>
  </si>
  <si>
    <t xml:space="preserve">TENSION TEST BAR                        </t>
  </si>
  <si>
    <t xml:space="preserve">TIRANTE SUPERIOR                                            </t>
  </si>
  <si>
    <t xml:space="preserve">TIRANTE INFERIOR                                            </t>
  </si>
  <si>
    <t xml:space="preserve">INTAKE HOSE                             </t>
  </si>
  <si>
    <t xml:space="preserve">MANG.TOMADA DE AR                                           </t>
  </si>
  <si>
    <t xml:space="preserve">RETURN PIPE                             </t>
  </si>
  <si>
    <t xml:space="preserve">TUBO DE RETORNO                                             </t>
  </si>
  <si>
    <t xml:space="preserve">FUEL LINE                               </t>
  </si>
  <si>
    <t xml:space="preserve">TUBULACAO COMBUST.                                          </t>
  </si>
  <si>
    <t xml:space="preserve">SUPPORT                                 </t>
  </si>
  <si>
    <t xml:space="preserve">APOIO                                                       </t>
  </si>
  <si>
    <t xml:space="preserve">INTERMEDIATE PIPE                       </t>
  </si>
  <si>
    <t xml:space="preserve">TUBO INTERMEDIARIO                                          </t>
  </si>
  <si>
    <t xml:space="preserve">SUPORTE POSICION.                                           </t>
  </si>
  <si>
    <t>2W0253355</t>
  </si>
  <si>
    <t xml:space="preserve">SISTEMA DE ESCAPAM                                          </t>
  </si>
  <si>
    <t xml:space="preserve">TAILPIPE                                </t>
  </si>
  <si>
    <t xml:space="preserve">TUBO TERMINAL                                               </t>
  </si>
  <si>
    <t xml:space="preserve">EIXO DIANTEIRO                                              </t>
  </si>
  <si>
    <t>2W0401161A</t>
  </si>
  <si>
    <t xml:space="preserve">NIPLE                                                       </t>
  </si>
  <si>
    <t xml:space="preserve">STABILIZER BAR                          </t>
  </si>
  <si>
    <t xml:space="preserve">BARRA DE DIRECAO                                            </t>
  </si>
  <si>
    <t xml:space="preserve">PROPELLER SHAFT, MIDDLE                 </t>
  </si>
  <si>
    <t xml:space="preserve">ARVORE TRANSMISSAOINTERMEDIARIA                             </t>
  </si>
  <si>
    <t xml:space="preserve">COTOVELO                                                    </t>
  </si>
  <si>
    <t>2W0607373E</t>
  </si>
  <si>
    <t xml:space="preserve">DRIER                                   </t>
  </si>
  <si>
    <t xml:space="preserve">PROTECTIVE PART                         </t>
  </si>
  <si>
    <t xml:space="preserve">PROTETOR                                                    </t>
  </si>
  <si>
    <t>2W0611778B</t>
  </si>
  <si>
    <t>2W0703529</t>
  </si>
  <si>
    <t>2x0 + 8x3 + 2x6 + 8xB</t>
  </si>
  <si>
    <t>8x 3 + 2x 6</t>
  </si>
  <si>
    <t>16x0 + 12x3 + 16xA</t>
  </si>
  <si>
    <t>4x 1</t>
  </si>
  <si>
    <t>8x0 + 8xD</t>
  </si>
  <si>
    <t xml:space="preserve">PRESSURE LINE                           </t>
  </si>
  <si>
    <t xml:space="preserve">TUBO DE PRESSAO                                             </t>
  </si>
  <si>
    <t xml:space="preserve">FOOT BOARD                              </t>
  </si>
  <si>
    <t xml:space="preserve">MOUNTING BRACKET                        </t>
  </si>
  <si>
    <t xml:space="preserve">PECA SUPORTE                                                </t>
  </si>
  <si>
    <t xml:space="preserve">DASHBOARD                               </t>
  </si>
  <si>
    <t xml:space="preserve">COCKPIT                                                     </t>
  </si>
  <si>
    <t>19x2 + 1x4 + 1x5 + 3x6</t>
  </si>
  <si>
    <t>65x2 + 8x5 + 2x6 + 4xD</t>
  </si>
  <si>
    <t>2W0915352</t>
  </si>
  <si>
    <t xml:space="preserve">ANGLE BRACKET                           </t>
  </si>
  <si>
    <t xml:space="preserve">TANK UNIT                               </t>
  </si>
  <si>
    <t xml:space="preserve">SENSOR NIVEL COMB                                           </t>
  </si>
  <si>
    <t>1x0+1x6</t>
  </si>
  <si>
    <t>2Z0611357</t>
  </si>
  <si>
    <t xml:space="preserve">SCREW COVER                             </t>
  </si>
  <si>
    <t xml:space="preserve">TAMPAO ROSCADO                                              </t>
  </si>
  <si>
    <t>6 - 23B.711.940.A</t>
  </si>
  <si>
    <t xml:space="preserve">ETIQUETA BANCO ESCRAVO                                      </t>
  </si>
  <si>
    <t xml:space="preserve">PIN HOUSING                             </t>
  </si>
  <si>
    <t xml:space="preserve">SUPORTE CONECTOR                                            </t>
  </si>
  <si>
    <t>3x2 + 2x5 + 7xD</t>
  </si>
  <si>
    <t>551999616</t>
  </si>
  <si>
    <t xml:space="preserve">HEXAGON HEAD BOLT                       </t>
  </si>
  <si>
    <t xml:space="preserve">PARAFUSO SEXTAVADO                                          </t>
  </si>
  <si>
    <t>16x6 + 20xD</t>
  </si>
  <si>
    <t>36x 6</t>
  </si>
  <si>
    <t>N0108911</t>
  </si>
  <si>
    <t xml:space="preserve">HEX.NUT                                 </t>
  </si>
  <si>
    <t xml:space="preserve">PORCA SEXTAVADA                                             </t>
  </si>
  <si>
    <t>6x0 + 1x6 + 8xD</t>
  </si>
  <si>
    <t>6x 0 + 8x D</t>
  </si>
  <si>
    <t>3x6 + 8xD</t>
  </si>
  <si>
    <t>2x4 + 10x6</t>
  </si>
  <si>
    <t>10x6 + 8xD</t>
  </si>
  <si>
    <t>10x 6 + 8x D</t>
  </si>
  <si>
    <t xml:space="preserve">PREV.TORQUE TYPE HEXAGON NUT            </t>
  </si>
  <si>
    <t xml:space="preserve">PORCA APERTO SEXT.                                          </t>
  </si>
  <si>
    <t>2x 2 + 2x C</t>
  </si>
  <si>
    <t>6x0 + 2x5</t>
  </si>
  <si>
    <t>6x 0 + 2x 5</t>
  </si>
  <si>
    <t>1x 0 + 4x 6</t>
  </si>
  <si>
    <t>2x6 + 8xD</t>
  </si>
  <si>
    <t>1x5 + 6xD</t>
  </si>
  <si>
    <t>26x6 + 28xD</t>
  </si>
  <si>
    <t>39x 6 + 8x D</t>
  </si>
  <si>
    <t>1x2 + 2x5 + 12x6 + 4xD + 2x?</t>
  </si>
  <si>
    <t>1x 5 + 12x 6 + 4x C</t>
  </si>
  <si>
    <t xml:space="preserve">SERRATED LOCK WASHER                    </t>
  </si>
  <si>
    <t xml:space="preserve">ARRUELA RETENCAO                                            </t>
  </si>
  <si>
    <t>2x5 + 11x6 + 1xC</t>
  </si>
  <si>
    <t>1x4 + 1x5</t>
  </si>
  <si>
    <t>2x0 + 1x2 + 1xD</t>
  </si>
  <si>
    <t>2x 0 + 1x 2 + 1x D</t>
  </si>
  <si>
    <t>50x2 + 30x4 + 13x5 + 28x6</t>
  </si>
  <si>
    <t>46x2 + 12x3 + 30x5 + 5x6 + 2xD</t>
  </si>
  <si>
    <t xml:space="preserve">BANJO BOLT                              </t>
  </si>
  <si>
    <t xml:space="preserve">PARAFUSO VASADO                                             </t>
  </si>
  <si>
    <t>6x0 + 2x1 + 1x2 + 4x5 + 3xC</t>
  </si>
  <si>
    <t>3x 0 + 4x 1 + 7x 5 + 7x C</t>
  </si>
  <si>
    <t>N0402492</t>
  </si>
  <si>
    <t>54x0 + 6x3 + 3x4 + 6x6 + 4xC</t>
  </si>
  <si>
    <t>N10109210</t>
  </si>
  <si>
    <t xml:space="preserve">HEXAGON FLANGE BOL T                    </t>
  </si>
  <si>
    <t xml:space="preserve">PARAFUSO SEXT. FLANGEADO                                    </t>
  </si>
  <si>
    <t>2x2 + 1x5</t>
  </si>
  <si>
    <t>2x0 + 4x3</t>
  </si>
  <si>
    <t>4x0 + 3x2 + 6xD</t>
  </si>
  <si>
    <t>1x 0 + 10x 1 + 2x 2 + 6x D</t>
  </si>
  <si>
    <t>N10155210</t>
  </si>
  <si>
    <t>TUERCA</t>
  </si>
  <si>
    <t>1x0 + 2x5</t>
  </si>
  <si>
    <t>4xA+2x3</t>
  </si>
  <si>
    <t>7x0 + 2x5 + 4x6 + 8xD</t>
  </si>
  <si>
    <t>6x 0 + 7x 4 + 2x 5 + 4x 6 + 2x C</t>
  </si>
  <si>
    <t>1x0 + 2x4</t>
  </si>
  <si>
    <t>2x3 + 2xA</t>
  </si>
  <si>
    <t>1x0 + 1x6</t>
  </si>
  <si>
    <t>3x4 + 1x4</t>
  </si>
  <si>
    <t>3x0 + 1x5</t>
  </si>
  <si>
    <t>5x0 + 1x5</t>
  </si>
  <si>
    <t xml:space="preserve">13x0  </t>
  </si>
  <si>
    <t>3x0 + 2x1</t>
  </si>
  <si>
    <t>N10432101</t>
  </si>
  <si>
    <t xml:space="preserve">SWIVEL-TYPE OMEGA CLIP                  </t>
  </si>
  <si>
    <t xml:space="preserve">ZSUPORTE COMBINADO                                          </t>
  </si>
  <si>
    <t>2x3 + 2xC</t>
  </si>
  <si>
    <t>38x0 + 6x3</t>
  </si>
  <si>
    <t>N10661002</t>
  </si>
  <si>
    <t>PARAFUSO SEXTAVADO C FLANGE M6X20</t>
  </si>
  <si>
    <t>4x5 + 1x6</t>
  </si>
  <si>
    <t>N10691501</t>
  </si>
  <si>
    <t>N10702302</t>
  </si>
  <si>
    <t>4x3 + 4x5</t>
  </si>
  <si>
    <t>4xB + 4x5</t>
  </si>
  <si>
    <t>4x3 + 2xA</t>
  </si>
  <si>
    <t>N90033308</t>
  </si>
  <si>
    <t>5x6 + 16xD</t>
  </si>
  <si>
    <t>5x 6 + 16x D</t>
  </si>
  <si>
    <t>4x0 + 7x6</t>
  </si>
  <si>
    <t>9x0 + 8x5 + 14xC</t>
  </si>
  <si>
    <t>13x0 + 16x4 + 9x5 + 14xD</t>
  </si>
  <si>
    <t xml:space="preserve">3xC + 2X0 </t>
  </si>
  <si>
    <t xml:space="preserve">4x0 </t>
  </si>
  <si>
    <t>4x0</t>
  </si>
  <si>
    <t>2x0 + 1x5</t>
  </si>
  <si>
    <t>1x 0 + 2x 5</t>
  </si>
  <si>
    <t>N90575702</t>
  </si>
  <si>
    <t xml:space="preserve">HEXAGON HEAD BOLT WITH WASHER           </t>
  </si>
  <si>
    <t>N90987802</t>
  </si>
  <si>
    <t xml:space="preserve">HEXAGON FLANGE BOLT                     </t>
  </si>
  <si>
    <t>N91020102</t>
  </si>
  <si>
    <t xml:space="preserve">HEXALOBULAR SOCKET SCREW WITH FLANGE    </t>
  </si>
  <si>
    <t>PARAFUSO HEXAGONAL COM FLANGE</t>
  </si>
  <si>
    <t>10x3 + 8xA + 8xB</t>
  </si>
  <si>
    <t>T16599171</t>
  </si>
  <si>
    <t xml:space="preserve">PLATE U BOLT                            </t>
  </si>
  <si>
    <t xml:space="preserve">PLACA DO GRAMPO DA MOLA                                     </t>
  </si>
  <si>
    <t>4x3 + 4x5 + 4xC</t>
  </si>
  <si>
    <t>4x 3 + 4x 5</t>
  </si>
  <si>
    <t xml:space="preserve">INSERT                                  </t>
  </si>
  <si>
    <t xml:space="preserve">GUARNICAO                                                   </t>
  </si>
  <si>
    <t xml:space="preserve">DAMPER                                  </t>
  </si>
  <si>
    <t xml:space="preserve">AMORTECEDOR                                                 </t>
  </si>
  <si>
    <t xml:space="preserve">STEERING GEAR, COMPL.                   </t>
  </si>
  <si>
    <t xml:space="preserve">CAIXA DIRECAO COMP                                          </t>
  </si>
  <si>
    <t xml:space="preserve">TRACK CONTROL ARM, UPPER                </t>
  </si>
  <si>
    <t xml:space="preserve">BRACO DE LIGACAO                                            </t>
  </si>
  <si>
    <t xml:space="preserve">STAPLE                                  </t>
  </si>
  <si>
    <t xml:space="preserve">GRAMPO                                                      </t>
  </si>
  <si>
    <t xml:space="preserve">PLATE                                   </t>
  </si>
  <si>
    <t xml:space="preserve">SPRING BRACKET                          </t>
  </si>
  <si>
    <t xml:space="preserve">SUPORTE APOIO MOLA                                          </t>
  </si>
  <si>
    <t>TJG000283</t>
  </si>
  <si>
    <t>2x3 + 2x5</t>
  </si>
  <si>
    <t>2x3 + 2x5 + 2xC</t>
  </si>
  <si>
    <t>2x0 + 7x4 + 4x5 + 7x6</t>
  </si>
  <si>
    <t>4x 0 + 7x 3 + 2x 5 + 9x 6</t>
  </si>
  <si>
    <t>4x0 + 4x3 + 1x4 + 1x6 + 4xB + 4xD</t>
  </si>
  <si>
    <t>1x 0 + 4x 3 + 1x 6</t>
  </si>
  <si>
    <t>12x0 + 6x3 + 8xA</t>
  </si>
  <si>
    <t>2x 1 + 2x 3</t>
  </si>
  <si>
    <t>4xD + 4x0 + 1x4</t>
  </si>
  <si>
    <t>12x0 + 2x3</t>
  </si>
  <si>
    <t>WHT005096</t>
  </si>
  <si>
    <t>WHT006029</t>
  </si>
  <si>
    <t>Tornillo válvula ABS</t>
  </si>
  <si>
    <t>WHT006976</t>
  </si>
  <si>
    <t>23H607359E</t>
  </si>
  <si>
    <t>Noise suppressor</t>
  </si>
  <si>
    <t>Silenciador</t>
  </si>
  <si>
    <t>BOX 1</t>
  </si>
  <si>
    <t>N0138272</t>
  </si>
  <si>
    <t>Arandela de aluminio</t>
  </si>
  <si>
    <t>23H607085D</t>
  </si>
  <si>
    <t>Connector</t>
  </si>
  <si>
    <t>Conector recto</t>
  </si>
  <si>
    <t>2V5607337</t>
  </si>
  <si>
    <t>Check Valve</t>
  </si>
  <si>
    <t xml:space="preserve">Valvula de control </t>
  </si>
  <si>
    <t>23G971911</t>
  </si>
  <si>
    <t>Protector pasacable</t>
  </si>
  <si>
    <t>23B607251A</t>
  </si>
  <si>
    <t>Primary air tank</t>
  </si>
  <si>
    <t>Tanque de aire primario</t>
  </si>
  <si>
    <t xml:space="preserve">WHT006631 </t>
  </si>
  <si>
    <t>TORNILLO HEXAGONAL</t>
  </si>
  <si>
    <t>2V3607263</t>
  </si>
  <si>
    <t xml:space="preserve">Conector </t>
  </si>
  <si>
    <t>Listado maestro de embalajes de componentes Delivery DG 9.180 - TBXSS1</t>
  </si>
  <si>
    <t>Rev</t>
  </si>
  <si>
    <t>item</t>
  </si>
  <si>
    <t>Materialnumber</t>
  </si>
  <si>
    <t>Material short text</t>
  </si>
  <si>
    <t>Uso por _Puesto</t>
  </si>
  <si>
    <t>_Puesto LF</t>
  </si>
  <si>
    <t>EMBALAJE Proveedor</t>
  </si>
  <si>
    <t>Embalaje línea</t>
  </si>
  <si>
    <t>Módulo de abastecimiento</t>
  </si>
  <si>
    <t>Medio de Abastecimiento</t>
  </si>
  <si>
    <t>Nivel</t>
  </si>
  <si>
    <t>Observaciones</t>
  </si>
  <si>
    <t>__PowerAppsId__</t>
  </si>
  <si>
    <t>revisión</t>
  </si>
  <si>
    <t>0-1</t>
  </si>
  <si>
    <t>Carro Bandejas 1</t>
  </si>
  <si>
    <t>cf19bd78-a66b-428f-bd0f-fead1c699e11</t>
  </si>
  <si>
    <t>A-B</t>
  </si>
  <si>
    <t>Carro E. Trasero</t>
  </si>
  <si>
    <t>fdb16029-4579-46c8-8c3d-3a5df4a09659</t>
  </si>
  <si>
    <t>C-D</t>
  </si>
  <si>
    <t>Embalaje original</t>
  </si>
  <si>
    <t>cfe858d3-a507-4d4d-bbe1-d107b162382c</t>
  </si>
  <si>
    <t>3</t>
  </si>
  <si>
    <t>Rack ruedas</t>
  </si>
  <si>
    <t>7c79bea3-f172-497a-a174-3605ca10aebd</t>
  </si>
  <si>
    <t>Nivel 1</t>
  </si>
  <si>
    <t>79c798d5-f8a1-492a-a2f4-e7282cb288b3</t>
  </si>
  <si>
    <t>26ed467d-e10e-43c2-b874-e51b9a8147c7</t>
  </si>
  <si>
    <t>e7ece783-ecbb-4143-9bfd-252f328d999c</t>
  </si>
  <si>
    <t>77af007b-a1f0-48af-96bd-b00495de3168</t>
  </si>
  <si>
    <t>87329c53-6709-467a-870c-054740af9623</t>
  </si>
  <si>
    <t>e5b19345-6468-4172-96bc-54b134fad50f</t>
  </si>
  <si>
    <t>ee1ed953-0d97-4288-92b5-3a7274cbcf72</t>
  </si>
  <si>
    <t>d15092c0-3d2a-41c4-b07d-7ae9d52f6c0d</t>
  </si>
  <si>
    <t>9b1b8d9d-04c7-4fcc-b86e-4deffb900907</t>
  </si>
  <si>
    <t>a4e8ab3d-0913-42b1-9942-b6ae72e42077</t>
  </si>
  <si>
    <t>14ca7773-07d5-455b-b2ca-0afe75ada098</t>
  </si>
  <si>
    <t>d8ec0a16-fc21-4399-86cf-c1b0fa93317e</t>
  </si>
  <si>
    <t>b1d03c17-21f2-47e7-a097-643baaad9710</t>
  </si>
  <si>
    <t>Nivel 2</t>
  </si>
  <si>
    <t>c0928341-2fd5-49e4-a1f2-c2f928a5f934</t>
  </si>
  <si>
    <t>701782d8-1eb6-4014-ac18-e93f4885f3af</t>
  </si>
  <si>
    <t>Nivel 3</t>
  </si>
  <si>
    <t>3d556680-4f36-48d9-81d5-1c446e893a92</t>
  </si>
  <si>
    <t>7258281d-8cd9-477d-836d-3af4f46c91d2</t>
  </si>
  <si>
    <t>2</t>
  </si>
  <si>
    <t>Carro Bandejas 2</t>
  </si>
  <si>
    <t>abbfeee4-0bad-40d8-9d3a-1b0bb837b169</t>
  </si>
  <si>
    <t>d0483e7b-ffb8-4b93-a31b-bf6199b43b82</t>
  </si>
  <si>
    <t>51b09f03-f970-40a8-8125-105bc52884d3</t>
  </si>
  <si>
    <t>44b7e6e0-2f7c-4868-b91a-d8c3bf2e4125</t>
  </si>
  <si>
    <t>3d39b6ec-5c00-46f1-b373-82a3387e9e16</t>
  </si>
  <si>
    <t>34e8ce9d-e661-40ba-900d-6ee177e1e93b</t>
  </si>
  <si>
    <t>Carro Bandejas 3</t>
  </si>
  <si>
    <t>9828c114-fbbd-4534-a42b-f0308ac18842</t>
  </si>
  <si>
    <t>4</t>
  </si>
  <si>
    <t>Carro Bandejas 4</t>
  </si>
  <si>
    <t>bbb3e211-43df-429d-bcff-c7aa6f74efd4</t>
  </si>
  <si>
    <t>e13272cc-7c91-4852-97f2-9ec53d46ee45</t>
  </si>
  <si>
    <t>a50a9542-2833-44a3-be55-23526f74aa89</t>
  </si>
  <si>
    <t>3ba9fff1-3dad-429a-b5e6-29ba30aa594c</t>
  </si>
  <si>
    <t>1e72cfb2-700b-480a-9d63-c6fbeb9ac03c</t>
  </si>
  <si>
    <t>88fa7866-e4bd-479b-8525-265e43266051</t>
  </si>
  <si>
    <t>Cambio de P5 a P4</t>
  </si>
  <si>
    <t>43d9f63a-8a4a-44f3-b966-998273cf0371</t>
  </si>
  <si>
    <t>5</t>
  </si>
  <si>
    <t>Carro Bandejas 5</t>
  </si>
  <si>
    <t>Cambio de medio</t>
  </si>
  <si>
    <t>dbbf21da-2003-4b03-9aa9-763104ea34f5</t>
  </si>
  <si>
    <t>Cambio de medio / puesto</t>
  </si>
  <si>
    <t>679f76ba-1d26-42f5-9ea1-36dd37fd7745</t>
  </si>
  <si>
    <t>6</t>
  </si>
  <si>
    <t>Carro Bandejas 6</t>
  </si>
  <si>
    <t>ea9bcf54-808d-49ba-95d8-644368822897</t>
  </si>
  <si>
    <t>be79572a-9632-458c-9c3e-975152b51450</t>
  </si>
  <si>
    <t xml:space="preserve">Carro premontajes </t>
  </si>
  <si>
    <t>5654bf09-5427-41df-9405-0ef6c3207438</t>
  </si>
  <si>
    <t>Carro Bandejas 9</t>
  </si>
  <si>
    <t>CARRO VÁLVULAS</t>
  </si>
  <si>
    <t>bcf8b25f-e186-4e52-a8c3-afe90f41dfe6</t>
  </si>
  <si>
    <t>87631362-9954-407b-9a61-27ac53bf8b07</t>
  </si>
  <si>
    <t>726d338e-b034-4d6e-a0d3-35d23ea936d8</t>
  </si>
  <si>
    <t>f2387678-1211-475c-85ef-779f4b3cde50</t>
  </si>
  <si>
    <t>01de549b-d610-461b-8cb9-84314daa2ab6</t>
  </si>
  <si>
    <t>7e2f1652-a1d1-4f66-a572-5e6c59518da4</t>
  </si>
  <si>
    <t>3ea23965-4ca3-4326-b0a1-75d393c5c522</t>
  </si>
  <si>
    <t>b799ff36-4ad4-4800-9f55-1317caaffdd3</t>
  </si>
  <si>
    <t>8c23f3c4-8fc3-469a-b987-1fd7395cb7e0</t>
  </si>
  <si>
    <t>b6c8ea6a-70b1-4a86-9fc6-54ff55812d0e</t>
  </si>
  <si>
    <t>4b09c0db-1fa9-4ed5-a78d-a51af4bda369</t>
  </si>
  <si>
    <t>6e5fa779-f563-431d-8f81-813fe89d9c2c</t>
  </si>
  <si>
    <t>060bbd07-776f-4cd5-ac86-6f70ac0e5d47</t>
  </si>
  <si>
    <t>ffbce96c-af59-4c23-a170-1901d33fb5ac</t>
  </si>
  <si>
    <t>eb6dc638-1315-43cb-a051-3468b8e350ba</t>
  </si>
  <si>
    <t>ba0dd039-383f-4820-bcf7-ca234dc7b2f4</t>
  </si>
  <si>
    <t>6e996415-2bfb-4514-b277-725f6c9cc1f2</t>
  </si>
  <si>
    <t>173ed4ab-8d09-4527-b23b-2886010fb6e9</t>
  </si>
  <si>
    <t>05436f3f-d8bd-4e51-a739-8346b8919f6b</t>
  </si>
  <si>
    <t>98b74c0b-dd7d-4d87-bcd3-ead113ebc6f0</t>
  </si>
  <si>
    <t>45e13f2b-3d77-4e7f-b184-5f045d255319</t>
  </si>
  <si>
    <t>f46f1e2c-f027-4163-9882-32d0a332d7e8</t>
  </si>
  <si>
    <t>3f6f23ba-7a45-4154-9c4d-d2bd3bdef634</t>
  </si>
  <si>
    <t>2a1ac160-f55b-4fdd-8b8c-842c4943102e</t>
  </si>
  <si>
    <t>55a59bd1-d503-48c7-818f-60a64213d52e</t>
  </si>
  <si>
    <t>e445f21b-0e75-47b5-aa9a-239ea8991781</t>
  </si>
  <si>
    <t>08872d51-073b-4842-ad71-b095e9a7d551</t>
  </si>
  <si>
    <t>49cd6e6c-8300-413b-b81c-4e031b94621d</t>
  </si>
  <si>
    <t>530c51d2-f962-4e2e-a547-01c848c19210</t>
  </si>
  <si>
    <t>9e880cb4-b460-4c64-b2eb-1c656c79e259</t>
  </si>
  <si>
    <t>fa805000-8a53-4cc7-bf6b-f7e4c64bdb98</t>
  </si>
  <si>
    <t>2d410604-8787-4217-afbd-f30ffa03f766</t>
  </si>
  <si>
    <t>39538e2e-d48b-4896-b267-fcff243d91a8</t>
  </si>
  <si>
    <t>0a030f01-6b7c-4cb6-b3bc-b19fc7f151d6</t>
  </si>
  <si>
    <t>116563a5-e361-4427-a1b2-1229a5136482</t>
  </si>
  <si>
    <t>Nivel 4</t>
  </si>
  <si>
    <t>99e7529a-6145-4196-b6cf-ad02f0426663</t>
  </si>
  <si>
    <t>c6593326-6231-4ab4-a3f2-1e3e8b237887</t>
  </si>
  <si>
    <t>080e4224-785f-4c61-90c4-d01201fc6aeb</t>
  </si>
  <si>
    <t>b47382c4-6630-4df3-968d-321d51ccfd19</t>
  </si>
  <si>
    <t>285364d6-8c14-482f-b635-04db3d8f9a17</t>
  </si>
  <si>
    <t>Carro E. Delantero</t>
  </si>
  <si>
    <t>7b78672e-f033-4d3e-bf66-55eea524318e</t>
  </si>
  <si>
    <t>a437e23f-81a6-4b91-83ea-a51e8a69450f</t>
  </si>
  <si>
    <t>51eec342-1a6e-4fb0-b4be-ef0ecf1aec8b</t>
  </si>
  <si>
    <t>07a0c967-0720-4966-a991-cbe779dfca61</t>
  </si>
  <si>
    <t>31784a8c-5ec4-452a-af81-a944e757012a</t>
  </si>
  <si>
    <t>95deea90-cb86-471b-b93a-02fc0df8ee22</t>
  </si>
  <si>
    <t>06dd0b2d-20c9-4fc5-bb31-a714eb2c2240</t>
  </si>
  <si>
    <t>19a546d7-07a9-4c00-b13c-e14548df161c</t>
  </si>
  <si>
    <t>cd64b2db-3ed5-43dc-bca0-24e311b1525a</t>
  </si>
  <si>
    <t>cb300b97-4c64-4161-a7fb-ab1bdec4422b</t>
  </si>
  <si>
    <t>4b58aa54-e854-4633-a8a2-87c96a0cc985</t>
  </si>
  <si>
    <t>9a7fc739-f456-4646-be5c-665d0ef477b4</t>
  </si>
  <si>
    <t>d84ca6f6-72a7-4383-82f4-3de5e275bd1d</t>
  </si>
  <si>
    <t>440fe11b-7872-49db-acf3-5c764fe15b83</t>
  </si>
  <si>
    <t>f411b78e-f76f-4dd2-9991-cbdb91465bdd</t>
  </si>
  <si>
    <t>a357852f-0cf9-43fa-8aa1-9a90330c780f</t>
  </si>
  <si>
    <t>37ec844a-024e-49f1-b15c-0960e65eda85</t>
  </si>
  <si>
    <t>f21e521b-e58c-467d-932f-83121e7fbdef</t>
  </si>
  <si>
    <t>Carro Bandejas 8</t>
  </si>
  <si>
    <t>c8b54836-5360-41bd-9ec5-13cc4c53b4d7</t>
  </si>
  <si>
    <t>efd38914-ac7e-4b0c-beca-4d5a5c57f050</t>
  </si>
  <si>
    <t>5226aaf4-3da0-4649-8502-ca7a9c6d2f9f</t>
  </si>
  <si>
    <t>ce73e853-880a-43fe-a556-76a15b0ae519</t>
  </si>
  <si>
    <t>60f67a61-ab8c-4880-b924-e1176e07c51e</t>
  </si>
  <si>
    <t>6972488c-1019-4918-852c-1eda9def32e5</t>
  </si>
  <si>
    <t>97d5c28a-0eac-4547-aff8-98c8b17d04d1</t>
  </si>
  <si>
    <t>3153530e-67f0-4d29-abdf-0c6f14235cea</t>
  </si>
  <si>
    <t>cambio de C-D a P5</t>
  </si>
  <si>
    <t>c9f9bd4f-9d58-4de1-b0e1-794e94b83492</t>
  </si>
  <si>
    <t>644df4f1-35ab-4022-a14f-b15106c1c58c</t>
  </si>
  <si>
    <t>53143f81-bb30-472f-88f3-0de05b3a7571</t>
  </si>
  <si>
    <t>4802d31b-cd87-476b-a674-d6a39c830fed</t>
  </si>
  <si>
    <t>45789137-85aa-445f-a4ed-87afa349c432</t>
  </si>
  <si>
    <t>b61ec35e-e179-4966-9d3d-fb7befc5ddcb</t>
  </si>
  <si>
    <t>73c933c9-2fd8-4097-b71a-af0d9d1eee99</t>
  </si>
  <si>
    <t>c81a866e-488e-42a0-b0c6-679a579c7d44</t>
  </si>
  <si>
    <t>db9d4b3e-49d5-4d55-8c17-b68101c76d85</t>
  </si>
  <si>
    <t>421b9a45-b561-4588-a11a-8b3ea7fec98f</t>
  </si>
  <si>
    <t>ba4f1137-4e4c-45af-a0eb-b66106fddff6</t>
  </si>
  <si>
    <t>7e753b99-d003-49f9-bedb-4c5d5fdbacb2</t>
  </si>
  <si>
    <t>24f3e402-4416-4a86-9bd8-e4c800c1ba95</t>
  </si>
  <si>
    <t>94fad0b5-6ad7-48a5-bf4f-389869751520</t>
  </si>
  <si>
    <t>69ee0dd0-424a-4a37-ac02-f539458728b2</t>
  </si>
  <si>
    <t>Cambio de medio/ Puesto</t>
  </si>
  <si>
    <t>35e8243e-f6c0-4405-a6b4-9e52e0f4106a</t>
  </si>
  <si>
    <t>07c07908-ea9c-4da2-ad33-5f286c22e2b3</t>
  </si>
  <si>
    <t>646cf26a-7779-4872-8568-a646c224a523</t>
  </si>
  <si>
    <t>72aae9c3-754a-4155-af63-011a4b32e479</t>
  </si>
  <si>
    <t>af4c7146-6d00-4246-8bcd-7477b591b569</t>
  </si>
  <si>
    <t>4daa61ee-135e-4d01-924c-bff60c260f19</t>
  </si>
  <si>
    <t>ff8d840c-5089-4e85-9fcf-3591a6ee6511</t>
  </si>
  <si>
    <t>1fe71ac9-502f-4e3e-ab6f-9fec7dc7feb8</t>
  </si>
  <si>
    <t>23B937550h</t>
  </si>
  <si>
    <t>911fa829-0625-432f-9b52-d9eee990dd4a</t>
  </si>
  <si>
    <t>c535a0aa-e56b-467a-b19b-711dd20cb660</t>
  </si>
  <si>
    <t>Carro Bandejas 7</t>
  </si>
  <si>
    <t>871a9cae-8e25-420e-bcc1-3c1fe9272b9b</t>
  </si>
  <si>
    <t>Carro Baterias</t>
  </si>
  <si>
    <t>d784c7d0-272d-4043-b246-6899fc12fd8e</t>
  </si>
  <si>
    <t>154eb8f9-60a4-4a93-a6b5-d692c99d1bb6</t>
  </si>
  <si>
    <t>c4747f84-1702-4561-a472-ace059a7bbb6</t>
  </si>
  <si>
    <t>40032f7e-9a07-4d77-b708-66729926a616</t>
  </si>
  <si>
    <t>8cc4a8b5-3ad8-4dcf-8030-eb2c0371e256</t>
  </si>
  <si>
    <t>8208cb4d-8a14-44ec-98e8-f19264e945fa</t>
  </si>
  <si>
    <t>0755dbe3-8c63-4e91-9971-b97ad3d97853</t>
  </si>
  <si>
    <t>0c429d24-7043-4a25-b149-d80f1062cca2</t>
  </si>
  <si>
    <t>44345fd3-dc90-433d-98ad-44a92206e961</t>
  </si>
  <si>
    <t>dddd62a8-c596-4777-92c9-575cee2f645b</t>
  </si>
  <si>
    <t>0a648bef-b66a-488d-aa04-3fc2198b713d</t>
  </si>
  <si>
    <t>f17fea1c-24ee-417f-a171-407170e14fd6</t>
  </si>
  <si>
    <t>60d16754-80ac-4ae8-8c3d-efd2c9e7bc2e</t>
  </si>
  <si>
    <t>258efa8c-4850-4ee2-921b-aa22d3c0d290</t>
  </si>
  <si>
    <t>Carro especial de tanques</t>
  </si>
  <si>
    <t>acbe3a8a-3499-42b0-8f73-fc703ddd8d53</t>
  </si>
  <si>
    <t>07668c69-a7fc-4842-b79b-3556b0bb8bb9</t>
  </si>
  <si>
    <t>1f3406fe-9f87-49c9-b929-cd609f59685b</t>
  </si>
  <si>
    <t>36fef64b-9f67-40ba-b481-8a18dcb55644</t>
  </si>
  <si>
    <t>8780a18c-7491-44fa-9eec-e4b7b88fd3b2</t>
  </si>
  <si>
    <t>ba2c75b3-a505-4578-8187-ba90037ea8ac</t>
  </si>
  <si>
    <t>f96453c4-b3f0-48bd-92cc-01462a48ff06</t>
  </si>
  <si>
    <t>84e7c418-59e0-447e-9f78-76f767cae168</t>
  </si>
  <si>
    <t>8245bdb3-a0bc-45e0-add0-e21253bd19f9</t>
  </si>
  <si>
    <t>5ca04734-e99f-4832-ab12-9728f5259652</t>
  </si>
  <si>
    <t>072fd005-bad4-4a9e-97f4-f22d006129d6</t>
  </si>
  <si>
    <t>280f55be-ecfd-4228-af06-6773d1609d23</t>
  </si>
  <si>
    <t>d194ced1-870c-47b2-9603-541f1af2e926</t>
  </si>
  <si>
    <t>3b808f7c-e545-41d1-9e69-774c375f42dc</t>
  </si>
  <si>
    <t>2dafcb97-1478-4a28-90a3-ec449a8717e5</t>
  </si>
  <si>
    <t>1a2f1436-0b11-4771-afe9-a8d943856d1e</t>
  </si>
  <si>
    <t>3965079c-9cb4-4e33-9a10-55dfe7877df5</t>
  </si>
  <si>
    <t>0cbc89d7-fcec-4d90-a95b-266a9fcf96af</t>
  </si>
  <si>
    <t>f09eef0a-ca60-4878-8b3d-bbee9cb84766</t>
  </si>
  <si>
    <t>c4234a6c-b775-44d3-89d3-705e979dba93</t>
  </si>
  <si>
    <t>c9e5a89e-f96c-4aa5-976c-4a8b7a6130ac</t>
  </si>
  <si>
    <t>b013581d-e326-4397-a8fc-ed28f13b15e3</t>
  </si>
  <si>
    <t>f48dc9d6-8498-42bc-b417-707774693de6</t>
  </si>
  <si>
    <t>12b01a82-bc34-41f2-ae90-0272eb98acf6</t>
  </si>
  <si>
    <t>456ee376-6d28-45a8-94f9-989a6cbb3640</t>
  </si>
  <si>
    <t>2ea36aa2-0936-4187-8455-d1fd1dd097ad</t>
  </si>
  <si>
    <t>de8db2c9-d17b-44d8-be57-61209b6b0684</t>
  </si>
  <si>
    <t>aaa553f1-e62e-4298-8d2e-7579ba4a160a</t>
  </si>
  <si>
    <t>045e7a40-3a7b-4658-99c2-1c6eba45070b</t>
  </si>
  <si>
    <t>7</t>
  </si>
  <si>
    <t>2aa60543-d7c5-48d3-801f-2a3b2ea13607</t>
  </si>
  <si>
    <t>Tarima original</t>
  </si>
  <si>
    <t>9d2f5696-b143-41a4-aa2a-9c7e249faa38</t>
  </si>
  <si>
    <t>79bd1200-244d-4ce1-be52-14644d1b67fe</t>
  </si>
  <si>
    <t>Cajón</t>
  </si>
  <si>
    <t>374cfe93-2634-41c8-a0c8-2ef7a7a1f9fb</t>
  </si>
  <si>
    <t>Estantería 0-1  A</t>
  </si>
  <si>
    <t>5766ead8-05bc-4b47-bdba-6d0416460682</t>
  </si>
  <si>
    <t>Se agrega Uso en P5</t>
  </si>
  <si>
    <t>391d8559-8e8c-41ea-bbb5-d06761d9e30c</t>
  </si>
  <si>
    <t>016f9cc2-660e-4a51-84a1-c3d5ae5d760f</t>
  </si>
  <si>
    <t>6550acd5-b7d1-47dc-820b-09a2fdcf530a</t>
  </si>
  <si>
    <t>2e3a1f85-1939-4713-a4fc-60526a74b16e</t>
  </si>
  <si>
    <t>361d8ef9-e29b-44d4-b6e2-2fe0548f4ed6</t>
  </si>
  <si>
    <t>093708f8-033c-4afc-a4ed-515ae2137e68</t>
  </si>
  <si>
    <t>e49b44f6-8eb7-42bc-81be-7a2d629526c2</t>
  </si>
  <si>
    <t>9a3cb195-7495-4f95-a255-4f4bc5541fc6</t>
  </si>
  <si>
    <t>498e1c16-aaa3-48a8-a397-733c90f414de</t>
  </si>
  <si>
    <t>39b61fe9-c459-41af-9c2b-9f670a9a6102</t>
  </si>
  <si>
    <t>95d6be08-7fe5-4880-b4ec-f1e958c41b78</t>
  </si>
  <si>
    <t>11cfcbfb-242c-4e1c-8074-a81ab72fe952</t>
  </si>
  <si>
    <t>2b0d2642-67c8-4599-9d85-1060bd418b15</t>
  </si>
  <si>
    <t>c9aee03a-a0e5-48ac-8438-1379ac77a533</t>
  </si>
  <si>
    <t>Estantería 0-1 B</t>
  </si>
  <si>
    <t>5a49d129-385b-4c04-8171-ab9755b27e35</t>
  </si>
  <si>
    <t>809aaa40-ed1a-4150-98d6-fb5086d23993</t>
  </si>
  <si>
    <t>b7ad2951-4b6b-4017-abcc-3f84fa31ec96</t>
  </si>
  <si>
    <t>d983590b-f04c-4461-aa30-fd86951a0597</t>
  </si>
  <si>
    <t>822f6ec8-04c8-4cbc-8070-f6b9f920ffbd</t>
  </si>
  <si>
    <t>12758f78-1f05-4e96-bc67-a68dc5ebc647</t>
  </si>
  <si>
    <t>cbd2f53f-f47e-4bf4-bcbe-1332f2dff05c</t>
  </si>
  <si>
    <t>42bdfdf3-70ba-4d2d-9dbc-9b592ca4b8e8</t>
  </si>
  <si>
    <t>3f94aa0e-7e4f-4ecd-9c91-27c98dd130e8</t>
  </si>
  <si>
    <t>372d83b2-de61-4e78-9086-666109c5d1ee</t>
  </si>
  <si>
    <t>e00bdda5-ea7e-4715-a170-0b745a6d263e</t>
  </si>
  <si>
    <t>7c512aac-0f7c-45df-a2fd-4d81a03bbd0e</t>
  </si>
  <si>
    <t>bc1c4993-267c-4e3c-acdf-7586150aa0ce</t>
  </si>
  <si>
    <t>bac86215-dcfe-4ee4-aeed-f52f21bba4ba</t>
  </si>
  <si>
    <t>Estantería 1 E</t>
  </si>
  <si>
    <t>13375987-345e-4ae9-a401-e04ebe098a7e</t>
  </si>
  <si>
    <t>55b7768d-c6a7-4da8-839b-c34e47ad0d03</t>
  </si>
  <si>
    <t>4956a105-b538-460b-9f87-50cb794a2705</t>
  </si>
  <si>
    <t>35325a5b-8971-4f7c-b52a-ea0dd18f7567</t>
  </si>
  <si>
    <t>e28e63cb-371c-419c-81ac-f49b39e3304b</t>
  </si>
  <si>
    <t>bdb09bf1-9ddd-480d-9af4-a91d622f1261</t>
  </si>
  <si>
    <t>e82b5e10-8b8b-4cb2-917b-b9e755471aa2</t>
  </si>
  <si>
    <t>0440a902-3c98-4841-84ff-84e22966d63b</t>
  </si>
  <si>
    <t>Estantería 2 A</t>
  </si>
  <si>
    <t>eededde6-0095-4057-bd57-d9e0585e4cb1</t>
  </si>
  <si>
    <t>37914d14-b747-4ba2-9331-a9cbd3fd2157</t>
  </si>
  <si>
    <t>a7cf8dff-52f4-4875-a2b8-06a48357e6e5</t>
  </si>
  <si>
    <t>03639878-b7c9-43cc-a809-7a9ffebecf88</t>
  </si>
  <si>
    <t>3826dd4f-455c-4e3e-b542-1b713f028150</t>
  </si>
  <si>
    <t>3b29d027-562e-444f-bcef-64bee6b68b2c</t>
  </si>
  <si>
    <t>be76e61b-8d75-4e76-b697-a25360b7f9a0</t>
  </si>
  <si>
    <t>2a67a13c-089f-40e1-9b4e-27f1b839e375</t>
  </si>
  <si>
    <t>Cambio de CD a P2</t>
  </si>
  <si>
    <t>62fbddb1-237b-4ab9-ab8e-c5aee1e4bed0</t>
  </si>
  <si>
    <t>cd6680b0-c8d4-4c02-b6f5-ff3ebedd04c0</t>
  </si>
  <si>
    <t>Estantería 3 A</t>
  </si>
  <si>
    <t>202e23f0-ddc6-4edc-99c3-75b6830a9ba6</t>
  </si>
  <si>
    <t>91856b17-03c2-4240-a95f-626d94fb1224</t>
  </si>
  <si>
    <t>2eb2c84a-46e8-4ae3-9ef6-e74496d4aaee</t>
  </si>
  <si>
    <t>0171d9b0-8b31-4f99-99a9-4fd6f2d0af64</t>
  </si>
  <si>
    <t>f7d92c30-84e7-4e7b-9a3e-97a480a8199f</t>
  </si>
  <si>
    <t>9d9b3218-ceb5-4a23-a696-1e4d75fdb063</t>
  </si>
  <si>
    <t>9564dc5f-7d83-4f48-b5a7-d50ee86235bf</t>
  </si>
  <si>
    <t>01b66d05-b6eb-419e-b61b-24976d4f825b</t>
  </si>
  <si>
    <t>01736098-3c03-454c-a535-3cf85c162ff1</t>
  </si>
  <si>
    <t>81c3e56d-9ebc-4d67-a09d-a97d552378df</t>
  </si>
  <si>
    <t>e2c203b3-b69a-4a98-bed1-572c29d259d3</t>
  </si>
  <si>
    <t>db9cab95-d89c-4328-98cf-702ad8276487</t>
  </si>
  <si>
    <t>5b634287-1449-4b00-8e2a-bbb1a71824ea</t>
  </si>
  <si>
    <t>Estantería 3 B</t>
  </si>
  <si>
    <t>c72246ed-7657-4c24-9aed-a81bbaa9f59a</t>
  </si>
  <si>
    <t>cb9bdf19-a5be-4012-b0d7-ed162862cd9d</t>
  </si>
  <si>
    <t>91cee1ea-ea0c-464b-a7a9-e2f9046f94c3</t>
  </si>
  <si>
    <t>05edf345-1fa4-445f-be84-6561b2cfe232</t>
  </si>
  <si>
    <t>0d21e00b-f018-406e-a565-ecab7fcd4947</t>
  </si>
  <si>
    <t>01c29826-f6bf-434c-b570-60c74137fbd4</t>
  </si>
  <si>
    <t>16a2f5e0-ed34-4eb8-817a-9b2fb4c09526</t>
  </si>
  <si>
    <t>93847c5a-b402-4757-acba-11d480b1e291</t>
  </si>
  <si>
    <t>ef3cb861-b4c2-43e1-9718-acb33818e377</t>
  </si>
  <si>
    <t>Estantería 4 A</t>
  </si>
  <si>
    <t>10d784c7-9b53-43d7-88ca-1da07ded9ba3</t>
  </si>
  <si>
    <t>20a24aca-901b-40f5-9e4c-023151c89a49</t>
  </si>
  <si>
    <t>cbb63ed9-fec8-40f4-bdfa-ee7131d0ea31</t>
  </si>
  <si>
    <t>5734b7b1-7238-4f1f-998f-4efe17cfec85</t>
  </si>
  <si>
    <t>48c4efc5-1a62-4bb7-ac74-4b62986275f6</t>
  </si>
  <si>
    <t>90965fe7-470f-4e0f-b0a2-fb8568e48605</t>
  </si>
  <si>
    <t>645ce159-b131-49fd-92da-48a26dc197a0</t>
  </si>
  <si>
    <t>b01bb96b-527f-4878-87b3-ed303362d552</t>
  </si>
  <si>
    <t>9690460f-52a5-43f4-974d-c7f4422b7c76</t>
  </si>
  <si>
    <t>53a72663-4e14-4d60-8269-59c8503c905f</t>
  </si>
  <si>
    <t>bf8cd449-0ffa-436d-a197-595c8c7152a2</t>
  </si>
  <si>
    <t>54a5f238-648c-46d9-b32e-54138997abf2</t>
  </si>
  <si>
    <t>Estantería 5 A</t>
  </si>
  <si>
    <t>0eefe7b8-e64d-4bdc-b066-c124c9a98225</t>
  </si>
  <si>
    <t>b696c006-a925-4815-86ed-a8bd1698f91e</t>
  </si>
  <si>
    <t>64ea00ce-2733-4620-875c-3b593118c7ad</t>
  </si>
  <si>
    <t>5e40642e-f42a-4e66-8252-d98df3fae490</t>
  </si>
  <si>
    <t>3d1eec31-34c5-4b53-9e57-5691b3a8b6f5</t>
  </si>
  <si>
    <t>f12b3c7c-c8d6-4003-89bf-ef143239f1ee</t>
  </si>
  <si>
    <t>4ab607b9-e44e-4b25-b1b9-615fc2c9eaad</t>
  </si>
  <si>
    <t>Estantería 4 B</t>
  </si>
  <si>
    <t>38968664-36ca-45b8-8bbf-fbcc1de812db</t>
  </si>
  <si>
    <t>5df480a7-699b-4fea-b675-ffb97f1e4785</t>
  </si>
  <si>
    <t>2a3cb579-89c1-4a65-b47d-ea0dbde3b7d5</t>
  </si>
  <si>
    <t>e9acba07-ae27-47e7-b8bb-a143bf889e4e</t>
  </si>
  <si>
    <t>96c2091e-de97-4a49-b7d2-e0f499520bb3</t>
  </si>
  <si>
    <t>b62a2454-a98a-4f8f-b9f2-dbf4b53b9fd8</t>
  </si>
  <si>
    <t>c53fa5e7-895e-4939-a2e4-324641508eb1</t>
  </si>
  <si>
    <t>acea6e7f-dfd9-40a3-b0de-d7fa6903b3ee</t>
  </si>
  <si>
    <t>31187b04-5070-4e9b-a403-97a422da25d6</t>
  </si>
  <si>
    <t>cef749f7-55af-44ef-88d5-539ea6c78505</t>
  </si>
  <si>
    <t>7058f460-08d2-4f9c-a2db-8b1e201520ed</t>
  </si>
  <si>
    <t>215cdfc0-6c14-4f60-b39a-c931fb20caf8</t>
  </si>
  <si>
    <t>ea268a8d-38b8-4717-84b0-5afb01b9f2d6</t>
  </si>
  <si>
    <t>e598c777-72d3-43e8-9040-d2b56319687a</t>
  </si>
  <si>
    <t>35eb7733-10bc-461f-bfe9-0de1e2f54fcf</t>
  </si>
  <si>
    <t>d053f73c-e0f6-4dc4-b3b6-e54e4490da80</t>
  </si>
  <si>
    <t>91613c2b-4959-4d91-9a24-afbe6738e0d1</t>
  </si>
  <si>
    <t>038a3d8e-d23f-493a-bcb1-3363a8a1c879</t>
  </si>
  <si>
    <t>71c4cf3f-4a15-4604-a2ee-6e8b9b5400c4</t>
  </si>
  <si>
    <t>993c528d-845b-44e7-a795-c32a4eaf03ac</t>
  </si>
  <si>
    <t>5cfe5966-9baf-406b-8336-0c6c3d212a86</t>
  </si>
  <si>
    <t>4b273dd3-823b-47b2-bbe6-1ae06d1da36a</t>
  </si>
  <si>
    <t>bc19859e-6f97-4fbe-8782-984e939f419f</t>
  </si>
  <si>
    <t>c3265b83-fdbe-4ee7-973c-bafe41eccc09</t>
  </si>
  <si>
    <t>19ddd465-e429-498f-9497-2116c1f30920</t>
  </si>
  <si>
    <t>908690f6-dba0-4786-8dc1-301cc9765f4d</t>
  </si>
  <si>
    <t>1385ef42-9913-4d34-accb-9e1cfe088357</t>
  </si>
  <si>
    <t>Estantería 5 B</t>
  </si>
  <si>
    <t>e52e6bdd-a794-414b-84d8-85d0dd245219</t>
  </si>
  <si>
    <t>Estantería 6 B</t>
  </si>
  <si>
    <t>89edabea-434a-41c5-b9e9-ede6e5dfc3e8</t>
  </si>
  <si>
    <t>8943412a-9447-4341-83d2-fd8c8f9c0e79</t>
  </si>
  <si>
    <t>7795f727-8270-4d0b-8481-99586786d2ef</t>
  </si>
  <si>
    <t>7b002d32-9012-443b-b67b-ae43b19ee921</t>
  </si>
  <si>
    <t>a252321d-5d9e-48bf-ada1-4b03557f4aae</t>
  </si>
  <si>
    <t>Estantería 6 A</t>
  </si>
  <si>
    <t>f8c78b98-9b53-458f-b7ca-d6dcff8048e4</t>
  </si>
  <si>
    <t>59a655e7-506f-4908-9a41-91e3c4555b81</t>
  </si>
  <si>
    <t>57648a1f-0f58-4794-af13-2508a8ebbd7c</t>
  </si>
  <si>
    <t>2d70c6ce-ed47-4365-8786-011cd104208f</t>
  </si>
  <si>
    <t>6dbcd072-bf48-4477-9d4f-d32ed25185d8</t>
  </si>
  <si>
    <t>92d9e285-cf6d-4812-9849-6e6d43c00d51</t>
  </si>
  <si>
    <t>9f252438-0ee0-4011-aeed-fce46874ea84</t>
  </si>
  <si>
    <t>305b7375-4880-423c-be03-e2f5ecd1078e</t>
  </si>
  <si>
    <t>fe4b488f-aede-4172-8100-b8800d46c5c6</t>
  </si>
  <si>
    <t>4ba85dc0-504d-4ba1-9a9c-3dd4c835201c</t>
  </si>
  <si>
    <t>1398e6f0-2896-4a4e-a198-84dea9ce3798</t>
  </si>
  <si>
    <t>8d7752b1-5aee-41b6-a61b-17a96930d3bd</t>
  </si>
  <si>
    <t>92c70733-6ca2-4cb0-bee2-83d9a5672fe1</t>
  </si>
  <si>
    <t>1efef6a3-b8ae-44af-9038-ec57e2a1a227</t>
  </si>
  <si>
    <t>64a90237-49bd-4bf9-ba04-026f2dcf0c8f</t>
  </si>
  <si>
    <t>c8466cfb-f214-4f64-a35e-89d908f382a8</t>
  </si>
  <si>
    <t>caf16069-9e17-4fe7-a758-5cfcf467e0dc</t>
  </si>
  <si>
    <t>4fc1c388-db48-49f7-b92b-57b2e7d0c567</t>
  </si>
  <si>
    <t>f7c62fd4-cefc-4f5b-8b7c-14a66beb7f2f</t>
  </si>
  <si>
    <t>b8cda70d-f564-43b5-9148-7c6ac5291380</t>
  </si>
  <si>
    <t>5344fa88-21bf-4cd8-a507-eca3660407ba</t>
  </si>
  <si>
    <t>4a323944-deac-48c5-b9cb-6b7db5e0d949</t>
  </si>
  <si>
    <t>1cb83121-a6b2-4c67-98dc-ac89f8292a14</t>
  </si>
  <si>
    <t>9e2c4918-456d-4561-89a1-20d5a2447535</t>
  </si>
  <si>
    <t>ae1a51a6-2466-44de-85bd-299d17e11aa9</t>
  </si>
  <si>
    <t>f87c5a6f-9220-4c25-914d-578e3cecfbc6</t>
  </si>
  <si>
    <t>c794fe9b-cd72-45fb-ab38-e96dc620758c</t>
  </si>
  <si>
    <t>9e0e3412-9fd7-45d0-872b-68cbc284d1bd</t>
  </si>
  <si>
    <t>aeadc264-0f1c-4088-8b6f-6997ae05919d</t>
  </si>
  <si>
    <t>43ec1f10-eb90-46e5-8c92-c1d71dbaa1b9</t>
  </si>
  <si>
    <t>Estantería 6 D</t>
  </si>
  <si>
    <t>0c7ae539-6cb1-4dca-8a76-6874ca9516c1</t>
  </si>
  <si>
    <t>Estantería 7 A</t>
  </si>
  <si>
    <t>6396c523-3eb2-4f10-bc41-5ff26e79370e</t>
  </si>
  <si>
    <t>0f65d8d0-9374-4be0-8dcc-3ee3760f1554</t>
  </si>
  <si>
    <t>Estantería A-B    A</t>
  </si>
  <si>
    <t>aa1e247c-8670-4cbc-9f4e-43dd3c0d5dcf</t>
  </si>
  <si>
    <t>dbb9e3ea-1b21-40cf-a0df-c161158c8523</t>
  </si>
  <si>
    <t>11c6124a-3f99-4b4c-aafb-098d93890b5b</t>
  </si>
  <si>
    <t>14e078e7-5271-4577-86a0-ead906f6c777</t>
  </si>
  <si>
    <t>86efe129-ab03-4494-8c58-660758ca1730</t>
  </si>
  <si>
    <t>23981693-8318-473f-8ff8-bc641e0285fc</t>
  </si>
  <si>
    <t>0ef9a19f-071e-4459-aa7a-9ff8c58745bf</t>
  </si>
  <si>
    <t>de9b95da-0826-4a96-b7c7-48e1db16a220</t>
  </si>
  <si>
    <t>7967ee54-7bdf-4350-a783-a5a004c0f783</t>
  </si>
  <si>
    <t>04ce782b-aab4-445a-bacf-b298bfcfe9ce</t>
  </si>
  <si>
    <t>886b6bb9-a8fc-469d-b72d-291b8e4edcfa</t>
  </si>
  <si>
    <t>952b32ef-c2c5-4dd5-8402-4d29fbaf7872</t>
  </si>
  <si>
    <t>9571cbbe-122f-478c-adbf-9f0a6aad07c9</t>
  </si>
  <si>
    <t>a9199213-b56b-4b2e-9de6-6004826e624b</t>
  </si>
  <si>
    <t>04edfb56-5d65-408b-84e6-3694bf57503f</t>
  </si>
  <si>
    <t>89457c61-9196-4654-9791-d775f07dabef</t>
  </si>
  <si>
    <t>bc57a209-087a-4b3f-b575-238720708d70</t>
  </si>
  <si>
    <t>1f55435e-3d50-43b6-90eb-8582abcba473</t>
  </si>
  <si>
    <t>Estantería C-D    A</t>
  </si>
  <si>
    <t>350123d1-0ebe-418c-9511-9e525ddc9f1d</t>
  </si>
  <si>
    <t>0b629d3c-3d81-4073-a008-645ee42631dc</t>
  </si>
  <si>
    <t>8bd0e1b9-d683-4a07-87ce-be3ee06f681d</t>
  </si>
  <si>
    <t>e4de535b-8461-4564-a485-e62eb98c8506</t>
  </si>
  <si>
    <t>db3793e8-4aed-4e2c-a43d-cbdb68e71189</t>
  </si>
  <si>
    <t>8d86cf06-5e13-4e4e-b65d-70376efcc3cf</t>
  </si>
  <si>
    <t>50543780-733a-4fcc-8dc2-dbdd17f9f146</t>
  </si>
  <si>
    <t>f6f1708b-d5f5-40a2-86e4-8d13798ead2e</t>
  </si>
  <si>
    <t>6e8a0398-1595-4654-9e2e-5f6ccd5ff615</t>
  </si>
  <si>
    <t>e5f06eb1-467d-4482-80be-5ad206fd6dcd</t>
  </si>
  <si>
    <t>33bff946-3efc-4172-afeb-9c32455c2c85</t>
  </si>
  <si>
    <t>647b838f-f544-4f09-94c0-ab8f22919f09</t>
  </si>
  <si>
    <t>34e18b56-45cb-4d8e-a1e8-7c409e2466d5</t>
  </si>
  <si>
    <t>89758d91-e221-410d-a6b4-f31e2abe79c6</t>
  </si>
  <si>
    <t>6c933a5a-d071-4552-aa72-a5cbe58d3910</t>
  </si>
  <si>
    <t>7a50ad04-b64c-49e9-bcf5-f1c5a4e61dc0</t>
  </si>
  <si>
    <t>ea5ba43e-c798-4619-a8f2-54cc1b0ac48b</t>
  </si>
  <si>
    <t>cda3bf00-6503-4ad3-8c28-c29ceaf66dc8</t>
  </si>
  <si>
    <t>0f184f51-27a2-4587-98fb-cc5c3ef849df</t>
  </si>
  <si>
    <t>Estantería C-D    B</t>
  </si>
  <si>
    <t>2fa31254-3c97-4582-a4b0-45ceb90cc6a5</t>
  </si>
  <si>
    <t>63b2d318-afb1-4af6-b19b-2e607e523e1d</t>
  </si>
  <si>
    <t>950b4ea8-df97-4fb2-b73a-cb17db0e7b46</t>
  </si>
  <si>
    <t>77ae4081-8add-4447-8034-8a2c03041eab</t>
  </si>
  <si>
    <t>40e73f48-e419-48f3-8214-50f43908fd54</t>
  </si>
  <si>
    <t>84edeff7-cd30-4e53-83b6-8f9d48628247</t>
  </si>
  <si>
    <t>dea16886-d624-4402-9352-9513142224ee</t>
  </si>
  <si>
    <t>e354c1f4-d7f8-4da5-8621-ff7b43392fa7</t>
  </si>
  <si>
    <t>b16e640b-934c-45f9-bd0f-ab0f9e80c928</t>
  </si>
  <si>
    <t>dbfe1fc5-6e56-4a9f-9ebe-15cb683bb0cf</t>
  </si>
  <si>
    <t>a6c06647-1c62-412c-a5c3-d894f3cadb70</t>
  </si>
  <si>
    <t>94908f24-4c12-47fa-b956-e8af3cb69e54</t>
  </si>
  <si>
    <t>7534a06b-3556-4204-b0b7-b9e1d96cd800</t>
  </si>
  <si>
    <t>Estantería C-D    C</t>
  </si>
  <si>
    <t>b7089b03-fbff-402d-b0cb-eaecdb8d0b1b</t>
  </si>
  <si>
    <t>Estantería C-D    E</t>
  </si>
  <si>
    <t>e6598acf-f8fe-4b6f-8656-dc398c9fd119</t>
  </si>
  <si>
    <t>6c16c620-dd20-4106-bd4a-5858e3e1540f</t>
  </si>
  <si>
    <t>340cce26-fe9d-414a-a9c3-d7f97a8d5603</t>
  </si>
  <si>
    <t>1a7ff110-f907-4328-892b-45f6907621df</t>
  </si>
  <si>
    <t>677aaa91-f541-4a88-b1b5-c56f767d74ed</t>
  </si>
  <si>
    <t>697c4887-a99a-405e-92c2-c95ce38a148c</t>
  </si>
  <si>
    <t>7a1d3d30-3e3d-4865-8ffd-7c6288f3b941</t>
  </si>
  <si>
    <t>1749cb10-c913-41a2-b6ed-138f80089f41</t>
  </si>
  <si>
    <t>Estantería 0-1    E</t>
  </si>
  <si>
    <t>c4ef42cc-eae0-411a-bc9c-a5c562308bb6</t>
  </si>
  <si>
    <t>23B607085T</t>
  </si>
  <si>
    <t>9852d967-b5a2-4a75-9527-05d168e1ca27</t>
  </si>
  <si>
    <t>56addd24-b050-41a6-be2e-f589f038ea37</t>
  </si>
  <si>
    <t>997047e1-12cc-448b-9e75-5b1bfc5cf24e</t>
  </si>
  <si>
    <t>d25e57ab-4636-43bb-8b03-535f99610072</t>
  </si>
  <si>
    <t>d3c411aa-aa73-4821-9a1b-e9de208f49f8</t>
  </si>
  <si>
    <t>c572b42f-ce11-4e5b-863e-5e1c5c7cb9f1</t>
  </si>
  <si>
    <t>902f4e23-6f94-4997-8c5a-cfab71eff906</t>
  </si>
  <si>
    <t>39203d01-e7ee-4d1f-90f0-9adc7ac9b60a</t>
  </si>
  <si>
    <t>ae732bb2-abc4-4c13-9f0f-561ab80a2ef0</t>
  </si>
  <si>
    <t>a8bf7cee-713b-4cbb-9072-c24dd4faa744</t>
  </si>
  <si>
    <t>935bdde4-0ca9-4f0a-9e0c-65325d919b6e</t>
  </si>
  <si>
    <t>9be2c5ba-8a4b-49ac-9bc8-87365b55a0a4</t>
  </si>
  <si>
    <t>7c0a9fb1-0c1a-4cf6-b086-5e2cf1c2a6b1</t>
  </si>
  <si>
    <t>01c73788-94ae-4d89-88e9-b85ebf321d3b</t>
  </si>
  <si>
    <t>c01c5e07-e45e-4f97-825d-178895409138</t>
  </si>
  <si>
    <t>Listado maestro de embalajes de componentes Delivery DG  11.180 - TBETS1</t>
  </si>
  <si>
    <t>Caballetes</t>
  </si>
  <si>
    <t>26891d20-c2c8-4a64-9550-a0ca439348e3</t>
  </si>
  <si>
    <t xml:space="preserve">Cambio de referancia </t>
  </si>
  <si>
    <t>871d5e40-dbd1-4974-aee4-e4bc89b28792</t>
  </si>
  <si>
    <t>b63fd265-d3a4-4f1e-8480-74f72b537669</t>
  </si>
  <si>
    <t>e6818c36-a3e6-4f5a-9e34-429cb1ce9966</t>
  </si>
  <si>
    <t>025b1f38-ab69-40a5-a7f1-e3b13c1ca511</t>
  </si>
  <si>
    <t>9abcc3a1-2a6e-4b9a-a76c-a9cb682da192</t>
  </si>
  <si>
    <t>83eb70dc-5596-40cf-aabf-e5bd07c93365</t>
  </si>
  <si>
    <t>1540cd48-5f30-4202-a4ee-0a0e870ff1de</t>
  </si>
  <si>
    <t>43657a1a-db79-4f66-9e57-99184638ddbd</t>
  </si>
  <si>
    <t>676748de-ba9b-495f-8512-7683667e1132</t>
  </si>
  <si>
    <t>d77926ab-e96d-40d2-b6f6-ce05541bcc30</t>
  </si>
  <si>
    <t>bd486d1c-b1e4-4e57-9bff-9180a7be1691</t>
  </si>
  <si>
    <t>06-06-25 Opcional de 23B907631G</t>
  </si>
  <si>
    <t>aba9fd5e-0029-4005-b7a8-0057356c27cb</t>
  </si>
  <si>
    <t>6791d62d-8a44-4ddd-a703-8a82cce0b78c</t>
  </si>
  <si>
    <t>9e03d204-b266-4160-8332-df895b5a4799</t>
  </si>
  <si>
    <t>6851eaeb-da67-4a82-ba33-edb48e7bb47d</t>
  </si>
  <si>
    <t>6973671c-7aee-4b75-84d7-b39a28288fed</t>
  </si>
  <si>
    <t>e1cb16a5-211c-4d87-9331-1e56884c172a</t>
  </si>
  <si>
    <t>cf19f0c0-1291-4906-a797-f913c3a2f399</t>
  </si>
  <si>
    <t>5321e68e-3a37-45eb-8462-a249e91400fe</t>
  </si>
  <si>
    <t>a5e60cd0-5082-4f1a-8f15-3b995938b109</t>
  </si>
  <si>
    <t>decce896-95a0-4362-8c55-48f947411edd</t>
  </si>
  <si>
    <t>c35c1214-f3a9-4ab1-9867-c98e2f5ccf7f</t>
  </si>
  <si>
    <t>4dad8800-cbc7-43bb-8930-f3c41f094011</t>
  </si>
  <si>
    <t>0d608ca2-2b32-4c0d-a8fe-9de771c56da2</t>
  </si>
  <si>
    <t>37460730-47f2-4a10-b00c-74f0c6a97800</t>
  </si>
  <si>
    <t>989d6938-d5f4-4125-8a90-753d5175960f</t>
  </si>
  <si>
    <t>6c37d69d-c5e8-459e-bc6a-e7b7066f241e</t>
  </si>
  <si>
    <t>196a794c-0846-42f5-881e-1f5801e272aa</t>
  </si>
  <si>
    <t>a6343ba9-ea21-45b4-97bf-db18240ad415</t>
  </si>
  <si>
    <t>042786b5-85d1-473a-bafb-6c79295f0406</t>
  </si>
  <si>
    <t>d0fce3b5-99e7-497a-b9ca-2dc9350d3432</t>
  </si>
  <si>
    <t>fcd8fdd4-8e66-48bf-868c-b431afb4c71b</t>
  </si>
  <si>
    <t>24fea796-1a1f-4554-91eb-67b4b897f515</t>
  </si>
  <si>
    <t>e2e38f64-4809-4dee-8f60-31e3ed154234</t>
  </si>
  <si>
    <t>2cabbf77-707b-406e-aaa4-fc6b57daa5e8</t>
  </si>
  <si>
    <t>cambio de P5 a P4</t>
  </si>
  <si>
    <t>19895265-1c4d-4a6f-9bb9-2fbfc57c1051</t>
  </si>
  <si>
    <t>dd40c031-08a6-4f78-94a3-9ec84444449a</t>
  </si>
  <si>
    <t>fa827191-2285-4b7f-aac4-5296f960118e</t>
  </si>
  <si>
    <t>0781c069-ef4c-4077-bb83-b0454d49daa0</t>
  </si>
  <si>
    <t>f432713d-ac1b-47b3-ae65-5db7909b8468</t>
  </si>
  <si>
    <t>0da5e477-0c04-47fd-a10d-af0db3043966</t>
  </si>
  <si>
    <t>21928587-ccae-4728-9a42-b67d481dc1e2</t>
  </si>
  <si>
    <t>477a401a-d1fb-42ee-834c-e3d146757cfc</t>
  </si>
  <si>
    <t>b9e21947-f9c3-4f07-903e-03d49ca5badd</t>
  </si>
  <si>
    <t>28759ec9-d75b-413d-9706-f6a54da49556</t>
  </si>
  <si>
    <t>4d782fe2-6ccb-403e-bb42-346d58a5682f</t>
  </si>
  <si>
    <t>de06eb38-7dde-4947-8f49-79a1abad4a2a</t>
  </si>
  <si>
    <t>54c86540-6ed6-4343-9edb-a31c76600441</t>
  </si>
  <si>
    <t>cd6d919c-c7ab-495e-bb5a-0537bdf6d792</t>
  </si>
  <si>
    <t>df0a8819-0b9a-4eee-8a00-ca226832381c</t>
  </si>
  <si>
    <t>8e878eeb-45a2-486c-921c-df33b9cc2cc6</t>
  </si>
  <si>
    <t>2208c1b3-3d9a-4c92-985c-092fbf847e6d</t>
  </si>
  <si>
    <t>06-06-25 corrige cant2</t>
  </si>
  <si>
    <t>d2af5ba4-03d9-4ce6-912a-09720ba4fcc1</t>
  </si>
  <si>
    <t>8cd0503d-d68a-4940-8594-837c9e9979eb</t>
  </si>
  <si>
    <t>362ece7f-2cbb-4e73-80db-9050cee86f21</t>
  </si>
  <si>
    <t>12472bf4-a45b-4a4d-9b23-58de0e53d663</t>
  </si>
  <si>
    <t>3830db1e-ce10-45d2-bf17-e0eb0d944404</t>
  </si>
  <si>
    <t>9b546989-b2a0-49cf-bd3e-b5ff24eb595d</t>
  </si>
  <si>
    <t>175d844c-a065-4b04-9e19-0b4bcabae1ce</t>
  </si>
  <si>
    <t>9b7eb1a3-d7b7-457c-bb0f-80b65ad6c296</t>
  </si>
  <si>
    <t>30e9f7b5-da72-45b2-807e-c81f49d56a9d</t>
  </si>
  <si>
    <t>94fd23ec-69a1-4293-978c-22d09016d807</t>
  </si>
  <si>
    <t>caf679ec-686c-403e-9c26-a2b9af16e300</t>
  </si>
  <si>
    <t>d444a152-87fa-48eb-8c5d-94742c17d144</t>
  </si>
  <si>
    <t>16fb5887-b727-4c64-8f9a-f1298985fc95</t>
  </si>
  <si>
    <t>c04ef116-aecc-43b7-9b33-04b39b8dcae2</t>
  </si>
  <si>
    <t>25d6f92d-ea7c-4de2-8ad5-38b8f67a684d</t>
  </si>
  <si>
    <t>c960f8b2-4a02-4888-962c-fa8454ef2bc2</t>
  </si>
  <si>
    <t>4612a95f-005f-489e-969b-51230b25a101</t>
  </si>
  <si>
    <t>fae62d8b-d8a8-4c36-a236-1800e4b57637</t>
  </si>
  <si>
    <t>8d6d9c1c-fddf-45e3-a48b-0074ef4cd6af</t>
  </si>
  <si>
    <t>7012e2b0-4a96-4865-9b36-7e739975df9b</t>
  </si>
  <si>
    <t>d8f6e3a6-0bb0-4f62-8ec8-6e97d8fdf5eb</t>
  </si>
  <si>
    <t>cda8121d-e984-4814-91b9-eb4f55326546</t>
  </si>
  <si>
    <t>13e40cd7-8aed-49de-8f8e-308af540ee8a</t>
  </si>
  <si>
    <t>fab8abdd-9d52-44f0-8941-52acc49d6dc2</t>
  </si>
  <si>
    <t>6c890c16-ebc3-48ad-9a29-c4bd5d11f658</t>
  </si>
  <si>
    <t>cd131305-4365-415d-95a4-03f18774f34d</t>
  </si>
  <si>
    <t>d4b5c50a-63e0-4d7d-a878-7df0f1fd186c</t>
  </si>
  <si>
    <t>56fb4a94-8c7d-4bf1-a19c-9b0eceef9566</t>
  </si>
  <si>
    <t>f1e0db20-5097-484c-a8e9-b00194784f12</t>
  </si>
  <si>
    <t>0b1d008f-441c-4494-a9da-8773f35b8659</t>
  </si>
  <si>
    <t>98328a6b-1840-42fa-be1f-69a891f22141</t>
  </si>
  <si>
    <t>f86a2b85-1e91-45f9-aadd-0c99857a52c8</t>
  </si>
  <si>
    <t>01f9239f-5eb2-46bf-9f73-b3268ed9603a</t>
  </si>
  <si>
    <t>8fd4cf09-0a47-45ea-89c1-fc300ea0a0c1</t>
  </si>
  <si>
    <t>80033a8e-d02b-4a11-903b-68476027c6cb</t>
  </si>
  <si>
    <t>06-06 Cambio de uso 2x4</t>
  </si>
  <si>
    <t>62fdbe17-6646-49f0-8195-4c4457bf411e</t>
  </si>
  <si>
    <t>946770d6-b936-4f87-8b1f-dd601b4ab09d</t>
  </si>
  <si>
    <t>525c355b-d074-4edd-99ad-181cfe2607d3</t>
  </si>
  <si>
    <t>e2da91ae-a3fd-4139-a6ac-81623cb47359</t>
  </si>
  <si>
    <t>72e98890-dd30-4215-bc4d-260b64baa6f9</t>
  </si>
  <si>
    <t>f5e15e0e-e0e7-4e8e-bf24-9b138a5a4168</t>
  </si>
  <si>
    <t>c0e8f25e-2cbc-4b8d-821a-f6443c9c7696</t>
  </si>
  <si>
    <t>6c28f14f-9c31-4d03-9fb6-75d1dee9a07a</t>
  </si>
  <si>
    <t>c148bec2-8487-4a33-aff0-f07b15ce0a51</t>
  </si>
  <si>
    <t>d9c9cae8-07c4-4236-afe1-0b50e0ff8ecd</t>
  </si>
  <si>
    <t>6ec661ab-1260-4c8f-b45d-1164e7bba744</t>
  </si>
  <si>
    <t>214ccbd7-089c-467f-ac77-a937473a357b</t>
  </si>
  <si>
    <t>bceacc65-f7d2-4b34-b748-3b58a7d08f2a</t>
  </si>
  <si>
    <t>e9d87564-8f52-4883-b425-d617525b656b</t>
  </si>
  <si>
    <t>3cfaf37d-a788-4e3c-a2b3-cfd54642ddb3</t>
  </si>
  <si>
    <t>445d91e5-eb8d-444e-9fdf-25ecb2a850a3</t>
  </si>
  <si>
    <t>11df0960-05fa-40c6-ad26-c59ba0cfc85b</t>
  </si>
  <si>
    <t>6f4893e3-acde-4eef-b6c3-8c61258b3102</t>
  </si>
  <si>
    <t>51a799b4-bbd7-4c82-b86c-67e56e16a8b6</t>
  </si>
  <si>
    <t>b48056b8-f56d-45ca-9ba9-daec0750b93d</t>
  </si>
  <si>
    <t>58e8cb27-9ba1-4112-af13-34c441e9e524</t>
  </si>
  <si>
    <t>fdd391ca-c642-4bac-b386-968977685c64</t>
  </si>
  <si>
    <t>fbb423a2-101c-45bd-a88e-d7b203d8f56b</t>
  </si>
  <si>
    <t>a9416caf-a1c4-4717-bd3b-d22471ef595b</t>
  </si>
  <si>
    <t>811a589a-a466-4fb4-915d-bae8010c44be</t>
  </si>
  <si>
    <t>2237fd66-c5d6-412f-9db2-bbf3f687770f</t>
  </si>
  <si>
    <t>29244e46-20ce-49ee-ace1-8786de102d66</t>
  </si>
  <si>
    <t>39d83297-8fa9-435e-9c7f-1496d295d79b</t>
  </si>
  <si>
    <t>8328321e-e6ee-4d46-9bac-7e580db189ed</t>
  </si>
  <si>
    <t>67b43ae2-8933-4a2a-8bc5-c7287cbe6987</t>
  </si>
  <si>
    <t>472eae42-44e0-496c-87af-ab69c5de8ec0</t>
  </si>
  <si>
    <t>dd34b1f1-d947-4bcf-98a6-da288204e1a2</t>
  </si>
  <si>
    <t>5c664911-a351-4740-9aba-2211ed445ac2</t>
  </si>
  <si>
    <t>e60141b2-0790-4e83-ad28-c32f8eaffd59</t>
  </si>
  <si>
    <t>486805bd-577b-49df-a235-81e11681e581</t>
  </si>
  <si>
    <t>024ed461-a821-482a-a9e3-88d1b8824638</t>
  </si>
  <si>
    <t>ae6e4516-c6b9-4cc7-a76e-fc3ddb5a5a58</t>
  </si>
  <si>
    <t>e3bbd1a3-54a4-4c63-81e3-673f60397090</t>
  </si>
  <si>
    <t>77d8f075-fdae-4cd1-91a3-1a7b23b84e11</t>
  </si>
  <si>
    <t>d5a8f930-2dbf-40c1-b295-08bc827e9f2a</t>
  </si>
  <si>
    <t>36a387d7-ba61-44ca-9fad-cc2ff8742b1e</t>
  </si>
  <si>
    <t>08101eea-9014-45b3-b14a-b09f4c40fd8c</t>
  </si>
  <si>
    <t>6faf7544-79d9-47b9-ba57-154599dd8e19</t>
  </si>
  <si>
    <t>4ce00acb-a9a1-4d9a-a19a-317ac88fdd78</t>
  </si>
  <si>
    <t>072d87ec-619e-4c01-a208-6f131a989f2d</t>
  </si>
  <si>
    <t>38d4f6ab-40cd-4c9c-87ff-d1f8965c1fd0</t>
  </si>
  <si>
    <t>921c9901-babf-4374-aca2-dc2c8c2a56fb</t>
  </si>
  <si>
    <t>015bcdaf-1531-4514-a576-5d086ae227f4</t>
  </si>
  <si>
    <t>2449ee52-3255-4482-a5d7-6771f842b901</t>
  </si>
  <si>
    <t>f9b0679b-578e-47da-bbee-0a1ed823de84</t>
  </si>
  <si>
    <t>acdbad9c-1e41-4f33-a759-aae520bcf324</t>
  </si>
  <si>
    <t>ac6dc354-3bcd-4f2b-bd44-f360fa7e8958</t>
  </si>
  <si>
    <t>eab171b9-c06f-4125-92f2-a3f72b4edf6a</t>
  </si>
  <si>
    <t>669d9846-063d-48b1-a2b7-1b488ce708c2</t>
  </si>
  <si>
    <t>8a51e493-2fad-4498-a787-20632e00dbc2</t>
  </si>
  <si>
    <t>5d1c0402-ccc9-4151-ae50-5085fce6a944</t>
  </si>
  <si>
    <t>dc4dae7f-5fc2-49d0-a0c7-83d2bbefbabc</t>
  </si>
  <si>
    <t>49d5a1aa-aefb-497e-bab2-ed4b268c841a</t>
  </si>
  <si>
    <t>7c5569b9-78e4-486e-bb59-db8a96c16a6d</t>
  </si>
  <si>
    <t>01bccedc-3c71-40d4-a0db-872c1d895696</t>
  </si>
  <si>
    <t>Carro especial tanques</t>
  </si>
  <si>
    <t>3fbf4e83-db7d-42f2-b0b5-f37953ed17fd</t>
  </si>
  <si>
    <t>a6a283d5-47d0-435d-8522-3a02e2b769d6</t>
  </si>
  <si>
    <t>385e99dd-4982-4dd6-a5a5-62e038435545</t>
  </si>
  <si>
    <t>2a90650a-1ed0-465e-b420-70620dfcc8b2</t>
  </si>
  <si>
    <t>cbdf1ad1-6dd6-467e-90a8-aed6fa169530</t>
  </si>
  <si>
    <t>3fc6e6a5-5beb-49b7-9f3b-dbc4f4b47d54</t>
  </si>
  <si>
    <t>9d2633d7-003c-4a22-bc4d-ad3f5de9748c</t>
  </si>
  <si>
    <t>269a23c8-f4aa-4e6e-aec3-daa5f66db6bf</t>
  </si>
  <si>
    <t>6ce72442-a6cc-44e4-bb78-888d9823c7ed</t>
  </si>
  <si>
    <t>e9c2b31c-88e2-438e-9764-17e7c3770adc</t>
  </si>
  <si>
    <t>fc10a210-747e-482e-95d8-7dc9f5524417</t>
  </si>
  <si>
    <t>fe5c3cda-2677-46cb-ac39-cd5f87ddc104</t>
  </si>
  <si>
    <t>c74bd525-1c72-404b-9477-66ff59084daa</t>
  </si>
  <si>
    <t>019665c7-0fbe-4066-b16e-a5cd10576fc7</t>
  </si>
  <si>
    <t>d501b056-b4e9-4063-a8a1-9cafb7fc0d04</t>
  </si>
  <si>
    <t>11b761d4-1f55-44bf-aaea-de48eb805e36</t>
  </si>
  <si>
    <t>f00b7cce-b18f-47ca-b794-e718d27bd673</t>
  </si>
  <si>
    <t>d8256b35-8085-469b-a038-05b451ec148b</t>
  </si>
  <si>
    <t>aef76d32-d6f7-43b6-ac19-6bae17bfdbd7</t>
  </si>
  <si>
    <t>49ba74da-f60a-4da7-8148-ae95f66b8391</t>
  </si>
  <si>
    <t>8979a30d-7d02-49e2-be43-98dfdc3b86b4</t>
  </si>
  <si>
    <t>5dfe79bd-2fe0-4879-8483-dbf5ecc94dd5</t>
  </si>
  <si>
    <t>10e2d9e1-276a-42ff-a02d-30ab8af0bf6e</t>
  </si>
  <si>
    <t>8697b214-da28-4026-a9dd-b9f114893ff9</t>
  </si>
  <si>
    <t>d54252af-97e4-488d-9935-2ac5c5aac3d8</t>
  </si>
  <si>
    <t>0f0df23b-392a-4a43-9fe7-611d363743a4</t>
  </si>
  <si>
    <t>f1ba1550-fe88-464c-b752-9bfbdfe44816</t>
  </si>
  <si>
    <t>49bd1b49-e607-417c-b675-f290fc664f26</t>
  </si>
  <si>
    <t>31c9dc76-a6ac-4d32-980b-aafc455009d0</t>
  </si>
  <si>
    <t>81cf2603-7609-44e0-97d6-d0764acf0d44</t>
  </si>
  <si>
    <t>2417f261-6023-491c-a758-33bb4bf91702</t>
  </si>
  <si>
    <t>9a8a2d0a-556f-4582-b39c-1ab29ef237e8</t>
  </si>
  <si>
    <t>e9c6851b-c1dd-4777-aaec-0f095bf54db6</t>
  </si>
  <si>
    <t>54122686-357b-4a94-ab19-02a9cbb0c06c</t>
  </si>
  <si>
    <t>da11ff6d-cb32-499d-93a8-78d79d479ee3</t>
  </si>
  <si>
    <t>6b31af59-c435-4528-90b2-ee092d27efb0</t>
  </si>
  <si>
    <t>6/6/2025 se corrige por cant 3</t>
  </si>
  <si>
    <t>57158be6-e200-45ca-9545-cd4efe7c0078</t>
  </si>
  <si>
    <t>06-06-25 se elimina duplicado</t>
  </si>
  <si>
    <t>1a4581a9-5c00-41ea-b125-1899cb5a22c2</t>
  </si>
  <si>
    <t>e2424f7a-816d-4961-9e70-14e4ad5393fb</t>
  </si>
  <si>
    <t>06-06-250 se elimina duplicado</t>
  </si>
  <si>
    <t>a7568c7c-5e26-440c-9245-c7b52f688f1b</t>
  </si>
  <si>
    <t>a58e48eb-41d2-40dd-89aa-464b077d94c4</t>
  </si>
  <si>
    <t>6/6/2025 corrige uso para 4</t>
  </si>
  <si>
    <t>71518813-0f2b-44c8-8d87-b2a39c94c748</t>
  </si>
  <si>
    <t>06-06-25 Se elimina duplicado</t>
  </si>
  <si>
    <t>4ce5c0aa-64e5-44f5-88d7-fb18ac951326</t>
  </si>
  <si>
    <t>3fb16f72-19f6-4b08-a8e3-1d6bf039e5be</t>
  </si>
  <si>
    <t>5ef6a730-9b37-4ae4-9ed5-33e1d22415d8</t>
  </si>
  <si>
    <t>0a527f81-4365-410e-8a52-2596f511907e</t>
  </si>
  <si>
    <t>5272a8ac-9735-4ccb-a60e-3d4e0815b458</t>
  </si>
  <si>
    <t>38656752-17e1-4433-8d05-a2f3f23c4f99</t>
  </si>
  <si>
    <t>a16a6733-4a2b-4c73-acde-a63aaafb291d</t>
  </si>
  <si>
    <t>ed8f930c-40d9-4e59-ae1e-8763de7180e5</t>
  </si>
  <si>
    <t>c2ff3d3f-fafa-4c31-a9b5-123f28deb5dc</t>
  </si>
  <si>
    <t>de772063-021f-4370-a087-7692a40ce789</t>
  </si>
  <si>
    <t>69994e46-511b-4299-9b7c-9fd7c8db7a31</t>
  </si>
  <si>
    <t>06-06 Se corrige uso duplicado</t>
  </si>
  <si>
    <t>5faac318-8176-403d-bc4d-e0d04ebb34bb</t>
  </si>
  <si>
    <t>b5911b17-851b-4151-85f2-e47edcb3e460</t>
  </si>
  <si>
    <t>3251c2e7-e704-4bf3-81c0-2cc8e66a44fb</t>
  </si>
  <si>
    <t>f66ed87d-7339-4d0f-8e8e-89d1f401c30a</t>
  </si>
  <si>
    <t>f67d291f-2293-4de5-8ac8-3c1cef7d3ebf</t>
  </si>
  <si>
    <t>06-06 se elimina duplicado</t>
  </si>
  <si>
    <t>b6c83b19-52d7-4bc8-a3dc-426299a33891</t>
  </si>
  <si>
    <t>03a1fc5a-505a-48fa-aff9-3c102d6c68d6</t>
  </si>
  <si>
    <t>2eee9b1c-2516-41fd-bca8-bebf8dda56cc</t>
  </si>
  <si>
    <t>2c83c886-7be5-4c67-a541-ebef291a2375</t>
  </si>
  <si>
    <t>8d0fb002-75bb-418a-955a-b149a4214933</t>
  </si>
  <si>
    <t>3f6822e1-541a-4968-96a8-340605ca461f</t>
  </si>
  <si>
    <t>06-06-25 Se corrige uso po4</t>
  </si>
  <si>
    <t>e7f978f0-b432-4c0d-b643-e693f63de183</t>
  </si>
  <si>
    <t>406ae0e0-ca32-4ce8-ab43-3e6251651029</t>
  </si>
  <si>
    <t>99d71f23-107f-4db0-8a17-7ac4333ba0c9</t>
  </si>
  <si>
    <t>692c77da-af62-4d1a-b9a9-06341c408dfd</t>
  </si>
  <si>
    <t>06-06-25 Se corrige uso por 4</t>
  </si>
  <si>
    <t>b74c1e5b-ef73-4544-a307-9056082538ed</t>
  </si>
  <si>
    <t>3725ea27-f31f-445b-b9e5-08bae82bab74</t>
  </si>
  <si>
    <t>06-06 cambio de uso y eliminación de duplicado</t>
  </si>
  <si>
    <t>19a0427d-2bd4-4e4d-93d0-5f46cda17c40</t>
  </si>
  <si>
    <t>4244d1f0-5184-4cce-9142-4e498adb7f4a</t>
  </si>
  <si>
    <t>e8cdad3f-65ec-49f1-b110-cede9283da3d</t>
  </si>
  <si>
    <t>06-06 cambio uso 41x37</t>
  </si>
  <si>
    <t>1566cd70-3867-46ac-a782-5a4b17fabbe9</t>
  </si>
  <si>
    <t>06-06 cambio uso 36x32</t>
  </si>
  <si>
    <t>605987a3-f17e-46f5-8bdc-95ca7369e509</t>
  </si>
  <si>
    <t>fcf40e07-0aec-45cb-9739-33f985bbc0e2</t>
  </si>
  <si>
    <t>3f34c6e7-e1fe-4e07-aac2-94bae958edcd</t>
  </si>
  <si>
    <t>4a1a9fee-834b-43b4-a3cd-3c1a52fce689</t>
  </si>
  <si>
    <t>6/6/2025 cambio de uso 50x 7</t>
  </si>
  <si>
    <t>f8de9403-f30a-4405-81f8-12d6369e37db</t>
  </si>
  <si>
    <t>06-06 cambio de uso 2x1 Solo 11,180</t>
  </si>
  <si>
    <t>6989a502-f78a-40c3-96f3-c9501eaca645</t>
  </si>
  <si>
    <t>973872d9-d1a1-422f-b00a-46e1467f7bb3</t>
  </si>
  <si>
    <t>06-06- Cambio de uso 3 x2</t>
  </si>
  <si>
    <t>285f1028-47b7-4c4b-9cef-192d2a0f5a19</t>
  </si>
  <si>
    <t>06-06 se corrige uso 4x2</t>
  </si>
  <si>
    <t>001fcd0a-a6fa-479e-b672-8385a5b6340b</t>
  </si>
  <si>
    <t>0b2eb021-0035-4f68-8c1c-468d883b3b4b</t>
  </si>
  <si>
    <t>4d8badcc-0a20-4975-be80-ec79397edf53</t>
  </si>
  <si>
    <t>06-06 Se corrige por uso 2</t>
  </si>
  <si>
    <t>e1c0a737-85d1-400c-a67e-1fb740c4153b</t>
  </si>
  <si>
    <t>5b2a0651-93ff-4c0f-a69f-c1768127d61c</t>
  </si>
  <si>
    <t>4d46566d-44c5-44d5-a69d-d3f9c48544f4</t>
  </si>
  <si>
    <t>06-06 se corrige uso por 2</t>
  </si>
  <si>
    <t>b43586d9-cd0d-4c87-a93d-fe1ccc5934b6</t>
  </si>
  <si>
    <t>06-06 se corrige por uso 6</t>
  </si>
  <si>
    <t>b35f2774-fe5d-456f-b36d-c3f9bada141d</t>
  </si>
  <si>
    <t>d249a8d1-74f9-47bb-8100-742503eaf3cd</t>
  </si>
  <si>
    <t>66ff387d-7192-4174-b632-adf50060e162</t>
  </si>
  <si>
    <t>06-06 cambio de uso 6x4</t>
  </si>
  <si>
    <t>e4319979-cad1-41ae-904c-dbaf61b98c67</t>
  </si>
  <si>
    <t>3e9ca89c-23d6-4874-aac9-00128863b623</t>
  </si>
  <si>
    <t>56d7da94-1af1-4ed2-9170-15b1f3641884</t>
  </si>
  <si>
    <t>06-06 se corrige uso x4</t>
  </si>
  <si>
    <t>22a53bf0-36c4-4be3-8140-10e3226e462a</t>
  </si>
  <si>
    <t>06-06- se corrige uso por 26</t>
  </si>
  <si>
    <t>61818dcf-7f87-42a4-b242-30ece9cbbe60</t>
  </si>
  <si>
    <t>a9b70ecc-7998-4230-a1e9-515730708687</t>
  </si>
  <si>
    <t>c4802375-6806-4c83-9eb9-3bda3616a162</t>
  </si>
  <si>
    <t>ca0527b7-5956-4c11-99c1-d2e58d2859ac</t>
  </si>
  <si>
    <t>bf08b89c-a63f-4ecf-b019-88a6a8651ceb</t>
  </si>
  <si>
    <t>670e373a-135b-4af8-8976-a35051759bb2</t>
  </si>
  <si>
    <t>06-06- Se corrige por uso 12</t>
  </si>
  <si>
    <t>c7d69ffc-245a-4620-a85c-c27fbb1f691c</t>
  </si>
  <si>
    <t>06-06 Cambio de uso 5x4 Cambio de P4 a P3</t>
  </si>
  <si>
    <t>6c4961ec-5165-4cbf-9b6d-8037d0e5e97c</t>
  </si>
  <si>
    <t>06-06 Cambio de uso 5x4 cambio de P4a P3</t>
  </si>
  <si>
    <t>b69f5776-affd-47c5-92fa-5c6b19cde2ec</t>
  </si>
  <si>
    <t>f1ac7470-bb5b-49f8-a8c7-f283feb4d125</t>
  </si>
  <si>
    <t>07181467-4e73-4e82-964f-53400b57d4c8</t>
  </si>
  <si>
    <t>06-06 Cambo uso 1x2</t>
  </si>
  <si>
    <t>975779ad-afc2-4676-94a3-1092f1eaf502</t>
  </si>
  <si>
    <t>06-06 cambio de uso 5x4</t>
  </si>
  <si>
    <t>5a3c6b90-10aa-431b-b115-b1e5bb489714</t>
  </si>
  <si>
    <t>06-06 cambio de uso 3x2</t>
  </si>
  <si>
    <t>27544a06-ec9d-468d-9f21-a466bef0377e</t>
  </si>
  <si>
    <t>06-06 Cambio de uso 5x4</t>
  </si>
  <si>
    <t>80873576-c89d-4f22-a699-7df0a25d298b</t>
  </si>
  <si>
    <t>5c84f71a-90a9-4c65-9080-63b1c7cc832d</t>
  </si>
  <si>
    <t>b4002e35-bada-40dd-8538-1f7570499b05</t>
  </si>
  <si>
    <t>45304dd0-db1b-413a-9ea8-1603603c221f</t>
  </si>
  <si>
    <t>177c1821-3b8f-4497-983e-2af9764616ab</t>
  </si>
  <si>
    <t>06-06 cambio de uso 2x1</t>
  </si>
  <si>
    <t>9d10bd24-9b36-409a-a435-e273d6c5d6c7</t>
  </si>
  <si>
    <t>06-06- Cambio uso 1 x2</t>
  </si>
  <si>
    <t>e6d975bc-ebab-4e2b-9d1a-6c6a84162060</t>
  </si>
  <si>
    <t>06-06- Cambio uso 2x1</t>
  </si>
  <si>
    <t>35a5e7e9-234d-4481-80cd-fb1da58f0cbf</t>
  </si>
  <si>
    <t>06-06 cambio de uso 30x21</t>
  </si>
  <si>
    <t>f08aeab7-6bfa-4932-a3a3-628871bd67b3</t>
  </si>
  <si>
    <t>c91f560e-b599-4f20-b372-1b1039b78e05</t>
  </si>
  <si>
    <t>50975f30-5f08-45ba-acf9-5a82a53f336a</t>
  </si>
  <si>
    <t>06-06-25 se elimina duplicado y se cambia a P4</t>
  </si>
  <si>
    <t>1a12e109-e4d4-48dd-aa69-05b26e331891</t>
  </si>
  <si>
    <t>06-06-25 Eliminada del puesto 1</t>
  </si>
  <si>
    <t>188a502e-7b89-476d-840a-079ae69a33c1</t>
  </si>
  <si>
    <t>1db0182e-42d6-419b-b81f-35dca501be40</t>
  </si>
  <si>
    <t>578f4e6c-ae37-4601-9ea0-17373b58c640</t>
  </si>
  <si>
    <t>e2eb8ed7-b047-4cdc-9b0f-b32310a5fc2a</t>
  </si>
  <si>
    <t>364527af-48f8-4c00-a2ac-febf3e9fda37</t>
  </si>
  <si>
    <t>8852f98f-f66a-45c0-af8d-0d77c485d41a</t>
  </si>
  <si>
    <t>06-06-cambio de uso 5x4</t>
  </si>
  <si>
    <t>b25cd835-61c0-4cb1-96ab-2f10129d086f</t>
  </si>
  <si>
    <t>5820a2b6-b6dc-488e-b381-11670c571854</t>
  </si>
  <si>
    <t>477641d8-6ff1-4eb4-b947-c12e99bbe2d5</t>
  </si>
  <si>
    <t>08355a5b-efa2-4b94-9bc4-f38c2e7ffc01</t>
  </si>
  <si>
    <t>06-06 cambio de uso 4x1</t>
  </si>
  <si>
    <t>ca221ca4-bd0b-42df-b738-26eee28c3276</t>
  </si>
  <si>
    <t>2184a6fe-db17-4f27-a330-5fdfff5cddf3</t>
  </si>
  <si>
    <t>f8a89bf4-edc8-4ee9-8dc7-d70184085e89</t>
  </si>
  <si>
    <t>c04c88df-738e-4d83-ad82-9115cbab5799</t>
  </si>
  <si>
    <t>40192aa3-4fa8-4484-949f-3b3e6aff2435</t>
  </si>
  <si>
    <t>c9561f2f-9c42-4272-a07c-b973be8c022d</t>
  </si>
  <si>
    <t>Cambio de uso. Conector viene con el motor</t>
  </si>
  <si>
    <t>a97c4567-e7a0-4451-8298-b8e8a521a1f2</t>
  </si>
  <si>
    <t>c161a3a5-1c9c-4280-ab94-69a75709fac3</t>
  </si>
  <si>
    <t>5916c284-247c-4fa6-94a6-9d219be2db07</t>
  </si>
  <si>
    <t>0026f2b4-167a-444a-9ca8-26d836d4c13c</t>
  </si>
  <si>
    <t>e336637d-fc48-432a-ae9f-e314756c286c</t>
  </si>
  <si>
    <t>69f7ee52-6043-405a-847e-a464297b287b</t>
  </si>
  <si>
    <t>06-06 cambio de uso 13x15</t>
  </si>
  <si>
    <t>87c90dc6-1928-45b9-97c4-8a616450d1b0</t>
  </si>
  <si>
    <t>06-06 Cambio de uso 2x1</t>
  </si>
  <si>
    <t>8448d972-5fb5-4a48-bf3e-38e9e9a3ca5c</t>
  </si>
  <si>
    <t>9d47a1e7-80b0-4025-a70d-6d48db4dbcbc</t>
  </si>
  <si>
    <t>e99d30dc-285c-4055-b600-38d4a3e232b2</t>
  </si>
  <si>
    <t>06-06 cambio de uso, eliminación de duplicado y Cambio de P6 a P5</t>
  </si>
  <si>
    <t>700344bf-5340-4a71-bb22-d069ce44af97</t>
  </si>
  <si>
    <t>06-06 cambio de uso 5x4 y de puesto P6 x P5</t>
  </si>
  <si>
    <t>0d33645a-1ddb-425a-887f-7cff07a960d6</t>
  </si>
  <si>
    <t>06-06 Cambio de uso 2x1 y P6 a P5</t>
  </si>
  <si>
    <t>3bc73337-93f9-467e-a410-98b45ab94008</t>
  </si>
  <si>
    <t>06-06 cambio de uso 3x2 y cambio de P6 a P5</t>
  </si>
  <si>
    <t>3da123eb-5812-4540-a729-e1d8dd9302ca</t>
  </si>
  <si>
    <t>06-06 Cambio de uso 2x1 y cambio de puestp P6xP5</t>
  </si>
  <si>
    <t>a8ffefb8-2856-458a-a5a0-584b99825703</t>
  </si>
  <si>
    <t>2019a4ad-c716-4135-a869-cba66c6fef85</t>
  </si>
  <si>
    <t>1d8e8fee-0c7c-41c5-aa15-5f7b9701761f</t>
  </si>
  <si>
    <t>06-06 Cambio de uso 2x1 y de puesto P6</t>
  </si>
  <si>
    <t>ebfa43ee-21e0-4f86-b7ae-55c98ad5c57a</t>
  </si>
  <si>
    <t>1fb58313-73ac-4755-89f1-8c66a5744c7b</t>
  </si>
  <si>
    <t>15705910-da28-4c89-a83c-c2c774bc0ac9</t>
  </si>
  <si>
    <t>6a1c25a4-e4e6-472b-8b6b-eae6a1ea874e</t>
  </si>
  <si>
    <t>c7e282e3-1226-4685-bcdd-1053f70949f7</t>
  </si>
  <si>
    <t>06-06 Cambio de uso 3x2</t>
  </si>
  <si>
    <t>b41b20fa-a027-4946-94f6-2226adb7dfb7</t>
  </si>
  <si>
    <t>330b1597-2f66-45bc-a369-0c66323ee2ba</t>
  </si>
  <si>
    <t>a741a232-7c53-449b-ab57-5646c3149aa3</t>
  </si>
  <si>
    <t>d74cdf63-de70-46df-b6e5-a6e35eea13bc</t>
  </si>
  <si>
    <t>f6702423-5c18-495c-9a39-8dcb36aa648f</t>
  </si>
  <si>
    <t>06-06 cambio de uso 11x10</t>
  </si>
  <si>
    <t>ab48d895-38eb-44ae-97ad-54c1b57850a7</t>
  </si>
  <si>
    <t>06-06 cambio uso 5x4</t>
  </si>
  <si>
    <t>2e839c23-f8b5-453a-adbd-702c85ab52d7</t>
  </si>
  <si>
    <t>00962eca-2749-4f08-b7cb-688d760aa4d9</t>
  </si>
  <si>
    <t>8290e0e0-887b-4b3a-93ad-1279b9374ccf</t>
  </si>
  <si>
    <t>c3b063a3-f0e2-41f7-90ab-7af6941866f8</t>
  </si>
  <si>
    <t>06-06 cambio de uso x22</t>
  </si>
  <si>
    <t>39a4b3c5-54bf-4782-a3a9-59182a2c11a1</t>
  </si>
  <si>
    <t>c65f72e8-924b-4e4f-a750-029b41c21183</t>
  </si>
  <si>
    <t>b468bdd6-fb75-4d4a-b899-9bbc763aedbc</t>
  </si>
  <si>
    <t>06-06 Cambio de uso 15x13</t>
  </si>
  <si>
    <t>1dcbb381-42db-452a-88b6-f8e7a61157d1</t>
  </si>
  <si>
    <t>216421ad-a8cb-400d-9c27-4ca2db4e0163</t>
  </si>
  <si>
    <t>06-06 cambio de uso 4x3</t>
  </si>
  <si>
    <t>7d0ae701-1ea2-42d4-8867-c04730b30ed8</t>
  </si>
  <si>
    <t>d88e985c-1ebd-4696-a75a-8620cfb3f63e</t>
  </si>
  <si>
    <t>2436b323-96d6-402e-b776-f3c9d3b0393a</t>
  </si>
  <si>
    <t>6a93a64b-97c8-4f76-9d40-7474cfef66ec</t>
  </si>
  <si>
    <t>d3edd41b-73e7-469e-b290-9dc408c0cfe6</t>
  </si>
  <si>
    <t>5abd13ac-a308-4db3-b1ed-f639ea7c4f48</t>
  </si>
  <si>
    <t>06-06 Cambio 3x2</t>
  </si>
  <si>
    <t>8727d729-f55f-4b57-b1c8-3ab83eb9e7ee</t>
  </si>
  <si>
    <t>84f50d9e-3c97-4aac-84cd-5f03fa796e83</t>
  </si>
  <si>
    <t>06-06 cambio de uso 9x8</t>
  </si>
  <si>
    <t>d5fe04a2-a68d-4762-88b8-dcf4b2f7e091</t>
  </si>
  <si>
    <t>06-06 cambio uso 11x10</t>
  </si>
  <si>
    <t>0f43ef80-4ddd-45ec-81d8-a4a296fa6f7c</t>
  </si>
  <si>
    <t>06-06 cambio uso 4x3</t>
  </si>
  <si>
    <t>8e151ca1-1c3b-400c-a8ca-777f5725b278</t>
  </si>
  <si>
    <t>Estantería E D</t>
  </si>
  <si>
    <t>31b2f7ef-ccd6-4e19-af3a-0b8102b5c653</t>
  </si>
  <si>
    <t>280eea05-bff0-4c62-aa94-f6974ffea0fb</t>
  </si>
  <si>
    <t>06-06 Cambio de uso 4x3</t>
  </si>
  <si>
    <t>61725ae7-6a66-42d9-ba88-fb0ba37e54b3</t>
  </si>
  <si>
    <t>7cc05cdb-1462-463c-95f8-776e09c0afa7</t>
  </si>
  <si>
    <t>2a60d7bf-b01b-4f78-86cc-c4d25660cec9</t>
  </si>
  <si>
    <t>ad3ab020-6517-41af-92bf-306ab2c0fe44</t>
  </si>
  <si>
    <t>78b84243-d15b-464a-91f9-ba4d0b384e1a</t>
  </si>
  <si>
    <t>ccb58745-5bdc-4897-b35f-be3a6210c359</t>
  </si>
  <si>
    <t>7cc2fe78-173b-4a6a-aa86-4b76adfda525</t>
  </si>
  <si>
    <t>06-06 Cambio de uso 4x2</t>
  </si>
  <si>
    <t>075b5978-73e6-4858-b3a9-41058e3c5242</t>
  </si>
  <si>
    <t>14f7c930-a39c-4697-9312-33bccac408bb</t>
  </si>
  <si>
    <t>Cambio de uso 3x2</t>
  </si>
  <si>
    <t>eec3a02c-6e0b-4435-9acb-2bae4b18d9fb</t>
  </si>
  <si>
    <t>0434b93f-4190-4cd4-871a-78b0ea046b5b</t>
  </si>
  <si>
    <t>e8ba8d9b-9333-4ebf-93a6-8a28a5057acc</t>
  </si>
  <si>
    <t>60bbab8d-5fe9-449f-bf32-b14003a3413d</t>
  </si>
  <si>
    <t>138450d0-2ce2-4242-a790-cad28809d322</t>
  </si>
  <si>
    <t>1a0c7262-efc5-431d-be80-ddb8166b325e</t>
  </si>
  <si>
    <t>06-06 Se corrige uso 18</t>
  </si>
  <si>
    <t>31e46d56-2c33-435e-a106-98ae5a7238d7</t>
  </si>
  <si>
    <t>8a926759-3b84-437b-b049-dc1e766a0226</t>
  </si>
  <si>
    <t>5d0acf36-289b-4406-80be-b9803b660edf</t>
  </si>
  <si>
    <t>a930366b-19fc-49f3-bb1b-fe806e337f11</t>
  </si>
  <si>
    <t>048a5f8d-5450-4d02-b7bd-5ba12786d56b</t>
  </si>
  <si>
    <t>06-06 Cambio de uso 12x13</t>
  </si>
  <si>
    <t>07e9f302-f8fc-4974-8c93-e48b7bc95515</t>
  </si>
  <si>
    <t>9123bf5b-d12f-4e7f-a2e4-cbe93747fef2</t>
  </si>
  <si>
    <t>539f2a27-7852-4509-84f3-e3985ad5603a</t>
  </si>
  <si>
    <t>b9431158-a8b9-42f8-b4a0-1e564c9ee5a3</t>
  </si>
  <si>
    <t>2c0327ce-785f-41f3-a66b-6bf020e5d099</t>
  </si>
  <si>
    <t>c1664b7f-ed69-4e77-a6f9-5d259e1dea2b</t>
  </si>
  <si>
    <t>06-06 Cambio de uso 6x4</t>
  </si>
  <si>
    <t>219b9da8-46ac-4ca3-ba25-11ae5a3b6909</t>
  </si>
  <si>
    <t>163f1e36-9a18-4853-8e43-773a2ee81892</t>
  </si>
  <si>
    <t>5bf550c0-c4fe-4d7e-9017-90ceaffe7ef5</t>
  </si>
  <si>
    <t>d68fe362-4690-4047-bbf2-03375b76c411</t>
  </si>
  <si>
    <t>7c831205-0e3b-4996-947c-57de1e8d238e</t>
  </si>
  <si>
    <t>43a876e3-5515-4832-90d7-a2eb0913611d</t>
  </si>
  <si>
    <t>30b59594-1eda-46a2-a20a-9292439a7f14</t>
  </si>
  <si>
    <t>cbb2da1b-4853-4cd8-ac29-09b4d2b4a749</t>
  </si>
  <si>
    <t>219c8bbe-cbd0-4348-950e-2774d2c58651</t>
  </si>
  <si>
    <t>c1e0ea2c-1c2b-45d1-9f97-9767ea816429</t>
  </si>
  <si>
    <t>dd04e83e-9978-4d29-a5a5-50e0baebe1b4</t>
  </si>
  <si>
    <t>202ef7f0-2e12-46cd-9ae7-047db158d581</t>
  </si>
  <si>
    <t>ed46c4d6-6c61-4235-b2b3-82d0a97a346a</t>
  </si>
  <si>
    <t>06-06 cambio de uso 9x16</t>
  </si>
  <si>
    <t>2f100879-ea89-41bf-b2ce-1dfd2f46976a</t>
  </si>
  <si>
    <t>5c4fa5b5-7e9c-4321-b6b2-6fd4fae6377e</t>
  </si>
  <si>
    <t>06-06 Cambio de uso 7x6</t>
  </si>
  <si>
    <t>6de16d8e-cf54-4a2c-b085-958fb415d44e</t>
  </si>
  <si>
    <t>d874091b-3a7c-4258-8ec2-a21630d47d43</t>
  </si>
  <si>
    <t>3bb5e58b-1b5b-40be-94cf-0e272462ccd1</t>
  </si>
  <si>
    <t>2d2c4c2d-b8b2-41f0-8d32-f34109e8f3c1</t>
  </si>
  <si>
    <t>32f1e8b4-717c-4fe2-a727-d2e4aa8bc2f3</t>
  </si>
  <si>
    <t>358fab3b-75cc-4d18-a58f-ea06a34a2952</t>
  </si>
  <si>
    <t>f077f376-6a26-4b06-abfe-28c3dcfa1c6b</t>
  </si>
  <si>
    <t>1df8d500-fe03-4022-97a6-b97b843d7d19</t>
  </si>
  <si>
    <t>80ab3688-bd01-47e4-9272-83e0e624115b</t>
  </si>
  <si>
    <t>221787bd-cb3d-47ba-a442-88b76a74c3ab</t>
  </si>
  <si>
    <t>535b1215-4252-4cc6-b3dd-a172f55436a8</t>
  </si>
  <si>
    <t>57f7a201-d821-4b53-82b0-fd5bd89e1a31</t>
  </si>
  <si>
    <t>fc2c9f5d-4e91-4045-a693-fe740e4e9ef3</t>
  </si>
  <si>
    <t>ffcd0aef-b6cf-492f-957a-2a7a238379a5</t>
  </si>
  <si>
    <t>9040c824-965b-4072-b11a-a597fbee3a7b</t>
  </si>
  <si>
    <t>5533d03a-a189-41b0-b61b-b58f47a2b219</t>
  </si>
  <si>
    <t>4a661f43-7597-4103-9f39-83f54b3233e0</t>
  </si>
  <si>
    <t>51b34f28-9c94-4578-90d0-8381345a1e07</t>
  </si>
  <si>
    <t>b5bd0ce7-7399-4ad2-85c4-7e0536df9b93</t>
  </si>
  <si>
    <t>2aa4474e-2a5b-4b56-969d-2f248b13eb89</t>
  </si>
  <si>
    <t>ff4da75e-0667-4fe9-8020-b5b559b5822e</t>
  </si>
  <si>
    <t>0721cd6e-c461-4aec-ba2c-8aa99486a01d</t>
  </si>
  <si>
    <t>26094c85-4ac6-4230-a2db-abfccadd5526</t>
  </si>
  <si>
    <t>c35163c2-4086-40a9-a9a1-8e5b228b9847</t>
  </si>
  <si>
    <t>be99be09-ee45-4cfe-b2fc-2e6f0923d534</t>
  </si>
  <si>
    <t>8737b061-15bc-49cc-a204-893a848686af</t>
  </si>
  <si>
    <t>6cac9f86-a5bc-4051-80ff-5b8e3de1caa8</t>
  </si>
  <si>
    <t xml:space="preserve">Listado maestro de embalajes de componentes </t>
  </si>
  <si>
    <t>Modelo:</t>
  </si>
  <si>
    <t>Constellation 17280.24JC5B</t>
  </si>
  <si>
    <t>Puesto línea final</t>
  </si>
  <si>
    <t>286e1d7f-3e55-4403-8433-ed42b28ab914</t>
  </si>
  <si>
    <t>Cajón de madera</t>
  </si>
  <si>
    <t>23e99f0a-73f5-4d17-a5a0-3622411909ed</t>
  </si>
  <si>
    <t>39ae60b9-ac77-4d58-8da4-7a2a65f3da9c</t>
  </si>
  <si>
    <t>rack ruedas</t>
  </si>
  <si>
    <t>64e4becd-7125-4882-831c-fe27382e5c96</t>
  </si>
  <si>
    <t>234d6ddb-5a2f-47dc-aed1-a21f089c9505</t>
  </si>
  <si>
    <t>c5fcdee1-60e3-4d61-98d7-9b30b42a3e7d</t>
  </si>
  <si>
    <t>287baf35-2eb4-480b-8a9a-e22d7fe622f8</t>
  </si>
  <si>
    <t>e522d5a1-0bab-41b5-ac69-a6a0ef780311</t>
  </si>
  <si>
    <t>7da6ba97-5bdd-44df-9a97-0090df2fd9ad</t>
  </si>
  <si>
    <t>08a26621-9305-4234-b49f-155cbfcf9ced</t>
  </si>
  <si>
    <t>a2827873-5a66-400d-a173-47d3dd9be192</t>
  </si>
  <si>
    <t>a4b35ed0-6345-49f5-86f5-a8a71bda6d67</t>
  </si>
  <si>
    <t>80b39d97-0f09-48ce-a813-bebe1cffab4b</t>
  </si>
  <si>
    <t>130e6470-5037-40a0-99e7-99e25777807b</t>
  </si>
  <si>
    <t>b7aab5b9-6e6f-482a-9d87-7115fcd25a7f</t>
  </si>
  <si>
    <t>29553bd6-8014-43c3-b032-292154fa439b</t>
  </si>
  <si>
    <t>bc6d9311-8d35-491a-a593-94eb11b84ada</t>
  </si>
  <si>
    <t>f85fd707-2af6-4b05-b1df-9ef4a721f9c9</t>
  </si>
  <si>
    <t>bf83fed7-758c-4441-977c-283fec3fba79</t>
  </si>
  <si>
    <t>f4aaa217-dab5-4ed1-b332-55c803ce8f16</t>
  </si>
  <si>
    <t>9a3b41ba-5ebe-4d3d-8f56-da35c3f4de5d</t>
  </si>
  <si>
    <t>26ed056c-b73a-421e-8691-9de8afc523e0</t>
  </si>
  <si>
    <t>6a71f79e-1f43-4322-b522-b2b510479721</t>
  </si>
  <si>
    <t>5d157eb3-56c2-4671-a92c-2434231b83e9</t>
  </si>
  <si>
    <t>e6ea1a1b-2421-4cdc-baee-03e1717c4f7d</t>
  </si>
  <si>
    <t>2cc1f46b-4e8b-4576-b728-3782976b66d3</t>
  </si>
  <si>
    <t>ed903b75-585f-4fd5-a579-068ab56b3e28</t>
  </si>
  <si>
    <t>cf2af96b-0ae8-465b-af81-084d2fb56073</t>
  </si>
  <si>
    <t>Carro válvulas</t>
  </si>
  <si>
    <t>97400287-0614-4b58-a8f1-91cb375bbc77</t>
  </si>
  <si>
    <t>df42d227-be5f-4990-a482-acb50eb767f9</t>
  </si>
  <si>
    <t>09c54aaf-3ab7-4f4d-ba57-609f93e1338d</t>
  </si>
  <si>
    <t>30415745-362a-46d7-9da8-8f06443c9a6b</t>
  </si>
  <si>
    <t>23G607359</t>
  </si>
  <si>
    <t>44ef14aa-82a5-47a4-996d-5ed582102cc4</t>
  </si>
  <si>
    <t>026cfc88-9017-4104-8071-0b6e184c988d</t>
  </si>
  <si>
    <t>ba030a5a-901f-46f5-89ba-93796829d6ae</t>
  </si>
  <si>
    <t>5243668f-b81e-453b-98d7-a9463a699be9</t>
  </si>
  <si>
    <t>0559074a-0c1b-44aa-b0bf-dd598d0dd97d</t>
  </si>
  <si>
    <t>83a52b3b-b941-4621-9e1b-c00bf3245b66</t>
  </si>
  <si>
    <t>9a67570f-582f-4980-be27-87ea39c3391d</t>
  </si>
  <si>
    <t>c6795e2b-a177-4f20-b678-4df3e33647a8</t>
  </si>
  <si>
    <t>a84b1117-6fb1-47cc-b01c-088d26a68e95</t>
  </si>
  <si>
    <t>e4c884c6-6cd4-45dc-8db3-e2fd4803c805</t>
  </si>
  <si>
    <t>259e1e2f-de90-4927-8992-b7248723f546</t>
  </si>
  <si>
    <t>Carro tarimas 1</t>
  </si>
  <si>
    <t>bb7c0e6f-dc15-41ff-9038-6e8b91e2973e</t>
  </si>
  <si>
    <t>Carro tarimas 2</t>
  </si>
  <si>
    <t>eab35615-3dae-405b-8d4f-5f0243fd16b7</t>
  </si>
  <si>
    <t>6b1b5798-0080-4530-a41a-c9c3670dfd14</t>
  </si>
  <si>
    <t>456be763-af04-4303-960b-05a6ff0fc841</t>
  </si>
  <si>
    <t>392c73d7-a722-4534-a9c1-59d22dbb63ca</t>
  </si>
  <si>
    <t>80dde19a-ed44-48fa-979e-6a619b5f9092</t>
  </si>
  <si>
    <t>7c55e9ac-d743-44a7-b7bf-daf9e09f3da0</t>
  </si>
  <si>
    <t>0ee9f9e3-e50d-4c91-82b4-d3e32a3fafd2</t>
  </si>
  <si>
    <t>572056e8-f3c0-4a9d-ad65-285a8f0c140d</t>
  </si>
  <si>
    <t>810fc4f3-9f0e-4cda-8324-9783ee12299f</t>
  </si>
  <si>
    <t>c2ad192f-7f4e-49a2-bfd3-bad707ab57ba</t>
  </si>
  <si>
    <t>5e6680a7-13ed-404a-bab5-3869ab2ae24a</t>
  </si>
  <si>
    <t>4e332988-486e-418b-99f3-1c1296ed4b27</t>
  </si>
  <si>
    <t>Carro E. Delanteros</t>
  </si>
  <si>
    <t>b303b0fe-3d72-448f-944f-3eee2816a9f3</t>
  </si>
  <si>
    <t>5ab377cc-f25f-46f1-86f9-d809c3c0bfcb</t>
  </si>
  <si>
    <t>carro válvulas</t>
  </si>
  <si>
    <t>8b21fcdb-4b10-44e7-8561-ac7e2ee6de09</t>
  </si>
  <si>
    <t>78f3c1ed-df22-4f65-81f5-9be549e7b134</t>
  </si>
  <si>
    <t>15c39701-a91c-4908-9e38-f8f96443bd33</t>
  </si>
  <si>
    <t>63c36156-ed87-44c6-a846-f00fa7ad2a94</t>
  </si>
  <si>
    <t>ba5a17c9-f26c-44c1-9864-426f48f9b5b7</t>
  </si>
  <si>
    <t>160aa1ac-9ee8-482f-aac9-f08506f9343d</t>
  </si>
  <si>
    <t>d8d25c26-e5a3-4b6d-8a27-309e74270ee6</t>
  </si>
  <si>
    <t>f9fa9b68-2b95-412f-8fda-07e02c91929d</t>
  </si>
  <si>
    <t>dacecc3a-1d54-4191-9feb-317a50f302df</t>
  </si>
  <si>
    <t>a86bd573-42e1-4470-b0f1-d72535212132</t>
  </si>
  <si>
    <t>4b03139b-2de5-47a7-8a9f-17a94166f309</t>
  </si>
  <si>
    <t>45a2c752-401e-4935-a71d-7c8840878ec0</t>
  </si>
  <si>
    <t>9f7f9a76-b704-4db6-892b-db0bfb08017a</t>
  </si>
  <si>
    <t>e97fd0ca-04a5-4fce-9fbe-e315d2cdff27</t>
  </si>
  <si>
    <t>439040d4-d0d6-4e6b-b75d-6f87bbfb5487</t>
  </si>
  <si>
    <t>29dbfab1-b8e3-462b-88a2-11838df54cc7</t>
  </si>
  <si>
    <t>448965bb-b8e4-4762-97fc-eb975c174168</t>
  </si>
  <si>
    <t>Cambio de P2 a P1</t>
  </si>
  <si>
    <t>67d04c10-f5dd-4c0d-a062-e9e7dc83f0f0</t>
  </si>
  <si>
    <t>35e03844-e434-4f84-ac20-c116d3460de8</t>
  </si>
  <si>
    <t>71cad07b-f750-424f-a551-a63bebf630bd</t>
  </si>
  <si>
    <t>0ac21263-72f7-49af-b243-fb2fd893aaec</t>
  </si>
  <si>
    <t>263d9639-20cb-4c24-a00c-b3bc0cc69365</t>
  </si>
  <si>
    <t>161dd406-f3b1-45ab-9c99-92f87b354fd3</t>
  </si>
  <si>
    <t>f328b85a-7b02-4d2b-9d43-fd00172ed455</t>
  </si>
  <si>
    <t>e6e1077c-90b1-4410-b675-3cad6e0d912c</t>
  </si>
  <si>
    <t>5e5c68f4-fd81-4c5f-a117-8dd7038d8091</t>
  </si>
  <si>
    <t>deaa2242-0513-4861-8efd-7d2132636fe5</t>
  </si>
  <si>
    <t>75c26c07-e0ed-4d4b-a335-fea25fec8f12</t>
  </si>
  <si>
    <t>cambio de P3 a P5</t>
  </si>
  <si>
    <t>cc2ca996-7ebe-4255-a596-4517cfef0c11</t>
  </si>
  <si>
    <t>11188bb2-0148-479c-949f-f4aff3830eb3</t>
  </si>
  <si>
    <t>05430b58-07a3-43e3-9ecb-56c06876dee3</t>
  </si>
  <si>
    <t>4cebdf9b-409c-4fef-bc6f-127c9dd82c3b</t>
  </si>
  <si>
    <t>Cambio de puesto P3 a P5</t>
  </si>
  <si>
    <t>79ebb81a-b61b-4f7a-9b94-5bd4f056c745</t>
  </si>
  <si>
    <t>928bac27-3fd3-4b6b-b555-eb9ee39317c1</t>
  </si>
  <si>
    <t>544f0c19-d531-46bd-9792-2b58a393f962</t>
  </si>
  <si>
    <t>6d1b1647-6fba-421c-92e6-21e0afbfceb1</t>
  </si>
  <si>
    <t>f980adff-8ff4-4b30-aa64-590ea37f42fe</t>
  </si>
  <si>
    <t>c4fe9f61-9916-44fa-99fd-fea7b5e79526</t>
  </si>
  <si>
    <t>82efee35-ac57-4c03-8336-553a08ec7518</t>
  </si>
  <si>
    <t>74a691c8-abd9-4255-ab41-25fc43dcd6f2</t>
  </si>
  <si>
    <t>1e297758-f9e0-4740-8ce0-e03419b6a77f</t>
  </si>
  <si>
    <t>ae3d94c3-345f-4a3c-8540-b9fc658a2dac</t>
  </si>
  <si>
    <t>e7cc23d7-8581-48fb-9d43-568c0a853733</t>
  </si>
  <si>
    <t>d0d7f439-55bf-4d9d-8a6e-95265098e861</t>
  </si>
  <si>
    <t>ecaaf1fd-9802-42da-a5f1-9825282a6658</t>
  </si>
  <si>
    <t>c15ac48d-4fcd-4e02-915e-ce5161bdbcfe</t>
  </si>
  <si>
    <t>6b58de4a-2231-45d5-a506-c727c2a15001</t>
  </si>
  <si>
    <t>9ea01f94-17ba-49e9-891c-4b64d748ae68</t>
  </si>
  <si>
    <t>2249cd62-5b8a-481f-b61d-2a6a2e18b9f6</t>
  </si>
  <si>
    <t>f229050b-5de6-42b8-96cf-513bf12da834</t>
  </si>
  <si>
    <t>1763f766-4592-4689-9185-114ef8ed80e1</t>
  </si>
  <si>
    <t>4fdbd5c8-e160-472c-b0ad-c8f52cfbb8a5</t>
  </si>
  <si>
    <t>c6d42fe5-26c5-415e-b3f9-018fcdbdbc63</t>
  </si>
  <si>
    <t>b2ad2f8f-82af-4a0a-8c5f-9225295d9ea8</t>
  </si>
  <si>
    <t>5b7f2a8a-a691-4af3-ae6c-21bfe678f486</t>
  </si>
  <si>
    <t>733e1d00-7991-4218-9331-4d74930cdbe3</t>
  </si>
  <si>
    <t>efc345d9-79ba-4936-9a7e-c5cef0c5ef83</t>
  </si>
  <si>
    <t>5277a12c-1f59-4831-b09a-c5cd86572b35</t>
  </si>
  <si>
    <t>50fe4e33-fa62-424d-ae37-0b83ba5914b1</t>
  </si>
  <si>
    <t>2b23058c-c464-4d14-860f-291781f1aed5</t>
  </si>
  <si>
    <t>dda59fdf-1b21-48e4-9686-780dc2e2a71f</t>
  </si>
  <si>
    <t>b777431c-d0c8-497a-93fe-a8afafb71bd1</t>
  </si>
  <si>
    <t>466db38f-961d-48da-b063-d99280912b51</t>
  </si>
  <si>
    <t>ad97b7b5-af45-4be4-8745-3fcf10e27626</t>
  </si>
  <si>
    <t>c-d</t>
  </si>
  <si>
    <t>bb749022-0dc2-4b57-bc32-1acc5ee2a81c</t>
  </si>
  <si>
    <t>c78d6387-7484-4a28-b11d-7e3bc8cc30f9</t>
  </si>
  <si>
    <t>2R0012239D</t>
  </si>
  <si>
    <t>4d63c178-3e47-4809-a699-3caccd64ff2c</t>
  </si>
  <si>
    <t>d5d575f5-9a2c-4ac3-9d58-c5bcd842fcc2</t>
  </si>
  <si>
    <t>92b1ff07-ff30-4819-83e5-15dab1c2a347</t>
  </si>
  <si>
    <t>Carro baterias</t>
  </si>
  <si>
    <t>75538c15-4c8e-4a54-9c83-3a8fa0c9a59f</t>
  </si>
  <si>
    <t>f4977300-9d8c-4926-8d10-23b1f9eabd4f</t>
  </si>
  <si>
    <t>9d7659cf-dae1-4ba9-9077-8c5feb40f4a2</t>
  </si>
  <si>
    <t>e717db6d-72b6-4ec3-b51c-5da05b80c14d</t>
  </si>
  <si>
    <t>6de508a0-4bb4-4926-9200-5c9ff689a010</t>
  </si>
  <si>
    <t>a02ec0d2-6084-4925-b0a3-fd83290da068</t>
  </si>
  <si>
    <t>c0eea786-acb3-4452-a000-39745b19d2da</t>
  </si>
  <si>
    <t>d15583df-602a-42bc-9843-b1a425298cbd</t>
  </si>
  <si>
    <t>7c74771c-64df-4fab-96d5-56f2074dcf8c</t>
  </si>
  <si>
    <t>e2be549d-0a8c-4930-8dc3-18187986dfd2</t>
  </si>
  <si>
    <t>7c8775a2-3f3e-4bbf-bc0a-29628eebb5ec</t>
  </si>
  <si>
    <t>16dd7600-3c7b-4455-910d-7c28a0e825fa</t>
  </si>
  <si>
    <t>93d1ecfd-99f4-4a5c-8701-bddd48b4a074</t>
  </si>
  <si>
    <t>142df002-e476-4c2c-bd44-5c68d5765004</t>
  </si>
  <si>
    <t>4e590092-4544-41a2-a4a1-5c23cda3a04f</t>
  </si>
  <si>
    <t>17d6f5c1-6923-4711-b634-b0c088513407</t>
  </si>
  <si>
    <t>ad6d3aa7-aade-4110-9dac-ec4ed54a4960</t>
  </si>
  <si>
    <t>e480f2a2-b113-4104-b125-d73c3655d470</t>
  </si>
  <si>
    <t>bc439943-7bd7-4988-b290-264f40485695</t>
  </si>
  <si>
    <t>0e46d667-a6c6-4c17-8d93-5d49618fc10e</t>
  </si>
  <si>
    <t>69f1de10-9c28-48a6-82cb-87c336d21fc5</t>
  </si>
  <si>
    <t>fd8e9cf0-9346-473a-9231-18ae65368238</t>
  </si>
  <si>
    <t>5b9c4320-97fa-4579-9fc2-a3b35c0e5551</t>
  </si>
  <si>
    <t>52bd7cd7-0ea5-4d49-9d2b-a00d3a8f6c15</t>
  </si>
  <si>
    <t>bb9a9128-291b-4da4-b422-3c3dcfaef4ff</t>
  </si>
  <si>
    <t>4f5dcf38-a21d-48a9-99a2-8ef395912cad</t>
  </si>
  <si>
    <t>52d64e86-a90d-4b7b-ac1c-911a8102a813</t>
  </si>
  <si>
    <t>ca305d96-26b6-4517-99c1-763794a97333</t>
  </si>
  <si>
    <t>b2ea057e-e1f9-4b3f-910c-0c4ee5013358</t>
  </si>
  <si>
    <t>e9e9be23-c467-4c21-abf2-124cf6c4226d</t>
  </si>
  <si>
    <t>330d68c2-8de9-4958-a914-89121bc88729</t>
  </si>
  <si>
    <t>276f5f91-9f6a-4db9-9113-517f8e343738</t>
  </si>
  <si>
    <t>9bda5727-2367-4a8e-85b1-42bd339c9fa8</t>
  </si>
  <si>
    <t>d2d92088-b837-4d1d-bf75-e728091cfa3d</t>
  </si>
  <si>
    <t>469991de-3f8b-4d0f-94c4-9a336a9f6a09</t>
  </si>
  <si>
    <t>2b88a4fe-d7c1-464a-829c-3c110dd1a56b</t>
  </si>
  <si>
    <t>42cb2c80-1a0d-4b37-9400-c05c1219315d</t>
  </si>
  <si>
    <t>40885293-eb41-4419-af0a-e33215619d62</t>
  </si>
  <si>
    <t>a4efd48e-bb3a-405e-b161-48f8defd398f</t>
  </si>
  <si>
    <t>c46cc912-62ae-458b-a24e-c389f2ba094e</t>
  </si>
  <si>
    <t>aea3bd23-b781-4b93-bbb0-0dcc6855a04b</t>
  </si>
  <si>
    <t>9729f9a8-9d20-4590-9319-2cfcc9b6c3a3</t>
  </si>
  <si>
    <t>Cambio de puesto P5 a CD</t>
  </si>
  <si>
    <t>c2bb1ba1-d7d0-47a4-b5f4-f040e3ec4e68</t>
  </si>
  <si>
    <t>0f538d62-7630-453e-8757-6d52268d9dd5</t>
  </si>
  <si>
    <t>8d8cb5fd-74c6-4e4f-9e16-c60d64b21f13</t>
  </si>
  <si>
    <t>3d09be9d-57f0-478d-9d93-846d37eb5bc2</t>
  </si>
  <si>
    <t>366d7bd7-6504-4e0d-86ad-37517c3e0335</t>
  </si>
  <si>
    <t>931ee7f5-0251-4a9f-ad6b-2b02d20660de</t>
  </si>
  <si>
    <t>f4ec7f19-424c-44a8-9c97-d08b4f163a4b</t>
  </si>
  <si>
    <t>b5754bf4-a6fb-4161-a121-bf250f7ad730</t>
  </si>
  <si>
    <t>3cd03af7-6ef8-428e-8481-9430edc99085</t>
  </si>
  <si>
    <t>ba37a320-a982-4a29-84a9-358f50f898c7</t>
  </si>
  <si>
    <t>22e19a28-25bb-47d8-9852-5e7d70fac005</t>
  </si>
  <si>
    <t>2451c308-0add-4e0d-b537-c1d0454d06fb</t>
  </si>
  <si>
    <t>ad252f3c-4edb-40f9-961c-3eaab0d6aa97</t>
  </si>
  <si>
    <t>d4daef59-bc80-4438-9141-c74df711c29b</t>
  </si>
  <si>
    <t>51cb912b-71fe-4563-ac13-3b9102010314</t>
  </si>
  <si>
    <t>4c7d0b9e-71bc-4e74-9fdd-88caa0591a17</t>
  </si>
  <si>
    <t>629795ac-8a3d-4893-bb83-9b3aae5bcda7</t>
  </si>
  <si>
    <t>742eea19-7ae9-4baa-bbdc-72703f28c5c4</t>
  </si>
  <si>
    <t>197121bd-0e02-4ef1-894b-653d0a1920a3</t>
  </si>
  <si>
    <t>ae4014ae-0234-43be-87fe-88140d6115e4</t>
  </si>
  <si>
    <t>d9c555e3-5217-427e-8091-dc2c4c6c6884</t>
  </si>
  <si>
    <t>58b4a36d-8aec-405c-99d5-e52a9ca46c6c</t>
  </si>
  <si>
    <t>10770dd9-e9e5-4d6e-b247-e219b52db7a1</t>
  </si>
  <si>
    <t>4979dc05-f202-4422-abb2-45f0269d91a1</t>
  </si>
  <si>
    <t>2a350109-60b6-4429-b650-7e81baea151f</t>
  </si>
  <si>
    <t>51b5048a-fe02-4fac-9d73-55b26b073fe7</t>
  </si>
  <si>
    <t>ba38776b-75ba-4738-9ec3-72f6ba3b7ba4</t>
  </si>
  <si>
    <t>2426beed-23bf-4cb6-8860-b80766355e64</t>
  </si>
  <si>
    <t>c9215a54-22cb-4b8e-b243-c87ef7a1d280</t>
  </si>
  <si>
    <t>ff8d00a6-b4cb-4369-9663-f23e8550a2f9</t>
  </si>
  <si>
    <t>43a626cf-c6d5-4649-b398-a9dcd784aa0e</t>
  </si>
  <si>
    <t>ba55455e-7265-433b-af27-e45e2c1788ed</t>
  </si>
  <si>
    <t>940c4513-a5b5-47bc-82c4-78350b65b4d8</t>
  </si>
  <si>
    <t>bc8c69c8-c16b-4eae-8145-986d77581182</t>
  </si>
  <si>
    <t>62d9e455-ebf6-41fc-ae7c-3b6502145c28</t>
  </si>
  <si>
    <t>e8f665bb-f031-4e4a-9b09-c1c3fa1a1d37</t>
  </si>
  <si>
    <t>tarima</t>
  </si>
  <si>
    <t>9b53bbd7-1f26-4418-b750-91b698161b73</t>
  </si>
  <si>
    <t>0e6bc453-c7cd-4fd9-ba24-1178d6a9a0a6</t>
  </si>
  <si>
    <t>d0e13f69-00a6-4af0-a0af-0e388e5aac03</t>
  </si>
  <si>
    <t>Estantería A</t>
  </si>
  <si>
    <t>Cambio de P4 a P1</t>
  </si>
  <si>
    <t>eed7da47-137e-442d-b197-e03d85f7c45d</t>
  </si>
  <si>
    <t>aae30c7d-24ef-4eb3-97b1-98687ca8c199</t>
  </si>
  <si>
    <t>Estantería C</t>
  </si>
  <si>
    <t>77ef8478-2434-487c-b53b-308a9654529d</t>
  </si>
  <si>
    <t>517b2244-4364-47a1-a1b4-d0c3bf4e4a78</t>
  </si>
  <si>
    <t>42ce62a6-d1cc-44b2-b437-4ab1c0cd4867</t>
  </si>
  <si>
    <t>4ebae888-65c6-40d5-92c7-6609f0092901</t>
  </si>
  <si>
    <t>68491210-0170-4731-b920-877abfecb443</t>
  </si>
  <si>
    <t>5ec8c2a3-671f-4988-8894-472e74fb11b3</t>
  </si>
  <si>
    <t>Estantería D</t>
  </si>
  <si>
    <t>8ee64c1b-ad37-4a26-aaf9-a96c56e7e94d</t>
  </si>
  <si>
    <t>b4753633-ac44-4545-a9e4-18ddb88fbbcf</t>
  </si>
  <si>
    <t>d55e0d5c-af56-4a27-9d96-92f86500e016</t>
  </si>
  <si>
    <t>unificación de módulos</t>
  </si>
  <si>
    <t>ba2c65eb-fb55-4873-9561-9562b60833f6</t>
  </si>
  <si>
    <t>f89fb190-c957-4e39-afeb-68d44ffd09d6</t>
  </si>
  <si>
    <t>2fdbe8cd-3c34-4f66-8577-13ba170d50c5</t>
  </si>
  <si>
    <t>fb14ea95-df61-48b6-81b8-db760d55172c</t>
  </si>
  <si>
    <t>2d68aa6f-acbd-473d-8626-df9bbf67cd02</t>
  </si>
  <si>
    <t>9511de6d-7589-403f-b2b5-16dc9430fc10</t>
  </si>
  <si>
    <t>36163a70-940b-4ab2-bb04-a49a5b4ade25</t>
  </si>
  <si>
    <t>d15812e9-6303-4139-912f-28194c692709</t>
  </si>
  <si>
    <t>3928eabd-c5d1-4b62-b8a9-283103d13e53</t>
  </si>
  <si>
    <t>71aeeb54-c0ef-4eca-8f1d-96240dda5d86</t>
  </si>
  <si>
    <t xml:space="preserve">Estantería C </t>
  </si>
  <si>
    <t>2f3f25f5-85a0-4129-b4f6-e97a0d1de101</t>
  </si>
  <si>
    <t>e1d5d78e-0906-40de-8df6-1010a8c598b6</t>
  </si>
  <si>
    <t>838299cf-61d0-4664-a0a6-d5bd61170fec</t>
  </si>
  <si>
    <t>c9066542-b960-4ce6-b7af-5a3d87f84599</t>
  </si>
  <si>
    <t>b21fb9b4-f3ac-4543-81ec-640fbefa33d4</t>
  </si>
  <si>
    <t>31ea32eb-d6e5-405e-88a0-b3809aaac50e</t>
  </si>
  <si>
    <t>67f41f04-1aff-402b-908a-8378c3e2c701</t>
  </si>
  <si>
    <t>4ea24b64-fc5a-4645-a8bd-624d07414db6</t>
  </si>
  <si>
    <t>Estantería B</t>
  </si>
  <si>
    <t>ef4479b1-de11-4a47-8e4b-3fcd020f30b6</t>
  </si>
  <si>
    <t>42d68c34-7531-4a7f-88d1-8848096fbbd4</t>
  </si>
  <si>
    <t>8e453396-378a-4885-a0fc-f1b818ec2d4d</t>
  </si>
  <si>
    <t>1be861a4-def8-441a-aa04-c7cc1f4ade29</t>
  </si>
  <si>
    <t>562b08aa-d79e-4eab-877b-6cdd88dc0ddd</t>
  </si>
  <si>
    <t>eda7019d-315b-46e8-8f88-6719d27edebd</t>
  </si>
  <si>
    <t>c45974c4-e905-47ce-bcff-075a8eef9fd3</t>
  </si>
  <si>
    <t>a384d42b-6193-41a7-b95b-c60f31fe21dc</t>
  </si>
  <si>
    <t>3a2a5c38-2c79-40a3-9210-1391a44084d2</t>
  </si>
  <si>
    <t>5b00c4d3-1f1b-461a-8795-c2f446f41a22</t>
  </si>
  <si>
    <t>5bfbee2a-d407-4599-b3bb-b2861c5477e3</t>
  </si>
  <si>
    <t>f8299716-c83c-45a9-8e88-0b3c633a1645</t>
  </si>
  <si>
    <t>8507e71a-40b9-4d31-b5d1-caf598b41194</t>
  </si>
  <si>
    <t>f722910d-3ddb-4eb4-8520-01fd65f33af9</t>
  </si>
  <si>
    <t>5919b949-c360-4d35-a6f6-165583eac081</t>
  </si>
  <si>
    <t>Cambio  de AB a P3</t>
  </si>
  <si>
    <t>fd091b5f-3d2c-42af-9ff4-b817467a2ef0</t>
  </si>
  <si>
    <t>54be8644-2e56-4239-adec-9b70b69340fd</t>
  </si>
  <si>
    <t>eb47cfb6-7725-4b06-b4e3-f7c57a09a9ba</t>
  </si>
  <si>
    <t>06ef9ae9-3542-47b5-a92e-d18c255ce1dd</t>
  </si>
  <si>
    <t>34817fdb-2567-4533-8935-7177625e84f2</t>
  </si>
  <si>
    <t>65b2f8c4-951b-49b9-bc22-fa3830e116f6</t>
  </si>
  <si>
    <t>82245381-ff4a-498a-aa2a-149914d9131a</t>
  </si>
  <si>
    <t>8c8fe31e-a2a5-40bb-9441-dc019be8f3bd</t>
  </si>
  <si>
    <t>02e70f37-a28b-4604-a054-37ead9ca1fa6</t>
  </si>
  <si>
    <t>8fb79eff-dbbc-4cb8-aa8d-b3c64f1ce57b</t>
  </si>
  <si>
    <t>1cb9df2d-174d-4c62-9764-deb58e992ece</t>
  </si>
  <si>
    <t>73397b5c-1ea0-4062-92cc-203ba5829a6b</t>
  </si>
  <si>
    <t>0e186487-3656-4eb8-a590-e8feee2caf60</t>
  </si>
  <si>
    <t>d2632d74-ee20-4d33-a55e-ea8a27c7e562</t>
  </si>
  <si>
    <t>f2c5989f-18d3-400b-9b95-272c06684569</t>
  </si>
  <si>
    <t>ea0e74e9-0818-42ae-8f48-429297b4489c</t>
  </si>
  <si>
    <t>6605ce73-41ae-4f3c-80db-a4adba927619</t>
  </si>
  <si>
    <t>b9aa13b4-5013-4729-b743-e01b515740d4</t>
  </si>
  <si>
    <t>6587b425-f703-436c-80bb-85e4b23da3b8</t>
  </si>
  <si>
    <t>d7ed468b-3a63-41f2-ad07-45edcf04bb4e</t>
  </si>
  <si>
    <t>276847ff-e31a-4cac-b86c-34caed7ed17f</t>
  </si>
  <si>
    <t>f1771a8b-6a16-45fb-97bb-af8835c4f726</t>
  </si>
  <si>
    <t>9fad5c38-6880-4160-85b2-53127191b7f0</t>
  </si>
  <si>
    <t>523df554-8d0f-4c53-ad64-1794f4500d4a</t>
  </si>
  <si>
    <t>8035d318-a91d-4090-91e3-c64e5dc8e0fb</t>
  </si>
  <si>
    <t>e19a643e-2f32-4273-a043-f74bb1525e6b</t>
  </si>
  <si>
    <t>e7e6ccda-9309-49b9-9373-48c4a4e57ed2</t>
  </si>
  <si>
    <t>Unnificación de módulos</t>
  </si>
  <si>
    <t>0406d548-68d4-4827-a393-7a2b04ea1f47</t>
  </si>
  <si>
    <t>636483d2-7e33-4440-a5ff-297f01553521</t>
  </si>
  <si>
    <t>994c4d01-7af8-4179-a957-945ca88cc703</t>
  </si>
  <si>
    <t>4bae97cf-b6da-412a-a696-a214da987a98</t>
  </si>
  <si>
    <t>197c25c7-863f-446d-aea0-81e178b97ff8</t>
  </si>
  <si>
    <t>a4da0264-bb15-46d3-ab88-29e0530f726e</t>
  </si>
  <si>
    <t>f5d098f8-541a-4132-9bf1-463779f6410d</t>
  </si>
  <si>
    <t>9972d272-5cfa-40f4-9656-2f25e64436d2</t>
  </si>
  <si>
    <t>19f4f996-eae2-45ec-a68b-546529b4e724</t>
  </si>
  <si>
    <t>9eead50b-71f1-454f-8428-1f72acf30f06</t>
  </si>
  <si>
    <t>0deca629-63f4-46ff-a2ef-34944ae78b12</t>
  </si>
  <si>
    <t>2dc0d6d7-6298-4ea1-a51c-89c8027a0bbf</t>
  </si>
  <si>
    <t>68f17ec8-2f23-45bc-9c95-ee6f6548bb23</t>
  </si>
  <si>
    <t>a3fe689f-318d-4778-b071-aac992a96626</t>
  </si>
  <si>
    <t>d747f0bd-ae10-4263-a248-7dcb23544999</t>
  </si>
  <si>
    <t>Cambio de CD a P3</t>
  </si>
  <si>
    <t>7c892fdd-708e-4bde-9e11-06e13fef3d52</t>
  </si>
  <si>
    <t>f5bb8c0d-7396-4bf3-8818-0e38a9678a15</t>
  </si>
  <si>
    <t>de89d176-edc6-4a98-a71e-a239d940ba39</t>
  </si>
  <si>
    <t>18f0a2cd-aed3-47a3-a3f4-75aa563319b5</t>
  </si>
  <si>
    <t>f4351441-61e1-46dd-8055-f45858ce0397</t>
  </si>
  <si>
    <t>93ce6081-2742-474a-938c-753de49c96ba</t>
  </si>
  <si>
    <t>c507efbc-7f72-4027-8cf4-b2278f5ef381</t>
  </si>
  <si>
    <t>1b6f9ada-dc45-450d-ae81-ded56f02f003</t>
  </si>
  <si>
    <t>5a332ce5-b5fb-4455-86d0-75c38847bbdf</t>
  </si>
  <si>
    <t>17712aaf-83a2-464d-98aa-88509a3d084a</t>
  </si>
  <si>
    <t>8685a24e-dbe9-451e-8df9-b9392d87583f</t>
  </si>
  <si>
    <t>05ef2158-23cc-4e7f-8ae6-e122023edf1e</t>
  </si>
  <si>
    <t>00e7a4d4-0c99-44e3-a3c9-128f3c3c0f2f</t>
  </si>
  <si>
    <t>0fdcf6f8-1459-4161-87ef-ecfc54fe8281</t>
  </si>
  <si>
    <t>c783db58-330b-4064-a11d-6f1d4b0426e5</t>
  </si>
  <si>
    <t>45c4b449-4695-495f-b184-8a801b9e1d00</t>
  </si>
  <si>
    <t>c38162bb-4756-4328-bacc-6591496409c1</t>
  </si>
  <si>
    <t>87512e20-1e63-4c9b-b009-972ab04544f9</t>
  </si>
  <si>
    <t>3983505d-cbf4-4a85-bf63-da5b32e583b5</t>
  </si>
  <si>
    <t>e80600b7-3865-4d67-b855-3b7985353d4c</t>
  </si>
  <si>
    <t>543a7651-c497-485b-86e7-715028250149</t>
  </si>
  <si>
    <t>bc29b601-4d10-4997-b4a6-3fde178aa292</t>
  </si>
  <si>
    <t>9bd8b863-0465-425c-ad01-bfa1a4200f0c</t>
  </si>
  <si>
    <t>e228d5bd-0a0e-4ed8-a915-b08fdbd4b262</t>
  </si>
  <si>
    <t>2ae6b260-caf9-4703-9a8d-86f15b341d15</t>
  </si>
  <si>
    <t>dff5cc4d-24a8-48c8-a738-878f4f33f1fb</t>
  </si>
  <si>
    <t>5e69e789-6508-4702-9cc0-b145c6200a75</t>
  </si>
  <si>
    <t>a7a9e7d8-bedb-4ee5-a628-65e5c8688249</t>
  </si>
  <si>
    <t>26f90539-941e-4ec4-b890-e834e8b1d755</t>
  </si>
  <si>
    <t>23d0be6e-7843-4645-9624-bb96cbeee859</t>
  </si>
  <si>
    <t>f31b2240-3620-48f9-8d6e-aafa3ddd68d7</t>
  </si>
  <si>
    <t>82fe88e4-e660-4d27-87f8-520bb35c06df</t>
  </si>
  <si>
    <t>7f65213d-e199-4ec9-a88f-ea829842eaf9</t>
  </si>
  <si>
    <t>f7096855-1746-4dfc-a16a-c19d5a18aaf6</t>
  </si>
  <si>
    <t>ZP6</t>
  </si>
  <si>
    <t>e2ef56e5-d001-4648-bee5-64df7a239929</t>
  </si>
  <si>
    <t>29c0bfb4-8392-49c3-b7f4-c99e158f6b00</t>
  </si>
  <si>
    <t>ccc7176f-dc8a-4b9a-8ecb-752265e16a62</t>
  </si>
  <si>
    <t>8751f4fb-fc48-4533-85d2-156c9b6bf555</t>
  </si>
  <si>
    <t>43135d0c-67f0-4ff6-a706-0dbfa774b72e</t>
  </si>
  <si>
    <t>9c09a22c-9172-4881-a35e-5fdda6a291f5</t>
  </si>
  <si>
    <t>182ac199-69eb-467b-96c7-a64f53155f33</t>
  </si>
  <si>
    <t>afbff1fe-eff9-418b-8823-4201d16e2063</t>
  </si>
  <si>
    <t>39cd4e0d-8f68-4533-9d49-d3d1cc6d78bb</t>
  </si>
  <si>
    <t>bcdc9dcc-97fe-4d61-bebb-752e319ee9ee</t>
  </si>
  <si>
    <t>9817db55-3441-4d94-a195-cde6635c5181</t>
  </si>
  <si>
    <t>a1924994-9e4d-462f-b22a-9eb85a4ad671</t>
  </si>
  <si>
    <t>7367f630-b4c1-466b-af8d-7faf27043bb4</t>
  </si>
  <si>
    <t>db08063a-0495-41e6-bfd2-db5eac24bfef</t>
  </si>
  <si>
    <t>a507b2eb-accc-4438-b615-64357053523a</t>
  </si>
  <si>
    <t>f83054e1-fb51-4acb-8250-0935ea238abd</t>
  </si>
  <si>
    <t>Estantería</t>
  </si>
  <si>
    <t>70849aad-dd12-49ac-9f83-607011df8bcc</t>
  </si>
  <si>
    <t>18c53f92-9e59-4ff7-aa16-2421e8e0258b</t>
  </si>
  <si>
    <t>04e161c8-72f3-44b0-925c-1021ab992de5</t>
  </si>
  <si>
    <t>e1a295ef-a4b8-4c06-a40b-046bb8713abd</t>
  </si>
  <si>
    <t>ee694b82-3052-4ef7-89a8-b1db5245d972</t>
  </si>
  <si>
    <t>1b8fe357-ee35-403e-87eb-163fa1b69b6c</t>
  </si>
  <si>
    <t>11e5041d-d1c9-4f1d-90d0-d548dadd8be5</t>
  </si>
  <si>
    <t>0c1973c3-8cb1-4c58-8653-526129c3fdbf</t>
  </si>
  <si>
    <t>2b63d3b1-ff11-40ef-998a-f04d9de8721b</t>
  </si>
  <si>
    <t>55353bd2-7661-453e-97db-ada4043a0cac</t>
  </si>
  <si>
    <t>54dea44d-0eb5-4e9e-ae1d-550a73b89126</t>
  </si>
  <si>
    <t>6bfadc73-b908-49f6-813e-1652188745ce</t>
  </si>
  <si>
    <t>f9232295-f185-453c-811e-ab9f338a6e54</t>
  </si>
  <si>
    <t>1c927e8d-9741-4eb1-80e6-b556e34885f5</t>
  </si>
  <si>
    <t>81666ca5-b6e7-4a6f-a61f-5e0e80180e62</t>
  </si>
  <si>
    <t>4e93c703-a01e-4832-8b3f-60a7bf7dd73e</t>
  </si>
  <si>
    <t>c3e32b4c-6852-4c82-91b9-a46c5a291288</t>
  </si>
  <si>
    <t>aa1ca966-ba88-4a58-9ed4-aa2ac1e19f92</t>
  </si>
  <si>
    <t>57949b5f-5016-476c-8046-03f624196183</t>
  </si>
  <si>
    <t>0a3c916b-29c4-42b0-b58f-51dd3da7fc6a</t>
  </si>
  <si>
    <t>Cambio de puesto 6 a 5</t>
  </si>
  <si>
    <t>ebb2eb5c-c131-4155-aa7c-aec14f089012</t>
  </si>
  <si>
    <t>fa39c44f-2743-4f79-96ec-50c4aa064c45</t>
  </si>
  <si>
    <t>222902b1-622c-46e1-b176-9f0e1d91af14</t>
  </si>
  <si>
    <t>e15cdf05-7e68-4d12-af6a-cb566c5195b9</t>
  </si>
  <si>
    <t>c130ce92-2ee4-4ec3-b872-0a52be430487</t>
  </si>
  <si>
    <t>81d7c509-087a-4d66-8115-5e1d327a5310</t>
  </si>
  <si>
    <t>f4e2e633-4edd-4138-84ae-13e930f8e7cf</t>
  </si>
  <si>
    <t>f113a992-1a8b-4247-921f-c108c4594bb5</t>
  </si>
  <si>
    <t>1e17ba86-ef70-4e32-92cd-5ccbee8298c6</t>
  </si>
  <si>
    <t>4178331c-a4f6-4765-b244-d48905597ac4</t>
  </si>
  <si>
    <t>95131792-fb0e-41a4-9a81-c4b3e7cdbb0d</t>
  </si>
  <si>
    <t>f9b82a8d-2675-403f-b88f-3a0976493920</t>
  </si>
  <si>
    <t>a8cece54-9fc7-4016-8276-218e1f5f22a3</t>
  </si>
  <si>
    <t>f24943b2-ed29-4014-ac66-b2b5214963d1</t>
  </si>
  <si>
    <t>Estantería c</t>
  </si>
  <si>
    <t>b2b4beab-cb8a-40db-9fb5-bbaf11f43df8</t>
  </si>
  <si>
    <t>9a345467-5192-4b4d-a4a4-6ab3bb3ed327</t>
  </si>
  <si>
    <t>1ac58920-747c-4b88-b27e-dc43494796d1</t>
  </si>
  <si>
    <t>84e02256-fba7-4e1e-987d-19a7a63fb076</t>
  </si>
  <si>
    <t>80feca2b-84f6-4824-ba6b-5cf318a85807</t>
  </si>
  <si>
    <t>680af625-ca53-4998-8b35-365428592e8a</t>
  </si>
  <si>
    <t>e490f43f-a65d-4f15-909f-a51b6bf5cc77</t>
  </si>
  <si>
    <t>5816e531-7cfb-4f67-bbdc-986081852d4f</t>
  </si>
  <si>
    <t>ZP7</t>
  </si>
  <si>
    <t>7b4938a4-c616-4525-bb98-f88a4c2e9756</t>
  </si>
  <si>
    <t>Cambio de P2 a P0</t>
  </si>
  <si>
    <t>b2fc2c5b-d1af-4a6e-92df-8e16953fa8ff</t>
  </si>
  <si>
    <t>c57b51b7-0bdb-485e-b8f5-5833d607a256</t>
  </si>
  <si>
    <t>f7d5c7ac-873a-4cb2-9a77-76a1351617e2</t>
  </si>
  <si>
    <t>a26f6e8b-3109-4055-8b31-a3eccde781c7</t>
  </si>
  <si>
    <t>9efee79f-401a-4c29-90af-0612ab20fd6a</t>
  </si>
  <si>
    <t>73024d38-c4dd-4471-ad9c-460cb53c68bb</t>
  </si>
  <si>
    <t>28364a3a-100e-482d-b8e7-8001e1740339</t>
  </si>
  <si>
    <t>fef145cb-c9cc-4c0a-8257-a0dc4778dfc0</t>
  </si>
  <si>
    <t>26ee6cab-1c5d-4878-98c6-9fe4be8208b6</t>
  </si>
  <si>
    <t>9e43751a-707a-47e9-a0a7-37c3f8b4c619</t>
  </si>
  <si>
    <t>6ea3a6c9-a940-4913-ac4d-70ef96545cba</t>
  </si>
  <si>
    <t>fbba06a4-3376-41b6-aed0-a320c45d8590</t>
  </si>
  <si>
    <t>fecf15ec-8189-476c-ac9f-dfc8dc27af71</t>
  </si>
  <si>
    <t>3bfb2a59-617c-4baa-8900-0e6c07823c1c</t>
  </si>
  <si>
    <t>3037731c-d278-40c4-809d-9ffb04d65aea</t>
  </si>
  <si>
    <t>71718276-c201-4d3c-97ae-9918f3bef0e9</t>
  </si>
  <si>
    <t>96122fa0-1fe0-413c-ab52-21f381a5975b</t>
  </si>
  <si>
    <t>57b0d96e-7055-4fcd-9d78-cce732017489</t>
  </si>
  <si>
    <t>330efe51-a8d7-4319-aa8d-970e371eb917</t>
  </si>
  <si>
    <t>8adcad4a-ab9a-4120-b6af-ac1ee73cf257</t>
  </si>
  <si>
    <t>3f29e449-e99f-4b7b-b9cc-1f1dac546c25</t>
  </si>
  <si>
    <t>a6a5bf3e-e555-4ef9-a2a9-f04ab2a29740</t>
  </si>
  <si>
    <t>9918fa2e-16da-41ea-8a5c-ca2252f32878</t>
  </si>
  <si>
    <t>463bc5dd-fb63-446d-9d8b-8babd6610dc1</t>
  </si>
  <si>
    <t>f84c2ed2-7016-4745-ab73-1303c57a588d</t>
  </si>
  <si>
    <t>9c55f1a8-16e3-4eaf-a33f-7c14be68b776</t>
  </si>
  <si>
    <t>292a3979-5bac-4ef3-ba1c-28f9b70f69b0</t>
  </si>
  <si>
    <t>b19cae9f-57a4-4453-a0c1-7d55e07bd8e0</t>
  </si>
  <si>
    <t>90e0e4d2-5166-41a0-989a-7a1285abe1eb</t>
  </si>
  <si>
    <t>dcc95190-4502-4db5-9bfe-812fe461eb23</t>
  </si>
  <si>
    <t>8a2ba12d-0cfc-49fe-b99e-6455271e65fa</t>
  </si>
  <si>
    <t>9a658633-2e21-4ec5-8f60-a85c4111a71b</t>
  </si>
  <si>
    <t>c352be36-bd24-4327-972e-202122935f40</t>
  </si>
  <si>
    <t>739fcbd6-2fce-4266-b914-e9a155a2ffc8</t>
  </si>
  <si>
    <t>d43ab455-14ae-434b-8de3-b359080f8c24</t>
  </si>
  <si>
    <t>90454812-754d-41ce-9e0c-5234952c9412</t>
  </si>
  <si>
    <t>164dde1c-4d94-485d-820b-2ec53f87745c</t>
  </si>
  <si>
    <t>8523203e-a1b3-488d-9c2d-5fad2e0309d2</t>
  </si>
  <si>
    <t>3769400a-8116-4b86-b3e4-85913c78418c</t>
  </si>
  <si>
    <t>c763c611-3a55-4a92-bca9-04c00991c1a6</t>
  </si>
  <si>
    <t>estantería D</t>
  </si>
  <si>
    <t>34271d28-aca4-4478-9bac-17c5373ff8a6</t>
  </si>
  <si>
    <t>3cd4e8be-e7af-4bb3-a937-a387f9914c95</t>
  </si>
  <si>
    <t>a1dfd555-4c94-4045-8159-454b95fa620d</t>
  </si>
  <si>
    <t>8c6b77c5-f198-4c08-96cf-d545ff0897e8</t>
  </si>
  <si>
    <t>a061a728-5fbb-43ef-afb9-9e476e8e0e27</t>
  </si>
  <si>
    <t>8a4a642c-4cbb-444f-94fd-b329f1a3834e</t>
  </si>
  <si>
    <t>fbabc7e8-7ded-4761-9db2-8970631bc430</t>
  </si>
  <si>
    <t>aa7c5e01-3174-4584-a579-71d255d2e100</t>
  </si>
  <si>
    <t>574c3aa0-e6e0-4000-a1ff-b1d42f85cc60</t>
  </si>
  <si>
    <t>26dfea43-c28d-4a42-a401-f6dba52b77a8</t>
  </si>
  <si>
    <t>1cb1a612-a377-4494-9750-02377cb47846</t>
  </si>
  <si>
    <t>2add16de-211c-48e7-8b24-a15d4fc13dbc</t>
  </si>
  <si>
    <t>4cee720e-2ff0-4c22-a32c-30903f729219</t>
  </si>
  <si>
    <t>6335fccd-cf40-4997-a4ec-115eaa20b026</t>
  </si>
  <si>
    <t>e6dcb788-1f83-46c3-b549-585ab10a8510</t>
  </si>
  <si>
    <t>8e439852-bd6b-4bc0-8125-b721350f6913</t>
  </si>
  <si>
    <t>fa911cb1-696a-48a0-897e-f659ec08b067</t>
  </si>
  <si>
    <t>b7d8a91f-7ee2-4a8d-98fa-b9af5d21aeed</t>
  </si>
  <si>
    <t>a36d0b9f-9859-49ed-93af-ea9407b1b188</t>
  </si>
  <si>
    <t>24c79cf3-2e1a-435c-b61e-c7bd0a3673d4</t>
  </si>
  <si>
    <t>61d10520-fb27-42cd-a9ab-353fb006bb31</t>
  </si>
  <si>
    <t>c5ca969c-c553-4c5a-adc1-99d210bd5f76</t>
  </si>
  <si>
    <t>04ed4af3-7552-43b0-97c4-4c28192c1858</t>
  </si>
  <si>
    <t>e145efa9-3948-4e0d-9968-1c0902cd3165</t>
  </si>
  <si>
    <t>664f8305-3867-45fa-bc8d-5cf4249bc3d2</t>
  </si>
  <si>
    <t>425fed6b-4a01-4cd9-8e62-8b5198207e0c</t>
  </si>
  <si>
    <t>a7f29080-e68e-421d-b0a5-a44714ca9dad</t>
  </si>
  <si>
    <t>810300be-286e-4b4f-ba2b-e9adc4acc047</t>
  </si>
  <si>
    <t>db9f3869-ea2b-4705-a883-6767b3c96c3a</t>
  </si>
  <si>
    <t>b81a21b6-1d12-4fe4-8582-091f0159c927</t>
  </si>
  <si>
    <t>9dd1a66a-70c0-495e-b892-c0c9aaf5a8d4</t>
  </si>
  <si>
    <t>c6a22b87-f4c1-4edb-924a-965159148d56</t>
  </si>
  <si>
    <t>a3b5d4a1-8e62-4141-9d36-3e13f45fb114</t>
  </si>
  <si>
    <t>c3065a8f-942e-4e46-8e33-b2f17403c38d</t>
  </si>
  <si>
    <t>56dd7e31-179d-4fe9-a599-eaae863fbdd6</t>
  </si>
  <si>
    <t>e79adb00-5d3f-4230-8ef7-6540c62e78c7</t>
  </si>
  <si>
    <t>76115dad-70fd-449f-ab0e-a2192ee17e38</t>
  </si>
  <si>
    <t>235c5e94-add0-4672-9d2f-013b5e195dfb</t>
  </si>
  <si>
    <t>Cambio de puesto P6 a p5</t>
  </si>
  <si>
    <t>1dbf9360-3819-4f1b-9752-2dbdb03ef6f4</t>
  </si>
  <si>
    <t>adf4760a-c68e-4a9c-a77b-45fc47f1e1d0</t>
  </si>
  <si>
    <t>d7678f34-7955-4d52-a1ae-da1eb5aa0f51</t>
  </si>
  <si>
    <t>bf8315c9-7568-49a5-ab37-92ba73c14347</t>
  </si>
  <si>
    <t>29c9ba22-8275-4400-9e19-7cb4ffa04765</t>
  </si>
  <si>
    <t>315c8eb2-f906-4fee-aaa6-9ab36723f70e</t>
  </si>
  <si>
    <t>ed890cca-0e07-411d-a37e-54debc96f99e</t>
  </si>
  <si>
    <t>5d40e529-01a1-4f61-9de4-abb2969f2968</t>
  </si>
  <si>
    <t>eaea4ad9-f950-4a2c-b0b5-5f8e485c60f7</t>
  </si>
  <si>
    <t>f4d50c90-1df7-46ee-8cc7-77859ee3c4c5</t>
  </si>
  <si>
    <t>dd1d262d-9138-40c6-99fd-7352529a0e35</t>
  </si>
  <si>
    <t>58b1aecd-45fe-498a-9454-33b898fbf745</t>
  </si>
  <si>
    <t>f10aa7f4-0a9e-4520-8caf-1fca82d25510</t>
  </si>
  <si>
    <t>99862dd0-4a9d-431c-bc17-37ababb78e9b</t>
  </si>
  <si>
    <t>237da506-de15-46dd-ac13-fb8ff07f41f2</t>
  </si>
  <si>
    <t>8378f4e2-4a0e-4187-a75b-f53eb88796e1</t>
  </si>
  <si>
    <t>95328322-4ff9-4958-ac77-ada1728c65a4</t>
  </si>
  <si>
    <t>b51fc19c-2a87-465d-b8ab-b97ed9d6c26f</t>
  </si>
  <si>
    <t>c2045858-1cf5-4088-8793-54d6f8f3c7b9</t>
  </si>
  <si>
    <t>5c8cbfaa-5b7d-4a4d-9620-311c9b0a6984</t>
  </si>
  <si>
    <t>15b14cbe-9b22-495d-8855-b44c6e32759b</t>
  </si>
  <si>
    <t>7abdb628-34de-49b1-b9b5-0e14c16342c8</t>
  </si>
  <si>
    <t>203c2919-603f-43d1-a6a5-b485bbcb4634</t>
  </si>
  <si>
    <t>23f24bee-bf9e-46a2-afbf-000682baac42</t>
  </si>
  <si>
    <t>f62824cc-8a3a-42c6-91c5-6240aa2c2ad8</t>
  </si>
  <si>
    <t>a166b4cb-3a84-4750-aebc-e9efa94db08a</t>
  </si>
  <si>
    <t>b898ab3a-1fbe-4663-b082-d9086e918a12</t>
  </si>
  <si>
    <t>947967ec-8126-4cc6-af25-0e2b264a6e1c</t>
  </si>
  <si>
    <t>56e91331-9ca2-407e-b481-a9bd66b4686c</t>
  </si>
  <si>
    <t>200a7ad4-dad5-461c-ba66-cd137f77fcd5</t>
  </si>
  <si>
    <t>aaf6a3b9-c864-4c0b-bb96-0a4e2503ccc1</t>
  </si>
  <si>
    <t>72228ca9-2d49-4938-9484-7a4d50f9a0f4</t>
  </si>
  <si>
    <t>ce6a63e6-2ccd-4c9b-aa43-7e3440d2ac97</t>
  </si>
  <si>
    <t>47daadf1-1d77-4248-b291-fee6ece49f10</t>
  </si>
  <si>
    <t>b87ac085-085b-4953-9f58-838ef5085194</t>
  </si>
  <si>
    <t>3c37917f-f7b7-4311-a29a-f5ac99e99e93</t>
  </si>
  <si>
    <t>c749b56b-3c3a-4695-a09a-7fb9f022b544</t>
  </si>
  <si>
    <t>4f96ad6a-b360-430c-a6d9-8a43be675f16</t>
  </si>
  <si>
    <t>41f3297c-c46b-48c5-a523-3eb00322cf5a</t>
  </si>
  <si>
    <t>03c2d090-1f68-4cc0-96a1-4ddac5ec3591</t>
  </si>
  <si>
    <t>f29ef9c2-5ca1-470a-9c3a-8788b8b764f7</t>
  </si>
  <si>
    <t>f0887781-7f14-4ddf-b37b-bdd193200d35</t>
  </si>
  <si>
    <t>Estantería E</t>
  </si>
  <si>
    <t>Listado maestro de embalajes de componentes</t>
  </si>
  <si>
    <t xml:space="preserve"> Constellation 17280.24JD5B</t>
  </si>
  <si>
    <t>f1eba919-77b2-47e8-9392-38253b00f5e6</t>
  </si>
  <si>
    <t>db289179-70ea-4573-a370-59369aa78bae</t>
  </si>
  <si>
    <t>fff6af5c-89d4-490b-baec-a5fee33606d2</t>
  </si>
  <si>
    <t>25718032-2eb8-49ec-964c-6c32ad86499a</t>
  </si>
  <si>
    <t>02c72beb-c7f5-42ca-8212-88174a8d9998</t>
  </si>
  <si>
    <t>738426d5-7cb8-476c-a119-22a4cd0432a0</t>
  </si>
  <si>
    <t>7701574b-0a11-42ab-a80a-609fd8f3749a</t>
  </si>
  <si>
    <t>8c7087e1-6252-410f-83fe-59883865bb38</t>
  </si>
  <si>
    <t>a5003ebf-640e-4a95-8ff3-3739b5c2c91e</t>
  </si>
  <si>
    <t>bcc0f0e4-f09f-437c-a189-3b428ccec2ed</t>
  </si>
  <si>
    <t>95cd365a-c611-4b90-ad5b-6cc75af0070e</t>
  </si>
  <si>
    <t>55a82fae-ab49-4f53-a0cb-69dc87bde8c3</t>
  </si>
  <si>
    <t>f70d560b-292f-44de-a289-2884ceca23b2</t>
  </si>
  <si>
    <t>62187af9-a5ee-4f75-9218-0608f90dfe86</t>
  </si>
  <si>
    <t>3a0cba94-689f-4fae-b69f-2f10ecd07cbe</t>
  </si>
  <si>
    <t>48a13bdc-5c73-47e6-993b-aee6a2ec54e8</t>
  </si>
  <si>
    <t>9267b152-c8e4-40b0-a0b0-b5390a807e2f</t>
  </si>
  <si>
    <t>cefcbb09-fdca-417b-adbf-e0ab8cf87829</t>
  </si>
  <si>
    <t>72fec3c0-acb1-4b65-9cf7-58a5ffe7c745</t>
  </si>
  <si>
    <t>be4b184e-c1fa-48fd-8d57-2efdc3f1a5ce</t>
  </si>
  <si>
    <t>f84389a5-87bf-498a-a8d4-9db94c6bb1d2</t>
  </si>
  <si>
    <t>53149bf4-0cd6-4aba-8a72-e0ad8db4759f</t>
  </si>
  <si>
    <t>e112680e-73a5-4404-8f3c-f8dbf564a7ef</t>
  </si>
  <si>
    <t>fc25fa75-419f-42d0-8251-d902953af6ed</t>
  </si>
  <si>
    <t>9bfd10c8-658b-4790-8933-60979f490566</t>
  </si>
  <si>
    <t>2T2971169FG</t>
  </si>
  <si>
    <t>1b2ee724-eea2-4a09-a129-1d5fd1699346</t>
  </si>
  <si>
    <t>d01a08c8-77bf-489e-ad06-c43c8df6434d</t>
  </si>
  <si>
    <t>5ba48d2f-821c-4134-8255-e91497ab6972</t>
  </si>
  <si>
    <t>17050c36-9a1e-423b-b33e-536a666c626b</t>
  </si>
  <si>
    <t>99fd9664-a9ac-4bac-a9a6-6fa71b37b3d2</t>
  </si>
  <si>
    <t>76acf6b6-3dbb-4ef3-9b0a-7b6dbfff08bf</t>
  </si>
  <si>
    <t>55fd4c1d-65e0-4e92-84ee-8f7d826ffc34</t>
  </si>
  <si>
    <t>f3b06277-9245-483e-8c5d-ceffa4d241b1</t>
  </si>
  <si>
    <t>d8dd6ea3-7449-41d2-b2e2-256f16e5e019</t>
  </si>
  <si>
    <t>cd2bab1e-b1dc-41d2-b4b5-72263a1d47a2</t>
  </si>
  <si>
    <t>a49e0d2c-23fc-4753-9df9-1feb6495a9ce</t>
  </si>
  <si>
    <t>e0083eec-0b24-4ed0-8376-a0982201d099</t>
  </si>
  <si>
    <t>6d32a1be-a3f8-4e7f-ba9c-9df210f3c366</t>
  </si>
  <si>
    <t>5432f446-47b0-4945-af97-f4bb74f60362</t>
  </si>
  <si>
    <t>c7e916a5-fbaf-43b3-8daf-c17e3ea9056b</t>
  </si>
  <si>
    <t>25ed6169-1c57-4374-b25d-266637a78f5a</t>
  </si>
  <si>
    <t>9a33bec6-eaa2-4097-b9dd-3c353ad28f40</t>
  </si>
  <si>
    <t>7d31cf33-fdd5-4cf0-a174-d0c0c4fcbffb</t>
  </si>
  <si>
    <t>d708bc5a-8552-4110-b6d2-1451edac7e0a</t>
  </si>
  <si>
    <t>b0049b16-ae88-49b9-9d88-cc1744cee686</t>
  </si>
  <si>
    <t>325de3de-c19e-4a7e-a483-dd6468c08777</t>
  </si>
  <si>
    <t>258e692e-e12e-4642-a0b8-4f1d7b919f34</t>
  </si>
  <si>
    <t>7400ca3f-8ba1-4cb0-b9cd-29480ebb4981</t>
  </si>
  <si>
    <t>c94f68b2-155a-4e3b-818a-68826999fefe</t>
  </si>
  <si>
    <t>ce6efc97-3819-47ca-9857-42207bd7234f</t>
  </si>
  <si>
    <t>296f7ac2-a579-4e52-a5cd-49bbcc8a9f3e</t>
  </si>
  <si>
    <t>42651fef-d322-4d74-b7a7-f4c1cac11cc4</t>
  </si>
  <si>
    <t>ead97b04-6df4-4cc2-a948-abff161df338</t>
  </si>
  <si>
    <t>594dfbea-fe82-42cd-8893-e53d813b56c7</t>
  </si>
  <si>
    <t>48412398-e26d-487f-b3e7-611cb1a34da1</t>
  </si>
  <si>
    <t>54052e1c-8e3a-4041-b1d3-0a6d512b7faf</t>
  </si>
  <si>
    <t>f4d8849d-6161-460e-ae14-11bc98d2167b</t>
  </si>
  <si>
    <t>60a0b046-f891-410a-8eb5-6dadd6e6f070</t>
  </si>
  <si>
    <t>1f4a3b06-c61d-4aa4-8e2a-2458e663e2cf</t>
  </si>
  <si>
    <t>0796b9be-3c98-4faa-bc6d-6548c4d76290</t>
  </si>
  <si>
    <t>44d95efa-42a0-46f0-b233-2e0e46b590a8</t>
  </si>
  <si>
    <t>f511d4ac-39db-4915-8873-efcd7c3d623c</t>
  </si>
  <si>
    <t>3bba6c6a-b9ae-4c1d-9d68-1285f6444f40</t>
  </si>
  <si>
    <t>b473ab57-e718-45f3-a756-6c6972590f64</t>
  </si>
  <si>
    <t>47b80e2a-9097-4c20-891a-639260824007</t>
  </si>
  <si>
    <t>06a2b1c2-7011-49bd-8a6a-7d98401f4460</t>
  </si>
  <si>
    <t>127e07bc-155c-427a-b41f-3583c728ad9f</t>
  </si>
  <si>
    <t>ce4ea7d8-9463-4266-9d6b-2b51ce70e659</t>
  </si>
  <si>
    <t>691e1dfd-d031-4a9a-a9ad-ded44ab4bc9b</t>
  </si>
  <si>
    <t>7d150ab7-a517-4526-87d8-392d18430d41</t>
  </si>
  <si>
    <t>57c22eed-6b34-4f67-82de-867b48cb31ab</t>
  </si>
  <si>
    <t>026d32a5-306a-4d8d-a897-17d40d91783f</t>
  </si>
  <si>
    <t>6ab87a31-cde1-4043-b12b-eee2bdcb9bdf</t>
  </si>
  <si>
    <t>a58d0547-6eb9-44e7-b9d1-9f25d463643c</t>
  </si>
  <si>
    <t>f0b7d879-767a-4a2d-9b00-d97af5e2b6cd</t>
  </si>
  <si>
    <t>8ad1bfb8-5a6f-4a56-bedc-58f6c3bd591f</t>
  </si>
  <si>
    <t>afb717c7-b6c5-47d3-81e3-f5fe4fd9ae86</t>
  </si>
  <si>
    <t>1745abc7-6ddd-44c3-a78c-81bbf5bc677f</t>
  </si>
  <si>
    <t>1d57f832-4844-476b-84a4-55a95b2d8706</t>
  </si>
  <si>
    <t>a3ba3c80-c18a-40db-ae7b-e3d500cf2b46</t>
  </si>
  <si>
    <t>f968919e-f51c-4020-ba1d-8e5229ce4e82</t>
  </si>
  <si>
    <t>eef03490-8d4b-4196-a2a5-053200dd511d</t>
  </si>
  <si>
    <t>751bf349-23ff-4bb5-95da-6e711672b241</t>
  </si>
  <si>
    <t>decbac0f-7962-43f6-9510-06817b98fff6</t>
  </si>
  <si>
    <t>37972c54-638b-4a30-8503-7b438d9cdd45</t>
  </si>
  <si>
    <t>4ff000c6-962c-4272-9d62-876feaca0965</t>
  </si>
  <si>
    <t>67184053-bbe2-43a7-9554-f8fc23cb37ea</t>
  </si>
  <si>
    <t>fc43e8eb-4d2c-4178-a80e-4b1db702efaa</t>
  </si>
  <si>
    <t>c5dbacc1-5492-49cc-8d1c-4194c26903dd</t>
  </si>
  <si>
    <t>d98a778f-3e3f-41fc-9b1d-767886aa8010</t>
  </si>
  <si>
    <t>060cac44-e4a2-4606-b6ef-737bdc8fca5c</t>
  </si>
  <si>
    <t>583093d5-e946-4c94-b540-c1578be96163</t>
  </si>
  <si>
    <t>1ea7945d-3f60-49da-a46c-9b914abf8949</t>
  </si>
  <si>
    <t>772c140a-9ee2-47c3-a2de-e54e21e2b2e2</t>
  </si>
  <si>
    <t>f620f817-9abc-4282-9192-961b8e91c85e</t>
  </si>
  <si>
    <t>471c2870-7e45-4d48-a828-bdb93fe28d92</t>
  </si>
  <si>
    <t>bc432d99-82cb-406c-92b8-6f46d2b4142b</t>
  </si>
  <si>
    <t>c0198fdb-30f0-41d2-afa3-ffb93c813309</t>
  </si>
  <si>
    <t>c3d25ffa-d0db-4c52-baf1-d026a7e99e8b</t>
  </si>
  <si>
    <t>4688a342-f1c9-45d3-81f8-023856f6806a</t>
  </si>
  <si>
    <t>c9f6ecaf-3916-4276-aaaa-d3ccbd4a3787</t>
  </si>
  <si>
    <t>a9f90827-4b35-4f79-ae56-03b75bfeb2ec</t>
  </si>
  <si>
    <t>893ca714-f658-470f-a95c-6acd274dc92d</t>
  </si>
  <si>
    <t>de1f5f6a-33b2-44ff-aca2-1aa5e78f65f5</t>
  </si>
  <si>
    <t>bcb69ac6-65f4-4895-b381-5df8eec348a3</t>
  </si>
  <si>
    <t>Carro E.Trasero</t>
  </si>
  <si>
    <t>c25fb66d-d350-4f04-905b-6dd2bfa253da</t>
  </si>
  <si>
    <t>94ba01c6-9261-489d-9b96-a4f112e0df52</t>
  </si>
  <si>
    <t>2002c984-fa93-4103-9036-c7eb874ce157</t>
  </si>
  <si>
    <t>9dbe76e3-5e2c-481e-8bd6-018467caa914</t>
  </si>
  <si>
    <t>02ad20df-b686-411e-9574-30d52725e4fa</t>
  </si>
  <si>
    <t>1464bbe3-3d06-4960-97d5-e3133dc6f39f</t>
  </si>
  <si>
    <t>62da40d8-3a3e-40d8-81fe-4f0f2d926d4a</t>
  </si>
  <si>
    <t>5bb8086f-a400-41c1-974a-f206f5b5a67e</t>
  </si>
  <si>
    <t>155ed6e9-5273-425e-834c-108c754f3659</t>
  </si>
  <si>
    <t>Carro premontajes 1</t>
  </si>
  <si>
    <t>c6f2d032-162d-434d-a4e2-c4e672aae931</t>
  </si>
  <si>
    <t>ba385a7f-132e-45ec-abf3-d32478ea5572</t>
  </si>
  <si>
    <t>a4cccf7c-6bea-4c5c-b7ae-ad8cde2a72fb</t>
  </si>
  <si>
    <t>8c9b1986-d848-4b3d-bc82-11ac80988dbb</t>
  </si>
  <si>
    <t>0f3a4c53-ad62-4376-a6c6-b28aeeb47643</t>
  </si>
  <si>
    <t>1f2a5b82-95dc-41b5-883a-c4fef75edc14</t>
  </si>
  <si>
    <t>8a9c537a-31f9-40c1-b91f-1999e1b938fd</t>
  </si>
  <si>
    <t>bb03e606-19a7-47f5-a1e8-5fb807917bd4</t>
  </si>
  <si>
    <t>1f4c9d65-6eca-4813-b06e-34901c906af2</t>
  </si>
  <si>
    <t>0437f3d9-e4b2-4d58-af50-b10532476f6b</t>
  </si>
  <si>
    <t>71f53f58-cebf-4c23-b337-927159b9806a</t>
  </si>
  <si>
    <t>e9f58ba6-7368-4dde-aee9-230b678e72c2</t>
  </si>
  <si>
    <t>4b3ae483-d806-4cd3-b660-d22f423fafc6</t>
  </si>
  <si>
    <t>057d85ec-ade3-4474-b9ea-4586412412ec</t>
  </si>
  <si>
    <t>59535007-f992-48a5-ad4c-30f9d4d4a199</t>
  </si>
  <si>
    <t>69238eb0-3bd8-4a67-8e87-d58e4f6c296d</t>
  </si>
  <si>
    <t>2f8ff0b3-ae8a-4552-9ba7-b16d7d4bd087</t>
  </si>
  <si>
    <t>4432694d-4aab-450f-8efe-57c946258db1</t>
  </si>
  <si>
    <t>9bf723db-98bd-4c11-b635-b16c4ae09217</t>
  </si>
  <si>
    <t>79c7ab85-89e5-45a9-a99d-e0f60e4a5c03</t>
  </si>
  <si>
    <t>f12c23e9-b82b-4594-86c7-a7361b9735c0</t>
  </si>
  <si>
    <t>ce565131-cda2-42a5-87af-8b3f7097cbe7</t>
  </si>
  <si>
    <t>c0fe7e7c-8e95-456c-8967-9bdd59132db6</t>
  </si>
  <si>
    <t>d854f09a-6d73-44f3-bd33-306249e7a065</t>
  </si>
  <si>
    <t>cef301cc-0f3c-4319-b87b-1d7d266b57df</t>
  </si>
  <si>
    <t>12735ac6-e4be-432f-a416-b6adc9910012</t>
  </si>
  <si>
    <t>7d4e824b-cab1-4fd9-9993-0b91850ff521</t>
  </si>
  <si>
    <t>62f96676-e8a0-4c30-bdbd-bccde3f11c57</t>
  </si>
  <si>
    <t>b3fd5b1b-51b4-40f6-ab95-d9c986b8c570</t>
  </si>
  <si>
    <t>942ed738-4d54-4dcb-82c6-064d906f52db</t>
  </si>
  <si>
    <t>b0f7591d-a363-4aff-9af2-a97f0f039660</t>
  </si>
  <si>
    <t>56609e58-1917-4061-b80e-090613d9ebb8</t>
  </si>
  <si>
    <t>97652ced-ead8-4804-92da-166b5013adeb</t>
  </si>
  <si>
    <t>f41843ac-5bac-4095-bfc5-8ba35c6ab861</t>
  </si>
  <si>
    <t>7a974eb6-f976-45bc-ab5a-0bc41d33ebeb</t>
  </si>
  <si>
    <t>e509bb5d-2fa9-4028-a090-8a489b76105f</t>
  </si>
  <si>
    <t>7d832709-75fa-4391-85a0-496e2f2ccfff</t>
  </si>
  <si>
    <t>746193d8-7587-45d1-afd0-d731c0575e6e</t>
  </si>
  <si>
    <t>87557b38-e33f-46af-b6c6-ad685f43e31d</t>
  </si>
  <si>
    <t>710cb32d-fe32-4ac6-ac71-4280afcdb583</t>
  </si>
  <si>
    <t>aed271db-aead-4716-8084-a21ccf79f22e</t>
  </si>
  <si>
    <t>ef2cecf1-1738-487e-a433-2eb13adf9200</t>
  </si>
  <si>
    <t>9c7268cc-ade1-49c3-814d-3b47772cf3a0</t>
  </si>
  <si>
    <t>ce1af95a-4b2d-44da-9810-02a71ec48e4d</t>
  </si>
  <si>
    <t>ab8199c8-ab43-423e-88e9-f296ef0b95e3</t>
  </si>
  <si>
    <t>fb1b76d0-93e5-4674-9d16-8d6888b7821d</t>
  </si>
  <si>
    <t>819e73db-ac72-485f-95c8-d7d0fb3ed6f6</t>
  </si>
  <si>
    <t>2781f4d2-ed22-44e4-9339-00c27820b3e8</t>
  </si>
  <si>
    <t>e0614d91-91eb-49c9-9909-a2d180fa5e26</t>
  </si>
  <si>
    <t>607721da-fb10-4ec2-a21c-c63251fad400</t>
  </si>
  <si>
    <t>6c2ebc88-4e20-4657-923b-a9025038ef05</t>
  </si>
  <si>
    <t>939ddfa3-e96c-481c-b0c7-97a773579c72</t>
  </si>
  <si>
    <t>d6c75d82-3421-4005-8acc-82e2ba40ad5d</t>
  </si>
  <si>
    <t>30c8746c-5f81-4888-ae52-651cc417c22d</t>
  </si>
  <si>
    <t>64f74fcb-d4b5-4764-9a2e-6f4918e9f189</t>
  </si>
  <si>
    <t>050878b4-08cf-4c35-af45-c2f2ce8a436b</t>
  </si>
  <si>
    <t>e9b475be-8f79-4eeb-af28-1775fa81f39e</t>
  </si>
  <si>
    <t>426751e0-594e-4f39-9f89-6f7c44fcc372</t>
  </si>
  <si>
    <t>6e0662a1-e650-4330-bf63-47edae5649d0</t>
  </si>
  <si>
    <t>66583e91-512b-4dc8-afab-4da659b697d7</t>
  </si>
  <si>
    <t>7de8b02e-6532-4890-9c0c-feda66116931</t>
  </si>
  <si>
    <t>2d10cbc9-4533-4979-8abe-9b5dda12ce90</t>
  </si>
  <si>
    <t>b6807554-3e4b-4e54-88d3-fa64e000b0bd</t>
  </si>
  <si>
    <t>c42b174f-28cf-4847-83e4-409411ec8d49</t>
  </si>
  <si>
    <t>681290e7-f513-4c9b-8806-65ec4fb9be48</t>
  </si>
  <si>
    <t>a07aefdc-0a78-41b4-8020-59de71623ff0</t>
  </si>
  <si>
    <t>78bd3786-9172-4524-b222-b696f4b85b6d</t>
  </si>
  <si>
    <t>21c7332e-68fb-4002-b57c-712b989449ab</t>
  </si>
  <si>
    <t>3a78c317-7c90-4834-9091-712bb84456c4</t>
  </si>
  <si>
    <t>54406314-854d-4e3f-b78a-b9f10a594607</t>
  </si>
  <si>
    <t>5bfed7fe-8a9c-477c-b4cc-5ceddfd6adb2</t>
  </si>
  <si>
    <t>e21840b8-eade-4ced-aa5a-bf14b1a758ae</t>
  </si>
  <si>
    <t>728b78e5-6211-46d0-adaf-126121384c20</t>
  </si>
  <si>
    <t>4d7977ae-ec7f-472e-98d5-822c59c6bf03</t>
  </si>
  <si>
    <t>a179c1fa-b3e8-4043-b1eb-e9f5083d295d</t>
  </si>
  <si>
    <t>b37e25bd-3427-4d11-83c0-5a746f568128</t>
  </si>
  <si>
    <t>b0091e92-bddc-4b6a-bcfe-15e1fa8fb677</t>
  </si>
  <si>
    <t>04ed8090-0013-4cfd-9805-d5ccf5b21f50</t>
  </si>
  <si>
    <t>36bb6334-bf11-41ad-8498-b53bb00a2cd5</t>
  </si>
  <si>
    <t>f030b246-8507-4139-87e9-0f9748670aa6</t>
  </si>
  <si>
    <t>dc30cd36-2e95-4535-9639-3fb64fb2e26c</t>
  </si>
  <si>
    <t>2a74a348-a8ca-45f7-a45a-74b60b5bd348</t>
  </si>
  <si>
    <t>0f96af5b-928e-4fbd-bdb2-d6c3ac3cec07</t>
  </si>
  <si>
    <t>ae7aa773-01e8-4183-b383-3d93033eb3e1</t>
  </si>
  <si>
    <t>75fa803e-446b-42a3-bf70-bb183b177eda</t>
  </si>
  <si>
    <t>fd94a6f5-b5cf-4fcb-acf8-0eb49d7e83cd</t>
  </si>
  <si>
    <t>8158d1b7-8c83-4ceb-9ae7-f4e0930bd847</t>
  </si>
  <si>
    <t>fb517a8d-baaa-4a8f-b0da-f381d82ef3c9</t>
  </si>
  <si>
    <t>cf40d000-8762-4d28-aa47-a5d76f317289</t>
  </si>
  <si>
    <t>b8402cbf-b8e7-41a4-bbc8-1d40d38d9d8f</t>
  </si>
  <si>
    <t>170860a4-b80c-44fe-ae2a-1c9a2d83a245</t>
  </si>
  <si>
    <t>b48f545c-cadf-41be-80a0-48e8a615af2e</t>
  </si>
  <si>
    <t>2ad8d863-c3d6-4acc-83de-1736b14f41b5</t>
  </si>
  <si>
    <t>0056da2b-25ab-4d74-803f-6bea59bcb46b</t>
  </si>
  <si>
    <t>7168d425-8bf6-4f12-8f6a-ddd5ed5a5b19</t>
  </si>
  <si>
    <t>a27964ec-abc4-43a7-b2cf-58e89ac6ed4f</t>
  </si>
  <si>
    <t>cd704882-7a5d-44f2-9b58-cbacbab780d6</t>
  </si>
  <si>
    <t>17eb420f-8e1b-4d81-a2fe-47c7e75a5a15</t>
  </si>
  <si>
    <t>24e2e527-a415-4515-b2e1-e5e29783ebfd</t>
  </si>
  <si>
    <t>118bbd96-513a-447f-87c7-0c8372c59c0a</t>
  </si>
  <si>
    <t>fd2e78d0-351e-4d33-b8f1-164164db7d3b</t>
  </si>
  <si>
    <t>c795f24b-2932-40ff-9379-afefd1d69c80</t>
  </si>
  <si>
    <t>6fdabd16-1da1-404e-abbe-a23f73cf03c0</t>
  </si>
  <si>
    <t>107d3d67-b636-4164-bb73-fb87620efe82</t>
  </si>
  <si>
    <t>85dae720-cdee-4f4b-90e4-f41610b92649</t>
  </si>
  <si>
    <t>c9359407-36e6-430f-b6c8-d0033d26c142</t>
  </si>
  <si>
    <t>4eb7bb6d-3596-478b-8649-898fd43c145d</t>
  </si>
  <si>
    <t>5f9d0e15-177f-4bd2-bc6b-a39a6c0afb88</t>
  </si>
  <si>
    <t>7958ed14-1f4b-4fb6-a9af-bfd96a573ec3</t>
  </si>
  <si>
    <t>Unificación de módulos</t>
  </si>
  <si>
    <t>8e682f9d-fe73-483c-abca-ad56c8156239</t>
  </si>
  <si>
    <t>4758c144-16d6-4407-ada6-5c81107853bc</t>
  </si>
  <si>
    <t>8b4878ae-28f6-4b90-a594-e52e2e08ac69</t>
  </si>
  <si>
    <t>72f9c65d-d0a0-43a0-9283-39636fe618d8</t>
  </si>
  <si>
    <t>d030fdea-cbfa-4a70-afc3-6148a60b8be2</t>
  </si>
  <si>
    <t>88ca3c83-c3ee-4534-81e0-2b3d9ca7fea8</t>
  </si>
  <si>
    <t>31e93a01-1533-40c5-9845-0b8d4e22cbbf</t>
  </si>
  <si>
    <t>d395316f-cc17-4f9f-961b-bd9c8fcbd065</t>
  </si>
  <si>
    <t>5ec97f4d-2f4f-48b0-b227-89bf05e7c4a7</t>
  </si>
  <si>
    <t>8726b4cb-94f1-4bae-a59c-c54715ff5118</t>
  </si>
  <si>
    <t>cf3ec91c-4883-45fa-89bd-45920c618455</t>
  </si>
  <si>
    <t>1f7b3ebc-a04c-4683-a447-28ac865d86b6</t>
  </si>
  <si>
    <t>80765ff2-164f-456f-92c8-37e184b7922a</t>
  </si>
  <si>
    <t>123045d3-4a55-410c-93e4-6eca3b5af85a</t>
  </si>
  <si>
    <t>6e5f0056-74f9-420e-8e25-1b37df7c9b7a</t>
  </si>
  <si>
    <t>87970862-9ae9-40e8-88ac-c99a94bb303e</t>
  </si>
  <si>
    <t>90931118-e91d-45b6-afd2-ecc872969527</t>
  </si>
  <si>
    <t>0e2a9a15-7861-4f8a-ba12-f462ff6d958f</t>
  </si>
  <si>
    <t>35242a20-a6d0-4a84-b344-bf4bf5d006bc</t>
  </si>
  <si>
    <t>6d1a9b77-0adf-4b83-905e-436c983b5e19</t>
  </si>
  <si>
    <t>ae807eaa-8922-412f-be36-3466b05a63dd</t>
  </si>
  <si>
    <t>c72c631e-f6df-4661-9e4d-8d6d9067771b</t>
  </si>
  <si>
    <t>38878850-fee4-4f59-8db8-4ce3dd8a7e39</t>
  </si>
  <si>
    <t>d93bf8c1-2a83-4cab-8dfd-aa4c6fe09faf</t>
  </si>
  <si>
    <t>d43e240a-7909-4f7d-9218-5e477ab990ea</t>
  </si>
  <si>
    <t>96291d7b-d7a1-4c23-bf8a-315a72e7445d</t>
  </si>
  <si>
    <t>0e46d47b-7376-4bde-ad0a-bb48bf7598c7</t>
  </si>
  <si>
    <t>51786d15-0533-4b4b-a517-786458426677</t>
  </si>
  <si>
    <t>dd803989-c80e-4192-8e3b-4c1c40583285</t>
  </si>
  <si>
    <t>d865a6e1-4cff-4a6d-bcc3-dd8363646512</t>
  </si>
  <si>
    <t>8bd78119-7a35-44ff-805a-446e1faaf240</t>
  </si>
  <si>
    <t>a8184120-462e-4846-8885-5d18251a2105</t>
  </si>
  <si>
    <t>231b1963-e8c2-4c6a-be52-ccdaefb30078</t>
  </si>
  <si>
    <t>8f535ba1-4614-42f5-9694-e9e6bd4b5f1d</t>
  </si>
  <si>
    <t>b63f24e8-8e01-4f97-9f65-f6eeabc0686e</t>
  </si>
  <si>
    <t>84727320-0011-42f5-a5f2-482d26c20d2c</t>
  </si>
  <si>
    <t>cf57a8d2-15fb-4780-9306-6e492d70b7cb</t>
  </si>
  <si>
    <t>e38462fa-0d25-40a0-9292-bce515b4aaa3</t>
  </si>
  <si>
    <t>ff06ae2f-9ebf-42ef-a291-e06a9001f9c2</t>
  </si>
  <si>
    <t>d72eb5d7-d459-45ac-88ad-fd7a2a0800f2</t>
  </si>
  <si>
    <t>2d5e2be8-6501-4baf-afa7-c6e64b87ad99</t>
  </si>
  <si>
    <t>c3a2c711-af4b-4a90-a560-0d2e3d7a4382</t>
  </si>
  <si>
    <t>72c5f356-42f8-4139-9e4f-552915a877a0</t>
  </si>
  <si>
    <t>ce013318-e900-4fc3-8b6b-fc6ede907a3c</t>
  </si>
  <si>
    <t>9c21ae89-becf-4669-bfe4-4364d8d98f97</t>
  </si>
  <si>
    <t>a0331b5b-2d3f-49e9-8d24-306a819daec9</t>
  </si>
  <si>
    <t>4c183c04-57ed-4ae7-8825-c9d2069a4f55</t>
  </si>
  <si>
    <t>6b0de78b-98e1-4a38-aaf1-49e005d75349</t>
  </si>
  <si>
    <t>f4a91a48-f1bc-4edf-a2f3-b73d808369bb</t>
  </si>
  <si>
    <t>fcce19f0-7ec6-4f1c-9c9a-ded0127cc40d</t>
  </si>
  <si>
    <t>7a511c98-9f01-49a0-90fd-c54e6bd98c58</t>
  </si>
  <si>
    <t>e58b434a-9109-4441-b3fd-009b41e9a870</t>
  </si>
  <si>
    <t>6a8d4833-cd0c-42e7-848e-38940131d924</t>
  </si>
  <si>
    <t>adadfb62-56ad-4990-9553-703eb0b44d2e</t>
  </si>
  <si>
    <t>62ea8076-82e7-4ec8-9dd6-df1baa435eb4</t>
  </si>
  <si>
    <t>62acb996-6f4e-4862-aa01-ee577b9c5baf</t>
  </si>
  <si>
    <t>1958c346-7447-49a4-a674-63b469486704</t>
  </si>
  <si>
    <t>0b77f01b-0859-4bfe-aa42-970df26f1674</t>
  </si>
  <si>
    <t>078498c5-4c36-4f9c-ac82-7f1c8c7706ef</t>
  </si>
  <si>
    <t>33b06c6a-a8f6-4214-b07c-b8d5f2b9f166</t>
  </si>
  <si>
    <t>c17e687d-f09e-4b33-92fb-4a12fdbf9b63</t>
  </si>
  <si>
    <t>ba96da79-d3c4-4a93-a7c5-f44b35c71f8c</t>
  </si>
  <si>
    <t>ff5a52a6-cb42-458d-ac08-7703f9f14386</t>
  </si>
  <si>
    <t>64e600a4-8e32-438d-9493-8c0db644645e</t>
  </si>
  <si>
    <t>7940ea42-de94-48d1-8a74-44e3ff3a06ad</t>
  </si>
  <si>
    <t>28fd1b84-a4c2-4a7c-9340-beedee2f6bca</t>
  </si>
  <si>
    <t>8c367dd9-597e-437d-9f38-2115cbc54865</t>
  </si>
  <si>
    <t>5b9bf104-4748-43f5-b693-c60ca5421fa3</t>
  </si>
  <si>
    <t>39fc054a-e24f-408f-9bee-b001eed1cfb2</t>
  </si>
  <si>
    <t>e213cc63-9aba-4d8e-86e5-ac815b9ef618</t>
  </si>
  <si>
    <t>72bdb5e8-d4af-4ce1-9e3b-f11c9ce4070a</t>
  </si>
  <si>
    <t>85507fa2-b4d0-4254-8234-3f284e4c8084</t>
  </si>
  <si>
    <t>552081d4-a67d-4880-ae91-d888811292fa</t>
  </si>
  <si>
    <t>c5fae641-62f0-4cbb-b308-18c84b7deba7</t>
  </si>
  <si>
    <t>2a8e8e4b-db10-4b9e-bbe0-f22b7727a1ed</t>
  </si>
  <si>
    <t>aba1fbc7-ec7a-4428-baac-ec91b134bbf4</t>
  </si>
  <si>
    <t>7e5660c6-e7f9-4ec9-ac94-7c1be5b585c0</t>
  </si>
  <si>
    <t>aba0debf-4235-49ea-b974-b8e616666677</t>
  </si>
  <si>
    <t>67d44a7a-50bd-4723-b909-9e60588e105c</t>
  </si>
  <si>
    <t>cf2c95d7-06f1-46ad-8bc2-889613cc1eab</t>
  </si>
  <si>
    <t>4711bdd7-3386-43ef-b472-c83b09552dc0</t>
  </si>
  <si>
    <t>4cb566fe-eda3-4e7b-a30d-320b0809e5d2</t>
  </si>
  <si>
    <t>1787424d-faa5-407d-adee-97209251331a</t>
  </si>
  <si>
    <t>9309941b-6e23-4e7c-83d3-e5453ee864bf</t>
  </si>
  <si>
    <t>f276cb0a-5e9c-44e2-89b7-9665ed1f8565</t>
  </si>
  <si>
    <t>da4b3a46-9e95-44c1-b2cf-87301114d30a</t>
  </si>
  <si>
    <t>b433d11c-28f0-4546-852a-d5a91dc1ead0</t>
  </si>
  <si>
    <t>dc9f8864-646e-4fdc-91ff-19db4611302d</t>
  </si>
  <si>
    <t>d1d3a746-fc98-4ed7-90fc-7bcffc50de99</t>
  </si>
  <si>
    <t>c8b380d7-3717-4ba1-b155-bb1363ff52fb</t>
  </si>
  <si>
    <t>ade1b7d4-eb0e-4b4c-84d5-eea0f668ba38</t>
  </si>
  <si>
    <t>5c741248-f01b-46c6-8fd8-63079fc2133f</t>
  </si>
  <si>
    <t>8f7a80e4-4ec7-4186-8687-d4033631b4ee</t>
  </si>
  <si>
    <t>c481b9af-462c-4f78-b4e2-c031ea34ea7c</t>
  </si>
  <si>
    <t>7ab40fa7-27d2-474d-8289-5c71dcad0797</t>
  </si>
  <si>
    <t>51070eae-0024-4c88-906f-31fea38d1240</t>
  </si>
  <si>
    <t>96130bd6-87ba-4807-9016-dfd3b2929c13</t>
  </si>
  <si>
    <t>c23ef8f8-f6ff-4761-8e0b-d0c8bd6db512</t>
  </si>
  <si>
    <t>0cef2925-aa33-44e6-80b1-589dc2ddf96b</t>
  </si>
  <si>
    <t>5d028276-8cc6-45fd-ac7f-4bcfb63eb97a</t>
  </si>
  <si>
    <t>274b4195-de51-44a9-b39d-173d7887ce74</t>
  </si>
  <si>
    <t>aa2ec6b6-fa46-4f18-9723-fed63ac10543</t>
  </si>
  <si>
    <t>2aa973df-39d2-4784-b424-44dd7d537c39</t>
  </si>
  <si>
    <t>6194ac68-bbea-4b45-872b-2bf3fb26f881</t>
  </si>
  <si>
    <t>296fe741-55ae-4065-b85a-1f7336eddc68</t>
  </si>
  <si>
    <t>60e80b5c-5b2a-4346-b478-9242d84151cf</t>
  </si>
  <si>
    <t>8e268212-d843-4ca4-a59e-355b861d9b7e</t>
  </si>
  <si>
    <t>c7886efd-3d76-4678-a989-081129cfe229</t>
  </si>
  <si>
    <t>c69f1546-bc96-4d3c-9396-701aa1988ccb</t>
  </si>
  <si>
    <t>43f670f7-233b-4bdf-a0bc-0e0b360c9291</t>
  </si>
  <si>
    <t>e6346e22-4e47-4ceb-937f-e14571f22386</t>
  </si>
  <si>
    <t>a58e68c2-95d8-4b47-955d-a90bba6f9f03</t>
  </si>
  <si>
    <t>3806aa7c-f9b2-445d-aee0-5a661c578f9f</t>
  </si>
  <si>
    <t>13c16b76-0107-4e23-9a76-73648b821fda</t>
  </si>
  <si>
    <t>f3ebab3c-282c-4100-b5fa-700c4acf8190</t>
  </si>
  <si>
    <t>1a5e204b-fda2-47c6-a96b-0f39c63793e9</t>
  </si>
  <si>
    <t>036959b2-671f-4cba-a380-d1fd4b21f038</t>
  </si>
  <si>
    <t>82ba7148-e04e-4118-ac54-ae93a24174e9</t>
  </si>
  <si>
    <t>e176ea88-d8df-46c9-ba92-2510cbcca182</t>
  </si>
  <si>
    <t>71e5b334-7943-46f5-9480-70b0f9a3fa23</t>
  </si>
  <si>
    <t>589444aa-f549-41c5-920a-1512a468685c</t>
  </si>
  <si>
    <t>9c38c16c-ac81-44c8-9ed3-47686cac7b4d</t>
  </si>
  <si>
    <t>a0e40fcd-96e3-423f-b22b-65bf1e261afc</t>
  </si>
  <si>
    <t>70637828-d47d-4120-a84d-ece9396e96a0</t>
  </si>
  <si>
    <t>3600a4bb-04b3-4633-b522-816afdf6f24d</t>
  </si>
  <si>
    <t>d78f5106-5099-453f-95a3-01e52d05da4b</t>
  </si>
  <si>
    <t>4297422d-2ef9-424a-8421-8399beb27f51</t>
  </si>
  <si>
    <t>7cddc0c3-5487-4aa0-89c6-404f668c958c</t>
  </si>
  <si>
    <t>5c6744eb-c0e9-4f50-ba19-76a2da390725</t>
  </si>
  <si>
    <t>7f672b60-6259-4127-9bb2-b71dce237ece</t>
  </si>
  <si>
    <t>a21c8266-8357-4334-a58d-5ea787a0cec5</t>
  </si>
  <si>
    <t>d49a5e73-60a4-4531-b95d-7440c6aba517</t>
  </si>
  <si>
    <t>7954a544-4411-4f7f-b75d-70b10c1e9c2d</t>
  </si>
  <si>
    <t>796e61c3-0597-476a-b8da-ac6a95c6bd55</t>
  </si>
  <si>
    <t>4ae5de2e-d9bd-41e3-823e-d2a453f1d383</t>
  </si>
  <si>
    <t>c35c6ac9-254d-4cc7-ae8c-fa01566577ca</t>
  </si>
  <si>
    <t>135e83e9-e107-4d01-8793-f572369476c3</t>
  </si>
  <si>
    <t>69cfa6cc-817c-4f74-8411-adf759deb7a7</t>
  </si>
  <si>
    <t>bddc1746-33e7-4924-9651-45ef3cb9efe0</t>
  </si>
  <si>
    <t>8471c007-4a78-42fa-9b4a-8ef3747d8f37</t>
  </si>
  <si>
    <t>624c7b77-4ec5-4176-993e-1da475e59e4e</t>
  </si>
  <si>
    <t>6a35f65b-6057-4ebb-8ff2-60eea4d18007</t>
  </si>
  <si>
    <t>0831ce3d-a6a3-4ee0-b2d6-d8ee093a7d20</t>
  </si>
  <si>
    <t>8e3f3082-9cf8-4f4e-b3d1-3860ff14d4c3</t>
  </si>
  <si>
    <t>8be98e95-15f6-4e28-997a-2545c8be8d5e</t>
  </si>
  <si>
    <t>c580c723-44a9-47a0-b7bf-f0c38edabf4b</t>
  </si>
  <si>
    <t>859bfb1d-1954-48d0-8817-79eb085bd975</t>
  </si>
  <si>
    <t>301acfc5-72b9-4651-8d76-5e7fe9a5bdf1</t>
  </si>
  <si>
    <t>fd31f63c-7fa8-4ba3-ab2d-0989e9ffa11a</t>
  </si>
  <si>
    <t>5443bfc2-41cf-4db3-bbf9-560d9503b279</t>
  </si>
  <si>
    <t>55a4381e-bcdb-4036-8331-bde68bde742a</t>
  </si>
  <si>
    <t>e493f171-601f-450a-962e-de776941889d</t>
  </si>
  <si>
    <t>70ed13c2-2c5b-4718-8ad4-278eafd43d61</t>
  </si>
  <si>
    <t>ba675dee-436b-40ad-bfd9-5aad9904fce1</t>
  </si>
  <si>
    <t>39a816cd-2cf9-4fcb-ac3d-d4fefa1275e2</t>
  </si>
  <si>
    <t>fd611d31-cfb4-4fca-909e-3ad05bc8e139</t>
  </si>
  <si>
    <t>d419ff14-15cc-4afc-a88b-462218c1a4ad</t>
  </si>
  <si>
    <t>6f5c03c8-686b-4541-a4fd-d1c5d37a236e</t>
  </si>
  <si>
    <t>5e0d9862-237f-4497-9546-0f60478b953e</t>
  </si>
  <si>
    <t>c163bd5d-20ab-4768-8396-21665501c144</t>
  </si>
  <si>
    <t>945d7010-774a-4516-9515-c6eca476eeeb</t>
  </si>
  <si>
    <t>5c479ffe-b2c9-4a7c-821b-c99e76c23cdf</t>
  </si>
  <si>
    <t>e3c44da1-3cb6-41ac-b990-e6a64960639d</t>
  </si>
  <si>
    <t>a3922d6f-7403-41f1-8882-eb580fd6600e</t>
  </si>
  <si>
    <t>9900d2a7-2485-4316-b600-60b931906069</t>
  </si>
  <si>
    <t>a2b3fda9-8409-4b60-a326-4191b1ae7425</t>
  </si>
  <si>
    <t>6f2ef65e-5bf6-4e33-8885-8d071df457d2</t>
  </si>
  <si>
    <t>00452cd8-5c5a-4889-96ae-fa6518e3f11c</t>
  </si>
  <si>
    <t>4059a7a1-2f73-43e6-a1f6-7b72a9dad76f</t>
  </si>
  <si>
    <t>fb571d36-c565-4ea2-bff6-b6d43df0f6e3</t>
  </si>
  <si>
    <t>f1b9844c-04e9-4d69-845d-b30e22795744</t>
  </si>
  <si>
    <t>103e6469-047f-4d34-ac57-e9a17f371443</t>
  </si>
  <si>
    <t>a9713da9-5327-40e0-8c23-b603de779a3f</t>
  </si>
  <si>
    <t>2fe56beb-d497-4fef-a0fa-003f585bb508</t>
  </si>
  <si>
    <t>06f4ac31-d588-49f4-bc5d-8f8440040d42</t>
  </si>
  <si>
    <t>ec9a3f75-6d77-4bf7-8718-c9e47966cee7</t>
  </si>
  <si>
    <t>f518e16b-f59f-416a-8723-ee73e521393b</t>
  </si>
  <si>
    <t>e5680dd1-3a47-4bcf-8ea0-8d7a0ca7df23</t>
  </si>
  <si>
    <t>75b5e653-1a2d-4a43-87bc-21c1170510c9</t>
  </si>
  <si>
    <t>a4dff4e0-a1be-4cad-ad60-0e56d10179e8</t>
  </si>
  <si>
    <t>25725fbf-1d9e-49c3-8791-ac38f6ae9ab8</t>
  </si>
  <si>
    <t>32247b04-5c89-4515-a2c4-3825e257ee87</t>
  </si>
  <si>
    <t>10f879b8-6506-4dee-ba5d-e8b22df605c9</t>
  </si>
  <si>
    <t>7117500d-e8a4-4d35-b5da-c3a47ca4a749</t>
  </si>
  <si>
    <t>286ec865-1c6b-4a4c-b378-261d0c643bba</t>
  </si>
  <si>
    <t>1ca9f571-af30-4442-bd34-59d208e73adf</t>
  </si>
  <si>
    <t>39b408e9-2547-4489-ae70-029324a95936</t>
  </si>
  <si>
    <t>80d36eb9-f57a-4b4e-88bf-9316a83b0100</t>
  </si>
  <si>
    <t>2269ebad-850c-4925-8ba1-e49cb46cf548</t>
  </si>
  <si>
    <t>33d3896c-762c-4446-93ab-33424c6d2d55</t>
  </si>
  <si>
    <t>a591c4b5-754b-453f-9da2-b93283f3b58f</t>
  </si>
  <si>
    <t>c88f7fae-e4b3-4e73-a0d7-917214cbf28e</t>
  </si>
  <si>
    <t>651a0f7b-a262-4ea4-9bb3-b73c4ccf9df7</t>
  </si>
  <si>
    <t>e03b7a49-2f99-4489-a74f-e41a5057c5da</t>
  </si>
  <si>
    <t>002221ea-9ca9-4f88-8143-21e1fd0ecec9</t>
  </si>
  <si>
    <t>66e39f7d-675a-4244-9de0-33d5ff07dabd</t>
  </si>
  <si>
    <t>e9740f22-1312-47d9-9822-53c5af31d387</t>
  </si>
  <si>
    <t>7e4ee4dd-88f0-4563-9ea9-9a59aefaa4fd</t>
  </si>
  <si>
    <t>12c0a45f-5988-41cb-abe9-5d9000a9dbd1</t>
  </si>
  <si>
    <t>92f37841-57eb-4b79-9d27-8320991598fc</t>
  </si>
  <si>
    <t>b014fab4-39c5-42f1-859f-9291964c7933</t>
  </si>
  <si>
    <t>d872e4da-9f87-4cb5-8e5d-65661b4f8459</t>
  </si>
  <si>
    <t>d7442992-e6a9-4635-89d7-e8eb5e747496</t>
  </si>
  <si>
    <t>b183ef37-6c88-4ca6-aaf0-7bf8569408e8</t>
  </si>
  <si>
    <t>82b612b3-b043-4a9a-995e-a919fbf32474</t>
  </si>
  <si>
    <t>d80ae967-485a-4dc8-912c-3a76e2f0a3c5</t>
  </si>
  <si>
    <t>8101c840-1dce-4e1b-8623-34fac6203144</t>
  </si>
  <si>
    <t>16716b73-eb06-444c-80f3-988a7cdaaf16</t>
  </si>
  <si>
    <t>346c1c08-7211-4305-b2b8-314064f0eeb6</t>
  </si>
  <si>
    <t>465d0114-a3eb-46d8-bdc0-6123c0085b87</t>
  </si>
  <si>
    <t>c2c0b7ce-963b-4e12-a56e-42c2ed576882</t>
  </si>
  <si>
    <t>dcee2f54-e457-4ab7-8e58-ba7b8064b5b5</t>
  </si>
  <si>
    <t>bc0b1ec1-92d0-463a-8841-66b0437cdf85</t>
  </si>
  <si>
    <t>6a6f3346-b298-44b6-9df9-07f7aed6b072</t>
  </si>
  <si>
    <t>2323e0c5-fe8a-4182-b78d-4eba7ab9c10e</t>
  </si>
  <si>
    <t>d15fcf5b-7d76-4ce5-bca1-094db95526b5</t>
  </si>
  <si>
    <t>982e4d9c-ff8d-4337-98cf-e75b1bac158b</t>
  </si>
  <si>
    <t>02a5c5ba-58bf-4094-aa1e-d6a06195d762</t>
  </si>
  <si>
    <t>54d672c4-1efb-4009-83c8-d5a076a49471</t>
  </si>
  <si>
    <t>42438a80-6923-4188-bc17-dbd7c38ba5f8</t>
  </si>
  <si>
    <t>e19a0b38-21c5-465a-a9cd-c5f6942a103d</t>
  </si>
  <si>
    <t>5fc7ac98-194c-41a5-88cb-71602cee5be3</t>
  </si>
  <si>
    <t>66c2c384-2bfd-461b-aecd-b0829a2cf335</t>
  </si>
  <si>
    <t>c57aefa1-c499-4600-adb2-f4908a09c465</t>
  </si>
  <si>
    <t>362a4dac-fc22-41bf-b775-804d6d3bebba</t>
  </si>
  <si>
    <t>937940f1-d6fc-4300-a47b-4fdbb467818e</t>
  </si>
  <si>
    <t>5f147d39-625d-46ea-b375-c69a893b74e4</t>
  </si>
  <si>
    <t>8fdadd40-4b77-43ef-bcc2-9b753b49a6af</t>
  </si>
  <si>
    <t>6e59dfd7-35bb-4173-a250-f52378a287e5</t>
  </si>
  <si>
    <t>eef66ca3-472c-49d0-8923-a950995e9db3</t>
  </si>
  <si>
    <t>90cda898-d4a1-4118-ac3a-736115d6d257</t>
  </si>
  <si>
    <t>7f3f96fb-ec59-4176-a096-24f87da0facd</t>
  </si>
  <si>
    <t>b28b0964-aff7-45db-bd78-fd7fd1217a0c</t>
  </si>
  <si>
    <t>8d2b1501-8c13-4d9c-8c03-2045ce09b69e</t>
  </si>
  <si>
    <t>9c8af76e-97e2-4db7-aac5-1becf148386f</t>
  </si>
  <si>
    <t>68744c35-9c86-45f3-ae3e-18ead0a3abc3</t>
  </si>
  <si>
    <t>7f305c19-5090-4bef-8d87-b0367f10743e</t>
  </si>
  <si>
    <t>9f39caab-407f-4a80-b0c6-5418bb240e7e</t>
  </si>
  <si>
    <t>f4aa0ce6-3cd9-4202-9898-e8144e7c3148</t>
  </si>
  <si>
    <t>f40ce72a-6ee9-4348-b1a1-df42c66af8a8</t>
  </si>
  <si>
    <t>09836bcd-4d70-4ce3-8574-c180fe8c936c</t>
  </si>
  <si>
    <t>dba22c0a-7c45-408d-831a-8e37208141d7</t>
  </si>
  <si>
    <t>c21d4db2-682c-447e-9914-2433ae1f9712</t>
  </si>
  <si>
    <t>f70884ff-a275-43ec-80e0-e9ab1c252ecf</t>
  </si>
  <si>
    <t>3b4b327a-5691-407b-b611-ed698b545d48</t>
  </si>
  <si>
    <t>b5fd7ce6-09a1-4436-9702-5ecd2652ab51</t>
  </si>
  <si>
    <t>69da070b-2deb-4a77-93ae-dd12918a919e</t>
  </si>
  <si>
    <t>f0aca42c-2c72-4a48-845d-1e67cd4f2b71</t>
  </si>
  <si>
    <t>a21b2eec-29ca-4cc3-a5f9-f336c60d8ed1</t>
  </si>
  <si>
    <t>7ba46d36-3e88-4dc2-982f-1f99b3270602</t>
  </si>
  <si>
    <t>0f617621-482d-4e19-9f23-5684b98648c7</t>
  </si>
  <si>
    <t>7cb54d84-2fa4-4344-8717-b5e8f3958c6f</t>
  </si>
  <si>
    <t>542bc1e8-8c6e-482a-8f43-79142516ccde</t>
  </si>
  <si>
    <t>b950b051-e932-474b-b697-bbb70a1e9fa0</t>
  </si>
  <si>
    <t>4ac9e1b9-d7cf-4356-9e4a-a1b4abfb1140</t>
  </si>
  <si>
    <t>495e0390-fdf1-47cb-a11c-44190da8fef0</t>
  </si>
  <si>
    <t>2d08df42-37bc-4ee1-ae9f-363831006b51</t>
  </si>
  <si>
    <t>614811b6-f717-46ed-9de4-f5dcdabd601e</t>
  </si>
  <si>
    <t>94808f9a-40f7-469c-b0a3-f26b4b023be7</t>
  </si>
  <si>
    <t>29e2956f-6cd4-451e-b693-aef352dae54a</t>
  </si>
  <si>
    <t>6666f9fe-1322-49cd-8a80-e5a296a5d8cf</t>
  </si>
  <si>
    <t>71b4279d-217d-424c-ada1-4d2f6319a480</t>
  </si>
  <si>
    <t>4f0e7f84-22e5-459e-bae5-2e7e5232a700</t>
  </si>
  <si>
    <t>615fdf1b-1adb-4781-bc77-04596e21f804</t>
  </si>
  <si>
    <t>a261a69a-0e67-41e9-b65e-85727155f2e7</t>
  </si>
  <si>
    <t>b6bea7c3-c013-43e0-b320-81045f5d9534</t>
  </si>
  <si>
    <t>f3bd92b0-4868-4515-ab89-71214b4212bd</t>
  </si>
  <si>
    <t>af7294af-69f0-40e8-a365-30b110d6a0df</t>
  </si>
  <si>
    <t>2f4c4bcb-8755-46df-808b-5152479ea5bb</t>
  </si>
  <si>
    <t>bbe17474-4165-40aa-99c6-b57235d8ca30</t>
  </si>
  <si>
    <t>ab77d4dc-ce97-419d-a382-8997d282c1ca</t>
  </si>
  <si>
    <t>110361fa-0fef-40a8-b293-f925410a24ca</t>
  </si>
  <si>
    <t>e5ee0c72-03f7-4bca-8bc2-ff80d167ff41</t>
  </si>
  <si>
    <t>a48219c0-7dfc-4ab6-be5f-28224d4deb97</t>
  </si>
  <si>
    <t>3cab988e-a542-4464-be14-7f7eb772df16</t>
  </si>
  <si>
    <t>69caeb12-f5e2-4f4b-9cbd-9ef7f8912c87</t>
  </si>
  <si>
    <t>2d36c486-05dd-4b58-afc5-3f77ba5b7ea2</t>
  </si>
  <si>
    <t>b3c84c6b-ca1e-427d-9edb-4ac7eae825e8</t>
  </si>
  <si>
    <t>1965fb4f-b42a-4f15-92c1-2e7f2f058767</t>
  </si>
  <si>
    <t>0494109b-5956-4f19-8113-34081af72a74</t>
  </si>
  <si>
    <t>7c5870ed-b8d1-4ead-a039-44e4fa2cdd94</t>
  </si>
  <si>
    <t>d6dc2b7c-91d5-4f54-bec4-06cdaeb22aa6</t>
  </si>
  <si>
    <t>Constellation 17280.24LC5B</t>
  </si>
  <si>
    <t>8e468ff7-e998-4281-adf8-ffd38591b0ba</t>
  </si>
  <si>
    <t>dadc3b2e-4a5f-429e-9822-4c3e1aa8d548</t>
  </si>
  <si>
    <t>8c40de52-950e-485e-bb2e-b866a0bb8c75</t>
  </si>
  <si>
    <t>7fc780af-83a6-4572-85e3-19396e034072</t>
  </si>
  <si>
    <t>5d917803-bbcd-486e-8c2f-4bc684aad6d6</t>
  </si>
  <si>
    <t>96ea62c0-e95e-49a7-94a8-4203570d6fe6</t>
  </si>
  <si>
    <t>c24a6130-2284-401c-9dc3-a19c1e96face</t>
  </si>
  <si>
    <t>96e414f9-8a33-44dd-ad51-c5abb76ae75a</t>
  </si>
  <si>
    <t>db4d9376-b50c-4b04-8017-9f9b357548bd</t>
  </si>
  <si>
    <t>dd1d8e5b-0eb2-4db9-9d77-7ef71bbe90df</t>
  </si>
  <si>
    <t>e5f08bb8-e224-4b9b-b126-86de88376f48</t>
  </si>
  <si>
    <t>9dc87b6e-d108-47cd-8f60-d1736f9a6e61</t>
  </si>
  <si>
    <t>e0c1bfb8-d08a-4911-bb16-c9a6864fd2da</t>
  </si>
  <si>
    <t>a77d17ba-c77e-4219-93de-c4fc03734188</t>
  </si>
  <si>
    <t>02998a1d-e961-4583-a2cf-49b3ef5b790f</t>
  </si>
  <si>
    <t>6a629ec0-2be8-4db5-ac42-07e5d79b6d65</t>
  </si>
  <si>
    <t>e299a415-a17f-4ca9-9fa4-7d64cbd0f7fd</t>
  </si>
  <si>
    <t>734a72ab-150b-48b7-bb94-875021dcd1a8</t>
  </si>
  <si>
    <t>b7724f45-2bc3-4fb4-80fb-8c1b70283c1e</t>
  </si>
  <si>
    <t>914d9ffd-dd9d-4c40-91a9-3dc91623e30c</t>
  </si>
  <si>
    <t>5f61a228-4ab6-4baf-96e5-c20d82d4f218</t>
  </si>
  <si>
    <t>1423d662-5396-4055-9463-fc489d719957</t>
  </si>
  <si>
    <t>994e8be9-3d28-43b3-87e9-679eabb864c0</t>
  </si>
  <si>
    <t>6459644b-ffe2-4a8e-89e4-febf5220ff9c</t>
  </si>
  <si>
    <t>911c526a-b51c-4af9-a9cf-823fa6b3e2fe</t>
  </si>
  <si>
    <t>afb0cd43-9142-42ec-a340-40eb4530626c</t>
  </si>
  <si>
    <t>a4cf3866-dac5-4f67-9e8b-f6a956b5260e</t>
  </si>
  <si>
    <t>e6d61970-0c7b-4183-a427-325ed3950949</t>
  </si>
  <si>
    <t>9343df93-f14b-4a32-95f2-6a0debeb9107</t>
  </si>
  <si>
    <t>5c269535-7510-4ca8-89d8-629910c5263a</t>
  </si>
  <si>
    <t>17076e3b-7da7-4e17-8dc3-2097bd618a8a</t>
  </si>
  <si>
    <t>750ad3b9-e623-4cd8-8ac4-cdb792a2d456</t>
  </si>
  <si>
    <t>a9adbeb0-d8f3-4b68-824c-3e634e093035</t>
  </si>
  <si>
    <t>809c7d01-f99c-4429-a09c-9b223cb48b01</t>
  </si>
  <si>
    <t>adf203fb-775c-4d0e-9eb8-a5808b0fa9f7</t>
  </si>
  <si>
    <t>aeb1f86d-1188-47c5-bd97-d000a59b0123</t>
  </si>
  <si>
    <t>fbb0da43-2bc3-420d-825e-260bc1687fce</t>
  </si>
  <si>
    <t>84698fb5-4ce0-4e60-95cf-ca230cae064d</t>
  </si>
  <si>
    <t>9f18443b-dae7-4165-836d-b91b39a819a5</t>
  </si>
  <si>
    <t>3b623450-7af1-480c-bafb-75d8c328048e</t>
  </si>
  <si>
    <t>c4a3f775-343f-421f-952f-7e80dc89611a</t>
  </si>
  <si>
    <t>617f9a4e-0da6-436e-9e38-dc011c7f77cf</t>
  </si>
  <si>
    <t>169afb06-8241-4865-86a3-36e3883c859b</t>
  </si>
  <si>
    <t>6c08580c-c9aa-426e-86ba-af76813e5c01</t>
  </si>
  <si>
    <t>10c62a07-4b3d-4b78-8515-a6dcd6814da8</t>
  </si>
  <si>
    <t>036bea3a-4611-4a52-9af7-2af7f0ea76e0</t>
  </si>
  <si>
    <t>7d0651a5-4a52-4c52-a458-98881cd4a73e</t>
  </si>
  <si>
    <t>62618c06-2a8b-4824-bce0-c4f9bab79de3</t>
  </si>
  <si>
    <t>Carro bandejas 8</t>
  </si>
  <si>
    <t>20db6b15-bc3f-45ce-8d5c-4cfefc86a789</t>
  </si>
  <si>
    <t>2f7b80b3-42fd-49dd-98c9-9074aa79d536</t>
  </si>
  <si>
    <t>Carro bandejas 9</t>
  </si>
  <si>
    <t>3877b276-eb6f-4357-bb91-a36665df3b8b</t>
  </si>
  <si>
    <t>72a8e34f-db25-4e8d-9fec-e301c79b2f64</t>
  </si>
  <si>
    <t>04c501b9-e905-4425-b639-b2d419623ce6</t>
  </si>
  <si>
    <t>06f8067d-0f24-4fb9-9426-8211da001cf1</t>
  </si>
  <si>
    <t>c4839ee0-b508-4ad8-a483-75275d2a0818</t>
  </si>
  <si>
    <t>da9b3a86-7ddb-4543-8830-2696216ff144</t>
  </si>
  <si>
    <t>095a08b7-f1fe-47af-bbe0-9ca629280b91</t>
  </si>
  <si>
    <t>d01a6aef-b6c3-4e8b-a34f-ff72d93d9b02</t>
  </si>
  <si>
    <t>1faab4e4-c41c-4ea2-9d6a-9f2d6c539eb1</t>
  </si>
  <si>
    <t>23d97bd7-fc49-42e1-b7dd-43048e5e1022</t>
  </si>
  <si>
    <t>f99f1088-5593-4419-9ea0-7ad95c5a63d7</t>
  </si>
  <si>
    <t>79f92c06-cef8-4e06-9f86-e39bc9e522e0</t>
  </si>
  <si>
    <t>5b0a3129-6f9b-4a42-a560-5b62a629d8ef</t>
  </si>
  <si>
    <t>74db4e39-3aa1-477d-abc1-2f95ee05e0a2</t>
  </si>
  <si>
    <t>3e621370-3fda-4ddc-81bc-2b056224a45f</t>
  </si>
  <si>
    <t>1f8c664c-015e-4db3-b9a5-170d15646279</t>
  </si>
  <si>
    <t>25a69ed4-0746-4eec-814c-5516561ab246</t>
  </si>
  <si>
    <t>fc1785d0-82be-4122-87bd-6880b6cef4e2</t>
  </si>
  <si>
    <t>fc86b952-53ef-44c8-93c2-bab39e072053</t>
  </si>
  <si>
    <t>ad407e48-97bb-4fa1-9c61-e3ffe3b7988f</t>
  </si>
  <si>
    <t>1fe28702-c5be-47d6-a987-b6779348528b</t>
  </si>
  <si>
    <t>98303dd4-6194-499b-b43e-27484a829782</t>
  </si>
  <si>
    <t>8b467bee-9420-4b09-9c55-327683ddef5a</t>
  </si>
  <si>
    <t>4928d1fc-76c7-4c90-968f-ab99cd9cc123</t>
  </si>
  <si>
    <t>b62874a3-43bc-4f1f-a7e1-9d565618fee0</t>
  </si>
  <si>
    <t>30240547-ef86-4fa4-aa97-70a4b4b0d6c9</t>
  </si>
  <si>
    <t>08c1b874-cfc3-4c64-b220-34ed30001e89</t>
  </si>
  <si>
    <t>c624d887-5952-47ae-bd11-9f5b060e380c</t>
  </si>
  <si>
    <t>1d5eaf9b-9fd6-42bb-9af0-1991ad039684</t>
  </si>
  <si>
    <t>15c1c45c-c009-4d5b-8c24-bb18e3c64e8d</t>
  </si>
  <si>
    <t>b1f31963-17a7-43ba-beb6-2ace6d369901</t>
  </si>
  <si>
    <t>e036531e-7139-4fae-89f4-bf480c4eee75</t>
  </si>
  <si>
    <t>9f3e4f57-aa5a-43be-ae97-a336dc523b08</t>
  </si>
  <si>
    <t>b92d4ae9-48fc-4033-8b53-503833336597</t>
  </si>
  <si>
    <t>a4b70034-17db-4cf5-a2bd-6bd9807ee9b4</t>
  </si>
  <si>
    <t>15ba7d1b-6407-4320-8772-c655b6747cdf</t>
  </si>
  <si>
    <t>4b6f402f-12ad-4ee1-ae72-9f998c47f99d</t>
  </si>
  <si>
    <t>ef03ff91-511b-45a9-9a27-d4e382874d13</t>
  </si>
  <si>
    <t>fb27446d-1299-4ff3-bc09-fc73f0aa43aa</t>
  </si>
  <si>
    <t>d40ab7ae-b9e9-4c8f-9a00-24cd389fb87e</t>
  </si>
  <si>
    <t>83dd9cc7-34c8-420b-a1b6-cd3f06d507ed</t>
  </si>
  <si>
    <t>0d57eca6-e6ad-4c01-994c-e418b7e26ab3</t>
  </si>
  <si>
    <t>ec10a07c-c9da-4e6d-b3bd-e7f81714313c</t>
  </si>
  <si>
    <t>bffae530-0259-47a2-8647-228ddf1a754c</t>
  </si>
  <si>
    <t>c1d087c7-0e69-4a99-ab9e-f28e5fb96253</t>
  </si>
  <si>
    <t>7c945ffe-112c-4bc1-aede-d18d248fe51e</t>
  </si>
  <si>
    <t>3f7bd651-ccb7-4569-8040-f29c7b32849a</t>
  </si>
  <si>
    <t>40107030-db33-4ded-887e-d0004068158d</t>
  </si>
  <si>
    <t>a98d95ee-b5b4-4849-86f7-dcd2f8908609</t>
  </si>
  <si>
    <t>af1922cd-5e25-4d1d-bd83-4fe0695ce997</t>
  </si>
  <si>
    <t>9b78c7b2-371d-460a-9bec-a5b81ecad557</t>
  </si>
  <si>
    <t>64ba7f4a-323e-4870-bbd3-f92d8ca46512</t>
  </si>
  <si>
    <t>dea1b041-e403-4a98-a5cb-2323a7c050f6</t>
  </si>
  <si>
    <t>e3128c52-2d57-4362-9161-ab2c6ebdf9dc</t>
  </si>
  <si>
    <t>81b9283e-4fd0-41fd-9907-573d51c63767</t>
  </si>
  <si>
    <t>9d093a4b-55fd-4a10-b15e-58fc0c0137ac</t>
  </si>
  <si>
    <t>8c12abdf-3757-4789-b953-be3f3365a2ff</t>
  </si>
  <si>
    <t>0d7e6c32-1f76-400a-8c8e-b9528ac6c79e</t>
  </si>
  <si>
    <t>0797ebc2-6904-4bca-93ab-5aebbe8e3306</t>
  </si>
  <si>
    <t>b8901e9e-1b95-4f0e-8028-9f06bccc1ce2</t>
  </si>
  <si>
    <t>ffeca870-e7b2-4fa6-8821-191cce93780c</t>
  </si>
  <si>
    <t>e7ab9104-f49f-42e3-908f-4e6023d7014f</t>
  </si>
  <si>
    <t>81eda8a3-600b-4a07-8ff0-5d1e5ca84c36</t>
  </si>
  <si>
    <t>c8520b7d-7025-4194-b223-72e327756676</t>
  </si>
  <si>
    <t>7fb9ecd6-6e2d-4e24-b13c-3be7dd71390a</t>
  </si>
  <si>
    <t>67f1d50d-eed1-4f02-a77b-d2f58c9d1149</t>
  </si>
  <si>
    <t>0ad92edb-5456-4261-aedc-a50e571c4e89</t>
  </si>
  <si>
    <t>340f3378-54b4-4eff-af1c-c24e79eea5a1</t>
  </si>
  <si>
    <t>7109f51a-4de3-4097-9fb1-718a9e6d7645</t>
  </si>
  <si>
    <t>52d913bd-9987-43cf-aac6-1ba5bda280f6</t>
  </si>
  <si>
    <t>101ab890-d79c-469f-b57d-9e2d92f1294c</t>
  </si>
  <si>
    <t>0ef0a605-7073-4131-a02e-75cb0549a404</t>
  </si>
  <si>
    <t>428d0194-e42d-4efd-9327-eb79d0cef421</t>
  </si>
  <si>
    <t>3aba2344-c890-4d57-95bb-60272fd073ea</t>
  </si>
  <si>
    <t>829060e3-8466-48a2-94a5-7c32ff55889d</t>
  </si>
  <si>
    <t>5ea45c9b-907b-4ba3-ac00-9233e4083e82</t>
  </si>
  <si>
    <t>873a5614-4f51-4b54-a751-1c76514f9e2c</t>
  </si>
  <si>
    <t>468b3e1a-8b5d-42fb-a7d3-1581966ec4c7</t>
  </si>
  <si>
    <t>d9176bdf-5499-4f5b-a355-59435b63bad9</t>
  </si>
  <si>
    <t>a78fe1fe-dc67-4fc7-9d4a-035bc7162a41</t>
  </si>
  <si>
    <t>d29fa21c-5e88-4a30-912f-b898e8a1358a</t>
  </si>
  <si>
    <t>f82cdd45-5f9a-4ea6-a100-da170523a177</t>
  </si>
  <si>
    <t>997ff26c-fbfa-4517-ba4c-1cc2b266475e</t>
  </si>
  <si>
    <t>0cbee6ed-bb56-489a-829b-30da13cb637c</t>
  </si>
  <si>
    <t>d05d296e-9da6-437e-9982-3f411f3d86cd</t>
  </si>
  <si>
    <t>873ecc2a-2593-4b17-830c-121566b44cd8</t>
  </si>
  <si>
    <t>ee0762a1-f944-4718-aacd-ce966b9758c4</t>
  </si>
  <si>
    <t>d336a529-e318-4dd2-8a29-8e4ae005a7c7</t>
  </si>
  <si>
    <t>4ffd6b72-ebf8-4a3b-9f49-28522e34a585</t>
  </si>
  <si>
    <t>7a9a54b8-bf6d-4bdc-8c3c-0955818313ad</t>
  </si>
  <si>
    <t>1ec0d460-3cd9-484b-9505-07b2fe03b433</t>
  </si>
  <si>
    <t>3d8a71cc-ec4a-4104-9f85-e7f24f61fbfd</t>
  </si>
  <si>
    <t>47f58dca-1947-4cbf-9816-791c4ee6daea</t>
  </si>
  <si>
    <t>a011df5b-6312-49a9-81cf-2fbd35837698</t>
  </si>
  <si>
    <t>469ba618-5aab-45f1-9a20-7709d79c95bd</t>
  </si>
  <si>
    <t>dcfee0cb-86d5-4540-ba7e-9632806b6532</t>
  </si>
  <si>
    <t>e394efd7-9528-4b00-97a5-7062a8804744</t>
  </si>
  <si>
    <t>4dba0781-d20f-4473-8608-352278297856</t>
  </si>
  <si>
    <t>d476c1b0-3077-454b-8926-53d2ec87e94c</t>
  </si>
  <si>
    <t>4bbd70c5-aee7-4bbe-a5d9-7584c228effb</t>
  </si>
  <si>
    <t>6e57e43f-e986-4441-a358-8fb5011c0e48</t>
  </si>
  <si>
    <t>96408836-662d-47e9-a0ee-db062c55276f</t>
  </si>
  <si>
    <t>8e566949-8ada-44af-8f35-e80fb7ddeb1c</t>
  </si>
  <si>
    <t>14555036-9145-47b1-94c1-9df746b1edd2</t>
  </si>
  <si>
    <t>bc4d5c84-79e2-4559-b41b-0f6409a323e2</t>
  </si>
  <si>
    <t>5fac8535-a6ab-4d30-b285-71c382efcf1c</t>
  </si>
  <si>
    <t>a0f35f49-3229-4233-bf3e-fa0fb68683f0</t>
  </si>
  <si>
    <t>6dfaef37-c373-4dcf-a9c0-55b91ee302af</t>
  </si>
  <si>
    <t>e1b5538d-e5a0-48bf-a9fd-72a23c139965</t>
  </si>
  <si>
    <t>7631c22b-a9f3-4f0c-80df-d88c4ed7ba60</t>
  </si>
  <si>
    <t>0eb5b6ce-9ceb-4d83-bdcb-faea6f81797e</t>
  </si>
  <si>
    <t>270075eb-cc23-406c-88bf-597dd1a34f52</t>
  </si>
  <si>
    <t>c4797978-502f-4fee-bd9d-50f9d7dc1c34</t>
  </si>
  <si>
    <t>7d9d312a-ce02-4fcc-8452-38c804ea5609</t>
  </si>
  <si>
    <t>6370daf6-9403-4789-b901-a22df8d3913c</t>
  </si>
  <si>
    <t>5f96b7cd-74d2-4791-b332-bdcf8702b56c</t>
  </si>
  <si>
    <t>1809efd9-e976-4b86-8787-47fd7b7b66a9</t>
  </si>
  <si>
    <t>c8fb2a60-1c87-4ee2-a482-dfe18076004e</t>
  </si>
  <si>
    <t>4b092c81-1c04-4005-b881-03fcec798c51</t>
  </si>
  <si>
    <t>a2f4bca2-2a18-4995-a332-e09c43997ddb</t>
  </si>
  <si>
    <t>b903f8e9-885b-4a77-9b9d-c13817b42716</t>
  </si>
  <si>
    <t>3f579161-5317-45b2-b59c-71b1e15ef99a</t>
  </si>
  <si>
    <t>189cb8f4-1341-4ee2-a857-bd19eeed79ad</t>
  </si>
  <si>
    <t>29bfd204-285c-4b3b-b671-9e31f0cf8c44</t>
  </si>
  <si>
    <t>89d4c0de-6828-48f3-8383-96c20f898eb5</t>
  </si>
  <si>
    <t>d0c9a397-929d-4e94-b0c4-6482cd0b60ce</t>
  </si>
  <si>
    <t>fc970ae8-06f6-4f1a-acdd-4513265c8b1e</t>
  </si>
  <si>
    <t>aeb34c7a-7abc-4978-810c-13fe3ea93849</t>
  </si>
  <si>
    <t>5b2585f2-f914-41e8-b623-4f405fdf4467</t>
  </si>
  <si>
    <t>186fa428-49cd-4385-b4a6-4cb0b421bd13</t>
  </si>
  <si>
    <t>406432f6-3c56-43d5-aaba-ad6a77ea5218</t>
  </si>
  <si>
    <t>be1e8055-830f-44dd-bd49-893e0065e815</t>
  </si>
  <si>
    <t>791d186d-2201-4d0e-aeab-210f9cb69938</t>
  </si>
  <si>
    <t>be96fe4a-dc0b-4cc2-a638-c7ed669a4d64</t>
  </si>
  <si>
    <t>a6bb854f-c476-4438-9931-923c2e12457e</t>
  </si>
  <si>
    <t>93304399-cc51-4229-ac7f-71b7e6ebf7a8</t>
  </si>
  <si>
    <t>d9d0dc7d-c958-4bdf-87b1-7e8c2f9cd4b4</t>
  </si>
  <si>
    <t>784c08b6-1061-4a2a-9fe3-70adfff92321</t>
  </si>
  <si>
    <t>34687472-646f-4602-895b-f24607e7f233</t>
  </si>
  <si>
    <t>a4861977-db30-40c5-a526-2b6d16f98431</t>
  </si>
  <si>
    <t>20d30bf5-24f9-405f-b736-457cd750e833</t>
  </si>
  <si>
    <t>c88c9dc7-b3bf-408a-a752-d00c4c3e09bd</t>
  </si>
  <si>
    <t>5f7f620a-4206-4d6d-b812-f41d849cfce2</t>
  </si>
  <si>
    <t>0798405c-d255-491c-89ee-a6336ce52c3d</t>
  </si>
  <si>
    <t>eedf5459-af56-4a21-af86-66a1bfb1d965</t>
  </si>
  <si>
    <t>5d6d6aac-bc5e-4836-b78d-06051c127f77</t>
  </si>
  <si>
    <t>18dffd14-f0ca-401e-b2fc-564063b0dd1a</t>
  </si>
  <si>
    <t>be4b15bd-d1a6-448d-a2b2-51fc6fe64f2b</t>
  </si>
  <si>
    <t>85e316ec-8168-4d15-9243-e3493803dc21</t>
  </si>
  <si>
    <t>6a4b236c-9415-4048-9291-e051e4441511</t>
  </si>
  <si>
    <t>89d1f68c-71fb-4307-b415-33a4b0a45189</t>
  </si>
  <si>
    <t>3c095c8e-b1f7-48b4-94db-f34eedc0129e</t>
  </si>
  <si>
    <t>397fc60a-8f7b-4878-afb1-02a6cec4715f</t>
  </si>
  <si>
    <t>92f1b2f4-fd38-4521-8017-d345bbe24de9</t>
  </si>
  <si>
    <t>d0705e43-154f-4640-959c-e5e0851941f8</t>
  </si>
  <si>
    <t>0e538ef0-9eba-4225-8aea-f7caf170f68f</t>
  </si>
  <si>
    <t>d68d522b-4a9a-4f34-83c6-216b9c77b5db</t>
  </si>
  <si>
    <t>ec79294f-9b18-41cb-91aa-896492828606</t>
  </si>
  <si>
    <t>d7ea49d5-63de-4d6b-97b6-1f770ddba101</t>
  </si>
  <si>
    <t>ed7903fa-97b5-46ba-b2f4-904fbf63c55a</t>
  </si>
  <si>
    <t>b1cb0f0c-0ce2-4f1e-b876-d8836e134fc6</t>
  </si>
  <si>
    <t>e0840a66-f619-4645-a6a3-8a50ad9f5455</t>
  </si>
  <si>
    <t>7fd113c4-8ddf-4561-8f61-5c57ba0f95ff</t>
  </si>
  <si>
    <t>50ee641c-558b-4b50-9d6d-46b0b82f8e42</t>
  </si>
  <si>
    <t>b11b765f-cfaf-45b0-b987-00f0cdd58a92</t>
  </si>
  <si>
    <t>d06a041d-90a1-491b-a3a9-f419f81638cc</t>
  </si>
  <si>
    <t>b03875bb-1818-4c55-854c-bbe370d081f1</t>
  </si>
  <si>
    <t>a4add471-13fe-45e0-a8b0-89a7cb20c4a2</t>
  </si>
  <si>
    <t>48eaad18-c788-418a-8d53-d0e943ae0b7d</t>
  </si>
  <si>
    <t>fc5b7253-fcef-4978-8e1f-16bdfedf6dd2</t>
  </si>
  <si>
    <t>3a15b65f-d242-4590-8ee7-17c14908a175</t>
  </si>
  <si>
    <t>b6f06407-454f-4efe-b7b8-046655e97f3e</t>
  </si>
  <si>
    <t>58c6cbe4-47f7-4bb5-815b-272ecf7c4bdb</t>
  </si>
  <si>
    <t>a0e6009b-e5f3-45d5-a777-c27bc4257745</t>
  </si>
  <si>
    <t>ba05bc2c-a319-4de8-a83e-d384f3dc581f</t>
  </si>
  <si>
    <t>ad43233a-e1a1-4b61-b0e2-55913922de55</t>
  </si>
  <si>
    <t>b45bb1db-f58b-41fc-9c77-8db7030629c4</t>
  </si>
  <si>
    <t>9ccf612d-e2b9-4568-8fc5-468c7135d2e0</t>
  </si>
  <si>
    <t>e67435d6-c1f4-42ca-aaf0-b74ee8eaa268</t>
  </si>
  <si>
    <t>3cb113d6-1bca-4780-ab86-79d22fcfec05</t>
  </si>
  <si>
    <t>6e6a9d3c-b1ab-4be4-9edd-6f80e381bc58</t>
  </si>
  <si>
    <t>02d2eff0-843e-417e-b3b5-c20855c5df5e</t>
  </si>
  <si>
    <t>28a0c1b8-4f1d-4bee-8e62-e9a467b4d141</t>
  </si>
  <si>
    <t>fdda8664-6ccb-49b6-8179-440519aaafaf</t>
  </si>
  <si>
    <t>56faa36e-a4e1-446a-9523-0b242b1fd9b7</t>
  </si>
  <si>
    <t>aadb39df-9b53-4da1-ba91-88a51c0a5a30</t>
  </si>
  <si>
    <t>51e1b611-8a88-46b5-979e-4b67273e33eb</t>
  </si>
  <si>
    <t>40fd8cf8-8cb0-4830-adfc-c7302cdcfed1</t>
  </si>
  <si>
    <t>aa0e2862-5bdb-43d3-a0da-195eeda05367</t>
  </si>
  <si>
    <t>e4f2ea41-910a-4eaa-b1de-8b0e8b2e89b8</t>
  </si>
  <si>
    <t>65882ae1-0197-4c63-80ba-18768bd2b682</t>
  </si>
  <si>
    <t>808af952-30b2-4ced-a3ef-a806f7032b05</t>
  </si>
  <si>
    <t>a5b9e7db-90d4-4309-9c57-ac9987f64057</t>
  </si>
  <si>
    <t>ad42a0bb-da7e-498d-8962-4fc203f4f87f</t>
  </si>
  <si>
    <t>de0b8fb5-2b97-4ca9-a8a8-e637e5933bf7</t>
  </si>
  <si>
    <t>7f6cb401-d8f2-4747-b007-aa6a36467e1f</t>
  </si>
  <si>
    <t>3daad7d6-660c-40ea-9c05-8be5e57b8337</t>
  </si>
  <si>
    <t>a73d6f24-baaa-405a-994f-865e45f99b9c</t>
  </si>
  <si>
    <t>b626a341-9794-425a-a4ac-f621578c811e</t>
  </si>
  <si>
    <t>96d02e4a-0127-44b6-83a9-d90afe5f7f79</t>
  </si>
  <si>
    <t>08e14061-da5e-4031-a3cd-eea608f507ed</t>
  </si>
  <si>
    <t>9f596780-dc94-4c16-9c7a-9c750ab98bf8</t>
  </si>
  <si>
    <t>b394f6ae-a1a2-4265-812b-0f7c4f732274</t>
  </si>
  <si>
    <t>152d22f0-590b-4de1-a572-e3cab0cad842</t>
  </si>
  <si>
    <t>9c254a87-4f30-4594-ae5b-515e18651e90</t>
  </si>
  <si>
    <t>39e9ae45-8a2a-4802-b8c2-134f86774cc2</t>
  </si>
  <si>
    <t>d9888ec1-8652-4b5d-810c-3c60ccae81aa</t>
  </si>
  <si>
    <t>7804add6-4c96-4d17-afd9-c9496ed6fb3c</t>
  </si>
  <si>
    <t>ed97ebc8-7f4b-465b-ad85-63f9b742886a</t>
  </si>
  <si>
    <t>d9a848c9-3e93-4dae-b53d-8f4163e7dcc5</t>
  </si>
  <si>
    <t>65636a0e-6585-4d0d-834c-e401ea458a49</t>
  </si>
  <si>
    <t>14b64e2f-c468-403c-bfaf-6ef8b504cddb</t>
  </si>
  <si>
    <t>44a56e7b-bb48-4385-b54a-664f18dece47</t>
  </si>
  <si>
    <t>60d00c46-51eb-4c56-af49-17117ce20c61</t>
  </si>
  <si>
    <t>b6a526a2-c30a-49be-be89-02b6e481022b</t>
  </si>
  <si>
    <t>133c2f8f-cefa-4ed1-907c-462d15ada45f</t>
  </si>
  <si>
    <t>7570cf9e-5f66-4c43-911c-f223fe7cd19f</t>
  </si>
  <si>
    <t>6b499f38-1e6c-4439-8db4-2c9b56127452</t>
  </si>
  <si>
    <t>73f433a9-aa5d-428f-b6c3-36f3d2efaba5</t>
  </si>
  <si>
    <t>1e696062-57ff-4717-832d-812f5720112d</t>
  </si>
  <si>
    <t>04993646-af62-41e5-9f30-1f0884d01d2c</t>
  </si>
  <si>
    <t>89596615-fc3f-4d7d-85ea-5fbf110f23be</t>
  </si>
  <si>
    <t>0d473892-1ce8-4c0c-aac5-fe6d777ba50a</t>
  </si>
  <si>
    <t>3174991b-827e-493f-95ff-a6023924c095</t>
  </si>
  <si>
    <t>521280e4-81f0-43f6-8745-80e19e3060e9</t>
  </si>
  <si>
    <t>b5872c10-244b-404c-a6d9-488b5b4370dd</t>
  </si>
  <si>
    <t>2ef9e9db-7917-4aaa-a023-a75d884d91bc</t>
  </si>
  <si>
    <t>bd122406-601a-4777-94cf-2f60f92e2c00</t>
  </si>
  <si>
    <t>d877ad58-7931-438a-88ff-36b4df21c786</t>
  </si>
  <si>
    <t>eb0ef9f4-5882-4048-8ff2-37c8240c039c</t>
  </si>
  <si>
    <t>9c112364-91d0-4df2-8aa7-856ae3364523</t>
  </si>
  <si>
    <t>1c3a95c9-d510-42e1-9eaf-99e8aaa9c0d1</t>
  </si>
  <si>
    <t>20b6f89f-e47c-4dc1-96a1-559e07488f54</t>
  </si>
  <si>
    <t>2ee5ac91-6ba7-4f16-9a3e-df9f91edd14d</t>
  </si>
  <si>
    <t>3f57c7bc-141e-465a-b987-b558507a1cba</t>
  </si>
  <si>
    <t>c2203c2c-2055-4a40-ab24-d1c60fb8ce56</t>
  </si>
  <si>
    <t>673ea093-0ba6-4850-856a-a14bd156221a</t>
  </si>
  <si>
    <t>a61551ec-03a8-4403-8e43-d11dbf7f8d2b</t>
  </si>
  <si>
    <t>b9b59cd9-0170-4249-ae7c-37b042fe8c33</t>
  </si>
  <si>
    <t>c91c9dad-23a7-48d3-9cb5-70740ae3d37b</t>
  </si>
  <si>
    <t>bd2a673b-fef1-43c2-94b8-ce775a2fc495</t>
  </si>
  <si>
    <t>95579166-c1bb-47fb-ab1c-da16ec65c0ec</t>
  </si>
  <si>
    <t>fb332e68-3b43-4652-862b-b333c6616c28</t>
  </si>
  <si>
    <t>93d6b079-552c-461b-9850-dad00824637f</t>
  </si>
  <si>
    <t>9d672392-228f-4a37-912d-3d9b4601990e</t>
  </si>
  <si>
    <t>ac785be5-e786-4e63-bfd9-aa7915a6afc3</t>
  </si>
  <si>
    <t>664adaac-c84f-455a-82cf-65f649f0c992</t>
  </si>
  <si>
    <t>fbd1a3e8-2733-4da0-bed8-ee5b92016a1e</t>
  </si>
  <si>
    <t>4004aa38-bbbd-4ad9-9768-fc150bb84066</t>
  </si>
  <si>
    <t>b470b364-676b-4ab4-91a4-84060ad256de</t>
  </si>
  <si>
    <t>3c96f9d7-180d-4cb6-a927-6791a4eb6fc7</t>
  </si>
  <si>
    <t>d47f67d4-0c8e-4493-8d4b-46f301aa5ecb</t>
  </si>
  <si>
    <t>f32402ce-9e1a-47bc-a9f0-56bd5f5a0c3b</t>
  </si>
  <si>
    <t>7485fd7c-8571-4163-8b1a-eecc8570b8f0</t>
  </si>
  <si>
    <t>e57ba7a0-5a84-401f-9fbc-44c0536c268f</t>
  </si>
  <si>
    <t>9c3896a7-6015-4c0a-8a2a-8ea0db0b3680</t>
  </si>
  <si>
    <t>32804452-9acc-49f2-a00b-7aeecb042715</t>
  </si>
  <si>
    <t>ad40ad28-17cc-4819-8ecb-8dcb41792a7c</t>
  </si>
  <si>
    <t>f811eb5e-909a-45ba-870a-cfd4371cd148</t>
  </si>
  <si>
    <t>705b1025-920d-4634-9179-f6acaa654189</t>
  </si>
  <si>
    <t>5370f1b3-7634-4b4c-bfe4-912e20dac7f6</t>
  </si>
  <si>
    <t>b681d2b8-a1f5-48b1-a57d-ba75af598c3a</t>
  </si>
  <si>
    <t>24e8284d-469f-4ce7-b299-7ca31429ecb3</t>
  </si>
  <si>
    <t>a43dcda6-89c6-4074-8227-d9f10b88b80e</t>
  </si>
  <si>
    <t>8b470881-f557-431a-8948-9ca655bb4b09</t>
  </si>
  <si>
    <t>d4e7be45-8d05-4569-8d3c-a8d037d644c4</t>
  </si>
  <si>
    <t>6d1d690b-531b-45e0-8a79-018edaa7c954</t>
  </si>
  <si>
    <t>f6e7f274-146f-4ff3-942e-40ae32d70b33</t>
  </si>
  <si>
    <t>7a8bf5f2-9430-4bcb-b41d-4ce0e5fb55df</t>
  </si>
  <si>
    <t>6d618b5a-b128-4cc5-a814-221b011d13cc</t>
  </si>
  <si>
    <t>b02951ff-3437-44e3-9d3d-79fd617350ee</t>
  </si>
  <si>
    <t>8cb5d731-e23e-4f7d-9ba5-90e705e47714</t>
  </si>
  <si>
    <t>7fc7b3d1-184d-4342-af43-6c2b415be5ad</t>
  </si>
  <si>
    <t>95694aaf-68cc-4dc4-8396-575ef386ca99</t>
  </si>
  <si>
    <t>9d6ccf87-a5c8-4c5f-8daa-c93ae9531b93</t>
  </si>
  <si>
    <t>726be704-e9f6-42a7-9596-fcf6cbc01a6e</t>
  </si>
  <si>
    <t>001ff3bc-81e9-4522-a796-b9d10d14d4f2</t>
  </si>
  <si>
    <t>f10b7115-a874-406a-ba1c-304482601d62</t>
  </si>
  <si>
    <t>5b7bcc19-d9bf-450b-a6f0-44f3dc64d631</t>
  </si>
  <si>
    <t>482b8631-21a6-4569-a88c-a29a6ba891af</t>
  </si>
  <si>
    <t>005e5cbb-d369-4bb1-974f-be334a3f0205</t>
  </si>
  <si>
    <t>fe2e93e2-ab49-44ee-8df3-a6fb3462d2e3</t>
  </si>
  <si>
    <t>d852b8e6-d61d-41d3-b691-b50adf5a467f</t>
  </si>
  <si>
    <t>1d2217de-afd3-4b6a-b635-1f2fcbbe1727</t>
  </si>
  <si>
    <t>49ca7772-b621-4262-973c-754bb940ef46</t>
  </si>
  <si>
    <t>b92cea1d-1985-4765-8150-00e5ba59ca62</t>
  </si>
  <si>
    <t>df47398a-6b1c-47da-a4ba-b658b87f12f9</t>
  </si>
  <si>
    <t>85c4a7e5-1cec-4692-af0f-c2523ac45c7a</t>
  </si>
  <si>
    <t>54203024-ebb7-4cd8-8823-b609b77ba7ba</t>
  </si>
  <si>
    <t>9ea20c34-b92a-479f-84b7-a4f43bfa053f</t>
  </si>
  <si>
    <t>3238f0b6-fc1f-45df-93f1-2f550ef28f78</t>
  </si>
  <si>
    <t>cffec51e-8a07-42f9-bbff-7afd70122c22</t>
  </si>
  <si>
    <t>48d01530-834f-4f36-ba2c-f19166997de6</t>
  </si>
  <si>
    <t>4212962c-6930-49fb-98fd-919002cec803</t>
  </si>
  <si>
    <t>bfa69063-8a94-4517-af22-eb6c6e8b48d8</t>
  </si>
  <si>
    <t>bedea510-f822-4378-8274-c6ece9ac66e7</t>
  </si>
  <si>
    <t>98f2561f-6294-4bfe-9291-26d3a59d5bec</t>
  </si>
  <si>
    <t>d4b4942d-9bac-4249-989d-70643ab14a85</t>
  </si>
  <si>
    <t>60f2cb73-a6c2-4031-8ea2-12ebc3214c96</t>
  </si>
  <si>
    <t>ac980f33-4159-41bb-829c-de4c818455a9</t>
  </si>
  <si>
    <t>22191d96-3410-4939-9fa6-3ed543caaa1c</t>
  </si>
  <si>
    <t>ab6764d1-53b2-41d4-beef-027aa9de7d9d</t>
  </si>
  <si>
    <t>de7823f5-db1e-4d7b-9fab-b3f46f210c81</t>
  </si>
  <si>
    <t>37119ea3-8334-459b-9c61-ea0afb2d0cfc</t>
  </si>
  <si>
    <t>d0123f8a-b9f6-4c4b-8bb1-e7ac6a1283b5</t>
  </si>
  <si>
    <t>77b3e05b-6420-4795-a020-462f5e18de1f</t>
  </si>
  <si>
    <t>53a58417-17c4-473c-bbd7-86fa4684b885</t>
  </si>
  <si>
    <t>986ba7bb-7832-4702-9224-08bc83014ac3</t>
  </si>
  <si>
    <t>f11eae5c-4d20-41ab-9ad6-c930f21a527a</t>
  </si>
  <si>
    <t>2e4be7a3-c7d4-43a7-a7a2-e2d220d2e729</t>
  </si>
  <si>
    <t>cb2222c5-ffb2-47ac-9387-c02337588f0b</t>
  </si>
  <si>
    <t>95b863cb-4d05-4cfd-abda-b7f10cad3590</t>
  </si>
  <si>
    <t>edcafb92-1ce3-4fe7-a385-cb68f56b4613</t>
  </si>
  <si>
    <t>abc86d17-33ff-4b3f-a6fa-10c95fe5cf4d</t>
  </si>
  <si>
    <t>f178812d-01e0-4d4a-8b8d-8200cb15c975</t>
  </si>
  <si>
    <t>6789cf32-3205-4742-b19d-41b9f963f1c5</t>
  </si>
  <si>
    <t>0b91ce3a-63ea-4f46-a579-8f10e40d3f5c</t>
  </si>
  <si>
    <t>4b66f979-a524-4276-a5e6-d1d5b9cd892a</t>
  </si>
  <si>
    <t>a85af388-c444-4ed1-b46b-9cb87c82a26a</t>
  </si>
  <si>
    <t>c6672165-6f1f-453a-8b2c-0070d086e6b5</t>
  </si>
  <si>
    <t>26f314d4-a073-41eb-a236-258a025a88d7</t>
  </si>
  <si>
    <t>508e6ee6-4c6f-463a-8d6e-c4d3a062b793</t>
  </si>
  <si>
    <t>c445048f-b5a2-4647-8879-e371ce16a098</t>
  </si>
  <si>
    <t>d8015986-bc05-4d40-874e-86fad3a0ee97</t>
  </si>
  <si>
    <t>035bc3d5-5167-4df5-89ba-95d40df83865</t>
  </si>
  <si>
    <t>2116662f-26e9-4179-9434-438f9de098a8</t>
  </si>
  <si>
    <t>7daded56-78a5-4369-b21e-26cec06c9a2f</t>
  </si>
  <si>
    <t>759e7c58-89b6-402c-a873-971c82be5065</t>
  </si>
  <si>
    <t>a1be85a6-8c14-4be9-b607-0d8e999d3273</t>
  </si>
  <si>
    <t>f5b6aa0d-d5d1-439f-a542-06929f5bdd61</t>
  </si>
  <si>
    <t>28aab7ff-f53c-4859-ae90-94c38004ef61</t>
  </si>
  <si>
    <t>fbdb71a5-20cf-4e83-8642-120a5a7bdb4b</t>
  </si>
  <si>
    <t>d35f317a-65d3-4937-9b09-3974ff6e06a1</t>
  </si>
  <si>
    <t>36f2eafb-0279-4d7f-ad6d-e4209e767cdc</t>
  </si>
  <si>
    <t>c4f77415-4bda-4d28-b6c7-6888ab57d65d</t>
  </si>
  <si>
    <t>66a0f8e6-47b0-41b0-b406-670cef382063</t>
  </si>
  <si>
    <t>bdfcfd96-3e50-4623-b6f4-d97b5cb84d0c</t>
  </si>
  <si>
    <t>0af56c99-e8c7-4732-93cd-c1917f443f98</t>
  </si>
  <si>
    <t>6f68e3f0-574a-4805-b156-098e5ae42d07</t>
  </si>
  <si>
    <t>58338670-55ee-49d7-82a0-aa1a99c35ba7</t>
  </si>
  <si>
    <t>5af74110-e8fb-43db-b824-ee1f43a4de6f</t>
  </si>
  <si>
    <t>91ccf8c8-81a9-4736-b3de-e9eb98b84ef5</t>
  </si>
  <si>
    <t>90f434e2-a998-4013-b831-35021f5736d5</t>
  </si>
  <si>
    <t>e4aa8de3-798c-4d06-b5b9-3bd48d8e5e68</t>
  </si>
  <si>
    <t>f2014dfa-306f-4a7e-8cba-072c3b1384aa</t>
  </si>
  <si>
    <t>2b77d489-2e5e-43d4-acc4-cfbdfa55efb3</t>
  </si>
  <si>
    <t>5abf82bb-4977-4b55-8316-b0cf3389ff99</t>
  </si>
  <si>
    <t>44a4bcf3-1565-4796-9c24-eb7485424c05</t>
  </si>
  <si>
    <t>8c734aef-5a28-4269-95e9-3d784b0eb2ae</t>
  </si>
  <si>
    <t>bd639e01-40cf-4553-ae74-5b42b1246791</t>
  </si>
  <si>
    <t>37c92882-d570-4242-ba18-277d7f0123a4</t>
  </si>
  <si>
    <t>c35cfe81-a31a-4f3d-a9d6-5f2ae06ba0b6</t>
  </si>
  <si>
    <t>79439038-605b-43a9-8763-6f960d5c6eaf</t>
  </si>
  <si>
    <t>35529c8c-bf2d-4e83-be93-606bc9ccf8da</t>
  </si>
  <si>
    <t>38c9de45-57d1-4674-a128-abb5d980aec3</t>
  </si>
  <si>
    <t>36cc047d-e92b-4c74-b8ee-2f93076555aa</t>
  </si>
  <si>
    <t>4bfae309-a628-4471-9425-dcee2f77121a</t>
  </si>
  <si>
    <t>01be6daa-6571-455b-97c0-242c5bc60107</t>
  </si>
  <si>
    <t>0cb5de47-446b-42bb-ac55-0f509e91ce4e</t>
  </si>
  <si>
    <t>8d835ec9-8383-47ac-8ebe-9ac6069e0737</t>
  </si>
  <si>
    <t>a26fbb0b-2312-43bb-bb58-151905d785dd</t>
  </si>
  <si>
    <t>a687ea34-5032-482e-a09d-ac6d8b933f90</t>
  </si>
  <si>
    <t>6a2583a7-2ca6-408f-90e8-1a9049cffe4f</t>
  </si>
  <si>
    <t>5ea0fcda-8d9b-4c0c-b5e5-14b0d78fdeb2</t>
  </si>
  <si>
    <t>9de54bc2-0968-4cb6-a9fb-7b63dfabb220</t>
  </si>
  <si>
    <t>b745d75e-6a71-4a40-8383-7631c253a06e</t>
  </si>
  <si>
    <t>b0df99be-bdfd-4d2b-8f98-156349940c4f</t>
  </si>
  <si>
    <t>176a927d-af4c-4df9-89b6-2906356e1a96</t>
  </si>
  <si>
    <t>c95cb819-4adb-4547-b58c-af761a36dac0</t>
  </si>
  <si>
    <t>d7240c45-f52f-4f2c-bd39-e48b91c482cc</t>
  </si>
  <si>
    <t>e84a3814-f850-410e-8ed1-0f5ad19759ad</t>
  </si>
  <si>
    <t>6a3d3513-bfbc-4105-ab0d-0de82c6d313a</t>
  </si>
  <si>
    <t>f5062fa8-ea83-40a5-984c-bee849361e9d</t>
  </si>
  <si>
    <t>dec7b876-28aa-4d35-aab1-bfb7b8def844</t>
  </si>
  <si>
    <t>9832c476-a809-4ed2-b78d-d095f4481d11</t>
  </si>
  <si>
    <t>2ec64af8-4cbc-459e-8c81-391d103c9955</t>
  </si>
  <si>
    <t>774758c7-483e-4ded-9eae-86322458d2dc</t>
  </si>
  <si>
    <t>794115c0-82ea-4a1d-8f60-d46479e39bc7</t>
  </si>
  <si>
    <t>d1d886e8-cf5a-4996-bb7d-8e0c62a99528</t>
  </si>
  <si>
    <t>56ee2b59-da33-4220-9bb7-5d5a4b30854b</t>
  </si>
  <si>
    <t>b174c640-1f8a-4e8a-9d0c-bb7a0cd85862</t>
  </si>
  <si>
    <t>2c40dece-49a6-4ab5-9019-77388505288d</t>
  </si>
  <si>
    <t>4c2b44f3-3458-4f0e-ad84-5ab60f6dcb45</t>
  </si>
  <si>
    <t>82aabfbd-4102-4935-89f2-101d6134c49b</t>
  </si>
  <si>
    <t>8167c0c9-f434-461e-8628-e60a2f44e994</t>
  </si>
  <si>
    <t>9dfca521-5bfc-49e3-a908-3207322d3e03</t>
  </si>
  <si>
    <t>799e6962-3e66-43d8-96f4-0f8a1e2908a0</t>
  </si>
  <si>
    <t>5e897eb4-9f24-45fc-820a-9038e1a16084</t>
  </si>
  <si>
    <t>ce1ac389-5094-47a2-b6b5-384a88ff76d8</t>
  </si>
  <si>
    <t>6a4a13ce-7a59-4064-84c9-b6549555cc70</t>
  </si>
  <si>
    <t>e1fd5082-55a8-4d39-9ae9-fe334796f406</t>
  </si>
  <si>
    <t>a1c48096-3f5c-4f8c-b40e-4af8636c1687</t>
  </si>
  <si>
    <t>eef601d7-0730-4943-96a3-16c9fb43a017</t>
  </si>
  <si>
    <t>9d8d15b7-8290-4945-81e3-8c80a0db760c</t>
  </si>
  <si>
    <t>c1b935de-0052-492d-8962-ef31ee478f4b</t>
  </si>
  <si>
    <t>17a1a1d9-e6b9-4d18-878f-c260173622be</t>
  </si>
  <si>
    <t>099271e9-a0fa-490e-a356-3a135a5a1b24</t>
  </si>
  <si>
    <t>87365974-017b-40cf-8fe3-9027ce4bc9bd</t>
  </si>
  <si>
    <t>e34f5b00-d33d-4fc8-b5b3-e1a9618aa7c2</t>
  </si>
  <si>
    <t>c8691003-69b7-4b3d-b862-4c57ab8903fe</t>
  </si>
  <si>
    <t>c38c4756-d2c0-4316-a4b2-e33c98d541a9</t>
  </si>
  <si>
    <t>1a44cfde-00d3-4422-aed6-d45d9a7d2bf4</t>
  </si>
  <si>
    <t>7f96cf80-6539-4ef4-bf9d-c21dd758723e</t>
  </si>
  <si>
    <t>8fca26ef-061f-49ed-a04d-cd584e4739fc</t>
  </si>
  <si>
    <t>1d59b292-ebdd-484f-80bb-8002ba074cd5</t>
  </si>
  <si>
    <t>fb56ac66-5516-45f0-ab35-c0bd7e329dd4</t>
  </si>
  <si>
    <t>f9110868-7d59-4d90-9d46-51c50b34abcd</t>
  </si>
  <si>
    <t>d6c3cd4b-e1b7-4eaa-994d-22c723a8f932</t>
  </si>
  <si>
    <t>596e5796-fb6e-451c-98a4-f539ea919ea8</t>
  </si>
  <si>
    <t>092c35db-a8d1-45e3-847c-fd5bd7e41458</t>
  </si>
  <si>
    <t>2c502ce5-efe6-4b80-9ed6-4c29d804521e</t>
  </si>
  <si>
    <t>5c5cc9fd-3705-45b8-8bb0-61919ae92540</t>
  </si>
  <si>
    <t>7a10d2c3-c2ee-4e41-bbed-c262c57da7d1</t>
  </si>
  <si>
    <t>50e6078f-124a-4ee5-90ca-45c0ce816fdd</t>
  </si>
  <si>
    <t>5a3bbf11-da63-466e-b475-b8c549147ade</t>
  </si>
  <si>
    <t>ec01e427-1b50-4e1f-a5c2-bff21cecdac9</t>
  </si>
  <si>
    <t xml:space="preserve">desvío H25M982E. </t>
  </si>
  <si>
    <t>bf7e0f21-c339-4d15-a050-df80f559d555</t>
  </si>
  <si>
    <t>2a0a4222-6870-4978-8127-df725c0a5992</t>
  </si>
  <si>
    <t>60eb9e5c-db35-4ef4-ba05-73bd723862fe</t>
  </si>
  <si>
    <t>f1ec4018-5779-40e1-a693-012497dd325f</t>
  </si>
  <si>
    <t>f7cabe1b-8b5d-4416-86c8-06638c8dd428</t>
  </si>
  <si>
    <t>c3d4f1fc-909d-4c0d-9431-56d1753de19f</t>
  </si>
  <si>
    <t>a5ca9299-ce32-46a2-8574-655292ff0193</t>
  </si>
  <si>
    <t>38e555e8-9f9a-43b1-9c8d-f7f5fc5e5405</t>
  </si>
  <si>
    <t>1f2a0ff1-b450-4ea8-aecb-7c6cff00473a</t>
  </si>
  <si>
    <t>21034b8c-9fa0-4ca6-92fe-889c826672cc</t>
  </si>
  <si>
    <t>2d6190fd-678a-469b-a75c-508d231a2f74</t>
  </si>
  <si>
    <t>89cfcaf4-2d2a-47b0-8e21-d6b0e42fd690</t>
  </si>
  <si>
    <t>b3e56290-2e93-41f8-9db2-2c9335f2f429</t>
  </si>
  <si>
    <t>7c33fef4-c90f-4bb7-8e6b-ee3016bd0d1c</t>
  </si>
  <si>
    <t>66d2cd53-95f2-4c32-a296-82cc0ad0aa95</t>
  </si>
  <si>
    <t>b1ef8e98-0d60-4852-9d97-9caa9891fe56</t>
  </si>
  <si>
    <t>9bd955d3-43a2-44d9-8137-6e6c2888043a</t>
  </si>
  <si>
    <t>063fcdee-8331-4424-ab2c-82966a8ff570</t>
  </si>
  <si>
    <t>18a6e902-b799-4341-bc45-09d32155fe78</t>
  </si>
  <si>
    <t>Constellation TRACTOR 17280.27CA5B.3560</t>
  </si>
  <si>
    <t>CABALLETES</t>
  </si>
  <si>
    <t>65bf35ed-1b78-4183-9967-849090b63772</t>
  </si>
  <si>
    <t>d3d32d72-e9f5-4d9b-aaec-639097539175</t>
  </si>
  <si>
    <t>634877c3-5d3e-48b7-970c-d84a92f85d12</t>
  </si>
  <si>
    <t>974e4e17-222f-4993-afef-9e193445bcd5</t>
  </si>
  <si>
    <t>b8d8d3c3-3f33-48c4-9d0f-6ac3e40b4bfa</t>
  </si>
  <si>
    <t>3bb4b695-8677-4ac8-bfe2-5682afe9019f</t>
  </si>
  <si>
    <t>8ee94404-8c42-4732-a266-d8ec8bb88bb0</t>
  </si>
  <si>
    <t>74de5f79-4e59-49ba-b23b-34dd9addee51</t>
  </si>
  <si>
    <t>de3ee1d9-fa9f-4891-a93d-a6883e99ad07</t>
  </si>
  <si>
    <t>984a8004-4e08-4787-a707-8d3f0bbe33c0</t>
  </si>
  <si>
    <t>cb67215e-4a63-4ac1-b2c8-3a86ecdff24a</t>
  </si>
  <si>
    <t>e9c266b3-603b-4020-895f-acd2a34f9e54</t>
  </si>
  <si>
    <t>17d05033-d41c-4341-8a1b-197939b52eb6</t>
  </si>
  <si>
    <t>8d3f9af1-418e-4466-b7a3-89d5d263ad73</t>
  </si>
  <si>
    <t>0cd41546-3bc3-4b17-8830-3281d5cf4427</t>
  </si>
  <si>
    <t>1fc79fe3-6e94-4b24-b40c-b4984d460db3</t>
  </si>
  <si>
    <t>e6c5c93b-1ed0-4e59-90da-827286e96af2</t>
  </si>
  <si>
    <t>5a38c9c7-0d22-4489-830e-de59b25d4f9d</t>
  </si>
  <si>
    <t>88955ce3-c10b-4f14-ad36-fb05c51b782b</t>
  </si>
  <si>
    <t>3e078708-51e4-4efe-ad42-889f39b60ac5</t>
  </si>
  <si>
    <t>9d2f725c-7e7a-48db-9838-ac8b8434814e</t>
  </si>
  <si>
    <t>d9d5d5df-18d7-430f-b946-81dfa69833ba</t>
  </si>
  <si>
    <t>2f4a222c-1206-4031-9f76-c5d12a3dc7ed</t>
  </si>
  <si>
    <t>46e10c08-8bf2-4652-9307-8b8195cef78e</t>
  </si>
  <si>
    <t>bd5a4ee1-96ba-42cc-a315-9dc6b2a46cc9</t>
  </si>
  <si>
    <t>b90e381b-f0e1-48f0-990d-caa9e285cf4c</t>
  </si>
  <si>
    <t>249641eb-6313-4daf-bee7-ac05a1da29d6</t>
  </si>
  <si>
    <t>90fda58f-28a3-4156-b773-904e0da2ddd0</t>
  </si>
  <si>
    <t>317a7903-b172-4d6f-8bdf-8e88d0b91a51</t>
  </si>
  <si>
    <t>7e45bd71-b1a6-431a-af6f-2027afe03774</t>
  </si>
  <si>
    <t>289424e5-b092-4d2d-9706-6eae02550eee</t>
  </si>
  <si>
    <t>9e0b3345-0b47-4556-9e46-a0503b1b82f2</t>
  </si>
  <si>
    <t>65b30342-8f03-4fbf-b59c-c028a7394973</t>
  </si>
  <si>
    <t>4a433148-3a58-4f4d-8d21-7edd7bef972c</t>
  </si>
  <si>
    <t>27bce613-358d-463f-85b5-b52b1aaaa25d</t>
  </si>
  <si>
    <t>1f2a6b01-98f3-44a3-a799-69665b8dd311</t>
  </si>
  <si>
    <t>fe24b26c-24e8-4958-ba8b-73220a46c64e</t>
  </si>
  <si>
    <t>c9c2168b-6087-4ac2-a572-a41a7b116500</t>
  </si>
  <si>
    <t>98e042b1-d78b-4db2-b921-2033c407a984</t>
  </si>
  <si>
    <t>c3e9dcb9-3a5f-451d-85d2-f38027052737</t>
  </si>
  <si>
    <t>cb7a3a7b-74ee-48aa-9db9-d7bdf6032dea</t>
  </si>
  <si>
    <t>22a6425d-24fa-4b00-b5f5-2af122092fbd</t>
  </si>
  <si>
    <t>5bcea719-57da-4f8c-ad11-1fa7ae336eb2</t>
  </si>
  <si>
    <t>5c6e2809-b98d-4722-ab30-a9ff5110ddc7</t>
  </si>
  <si>
    <t>6b777595-af42-46cf-a5a2-36649cf14fed</t>
  </si>
  <si>
    <t>734a4a13-83e1-4fac-98a6-ebdf1f9395f6</t>
  </si>
  <si>
    <t>30cb9c62-7aa9-451a-9ad9-afd5af02dbb5</t>
  </si>
  <si>
    <t>5054b30b-825f-4085-b5f0-ea75a1c59d0f</t>
  </si>
  <si>
    <t>6ba8db2b-2bef-480e-807f-8f392e56ca7a</t>
  </si>
  <si>
    <t>ec832f83-d8b7-4ed4-bf44-e82eec0c790c</t>
  </si>
  <si>
    <t>841eac67-daf0-45eb-b933-af311e4de8ac</t>
  </si>
  <si>
    <t>15ac8441-9930-4027-bb03-701002506ff5</t>
  </si>
  <si>
    <t>0aa25f60-8b97-4fec-b2f6-ba7299e4e846</t>
  </si>
  <si>
    <t>94c21c9c-8104-4e24-9b7a-4193d8ad6b5c</t>
  </si>
  <si>
    <t>e0b4bd51-1ea5-4afd-a594-dc4768dfd2bd</t>
  </si>
  <si>
    <t>f37ebd98-7f13-42f3-9679-b14667e1bb5f</t>
  </si>
  <si>
    <t>7a199e33-1b57-4d77-94b5-a892e4a19969</t>
  </si>
  <si>
    <t>9ba4f8a0-d6d4-4079-91b4-9404e82e68ea</t>
  </si>
  <si>
    <t>7711c7cf-078b-4db8-aedc-8e0c392418f4</t>
  </si>
  <si>
    <t>c8f0ce83-f56e-4cb3-912a-6ce7edb3e2ac</t>
  </si>
  <si>
    <t>14c94429-7ae7-460e-ba2b-6b761a7e810d</t>
  </si>
  <si>
    <t>52f07cdb-0ec1-4bb3-b7b7-96e3259f1355</t>
  </si>
  <si>
    <t>539790ef-a880-47c3-9f5f-ea9f1ab7c5e0</t>
  </si>
  <si>
    <t>8492f3de-ab2c-4d20-8a72-a8c74ae373ff</t>
  </si>
  <si>
    <t>c646d86f-24bf-462e-83b8-8faa484a6acb</t>
  </si>
  <si>
    <t>9e448903-0b7f-471c-b60c-0fb7a1f676d2</t>
  </si>
  <si>
    <t>96ad171e-087b-456f-a5ac-1b71d2b9d64f</t>
  </si>
  <si>
    <t>c0f24411-d595-41dc-b4f5-4b018d969f64</t>
  </si>
  <si>
    <t>3e71997a-450c-43e7-a018-10ec636f9a2d</t>
  </si>
  <si>
    <t>f52240b4-61e4-4d64-8958-66b2425d7818</t>
  </si>
  <si>
    <t>d2d4050d-bee4-4d9f-9f1c-4681521c3818</t>
  </si>
  <si>
    <t>b7892173-4f7f-48a2-8838-fe001d4cdc31</t>
  </si>
  <si>
    <t>f4ee986b-a00d-4b56-865a-5233e419580b</t>
  </si>
  <si>
    <t>118bb298-6ff6-46f2-bbfd-c62131672f1a</t>
  </si>
  <si>
    <t>f2467530-8dad-4270-b35f-9d35d1d89b90</t>
  </si>
  <si>
    <t>4aa1335f-1f26-450c-9bdc-2eb7fed2ca9e</t>
  </si>
  <si>
    <t>60a51f57-ce3d-4190-803b-a337fe6971a8</t>
  </si>
  <si>
    <t>9c83bc2d-c89e-42b3-98e5-694d996de1b6</t>
  </si>
  <si>
    <t>ff1d9075-fa51-45ef-bd08-1b89909b2b1f</t>
  </si>
  <si>
    <t>a64f3d92-1258-4d61-bfc9-e180f477fd4d</t>
  </si>
  <si>
    <t>c32832d1-6282-43e5-8aac-c4037d36036b</t>
  </si>
  <si>
    <t>fc8391e1-9436-4b65-8eac-a89f441ea043</t>
  </si>
  <si>
    <t>23H899505</t>
  </si>
  <si>
    <t>5567f378-cca9-487e-9c6f-c2d8eff59570</t>
  </si>
  <si>
    <t>4d8c4ea8-19a9-4def-926f-1056deb405b2</t>
  </si>
  <si>
    <t>93ebe733-5e9f-4ca3-9df3-1e49dc2938a3</t>
  </si>
  <si>
    <t>1c584733-f8d2-49ac-b925-40f20be36595</t>
  </si>
  <si>
    <t>da791d0e-4683-4532-bca4-f1e711a72d04</t>
  </si>
  <si>
    <t>cadc7ffa-9299-4ea1-9f00-488d28c5f39c</t>
  </si>
  <si>
    <t>3fb9ba65-6062-4926-8471-58031a3f0257</t>
  </si>
  <si>
    <t>d13e61ed-d07f-4d2e-a29a-74860c934e37</t>
  </si>
  <si>
    <t>69a756ac-1120-4801-92ac-09b99f4e6e31</t>
  </si>
  <si>
    <t>e468a26d-0c6d-42e8-aabd-6694f37a06ef</t>
  </si>
  <si>
    <t>664707ea-36fe-4985-bdf4-76c0a5b2b78e</t>
  </si>
  <si>
    <t>5f7302a8-28ae-4f17-bbdf-349306939b32</t>
  </si>
  <si>
    <t>489a1891-14b9-4623-bff5-d03d661b0296</t>
  </si>
  <si>
    <t>c358c0d5-5967-416c-9afc-141a27453d84</t>
  </si>
  <si>
    <t>50ac4ebe-dda7-44f5-ae68-4062710d0f97</t>
  </si>
  <si>
    <t>dd5b112f-cbde-455d-a33d-45ee31afc890</t>
  </si>
  <si>
    <t>5a856c4a-b243-4359-9165-3c4dc791e03c</t>
  </si>
  <si>
    <t>c9caf254-262d-4009-b843-b026f52bae80</t>
  </si>
  <si>
    <t>27fc83ef-c013-4857-a6c7-4f42facaa916</t>
  </si>
  <si>
    <t>051bb1f1-0dae-4104-b399-ff9f823ad182</t>
  </si>
  <si>
    <t>054c8ad5-add1-4aec-8278-7bf0f2e3de00</t>
  </si>
  <si>
    <t>218718f6-5d57-418f-8af7-2ded8cc63826</t>
  </si>
  <si>
    <t>b8e40fe6-7ecc-402f-adcf-1c4a76d1ac3c</t>
  </si>
  <si>
    <t>6c4d28f1-c620-4fe6-88a8-a08279f59e13</t>
  </si>
  <si>
    <t>c8795240-fd46-49b7-98ba-f4354332c929</t>
  </si>
  <si>
    <t>ec8b5fbe-b98a-48c4-a635-12a840acf83b</t>
  </si>
  <si>
    <t>91b6185d-2834-456d-8ade-39fec29d1290</t>
  </si>
  <si>
    <t>ad5d4d0f-e400-447c-97b3-658e9b91c3d3</t>
  </si>
  <si>
    <t>c61fc1be-9129-439f-aa01-328f530bb610</t>
  </si>
  <si>
    <t>77442c5d-4dd7-4f0f-a912-151a995252eb</t>
  </si>
  <si>
    <t>37f04ad1-16b2-4922-8949-5af796c67233</t>
  </si>
  <si>
    <t>ae48a317-2168-44da-84ee-451a95556220</t>
  </si>
  <si>
    <t>0ee4850b-f0c1-4dfa-abf2-310ee326dc9c</t>
  </si>
  <si>
    <t>cafd0a70-4f56-456e-8df8-acee8ed34929</t>
  </si>
  <si>
    <t>d56d3bd5-6c50-4d1f-b428-33fde9000be6</t>
  </si>
  <si>
    <t>80343625-e905-4874-8c01-07ce81cf3444</t>
  </si>
  <si>
    <t>3f424ac5-0e02-48b9-a276-0c5c4c7d014a</t>
  </si>
  <si>
    <t>7d058f5c-cfc4-4b12-97fe-a7556d411e4d</t>
  </si>
  <si>
    <t>81994049-2b7b-4ff1-986a-168706e0c51d</t>
  </si>
  <si>
    <t>3907e9cc-9075-4d63-a786-0d4e58274197</t>
  </si>
  <si>
    <t>bf33dd10-4d59-4817-9866-935157e4b8f5</t>
  </si>
  <si>
    <t>1d4bd176-4634-4af9-8e3f-280f301f270d</t>
  </si>
  <si>
    <t>efde5e46-9ab6-41fe-8130-a631bbbc45b2</t>
  </si>
  <si>
    <t>bd22521c-33ba-4874-9f89-5110906cdc25</t>
  </si>
  <si>
    <t>041d0fcf-fa43-4207-9a6e-ad52666b4356</t>
  </si>
  <si>
    <t>147d33cd-bdc9-42cb-8450-2a7bbb312794</t>
  </si>
  <si>
    <t>3ba44f96-a857-412d-860f-3b0efcd877d1</t>
  </si>
  <si>
    <t>ae8313aa-a72e-4936-a77f-223eb521f8e1</t>
  </si>
  <si>
    <t>8406ea13-af1e-47eb-b5b7-e80a1047b561</t>
  </si>
  <si>
    <t>21c08979-cbaf-4eb8-b885-ff026234e916</t>
  </si>
  <si>
    <t>c69452eb-e113-4f55-994c-0e5d7f3bf09f</t>
  </si>
  <si>
    <t>ea826e78-ea30-4a3f-bbe0-a409f7e61f46</t>
  </si>
  <si>
    <t>9916c762-e830-4416-9345-2f7f1593114e</t>
  </si>
  <si>
    <t>bc44d8b7-d69a-4a2c-8b9e-72302a23ab92</t>
  </si>
  <si>
    <t>dff1e289-43b0-4147-ad84-735ca6b0a657</t>
  </si>
  <si>
    <t>4f562f0c-9345-419d-aa35-3362362161e8</t>
  </si>
  <si>
    <t>382e598c-69bf-41fd-8d35-029c5e4c2fb6</t>
  </si>
  <si>
    <t>de cd a P5</t>
  </si>
  <si>
    <t>46bbd7c6-da32-41a7-a6dd-a77467b9952c</t>
  </si>
  <si>
    <t>b644f45b-0a42-4b65-a8cc-0eac21b30fe8</t>
  </si>
  <si>
    <t>dfa5a9f1-38bb-4a11-8f13-dde854bdc993</t>
  </si>
  <si>
    <t>40ab43fc-cbd1-4f8e-a45b-3b34209476f6</t>
  </si>
  <si>
    <t>632fe124-dfc5-4b63-a8da-d131c0292cee</t>
  </si>
  <si>
    <t>625b8313-d782-4126-b88a-71363528e791</t>
  </si>
  <si>
    <t>c4304bf7-48be-429f-8f69-937a7cdcd1bc</t>
  </si>
  <si>
    <t>1d4a16d1-da46-42f3-8a1f-04e79fe2539b</t>
  </si>
  <si>
    <t>02ad185c-89d6-4868-a086-e117e1fd9e34</t>
  </si>
  <si>
    <t>781f07ce-75a1-45b6-ae78-b235c4cf79a4</t>
  </si>
  <si>
    <t>cb292686-ad25-4075-9a89-aa0242771456</t>
  </si>
  <si>
    <t>ac72be4a-acf3-49b8-9c51-0ec678fbe6bc</t>
  </si>
  <si>
    <t>685de69f-fbb1-4d60-ad08-4d3bcbe79005</t>
  </si>
  <si>
    <t>ddcfe9b7-d9df-408e-8b39-decfd8fd64a0</t>
  </si>
  <si>
    <t>93f1dbd7-0f84-4fb5-8467-5e4f8e11318e</t>
  </si>
  <si>
    <t>1c26ac46-30c5-494e-9edb-d6d4d8b0fb62</t>
  </si>
  <si>
    <t>3fbc11b5-20ca-43db-b7ea-98e041164ede</t>
  </si>
  <si>
    <t>e47ca1d3-715b-4779-b192-127eae25f16c</t>
  </si>
  <si>
    <t>dd6ba794-1a55-4e60-a035-89b785fb3b1b</t>
  </si>
  <si>
    <t>1da1a860-1a5e-488b-affa-1f1d524ae34e</t>
  </si>
  <si>
    <t>bc126fd3-b7cc-49df-8493-fe2713d9ad9f</t>
  </si>
  <si>
    <t>2T2121103B</t>
  </si>
  <si>
    <t xml:space="preserve">MANGUEIRA REFRIG.          </t>
  </si>
  <si>
    <t>83812bc6-e61d-48cc-94e7-683b7cfcff51</t>
  </si>
  <si>
    <t>4b0a11b8-12b4-40f4-8aff-6862e1607d70</t>
  </si>
  <si>
    <t>60f71724-40a5-4938-ba13-b9768f7ac2f1</t>
  </si>
  <si>
    <t>9081a0dc-c74f-4a08-81f5-8b1351b7214f</t>
  </si>
  <si>
    <t>a217492f-6dc1-43e7-a57d-35a97168e52d</t>
  </si>
  <si>
    <t>f6bc9982-eb30-4936-b972-0214dd4b56d6</t>
  </si>
  <si>
    <t>53026bf9-3417-4495-9af9-cda5381f89e0</t>
  </si>
  <si>
    <t>9f9db598-28bd-42e8-889a-bb54f96d86df</t>
  </si>
  <si>
    <t>d5bb5fb6-66e0-4aed-96f6-7ca0a2dc17a6</t>
  </si>
  <si>
    <t>5875c416-34eb-4524-82c5-d4cdc0bdbbb8</t>
  </si>
  <si>
    <t>f89f34ae-6220-42e3-82e5-d9ddc9518134</t>
  </si>
  <si>
    <t>250028fa-fe36-4708-bc28-db8ddfcea779</t>
  </si>
  <si>
    <t>219561cf-26d5-4f37-8f79-873ffd68ba5e</t>
  </si>
  <si>
    <t>17d5222f-be23-4648-bb90-095e94c5c6ca</t>
  </si>
  <si>
    <t>1ffe0d0c-8f56-41e2-aa09-4d4fc00cc597</t>
  </si>
  <si>
    <t>08f65f2b-c4d0-4d51-aebd-2486dd111690</t>
  </si>
  <si>
    <t>47135fd5-f8cb-45d4-92fc-5056c548054f</t>
  </si>
  <si>
    <t>ac79d84f-6954-4ba7-b95a-67bf3d1fa65a</t>
  </si>
  <si>
    <t>5761871b-0d1a-46c6-8019-53240b90dbd0</t>
  </si>
  <si>
    <t>aa8743cd-1ad8-4a5e-90ad-74a14a7ccf6b</t>
  </si>
  <si>
    <t>e44a0ec4-e16c-487b-8125-52b02e2d73d7</t>
  </si>
  <si>
    <t>61ac7564-9386-40a7-8634-647af2a2f376</t>
  </si>
  <si>
    <t>0dd7d4c5-52cf-43c2-8b50-c6961b8877da</t>
  </si>
  <si>
    <t>068ef3c5-40b3-42e4-bb8e-3bc58039ea05</t>
  </si>
  <si>
    <t>f764d12c-8cac-4c4f-b1a9-59b40f26a27c</t>
  </si>
  <si>
    <t>8f4c2f5b-6c6b-4c4c-83d3-ce4177baaa62</t>
  </si>
  <si>
    <t>966bf674-2982-434d-90b8-e16aeebc2952</t>
  </si>
  <si>
    <t>52b21106-c54f-4f62-9cd7-ee231bc1623d</t>
  </si>
  <si>
    <t>73d07a04-ea52-439d-8776-8e5ed1c45445</t>
  </si>
  <si>
    <t>b3db405f-91ae-4858-b3b6-c31b91e5e030</t>
  </si>
  <si>
    <t>29592fa1-7019-432f-a5e4-2995155a856a</t>
  </si>
  <si>
    <t>463b425e-6fd2-44dc-8026-1ecbb03f7b27</t>
  </si>
  <si>
    <t>54b61892-403e-44b0-87f4-851cc12d09ab</t>
  </si>
  <si>
    <t>c51b3e9d-727f-482e-b3f3-5fdf5162b118</t>
  </si>
  <si>
    <t>b116c7cf-ff24-44ba-8964-726c8f7d744e</t>
  </si>
  <si>
    <t>bbe5194c-3ccc-4f88-ad8e-1946ce757c94</t>
  </si>
  <si>
    <t>3e917e6e-0b59-4d34-9099-736f7d85633b</t>
  </si>
  <si>
    <t>942c83c1-b13c-4f1e-a88c-f7f0004775af</t>
  </si>
  <si>
    <t>d40fb365-f369-4957-9f5d-6c8be9f5b8f9</t>
  </si>
  <si>
    <t>34dc46c4-1804-4968-9d43-fe3788e8943c</t>
  </si>
  <si>
    <t>1ee92c7c-1d20-471d-9958-b6a99cb1f8a6</t>
  </si>
  <si>
    <t>de P6 a C-D</t>
  </si>
  <si>
    <t>cc583d98-b752-4abe-909c-a5eec3b89653</t>
  </si>
  <si>
    <t>025c4bc6-9b36-4450-ba63-59dd025f540f</t>
  </si>
  <si>
    <t>962f9c3f-96aa-48f6-9ab1-62c666ba0dc0</t>
  </si>
  <si>
    <t>172d7d28-2d5d-46d8-b84c-b0991c42b9eb</t>
  </si>
  <si>
    <t>8c142490-897d-4cfe-b14f-83aff5a1b78a</t>
  </si>
  <si>
    <t>299bb379-d13e-4ff0-b46b-0cb60131d48c</t>
  </si>
  <si>
    <t>38228b2f-2a6a-43af-8cda-fdcaa2d0db0f</t>
  </si>
  <si>
    <t>2e21cc34-1f86-4618-9d92-91c9705e3d9a</t>
  </si>
  <si>
    <t>f4411121-da6c-4a04-a7a0-cb514a5cd8e0</t>
  </si>
  <si>
    <t>a294a94c-84ca-4a76-89b6-257c0b31f0a3</t>
  </si>
  <si>
    <t>Cambio de BoX</t>
  </si>
  <si>
    <t>edbb5a8b-5c37-4b0f-a1f9-41fbdc08dd70</t>
  </si>
  <si>
    <t>4bd87d74-f3ae-44d6-bba3-dabc8787cefd</t>
  </si>
  <si>
    <t>TARIMA</t>
  </si>
  <si>
    <t>bd51c5c0-c297-47bd-b60c-91848c2ae668</t>
  </si>
  <si>
    <t xml:space="preserve">TARIMA </t>
  </si>
  <si>
    <t>00fa926f-c6bf-4498-99fb-2adae5f51e81</t>
  </si>
  <si>
    <t>d6c5269a-0b78-45b5-9065-7c46a3f32e80</t>
  </si>
  <si>
    <t>50c6d8fa-7840-43f4-84b8-8014aed251a9</t>
  </si>
  <si>
    <t>69a63db0-bdd2-4c12-b2eb-b15b1ac31d2f</t>
  </si>
  <si>
    <t>aa18403d-c15a-4cd0-8538-05c70153731a</t>
  </si>
  <si>
    <t>eb3301a7-cff2-43ac-aa96-7411f6fc496b</t>
  </si>
  <si>
    <t>c350e404-3306-4d4a-b185-be31d769c842</t>
  </si>
  <si>
    <t>f106cd65-4216-4d42-9f37-efd80f778ca3</t>
  </si>
  <si>
    <t>deeb5855-31cc-45a7-8dbe-656beb136df8</t>
  </si>
  <si>
    <t>44dea480-59a6-4628-a3c2-34c03b625256</t>
  </si>
  <si>
    <t>26b51345-b832-4d22-8435-a3ce1206623c</t>
  </si>
  <si>
    <t>63f61390-6f1f-4079-a1ea-dd8388c62e59</t>
  </si>
  <si>
    <t>4a4aae57-f5e7-4b80-a212-d41e47c0c082</t>
  </si>
  <si>
    <t>b674e833-936d-439a-98af-1c2621644971</t>
  </si>
  <si>
    <t>c32e9f06-8a84-4e20-83f8-6c64746a521a</t>
  </si>
  <si>
    <t>d0f61be4-a4d5-4616-a140-c16216fa6185</t>
  </si>
  <si>
    <t>02ad7f47-7ffd-432b-bcea-c1c16fabcfd8</t>
  </si>
  <si>
    <t>ba6c0c42-2e96-44c6-995c-6ae2c6954492</t>
  </si>
  <si>
    <t>77177a22-59af-4b38-a253-8f5ed9d89197</t>
  </si>
  <si>
    <t>6b507d6e-d37b-486e-8b84-6e7130fbc6b8</t>
  </si>
  <si>
    <t>7c34eaa8-a062-4757-bb22-2be26e363bcc</t>
  </si>
  <si>
    <t>67a38738-0d71-4c12-8246-bd8d55bbeef3</t>
  </si>
  <si>
    <t>34ce9bc3-2a8a-4731-8fee-d4e80ee64ab0</t>
  </si>
  <si>
    <t>5ddcc9c0-a8a7-4d87-97ae-417665760f20</t>
  </si>
  <si>
    <t>e784df34-1586-44d1-a850-04225327f0c6</t>
  </si>
  <si>
    <t>19f906ca-a3b7-4aff-8890-e52ca27d07a1</t>
  </si>
  <si>
    <t>5fa6a01c-de3e-4aa4-9d70-70e3b703f5da</t>
  </si>
  <si>
    <t>61b5d7f2-83d4-4021-802f-6cbc2cdab4ca</t>
  </si>
  <si>
    <t>12ca9381-59d0-4f78-9176-9f5283e68b6d</t>
  </si>
  <si>
    <t>7b05ed88-1ca0-40bf-8e8e-740626e52c5d</t>
  </si>
  <si>
    <t>429fe930-51b6-400b-b1d0-29ab25e45a73</t>
  </si>
  <si>
    <t>d8130307-d8a5-4423-b5cf-6555c59b9b71</t>
  </si>
  <si>
    <t>843bc5b2-0a55-4e37-aed2-558bd02831a0</t>
  </si>
  <si>
    <t>52f9c4f0-380d-4dd5-a137-46bbf70fb252</t>
  </si>
  <si>
    <t>e92b98f7-5486-44c5-9633-5e206430f3f8</t>
  </si>
  <si>
    <t>deb6c00c-9d9c-491c-9d22-5a12fddf4770</t>
  </si>
  <si>
    <t>5a1a07d1-03a5-4382-b304-ceec956214e7</t>
  </si>
  <si>
    <t>8ff1f15d-9472-4b28-9db1-8a806b55498a</t>
  </si>
  <si>
    <t>724668b0-2dbb-442f-a3fe-5cf5694eea96</t>
  </si>
  <si>
    <t>68558d29-2cad-49f6-a217-16f0c283efed</t>
  </si>
  <si>
    <t>fdcf3636-8af3-48e3-bb56-8d7c8638b633</t>
  </si>
  <si>
    <t>6b0e3d50-0b5c-45f6-a2f5-ca352a0f0f09</t>
  </si>
  <si>
    <t>eb7e2781-4df3-4cc4-96bd-69cfe8fe63f4</t>
  </si>
  <si>
    <t>902d3774-bc3f-4abc-9064-5133ec8c68e0</t>
  </si>
  <si>
    <t>d787d1d5-ae15-4963-b1ef-49ea4b9a4ebd</t>
  </si>
  <si>
    <t>c6a0fadd-bbf2-4b02-94d7-aa968cef3228</t>
  </si>
  <si>
    <t>fa4339c7-672b-458f-a229-4288301f4fff</t>
  </si>
  <si>
    <t>ca2337c4-ff10-4fae-93e8-ede91da1d5f1</t>
  </si>
  <si>
    <t>382d7dbe-1bb9-468a-b087-b0d278eb6468</t>
  </si>
  <si>
    <t>d992a0a6-ee73-4a19-a5ba-9153e8ecd677</t>
  </si>
  <si>
    <t>113d6fb9-88a6-4fbc-9262-49965df15bdb</t>
  </si>
  <si>
    <t>35b645a5-38d7-4679-8d39-9b811354106e</t>
  </si>
  <si>
    <t>e8a066c0-027a-460b-b3ea-c936805c02e7</t>
  </si>
  <si>
    <t>01262200-b429-4c2f-b497-8d29265ae1dd</t>
  </si>
  <si>
    <t>a7fb93d5-a461-4fd1-88c8-788ab4fe9934</t>
  </si>
  <si>
    <t>22e43c40-44a3-4699-9586-25dc05c6bdbd</t>
  </si>
  <si>
    <t>cfe446b3-7682-4b51-9bbd-1bad90b10e5b</t>
  </si>
  <si>
    <t>3ec6e152-e5af-4242-a494-dadefc8ac0d8</t>
  </si>
  <si>
    <t>7da69953-fd7c-4454-863f-33d87ba68b5e</t>
  </si>
  <si>
    <t>cd4b1c05-5daf-48f4-a7ad-f76cf4b47d1f</t>
  </si>
  <si>
    <t>bac15f3f-0d55-4345-a1ff-5f4b7380a3e7</t>
  </si>
  <si>
    <t>e6d4585a-29f1-47a4-b1cf-4e1bdab9bda1</t>
  </si>
  <si>
    <t>a0169c72-dd30-4672-97c6-17fa699fb325</t>
  </si>
  <si>
    <t>20c6af91-85d4-4817-9ffd-82404db56179</t>
  </si>
  <si>
    <t>afb67a51-7772-49dd-a566-3b953a47c6aa</t>
  </si>
  <si>
    <t>a78cb233-622c-489f-af81-bb557f6c14b3</t>
  </si>
  <si>
    <t>63c293fc-471f-46b4-af1a-49e001e42efa</t>
  </si>
  <si>
    <t>3a850746-8b0c-4776-9a06-b57a147cfb1f</t>
  </si>
  <si>
    <t>744e4d49-4b19-4ae0-9af0-237da3bb61fa</t>
  </si>
  <si>
    <t>1e6009b9-1d4d-413c-87da-44dcb4b35ad6</t>
  </si>
  <si>
    <t>03b29feb-92e1-4197-8057-09c40ec4eb5a</t>
  </si>
  <si>
    <t>fef32d70-2732-43d9-9f81-1d1416c75bb3</t>
  </si>
  <si>
    <t>63144bae-26af-49e8-8aa4-2291536deddd</t>
  </si>
  <si>
    <t>cbef4838-6f50-4c8d-9ced-0a1570d70e51</t>
  </si>
  <si>
    <t>80331797-de18-4703-a2bb-d3acdb267fff</t>
  </si>
  <si>
    <t>a6b54a04-2fa0-470a-a917-cfdf156ce4a1</t>
  </si>
  <si>
    <t>87dc0341-0a93-42f5-9a79-72ebad85c461</t>
  </si>
  <si>
    <t>470a8ead-d142-4551-8dca-dd6ce93dc528</t>
  </si>
  <si>
    <t>934b395a-1688-464d-9d1e-c84cf39488d0</t>
  </si>
  <si>
    <t>c7cdfbbd-43ac-4e0c-a839-99eed898d249</t>
  </si>
  <si>
    <t>c059bf45-ffe4-45a6-a6dd-8e604ab222e6</t>
  </si>
  <si>
    <t>d47833ee-9774-4597-9151-4d75fa4390e3</t>
  </si>
  <si>
    <t>14d2537c-f4d9-45af-98c3-d1331f1943bc</t>
  </si>
  <si>
    <t>e709b5a8-0c2f-4cda-a0d5-44f2fa9d5bec</t>
  </si>
  <si>
    <t>9b5b9da8-951c-4561-ab6b-7a85ca06ff6e</t>
  </si>
  <si>
    <t>5b596211-8be3-41f4-92f2-c89d4e9c2644</t>
  </si>
  <si>
    <t>9a417c55-d472-42d6-b2ae-06fa155296b7</t>
  </si>
  <si>
    <t>24d094b6-f542-4140-b283-ac86174c6e7f</t>
  </si>
  <si>
    <t>dd211e2a-1068-4798-b0c2-72dc3e8e54f5</t>
  </si>
  <si>
    <t>6f163545-2e82-4ac9-b265-9a723d8fdf30</t>
  </si>
  <si>
    <t>9b56715c-edcf-41b5-b33c-70063197a51a</t>
  </si>
  <si>
    <t>e8c9299b-9e67-4632-825d-5b4898cf032f</t>
  </si>
  <si>
    <t>bf7a13b7-d319-4594-9aa4-c5a3b3df260f</t>
  </si>
  <si>
    <t>1f40cf19-427d-4f79-9dde-5b46b9f5c291</t>
  </si>
  <si>
    <t>e8e2cff3-9575-4617-b9ca-545ba4eb72da</t>
  </si>
  <si>
    <t>4c6638c8-f4b6-4015-8acd-47e93841e4b3</t>
  </si>
  <si>
    <t>32f2c822-0028-40b1-8e40-c3d1fa830ab4</t>
  </si>
  <si>
    <t>e1351fd1-6824-4f66-99f0-acaa7844936e</t>
  </si>
  <si>
    <t>a8d7fe24-b6f7-40e2-8f0c-c62faf94fa27</t>
  </si>
  <si>
    <t>07d5267e-cd05-4095-95af-c2ceba9ef775</t>
  </si>
  <si>
    <t>51562d18-7411-4555-8bc6-361b00aafb86</t>
  </si>
  <si>
    <t>6e820bdb-c239-4879-b157-19ceb36fe578</t>
  </si>
  <si>
    <t>56f1afbe-8ac6-4994-96e4-fa3e0f4d8c1a</t>
  </si>
  <si>
    <t>9cf20207-0f2c-4a26-8009-d25335cb8ecf</t>
  </si>
  <si>
    <t>a1b6e28d-7aec-49f3-99d6-a18c84672e43</t>
  </si>
  <si>
    <t>57c084c5-ba3a-453f-834f-4e985c71f76e</t>
  </si>
  <si>
    <t>5351bb21-d3c4-44d9-92c3-c2234ca98bc5</t>
  </si>
  <si>
    <t>0bb8d647-cfb8-4c87-a1f5-ca01aa65a446</t>
  </si>
  <si>
    <t>Cambio de P0 a P4</t>
  </si>
  <si>
    <t>1ec06cce-ccfc-46fc-bc37-fc9b80817ee1</t>
  </si>
  <si>
    <t>2454422b-41f6-4bb2-bccb-5503ee9150cf</t>
  </si>
  <si>
    <t>8a344ffa-1ecb-439c-b06f-1ef948ec80c0</t>
  </si>
  <si>
    <t>fe3fa2a7-f772-4077-85d0-17ca56cc0b58</t>
  </si>
  <si>
    <t>071e402d-e446-4324-b457-c4788e555e47</t>
  </si>
  <si>
    <t>083272b3-2ee3-45ac-bedd-f18aa9d5fc53</t>
  </si>
  <si>
    <t>f222c89d-3d4c-4137-93a9-5b18e1cd1cd0</t>
  </si>
  <si>
    <t>f321e775-1b2e-435f-b778-7d8a36e812f1</t>
  </si>
  <si>
    <t>7aa6d338-97d4-4a5a-845b-a4c3b69fb7ce</t>
  </si>
  <si>
    <t>a1d440df-4297-4053-a81b-af201a3056d8</t>
  </si>
  <si>
    <t>470b5751-8809-405e-a8cf-58b5973c1da7</t>
  </si>
  <si>
    <t>81345a17-4ae8-4d08-bbea-0583b588d04a</t>
  </si>
  <si>
    <t>685f64f9-22d4-438c-8af4-22eaf978add7</t>
  </si>
  <si>
    <t>1b067fcf-a469-48ed-bcf1-69c3c54316de</t>
  </si>
  <si>
    <t>9409e333-f7be-45cb-99d5-cf6019474115</t>
  </si>
  <si>
    <t>95c37b57-0f1a-494e-bf63-58d129024cd6</t>
  </si>
  <si>
    <t>4105d729-fa57-4c4a-bc76-1f3c87be36d3</t>
  </si>
  <si>
    <t>9a44fe64-9444-4e38-a0c7-3a55d6e4072b</t>
  </si>
  <si>
    <t>d8eb558a-8b80-46ac-a904-24104b438755</t>
  </si>
  <si>
    <t>4390c3de-8bc8-4c6c-9430-f7cd623d7db8</t>
  </si>
  <si>
    <t>1a362c8d-b6b8-484a-a8ba-fa66e7a31a38</t>
  </si>
  <si>
    <t>7156efc6-524e-4b2c-afb2-2bde0a54b93b</t>
  </si>
  <si>
    <t>a8d9b4f0-9bc6-48b4-adf4-4249d5b0bbb1</t>
  </si>
  <si>
    <t>dd85e01c-b61a-47e4-9e5e-01e954e6ceb6</t>
  </si>
  <si>
    <t>91a3449c-06c0-4a30-b833-4d8137bc2c5e</t>
  </si>
  <si>
    <t>6f77450f-f71c-47bf-8c24-0061cf78ebd2</t>
  </si>
  <si>
    <t>72bd5668-5010-4ee4-adf2-6fcb77ffa85b</t>
  </si>
  <si>
    <t>3fc45caa-9610-4efc-bc50-d4a5023a8f9c</t>
  </si>
  <si>
    <t>24462559-34b5-4257-8942-fe2e586d3977</t>
  </si>
  <si>
    <t>c68dd3bf-b481-464b-ad9f-ae716bd0c0c4</t>
  </si>
  <si>
    <t>e71bb2fa-5700-4fd2-8b4b-787c63ab95f2</t>
  </si>
  <si>
    <t>ab6ef8f7-a1d3-4b6a-9729-5f2abe2bd85c</t>
  </si>
  <si>
    <t>9197dea6-b83a-4fd7-bfb1-f3b12a70245e</t>
  </si>
  <si>
    <t>d45777d8-e114-4b8c-b1bf-069bec97f820</t>
  </si>
  <si>
    <t>7c150e16-f817-4840-a049-57eaf51c4706</t>
  </si>
  <si>
    <t>ccccea49-6771-4f96-8328-bdfe0225ad0c</t>
  </si>
  <si>
    <t>463898f7-cc72-4af9-8929-c2cd31a85ab9</t>
  </si>
  <si>
    <t>7f84c77f-2a3a-49e2-b19a-dba61cd06ee2</t>
  </si>
  <si>
    <t>9b3efa46-82d9-48a5-b2f1-7d713b2e950c</t>
  </si>
  <si>
    <t>39a9f04c-c829-4a91-8fc6-57c78eaa35cf</t>
  </si>
  <si>
    <t>ca556319-67b2-4c13-841b-731c88989044</t>
  </si>
  <si>
    <t>201b8166-6737-4ebe-a2c5-21a92f884ec3</t>
  </si>
  <si>
    <t>3421c583-1dec-4058-b99c-ee7393c0dbee</t>
  </si>
  <si>
    <t>360a3b40-0933-4e20-b4b4-5d7a773ddf1e</t>
  </si>
  <si>
    <t>a3ec0784-3d09-4561-9566-39b674c9bcc6</t>
  </si>
  <si>
    <t>b5498611-1b80-48a3-b679-2a48b9db4ecd</t>
  </si>
  <si>
    <t>c6c979e8-6550-49d9-971e-a8e21ad6d612</t>
  </si>
  <si>
    <t>c61e01ce-2a1b-4c19-914b-df514de2ff1a</t>
  </si>
  <si>
    <t>51602ab7-76bf-4add-9a85-7b86826a6ded</t>
  </si>
  <si>
    <t>31cdb3c7-5154-42ef-8aee-49c07483f3f4</t>
  </si>
  <si>
    <t>9e91bf52-85fe-4a90-b033-3dd79acf71e7</t>
  </si>
  <si>
    <t>ac79fd5f-796f-432f-ab47-0102bfce9d76</t>
  </si>
  <si>
    <t>08cd0b45-7622-42f2-9b39-7c3bad913ffb</t>
  </si>
  <si>
    <t>e4bbd8dc-497c-4770-a3b4-79cf8549adb6</t>
  </si>
  <si>
    <t>2ab7d486-de3c-4188-98d1-db8188ad40c1</t>
  </si>
  <si>
    <t>37fb133f-9d2b-47e7-96bf-ccde1ff74c56</t>
  </si>
  <si>
    <t>d161a230-89c8-442e-9eb5-74ea06fea7fa</t>
  </si>
  <si>
    <t>5b7fccc2-c3c6-43a7-978c-2a9dd58f11f6</t>
  </si>
  <si>
    <t>e38a94fb-2d1d-4ce0-bbee-177ec7f07ab7</t>
  </si>
  <si>
    <t>93910e04-d17b-46f5-b28f-f1867b4951e8</t>
  </si>
  <si>
    <t>cc22236d-e910-4a62-b2b3-662dc9546861</t>
  </si>
  <si>
    <t>d48e3bc0-6dd9-461c-9ac6-6d66c7809f61</t>
  </si>
  <si>
    <t>a5f5699c-f0dc-4c81-a705-33d8be6b3f98</t>
  </si>
  <si>
    <t>f74627c1-6d0f-4006-b329-3dd6ddcf63a6</t>
  </si>
  <si>
    <t>4578a234-dd50-4bee-815d-d2992452bb90</t>
  </si>
  <si>
    <t>ac50921d-646b-4b13-8bcd-1dba609f8bd0</t>
  </si>
  <si>
    <t>20906336-ab0a-462a-b956-127f2def0571</t>
  </si>
  <si>
    <t>00a32de8-9914-4030-b2e3-fa0686789532</t>
  </si>
  <si>
    <t>a198a3d0-68c1-44a7-bddc-b3bd86807546</t>
  </si>
  <si>
    <t>131458a1-4aef-47b7-be33-d6d6dd07904a</t>
  </si>
  <si>
    <t>4dc1b8f9-2dda-4517-a294-1129d077c923</t>
  </si>
  <si>
    <t>ae77e376-35b2-4b01-b1ce-8d3a84aa72e1</t>
  </si>
  <si>
    <t>9c562d7d-0cd5-4af7-a820-f1c03f685958</t>
  </si>
  <si>
    <t>b7e99af0-7620-4ef3-9744-591fc8a8c3e9</t>
  </si>
  <si>
    <t>6fdc8f10-9ccb-434d-a9c4-aafb8747b12d</t>
  </si>
  <si>
    <t>d02be109-a528-42e2-9ab0-ead616de1dce</t>
  </si>
  <si>
    <t>992de516-6d3e-483e-8089-1917c85fcad4</t>
  </si>
  <si>
    <t>34cbb18c-e5d7-4d33-b3d0-625ef02aab1a</t>
  </si>
  <si>
    <t>11eee345-154d-437c-b186-a81f5a90d5e6</t>
  </si>
  <si>
    <t>7d55bae9-5822-427a-8490-930864fc6e26</t>
  </si>
  <si>
    <t>5a5dab69-c92f-4937-8d4d-8e32678498e3</t>
  </si>
  <si>
    <t>073e415b-6416-4bde-8613-f9f9b172eb77</t>
  </si>
  <si>
    <t>bc9b4140-f3cf-477a-84e4-2b1111c4cbf1</t>
  </si>
  <si>
    <t>170474bb-011c-484f-8c39-85c84910141a</t>
  </si>
  <si>
    <t>70a1ecf0-1e60-4f2a-b977-64d37ab20aee</t>
  </si>
  <si>
    <t>4f4591ed-824b-4740-861a-b871333c7ee6</t>
  </si>
  <si>
    <t>3ef34619-e85f-49a8-be24-7c3df6276fde</t>
  </si>
  <si>
    <t>f1db7668-a711-4871-98d2-8d94f5c04159</t>
  </si>
  <si>
    <t>9fe5b112-870d-41e6-91a0-bb26c903f43a</t>
  </si>
  <si>
    <t>816c0c53-495b-499d-b57b-a697e9a3e985</t>
  </si>
  <si>
    <t>6d9de84c-0dfa-4c8b-a596-3912a9541fe5</t>
  </si>
  <si>
    <t>ccdd8c4a-4cb2-43d6-8d1c-427959604faf</t>
  </si>
  <si>
    <t>88a35cde-702e-41cb-8c0e-045c9f1a99bc</t>
  </si>
  <si>
    <t>ffdcfb8e-ecc7-448b-8d78-28b690c6dc4c</t>
  </si>
  <si>
    <t>1ddea5e6-a8af-4f2c-82e3-0743acfe9c1b</t>
  </si>
  <si>
    <t>94b0ad70-64bd-4dd9-8779-1687395fa0ad</t>
  </si>
  <si>
    <t>68ca20c9-e7ec-41ea-966e-e38a1ff15938</t>
  </si>
  <si>
    <t>49c6d178-99ed-438c-a6b7-bde09c59fa45</t>
  </si>
  <si>
    <t>d6f6a110-0de9-4903-beff-c516078881e8</t>
  </si>
  <si>
    <t>1b3f495f-2893-4b7d-b38d-4c9823275909</t>
  </si>
  <si>
    <t>b994ee61-702a-4487-89d1-3dfcd8044a59</t>
  </si>
  <si>
    <t>561a8fe3-aee9-4ca6-a1a0-55b120a4ecf8</t>
  </si>
  <si>
    <t>84c5a762-b96f-47f1-9e92-0cebed994c88</t>
  </si>
  <si>
    <t>b6aee374-f348-46c7-aa3f-360c57d5143a</t>
  </si>
  <si>
    <t>37ee9cc3-a63d-4029-816e-d42f098a5cad</t>
  </si>
  <si>
    <t>0ab02642-3311-4a97-9e8f-9812de9c3259</t>
  </si>
  <si>
    <t>f203701a-a540-49f9-8d9c-4cb34766afc3</t>
  </si>
  <si>
    <t>c40fecea-86d4-4669-b88c-71e05e563975</t>
  </si>
  <si>
    <t>486e8d7f-7b13-4b54-adcd-9b79e35e8581</t>
  </si>
  <si>
    <t>9594f6a4-1e48-42ec-a87b-4e6470c393a2</t>
  </si>
  <si>
    <t>263e10e3-4dd0-4519-8911-1c72351b57e1</t>
  </si>
  <si>
    <t>88d86176-d5c7-4b69-840f-c239c8afdfb3</t>
  </si>
  <si>
    <t>0243059c-4e0f-495a-84a2-c315dc9e2191</t>
  </si>
  <si>
    <t>1ea7f779-bc40-4032-9117-c53d034bd76a</t>
  </si>
  <si>
    <t>a225c53d-e422-439d-a71e-566fee294a15</t>
  </si>
  <si>
    <t>a30e16be-ae40-418e-b0d8-d7946d960c5f</t>
  </si>
  <si>
    <t>7420e302-7627-4ef1-828e-4e8014b41ca1</t>
  </si>
  <si>
    <t>65ab3485-9a5e-494a-8b40-4fa784c9836f</t>
  </si>
  <si>
    <t>6126d1e5-c03d-44b1-8ed9-f744cbf318f6</t>
  </si>
  <si>
    <t>15103583-43bd-466a-9004-72e66ddd0f64</t>
  </si>
  <si>
    <t>9a44bc80-6de1-4c45-ae30-d9aec4aa8993</t>
  </si>
  <si>
    <t>34365347-1bb1-46e4-b5c7-f6f91292d6c1</t>
  </si>
  <si>
    <t>a12268f8-1685-4ef3-9a9d-20366feec1b2</t>
  </si>
  <si>
    <t>23-06 cambio a puesto c-d</t>
  </si>
  <si>
    <t>24977816-1727-49ce-9dd8-39be7da3af9a</t>
  </si>
  <si>
    <t>e6864bba-0f41-4cc7-9fa3-01e03ef69ee1</t>
  </si>
  <si>
    <t>15a38224-52ba-4263-9a8c-7856cb504cc1</t>
  </si>
  <si>
    <t>74a85e50-52db-47aa-afb2-8cc48a1289ca</t>
  </si>
  <si>
    <t>3bea944f-e2ad-4712-bf3e-d881dcd737c9</t>
  </si>
  <si>
    <t>996b70ab-8bff-4762-8f28-f0d50b699851</t>
  </si>
  <si>
    <t>00a05c0a-9871-453e-819a-6bee0903d453</t>
  </si>
  <si>
    <t>65e149a2-555c-4a03-a7de-af985976cb07</t>
  </si>
  <si>
    <t>384bacf2-5111-4e9e-b7f5-d2352c298877</t>
  </si>
  <si>
    <t>2654a6d0-d7ba-4ff1-96de-a4265ed3220c</t>
  </si>
  <si>
    <t>07a1288e-b3a6-413d-a2f7-a6b83bbbc019</t>
  </si>
  <si>
    <t>641521a1-56d5-4f2d-bb9a-7a07cafb33f1</t>
  </si>
  <si>
    <t>faeea1cf-b1d4-4703-840f-f95fc52d1e65</t>
  </si>
  <si>
    <t>d5f9c493-e226-4ef5-943b-a4c4ee837f58</t>
  </si>
  <si>
    <t>1be23dba-6549-48b3-b3fc-2e95b5372ff8</t>
  </si>
  <si>
    <t>f971efcb-db22-4afa-8911-cda3b088c428</t>
  </si>
  <si>
    <t>b52a7ef5-1213-4c9f-af1d-9489890aa5d3</t>
  </si>
  <si>
    <t>fea7ce91-15bb-4a4e-9244-e9063dbeecc4</t>
  </si>
  <si>
    <t>08bdf058-b35f-40f1-ae20-abad92ed07a9</t>
  </si>
  <si>
    <t>29b1f38c-e3e0-4dc9-b6ec-551cad54ca09</t>
  </si>
  <si>
    <t>0cd2ce6e-9ced-4920-8c04-cf2182dc2ad7</t>
  </si>
  <si>
    <t>8ad9e2f0-1016-4c76-be80-c14af48ecbd8</t>
  </si>
  <si>
    <t>0519c2e7-fc8d-48b9-8115-05c1f610f29e</t>
  </si>
  <si>
    <t>dd7191fb-3c28-4e5c-997c-9ba1c54d08f4</t>
  </si>
  <si>
    <t>52b156e3-0953-4873-9202-af1fc8ff90b8</t>
  </si>
  <si>
    <t>df9cb5e6-e08c-4390-b8a1-7e89618ccf58</t>
  </si>
  <si>
    <t>9cab2ccc-92a4-4559-8ea4-92b5a4c80f84</t>
  </si>
  <si>
    <t>2bfdcf0e-7678-4a1b-9d0c-680e159a2e07</t>
  </si>
  <si>
    <t>033b9432-f246-4789-a7d9-a37d556f6044</t>
  </si>
  <si>
    <t>095d1a35-9b5b-43bf-9f85-a6d92aa48c24</t>
  </si>
  <si>
    <t>8893f558-ba1f-43d5-af79-8656936934ab</t>
  </si>
  <si>
    <t>01aa32bb-cb57-4857-87d3-01cb436dd258</t>
  </si>
  <si>
    <t>e0912ca8-e1de-4821-ab6a-cad8f0e43b3b</t>
  </si>
  <si>
    <t>68b12b8a-5ed5-4290-8733-5c022a322540</t>
  </si>
  <si>
    <t>ffc89cde-1127-4947-bf41-ba05c560b7a6</t>
  </si>
  <si>
    <t>5c90b5f1-709a-45a7-a59f-27accd0ae6bf</t>
  </si>
  <si>
    <t>ed4cd780-15fa-4740-ac04-5dafa0bb66b1</t>
  </si>
  <si>
    <t>95111d61-943a-472f-b67d-d6592cc79ee1</t>
  </si>
  <si>
    <t>619d8658-5473-4bd0-ad75-bf0900a4ddd5</t>
  </si>
  <si>
    <t>8289c585-8eea-475d-82bc-193e30f9ad9b</t>
  </si>
  <si>
    <t>45f23045-92ea-4f48-a209-3779283f107f</t>
  </si>
  <si>
    <t>ab7b3b8a-68c9-4132-ba23-519093ca138a</t>
  </si>
  <si>
    <t>8415b0db-324b-4f72-976f-5f4c0d788d08</t>
  </si>
  <si>
    <t>c5235fc0-678c-4a4f-8802-a1ee69d4a592</t>
  </si>
  <si>
    <t>468ade32-8930-4457-8dc2-9dade6d71994</t>
  </si>
  <si>
    <t>ef0e96e0-dc4b-4619-9bce-1ba6357ee744</t>
  </si>
  <si>
    <t>b867f6f6-8192-48af-b7f8-74d0c6339200</t>
  </si>
  <si>
    <t>1741d29f-dd36-4708-ac79-d5ef92ab8e41</t>
  </si>
  <si>
    <t>f9ebea82-2678-4133-9914-a48dc3839bcf</t>
  </si>
  <si>
    <t>8c5b0bda-5117-4faa-9c25-0b71da227a42</t>
  </si>
  <si>
    <t>ae317165-e01c-4487-bbf5-899b9b99ff83</t>
  </si>
  <si>
    <t>327cc470-7742-4e73-958d-cec327028d35</t>
  </si>
  <si>
    <t>3a3f4297-effb-4b7c-92e7-2b7bdf1af39b</t>
  </si>
  <si>
    <t>808fe32e-6bd2-4f9c-9b17-3accf71c3329</t>
  </si>
  <si>
    <t>c8c620d5-8204-4669-813b-78e046932db6</t>
  </si>
  <si>
    <t>68fbf8e3-06f7-4364-979a-9f2c214cda4b</t>
  </si>
  <si>
    <t>2842cf61-5ee3-4838-9a20-001a327cad09</t>
  </si>
  <si>
    <t>8c1ed451-f2c5-4172-aee7-c73ea595a484</t>
  </si>
  <si>
    <t>37df9dfe-aa8a-49fc-a1bc-6cfa4cd06e73</t>
  </si>
  <si>
    <t>aa1c1fa1-1d85-484b-8809-226fce93c09c</t>
  </si>
  <si>
    <t>bc932377-daaa-4c5b-908a-da367ff2ecfd</t>
  </si>
  <si>
    <t>7570e24a-cd5f-4cb1-bee2-e91250a473db</t>
  </si>
  <si>
    <t>d0e4369c-bf70-4d71-816b-15bfb36d4fec</t>
  </si>
  <si>
    <t>63c80319-2a15-4c16-ac92-d0c59cf2a6f9</t>
  </si>
  <si>
    <t>8f7e8579-5905-48ce-a4ca-9775407a8234</t>
  </si>
  <si>
    <t>bbb8c4f4-024f-4b5d-9ce8-9de4a1fb66a1</t>
  </si>
  <si>
    <t>fd915d49-941c-470e-a572-e1dec4780664</t>
  </si>
  <si>
    <t>f02f18bf-6659-4aac-a481-d79aa3584133</t>
  </si>
  <si>
    <t>810a4210-c3fc-4c4a-8b8a-763f0bafb47b</t>
  </si>
  <si>
    <t>a5d540e1-70c8-4643-bb55-96eb413afa84</t>
  </si>
  <si>
    <t>ba02c785-842b-4ecb-a405-183cfdba6886</t>
  </si>
  <si>
    <t>cd6455d7-727c-4faa-9239-aa2635528d94</t>
  </si>
  <si>
    <t>8ed1e884-b072-4486-bb4e-9a610a3b837c</t>
  </si>
  <si>
    <t>cc2c0ef8-ba61-497c-8a2e-461a2e82f975</t>
  </si>
  <si>
    <t>2b5b6b18-b615-455b-b188-857525e83202</t>
  </si>
  <si>
    <t>10136515-dda9-44df-a93f-774bff080805</t>
  </si>
  <si>
    <t>Bus 15190OD</t>
  </si>
  <si>
    <t>a4edcc35-05b5-4835-8860-94b32a56871e</t>
  </si>
  <si>
    <t>Cajón de Madera</t>
  </si>
  <si>
    <t>614e375f-914c-42ac-886a-cab632af30ac</t>
  </si>
  <si>
    <t>4769b99a-853f-4217-8265-66ec976bb47b</t>
  </si>
  <si>
    <t>1fe03175-ae60-4fb9-ae45-fbb5a3bbf5c5</t>
  </si>
  <si>
    <t>fbee70ae-91a7-413c-81f6-f5469e3d5d79</t>
  </si>
  <si>
    <t xml:space="preserve">Tarima </t>
  </si>
  <si>
    <t>21b28c92-eac7-4274-bf22-49c0adc9a21d</t>
  </si>
  <si>
    <t>P2 a P0</t>
  </si>
  <si>
    <t>85b36a15-d012-4f3d-9e3c-07f01dc8a25f</t>
  </si>
  <si>
    <t>f8f174ba-7e4e-424f-a7d5-50bc572c4030</t>
  </si>
  <si>
    <t>00f9ec36-6c5d-4d16-979e-df1be1169f2c</t>
  </si>
  <si>
    <t>5b40c0cb-e42f-42a7-9fcd-cbe2ac0b0079</t>
  </si>
  <si>
    <t>ba64c205-718b-4370-b9d0-d945f2a36f2e</t>
  </si>
  <si>
    <t>P5 a 0-1</t>
  </si>
  <si>
    <t>24ed5246-48ee-4bad-9c96-b7c5a073beb4</t>
  </si>
  <si>
    <t>p4 a 0-1</t>
  </si>
  <si>
    <t>a4184e96-5ddd-4505-89e2-96eb7bcde6da</t>
  </si>
  <si>
    <t>73d7327b-82d7-4737-9db0-c3b098153f70</t>
  </si>
  <si>
    <t>Cambio de P5 a P2</t>
  </si>
  <si>
    <t>ec3974be-de80-4b47-a097-a36934372a7d</t>
  </si>
  <si>
    <t>7e8a2813-c8d0-45b4-aa17-fedf37de21d1</t>
  </si>
  <si>
    <t>39f2e6b7-56ac-45c2-898d-dc1b903b0a68</t>
  </si>
  <si>
    <t>P3- P2</t>
  </si>
  <si>
    <t>aef22ff5-41af-41b1-80b2-b3d20b8db325</t>
  </si>
  <si>
    <t>P0 a P2</t>
  </si>
  <si>
    <t>a856c513-6ebc-4bd8-91c4-3d750141999c</t>
  </si>
  <si>
    <t>2de04c4a-87b4-471f-af96-84670c678c0b</t>
  </si>
  <si>
    <t>92268504-4e7a-46d2-b867-70821f816756</t>
  </si>
  <si>
    <t>6ca04131-07da-4045-8fa2-d994089b09da</t>
  </si>
  <si>
    <t>A-B a P3</t>
  </si>
  <si>
    <t>6a5967cc-2b54-4352-ac05-4630374d1e65</t>
  </si>
  <si>
    <t>339d5a97-3643-4e10-907a-55b75749709f</t>
  </si>
  <si>
    <t>cd4e236d-8e85-4ee7-9336-0fca2a7386f6</t>
  </si>
  <si>
    <t>97447983-0b84-4722-b2ef-8556ec7cac6a</t>
  </si>
  <si>
    <t>6244bb95-89aa-4224-911f-7d16a4f507a4</t>
  </si>
  <si>
    <t>a4b12f40-499a-4a2e-80b7-bcf02b69fe0b</t>
  </si>
  <si>
    <t>P2 a P6</t>
  </si>
  <si>
    <t>39fa8c2b-4a2f-4e38-94b2-5c2c8436ba82</t>
  </si>
  <si>
    <t>e051714b-f021-4293-a480-5e4b4947f251</t>
  </si>
  <si>
    <t>617bf55c-c968-410b-9ab9-ae6eb87f9271</t>
  </si>
  <si>
    <t>6ada2ca5-5c76-458f-adf4-a4ec125b851e</t>
  </si>
  <si>
    <t>6a5dab6a-858a-4a39-a104-f7723df4b3e1</t>
  </si>
  <si>
    <t>3ec36c7e-6acd-41a3-bb37-45645919915e</t>
  </si>
  <si>
    <t>c1536e50-9141-4e7b-8c1a-4739af69b45b</t>
  </si>
  <si>
    <t>17f53d20-bb20-41ef-b446-01f16ce4d22a</t>
  </si>
  <si>
    <t>f05ac773-cfb7-46a0-b71a-a4ffe966d452</t>
  </si>
  <si>
    <t>714e7d6f-9eff-4542-8160-6565443641de</t>
  </si>
  <si>
    <t>72db40d9-5351-46e4-964d-d5d6716d62f9</t>
  </si>
  <si>
    <t>4ff6e19d-8441-44bb-9040-8d84a37892ce</t>
  </si>
  <si>
    <t>550072e2-2bb6-4224-8e7c-907de554461e</t>
  </si>
  <si>
    <t>59474ccf-e4bf-456d-80de-b914e35cedf4</t>
  </si>
  <si>
    <t>d807bc14-f16a-4238-af97-4c306fdd3869</t>
  </si>
  <si>
    <t>64ca5cd1-8d51-4447-a2da-3f0daa88c865</t>
  </si>
  <si>
    <t>84912d3e-254f-4404-9276-8fa0a3b4cb8c</t>
  </si>
  <si>
    <t>97c86ecc-f800-4e6b-9af3-0990046efdbd</t>
  </si>
  <si>
    <t>e51d7478-cda9-451f-9b3d-f4b2bae19248</t>
  </si>
  <si>
    <t>9e41d69a-64f8-49ff-808c-880fc1be00e1</t>
  </si>
  <si>
    <t>P0 a P4</t>
  </si>
  <si>
    <t>ddbaf517-87f7-4c62-abec-879a5d273335</t>
  </si>
  <si>
    <t>P3 a P5</t>
  </si>
  <si>
    <t>ee049f2d-7fe3-4721-bff4-0db47c0d7496</t>
  </si>
  <si>
    <t>P0 a P6</t>
  </si>
  <si>
    <t>42197e3a-cb73-479f-b11f-21cc0a2a787c</t>
  </si>
  <si>
    <t>0981fc76-92f9-4dc4-8b60-58d715ee936d</t>
  </si>
  <si>
    <t>P5 a p6</t>
  </si>
  <si>
    <t>2e5902dd-01e2-4c5a-8690-b609306aa49b</t>
  </si>
  <si>
    <t>1a57ee29-0f82-4b28-bc95-a7633c3841a9</t>
  </si>
  <si>
    <t>d83bbdd8-1698-4a15-bb73-883da95afbbc</t>
  </si>
  <si>
    <t>fe4c285f-c444-492a-bc1a-2163a23f77c7</t>
  </si>
  <si>
    <t>48930b1c-5e67-4896-b6ce-1811b8d7858f</t>
  </si>
  <si>
    <t>P3 a A-B</t>
  </si>
  <si>
    <t>c2bdac47-37bd-4485-aae3-6957237c7a42</t>
  </si>
  <si>
    <t>86613645-cd45-47ac-b4b7-794c415b5c11</t>
  </si>
  <si>
    <t>44afa6cc-4598-4a47-9c65-949a4e2095cd</t>
  </si>
  <si>
    <t>b6f02733-52f2-4fb7-a5bc-5910e198a073</t>
  </si>
  <si>
    <t>2e635447-9609-4030-ac9f-e44f3d6930d9</t>
  </si>
  <si>
    <t>d27d2086-0c33-42c1-a083-de6555609d1d</t>
  </si>
  <si>
    <t>63889228-e39f-4b0e-b0e0-bc79c0116006</t>
  </si>
  <si>
    <t>Carro elásticos delanteros</t>
  </si>
  <si>
    <t>71eb35be-21a6-4fd5-8c8e-b7d72f0e7e16</t>
  </si>
  <si>
    <t>38502712-b08b-44b5-99b7-f7a09b8954f3</t>
  </si>
  <si>
    <t>e79156f8-12b2-45c7-9a23-a3862a358355</t>
  </si>
  <si>
    <t>dbea3117-e29c-4f0a-801b-3d960a4b1dda</t>
  </si>
  <si>
    <t>80d554f9-fcaa-46f3-b354-223730c46b4b</t>
  </si>
  <si>
    <t>5dc6b844-42a4-4c18-995c-3d06171d694f</t>
  </si>
  <si>
    <t>0a5d3dd0-1b54-4932-beda-ed85439bd3f4</t>
  </si>
  <si>
    <t>6e92781e-ead1-489e-b5f6-048a3310cdec</t>
  </si>
  <si>
    <t>0d284262-1d98-4b79-8621-8ef2a05c028f</t>
  </si>
  <si>
    <t>9b8a1573-279d-44b2-81f6-75cffaf8be53</t>
  </si>
  <si>
    <t>a9cb2f40-baf5-418b-a66d-ea9a8ed72bf0</t>
  </si>
  <si>
    <t>79ffc477-aab2-4fa9-a244-b219b9381638</t>
  </si>
  <si>
    <t>b014a2f9-c05d-43d9-b6d0-0ab92af0d565</t>
  </si>
  <si>
    <t>3fd92bed-7ac3-4d92-98d4-4fb25f2c55aa</t>
  </si>
  <si>
    <t>93672858-5c54-425b-90d6-e61ad35cb830</t>
  </si>
  <si>
    <t>Carro especial</t>
  </si>
  <si>
    <t>P2 a C-D</t>
  </si>
  <si>
    <t>c961fbd5-f791-4b88-b192-319bf1664c41</t>
  </si>
  <si>
    <t>2f29c5cd-6797-483c-b90f-cacfa9fe04e5</t>
  </si>
  <si>
    <t>aa4b048c-19f0-498b-8a3e-13b0e9031fa2</t>
  </si>
  <si>
    <t>e2ef62d1-da77-44b5-bf12-0558e077c2d3</t>
  </si>
  <si>
    <t>21315500-4b09-44a7-8479-ba3f3897a42b</t>
  </si>
  <si>
    <t>f31a5907-fa07-454e-ae20-524602a7ab3a</t>
  </si>
  <si>
    <t>0d135025-8b7b-489e-a5a1-d336ebb5bcb8</t>
  </si>
  <si>
    <t>87b09bdb-2b6a-4147-b355-45e5db1787d3</t>
  </si>
  <si>
    <t>d588a554-327c-468c-8b99-f5c5f2ee2b9f</t>
  </si>
  <si>
    <t>fb5c3b4f-4eaf-4549-ad82-86d7a3f79b8a</t>
  </si>
  <si>
    <t>6094e3de-87c9-45e4-84e6-f6d742ce4fb4</t>
  </si>
  <si>
    <t>P2 a P3</t>
  </si>
  <si>
    <t>ed04ab35-2fbd-49eb-ab87-fe5c049f03c9</t>
  </si>
  <si>
    <t>C-D a P6</t>
  </si>
  <si>
    <t>52ebdfcc-1ad5-4909-a8b5-5ed83db188ba</t>
  </si>
  <si>
    <t>7a47abcc-0913-4641-892c-a3fcfa95bd72</t>
  </si>
  <si>
    <t>a3c4c4d5-9753-46d4-afe9-6cad19d06f2d</t>
  </si>
  <si>
    <t>78903a42-dcb6-4a12-9e4a-596bbc993a8b</t>
  </si>
  <si>
    <t>8770f6a0-bbfd-47e1-baa3-c0868828184a</t>
  </si>
  <si>
    <t>27c5b61b-07d9-472b-8574-b610f9e1523b</t>
  </si>
  <si>
    <t>174be49a-fb91-42d1-a905-b03d72df09c9</t>
  </si>
  <si>
    <t>36822ca0-ca29-49a2-8f26-b95684bcc04a</t>
  </si>
  <si>
    <t>2bd83b1f-9479-4189-ace0-03901db66c6d</t>
  </si>
  <si>
    <t>b92daa49-698f-4ae9-816f-2b5af1c3915c</t>
  </si>
  <si>
    <t>9932f7b9-ea9a-4fca-9183-a22877a48e57</t>
  </si>
  <si>
    <t>9919a858-2e37-4e64-a32e-090ef35e8e3f</t>
  </si>
  <si>
    <t>5b2b2f93-c8fa-449d-b269-8a3c1dbcbc1d</t>
  </si>
  <si>
    <t>977a1e75-54ae-4d38-8655-777c5f3a4b8a</t>
  </si>
  <si>
    <t>26c8bd6e-0078-48a4-80fc-842fd2261d63</t>
  </si>
  <si>
    <t>c6686c78-595d-4ba0-a02b-9628c92be348</t>
  </si>
  <si>
    <t>6594096a-4d8f-4e28-8109-233ee2c264bf</t>
  </si>
  <si>
    <t>93284d91-912e-421c-912d-4aa3f30ad8bc</t>
  </si>
  <si>
    <t>6b218094-b8ea-41c3-ac4f-4f8df4968dd5</t>
  </si>
  <si>
    <t>ae28fe15-bec5-481d-96b2-ab5e58523e6c</t>
  </si>
  <si>
    <t>Tarima</t>
  </si>
  <si>
    <t>29e33124-2d9e-4950-9d62-885f0b4d8450</t>
  </si>
  <si>
    <t>bbca18f3-aa58-4513-8d9a-f3c16143b608</t>
  </si>
  <si>
    <t>63bb7212-6fce-43b0-8402-54f698308bfc</t>
  </si>
  <si>
    <t>P5 a P1</t>
  </si>
  <si>
    <t>7216f039-b87e-4d5e-8bc9-33616ab712d4</t>
  </si>
  <si>
    <t>b962e0f8-0f44-4a62-bd0e-19066e2112de</t>
  </si>
  <si>
    <t>cambio de puesto</t>
  </si>
  <si>
    <t>94af8a73-37d2-415a-8633-456933c978f7</t>
  </si>
  <si>
    <t>a25165b3-b85f-4169-906a-fedf0d80c01f</t>
  </si>
  <si>
    <t>d7fa86be-acd1-4fc9-8ed6-e19be3053edc</t>
  </si>
  <si>
    <t>eb239044-2b26-432c-a123-11ba94415e56</t>
  </si>
  <si>
    <t>9c67a5dc-e89b-41c2-aa06-219a7d020550</t>
  </si>
  <si>
    <t>Cambio de uso</t>
  </si>
  <si>
    <t>a656bced-7a4a-4561-a3da-fd5943bf1761</t>
  </si>
  <si>
    <t>2f65afa9-9d19-4bff-aae5-a0011c38074d</t>
  </si>
  <si>
    <t>c2adffbc-651a-40c4-afc9-1c5e9d643729</t>
  </si>
  <si>
    <t>Nuevo uso</t>
  </si>
  <si>
    <t>765bacae-3879-4004-8bf9-f2d963059f4c</t>
  </si>
  <si>
    <t>P4 a P0</t>
  </si>
  <si>
    <t>fe1fb68d-7e75-4ed5-a6a9-a6f7b8731491</t>
  </si>
  <si>
    <t>13b32d85-a2dd-42be-8b0a-a0231f1177a7</t>
  </si>
  <si>
    <t>174c6a04-fd92-4114-8a02-4c03f53ca057</t>
  </si>
  <si>
    <t>d5368ce4-aa80-4232-b04d-4d909cb800a7</t>
  </si>
  <si>
    <t>218db1c2-74b0-41a8-ba3e-81f531d561ac</t>
  </si>
  <si>
    <t>f1ad5591-8f64-424b-90ef-eafac17982d4</t>
  </si>
  <si>
    <t>4fde1cda-8420-496d-ade1-51e184c10e58</t>
  </si>
  <si>
    <t>28205b88-9faf-4ea3-aa4a-6b4163910ef5</t>
  </si>
  <si>
    <t>p2 a 0-1</t>
  </si>
  <si>
    <t>d133e36a-6788-41e8-a133-0fbecffc55a0</t>
  </si>
  <si>
    <t>cambio de uso</t>
  </si>
  <si>
    <t>cd152992-63c2-4be9-899e-2be17b4aac61</t>
  </si>
  <si>
    <t>43a3e04a-377d-4d0d-9bcc-f753f9a34ef7</t>
  </si>
  <si>
    <t>c3c24d79-f176-4e4c-b4ba-fd5c62cf73d8</t>
  </si>
  <si>
    <t>65c9e1c4-b645-4c77-96f7-077c7928bd1d</t>
  </si>
  <si>
    <t>e11cc724-257b-4c02-9ac3-8bbe560cde45</t>
  </si>
  <si>
    <t>ea1a7eeb-9dbe-4b54-8830-d3dd1e8edfe5</t>
  </si>
  <si>
    <t>d1a72209-5e75-484e-883d-4b8f033434df</t>
  </si>
  <si>
    <t>0887db84-a742-4a37-8255-4d23e3f634e4</t>
  </si>
  <si>
    <t>1794ee7e-f030-4831-9785-5cec768585cd</t>
  </si>
  <si>
    <t>970582b4-aba7-435a-8416-a727bc43b771</t>
  </si>
  <si>
    <t>29288d81-f4dc-424b-9f48-f994efc92201</t>
  </si>
  <si>
    <t>25fe4d76-e6c3-4f4f-a884-db0e1603a378</t>
  </si>
  <si>
    <t>f720410e-76c4-425e-aa77-16de3eca777e</t>
  </si>
  <si>
    <t>d7b75c36-df32-4ae4-8754-3de04c2a89df</t>
  </si>
  <si>
    <t>94f1c45e-1649-4981-a5de-f0133bc3e055</t>
  </si>
  <si>
    <t>edd096ea-f85a-4dac-b81a-a9a5a5d02de1</t>
  </si>
  <si>
    <t>c26086be-6123-49a0-b341-b5948b8294a6</t>
  </si>
  <si>
    <t>9dc6175a-7c32-439e-a093-9ac33a22e0fa</t>
  </si>
  <si>
    <t>e6553124-fb02-4098-b6fb-7314ebf5ae70</t>
  </si>
  <si>
    <t>dacbd3e2-5311-4ca8-9701-f4485dbf211b</t>
  </si>
  <si>
    <t>6a0bcbcb-5848-4bce-9929-b19a8cb5c7fc</t>
  </si>
  <si>
    <t>d01fb5b9-7264-4ecd-9edb-08bc310e2de4</t>
  </si>
  <si>
    <t>b785beeb-e893-4a48-9d9c-04d2b6b016c6</t>
  </si>
  <si>
    <t>42948878-99ad-49df-b705-2ff883c059e7</t>
  </si>
  <si>
    <t>Uso</t>
  </si>
  <si>
    <t>cf78be7f-5ac6-46a3-b4fc-fea09dfa4243</t>
  </si>
  <si>
    <t>9c2bac7c-1ad6-4732-8700-2ba7517d27ec</t>
  </si>
  <si>
    <t>Cambio de puesto</t>
  </si>
  <si>
    <t>f023a22a-f4d3-4493-b376-a2665c7238d7</t>
  </si>
  <si>
    <t>97f45018-0a84-400f-a168-ed42422e7c4f</t>
  </si>
  <si>
    <t>d01be160-fe0a-47b8-a8f9-6883da41396d</t>
  </si>
  <si>
    <t>13fde42b-d60b-48a3-a36a-dbb119598274</t>
  </si>
  <si>
    <t>49ee174d-710b-402e-8c45-4d1101979699</t>
  </si>
  <si>
    <t>96779d8f-d71d-469f-a6fe-86c17712e640</t>
  </si>
  <si>
    <t>3c8da19a-8bca-4053-955c-b98d4d00a47d</t>
  </si>
  <si>
    <t>0e9755bb-3b27-447b-89e7-929c7e02f62e</t>
  </si>
  <si>
    <t>75c9bc1e-f0bc-45ec-8272-e81c614dd6d4</t>
  </si>
  <si>
    <t>0df57e7d-dfe9-4b2d-ba35-cda2d51b2f30</t>
  </si>
  <si>
    <t>3b6195d4-6ca2-407c-9e3f-84325202e039</t>
  </si>
  <si>
    <t>b01e973b-a294-4368-b037-2116d5db1581</t>
  </si>
  <si>
    <t>348cf268-d364-416d-8043-2f4a6eccf48f</t>
  </si>
  <si>
    <t>ad78e1db-b2ce-4189-8eb1-c5ca21feca89</t>
  </si>
  <si>
    <t>78ca0bed-b0e4-406e-b36a-f0741aec2a84</t>
  </si>
  <si>
    <t>9a037975-2bd0-4164-b602-a708db170fc5</t>
  </si>
  <si>
    <t>c0496c53-086c-4cb4-ad4c-3ba2fe32d028</t>
  </si>
  <si>
    <t>ab80e196-0375-43fd-8dc4-c54bbd5359ae</t>
  </si>
  <si>
    <t>b3354080-705f-4b80-8173-0774f049a4e5</t>
  </si>
  <si>
    <t>c28ffe0c-a767-4869-add8-8730fad01ddf</t>
  </si>
  <si>
    <t>37c585fa-8639-4ce1-8762-8b9485a27287</t>
  </si>
  <si>
    <t>9415460c-3730-4e87-baf8-2c1a76233fe6</t>
  </si>
  <si>
    <t>1a523ee5-e181-4182-a09d-f5de61c95681</t>
  </si>
  <si>
    <t>p2 a P3</t>
  </si>
  <si>
    <t>d8b665fc-48e9-4d53-9d70-5b00f675d208</t>
  </si>
  <si>
    <t>9081c969-05c5-4ec9-b6c3-1d01a772db69</t>
  </si>
  <si>
    <t>47cf7146-d67d-487b-8fb3-5ccb60fb58c8</t>
  </si>
  <si>
    <t>7da71f5c-be21-4c58-94f3-865a4794bdb1</t>
  </si>
  <si>
    <t>c1f6aa9d-0bf9-4209-b1c5-1cc67f92016f</t>
  </si>
  <si>
    <t>e7bcb24f-a1c5-4135-b465-0a0403f6d0fc</t>
  </si>
  <si>
    <t>cb963226-5595-4274-b181-5a4614bd959b</t>
  </si>
  <si>
    <t>P3 a P4</t>
  </si>
  <si>
    <t>0c5ba05c-0cd0-4bd7-958b-e621d7810ee0</t>
  </si>
  <si>
    <t>cccd0b76-0bb4-4af1-9c63-f38510887216</t>
  </si>
  <si>
    <t>46f9e408-23af-4d64-81c3-d8526f886978</t>
  </si>
  <si>
    <t>Cambio de puesto y uso</t>
  </si>
  <si>
    <t>5dea7425-246d-4125-a1b1-5f90fb2a2f90</t>
  </si>
  <si>
    <t>0-1 a P4</t>
  </si>
  <si>
    <t>b1877b9b-9688-4c8b-9003-19dec2ecb023</t>
  </si>
  <si>
    <t>715f0c23-ea56-4db3-b7fc-492f6ed623d0</t>
  </si>
  <si>
    <t>e6e0a3e3-285f-4118-ab94-180f633b4189</t>
  </si>
  <si>
    <t>72881ef8-4b2d-4e5d-9a83-0cb41fe774e2</t>
  </si>
  <si>
    <t>0e7704eb-4c0f-4f41-be1f-f015d5164520</t>
  </si>
  <si>
    <t>aaca1d0f-4a65-4787-a83d-93268593da46</t>
  </si>
  <si>
    <t>C-D a P5</t>
  </si>
  <si>
    <t>a695ca48-044d-45c1-aa0c-582f5c317c7b</t>
  </si>
  <si>
    <t>5c24809e-fe40-4e58-998e-cdd5a98c9865</t>
  </si>
  <si>
    <t>5122d534-7c8e-4458-aea8-10dfb7523491</t>
  </si>
  <si>
    <t>a4f9ff45-ef48-4386-ac9a-f576fc15d9c5</t>
  </si>
  <si>
    <t>89dbea59-172a-4ff2-b2f8-4089ad469853</t>
  </si>
  <si>
    <t>3a74895b-bb51-439a-90c3-f713d85168c3</t>
  </si>
  <si>
    <t>f325b171-d802-45db-ac16-3940be93f12d</t>
  </si>
  <si>
    <t>35bd9dcb-88c0-40cf-85b0-1d78fdfd0c73</t>
  </si>
  <si>
    <t>970e2ce8-3cf9-485e-b2a3-066b68af4ab2</t>
  </si>
  <si>
    <t>d0bf8e62-849b-4914-a5c7-19a7e57b053d</t>
  </si>
  <si>
    <t>42cd7da1-92b1-41b5-85a4-13499b3956e6</t>
  </si>
  <si>
    <t>05a16c57-32d3-4498-94fd-2244750e81a9</t>
  </si>
  <si>
    <t>2ec8c3e2-4450-421a-918d-0216d637afc4</t>
  </si>
  <si>
    <t>ca7c128c-1397-47a7-a697-c0cfb9fc0406</t>
  </si>
  <si>
    <t>a0e499df-0be3-455c-9326-8e523d181ebc</t>
  </si>
  <si>
    <t>ad007a5e-bbce-4575-b492-2debf22c9c2d</t>
  </si>
  <si>
    <t>aad05bf9-98c0-42a2-a3da-08cc2888b3bf</t>
  </si>
  <si>
    <t>46fddc80-af17-4cc2-801b-73fb391ccc85</t>
  </si>
  <si>
    <t>0999c1f3-436a-411f-9924-eb9288fdcdfc</t>
  </si>
  <si>
    <t>07bf684a-5320-435d-8656-867d03d0b754</t>
  </si>
  <si>
    <t>dc477329-c96b-47e0-8c05-8ff58438405e</t>
  </si>
  <si>
    <t>4850cd65-608c-4841-ab4b-fa3d9cfc3000</t>
  </si>
  <si>
    <t>1d7c9c35-3fba-476d-bbf4-548359f9e8b5</t>
  </si>
  <si>
    <t>2b4e538f-0f4d-493f-a934-6c3c607ccc8e</t>
  </si>
  <si>
    <t>cabb3da8-9548-4fdb-b8ce-07f72cfe5a1f</t>
  </si>
  <si>
    <t>ec8b372c-6689-4045-b34c-9818cce81808</t>
  </si>
  <si>
    <t>c.d a P6</t>
  </si>
  <si>
    <t>0dbc4a2e-0dde-4458-973a-67ec5a27d37a</t>
  </si>
  <si>
    <t>df771f9d-4e6c-4640-a8f2-0d51847bc10f</t>
  </si>
  <si>
    <t>af1df14c-ffba-48e1-bc39-52058592809f</t>
  </si>
  <si>
    <t>a2c6cfd7-a22d-457c-ab12-d75811fff58d</t>
  </si>
  <si>
    <t>83787535-484c-46ca-a31a-d2b707ceb85d</t>
  </si>
  <si>
    <t>e407040e-4143-4cb6-898a-1ecca2ff710b</t>
  </si>
  <si>
    <t>99d02128-14e3-461b-92d1-d67be9590b3d</t>
  </si>
  <si>
    <t>0c633f98-216a-4847-8619-ac5fb7cd7904</t>
  </si>
  <si>
    <t>41c0d72c-94bf-4f77-b513-076a7c37be3a</t>
  </si>
  <si>
    <t>a5b2b7cf-7307-4635-9129-a8e65eac3ade</t>
  </si>
  <si>
    <t>uso</t>
  </si>
  <si>
    <t>58e6cc70-eada-42a4-bba1-beedcf3540cf</t>
  </si>
  <si>
    <t>f7d2dfe6-d4c5-4504-9005-1faea632d748</t>
  </si>
  <si>
    <t>25a60dbe-b425-4ed1-8c5b-4e96bc65bafa</t>
  </si>
  <si>
    <t>1b75fd5d-3dce-408f-a7d8-c99ab10cdfee</t>
  </si>
  <si>
    <t>4cdbe083-1da3-465a-b86a-75e59f1e7c45</t>
  </si>
  <si>
    <t>2672f5c6-0aea-444c-bb03-63b354d4fe24</t>
  </si>
  <si>
    <t>e97faadb-5015-4878-9296-0f2ebe75f127</t>
  </si>
  <si>
    <t>52607935-93ae-4ffd-8c87-515ac62ac1df</t>
  </si>
  <si>
    <t>Cambio de 0-1 a P6</t>
  </si>
  <si>
    <t>d481d076-aafa-4530-a7e5-7090cc70a789</t>
  </si>
  <si>
    <t>858b70e4-9522-4843-b52b-96c3459c4082</t>
  </si>
  <si>
    <t>e017c47b-2ecc-43f1-9937-785eafa1b648</t>
  </si>
  <si>
    <t>34fa3713-e0db-48bf-8879-f5b87aabb033</t>
  </si>
  <si>
    <t>780411bf-f972-401b-87c5-5513620677a4</t>
  </si>
  <si>
    <t>ef13319d-e1d4-48a0-bbd8-3e3f13f74d59</t>
  </si>
  <si>
    <t>a0e636e4-ea0d-4f25-b8cc-6ce11b604fd5</t>
  </si>
  <si>
    <t>9419302c-2634-4d2b-98cd-76471ee11de5</t>
  </si>
  <si>
    <t>8c1c7ff8-dfae-4550-9962-d1c5cde81833</t>
  </si>
  <si>
    <t>7a63b54b-0bb3-4d65-8547-211d8ee08395</t>
  </si>
  <si>
    <t>a0311c0f-4f3a-4c86-9609-60cd5ff5f073</t>
  </si>
  <si>
    <t>02fd56f4-94b8-4c87-a519-f711626d4f9d</t>
  </si>
  <si>
    <t>642c1af3-55c1-4a77-bf95-877bdf67b1ef</t>
  </si>
  <si>
    <t>722309d1-6eee-426f-9b6c-dbfc854e377f</t>
  </si>
  <si>
    <t>58fd6cec-0368-4be3-a37c-cb25ce2d5776</t>
  </si>
  <si>
    <t>8a9356f5-5d34-4d35-bf6e-adac40b8c0d7</t>
  </si>
  <si>
    <t>a8e0bfc4-24e4-40fc-b791-73f615993ea2</t>
  </si>
  <si>
    <t>9e786059-15b2-430a-84b9-079d82617c20</t>
  </si>
  <si>
    <t>3069bd57-a339-4307-9cc5-6ff99799487e</t>
  </si>
  <si>
    <t>4a1a728a-0cec-495b-a409-c9282fc1dd11</t>
  </si>
  <si>
    <t>f0e340f4-1253-49e6-8cd5-1f85ef92c1c7</t>
  </si>
  <si>
    <t>3a6c537e-eb73-4fce-9201-2acde9e8cea4</t>
  </si>
  <si>
    <t>a3c7b360-53bd-4308-a003-fd3305ebcdcc</t>
  </si>
  <si>
    <t>3b9aac23-b39d-4c97-a6a8-6590dc7283bf</t>
  </si>
  <si>
    <t>25e98901-8a25-49a1-aa2e-ace119560f05</t>
  </si>
  <si>
    <t>62deeb35-0832-44a7-ba3c-a0e3788f0b77</t>
  </si>
  <si>
    <t>23900c50-efc9-42c0-9f39-43ad3185d44a</t>
  </si>
  <si>
    <t>e2485fc8-0b7e-4ccc-97ff-16838ff09e2e</t>
  </si>
  <si>
    <t>21a33c0e-008c-42c7-ac22-80ecc10eaa42</t>
  </si>
  <si>
    <t>116fd27d-35c1-4f9e-9144-eccdfd75d0d8</t>
  </si>
  <si>
    <t>62bd71cf-47ad-4bb0-8b0c-3f5a312be685</t>
  </si>
  <si>
    <t>c2dafcb3-9fdf-4365-9a1d-a02394bff6c9</t>
  </si>
  <si>
    <t>83d8d2ac-93d1-4b5f-ade0-64ef7f7f962b</t>
  </si>
  <si>
    <t>7c2f639e-3981-4fd7-9d83-b34a5066e58f</t>
  </si>
  <si>
    <t>f47a79cc-98cb-450b-90bf-10b9ee918805</t>
  </si>
  <si>
    <t>01433879-e490-4a8e-a6ac-c4500ddd5a5e</t>
  </si>
  <si>
    <t>376d53ee-e065-4b20-bf9a-a94c92ca7377</t>
  </si>
  <si>
    <t>Cambio de P2 a C-d</t>
  </si>
  <si>
    <t>d6ad92fa-864e-49f0-acd4-bb9751fcbe8f</t>
  </si>
  <si>
    <t>03338987-5575-468a-881f-7b2421d4130a</t>
  </si>
  <si>
    <t>80b2eb17-36f5-4380-81b6-18714cd5f83e</t>
  </si>
  <si>
    <t>d56960e0-d90a-4abb-89ce-17ea2161bc74</t>
  </si>
  <si>
    <t>cambio de 0-1 a C-D</t>
  </si>
  <si>
    <t>5c745771-901b-4c75-bb48-7b9512ef5914</t>
  </si>
  <si>
    <t>05c2540a-745d-4b71-8bd2-dc4bf3e639d5</t>
  </si>
  <si>
    <t>d87e6e84-d239-4a9b-aeaa-23715cca2776</t>
  </si>
  <si>
    <t>ed8504c7-93b5-4520-855a-8f365700a8b2</t>
  </si>
  <si>
    <t>d52a4c96-490f-47c2-8020-7afdf33b6b62</t>
  </si>
  <si>
    <t>0-1 a C-d</t>
  </si>
  <si>
    <t>e4acc6ec-5f57-4c79-a70f-d91a61e348ae</t>
  </si>
  <si>
    <t>30e90d0b-5588-45a9-8029-a10acdb867b4</t>
  </si>
  <si>
    <t>5ce0de19-0b4f-4f2a-a667-ed93bdbc19e9</t>
  </si>
  <si>
    <t>08317414-f585-4da0-842d-bb2a1fdddc11</t>
  </si>
  <si>
    <t xml:space="preserve">C-D a P5  Cambio P5 a P1 </t>
  </si>
  <si>
    <t>b36b5871-5e49-4ea0-8846-4f42a9eb83a4</t>
  </si>
  <si>
    <t>P4 a 0-1</t>
  </si>
  <si>
    <t>a482e17f-dff8-4ca5-bd7b-5457006f63f2</t>
  </si>
  <si>
    <t>P2 a 0-1</t>
  </si>
  <si>
    <t>a25bd622-48e6-4feb-8aae-3b744354e18b</t>
  </si>
  <si>
    <t>20d6dc96-c10c-4bf3-bc61-8ab8179e9f31</t>
  </si>
  <si>
    <t>P3 a 0-1</t>
  </si>
  <si>
    <t>1194b41c-0f39-4997-85fc-c8deeb807365</t>
  </si>
  <si>
    <t>222be605-1bc7-4816-be47-8a0d63d8f69e</t>
  </si>
  <si>
    <t>976c1c08-5e2e-4f67-83da-d4f4344b6d4b</t>
  </si>
  <si>
    <t>7be96c37-63f9-4813-a4a0-1315ba8c2dfc</t>
  </si>
  <si>
    <t>e9c3706e-dddd-481c-b0b5-a985df3c5eb5</t>
  </si>
  <si>
    <t>37a07c20-0091-455a-8819-28be6846297c</t>
  </si>
  <si>
    <t>1796718f-59c7-43f9-be89-6f33c662acd4</t>
  </si>
  <si>
    <t>d23d1b54-c673-4b6e-9b6b-7bd7d3568aae</t>
  </si>
  <si>
    <t>4ba69424-f59a-4985-9310-f2489aadcd68</t>
  </si>
  <si>
    <t>e4d0503d-df5b-4ed2-a120-7b5a4969e6bf</t>
  </si>
  <si>
    <t>23b25a39-6d52-4b1b-b6a1-a0ed1952c6ad</t>
  </si>
  <si>
    <t>c283a4e9-43ac-4f93-a991-851b55920fb2</t>
  </si>
  <si>
    <t>090ea634-569a-4b8a-86fd-c6445754071e</t>
  </si>
  <si>
    <t>3459f5be-94c7-40c1-952c-a0163516973b</t>
  </si>
  <si>
    <t>a16fc233-661f-4d08-af0a-77c2d5048b22</t>
  </si>
  <si>
    <t>8faded9f-37bc-4fcf-a3e7-78f6249d6bbb</t>
  </si>
  <si>
    <t>da1663dd-39da-4b70-a9a7-bbd0462000ef</t>
  </si>
  <si>
    <t>1413bfac-9a4b-4263-86c0-26d6b6bde9e0</t>
  </si>
  <si>
    <t>4adf2cd5-3b5f-4ee9-b964-66138a533d20</t>
  </si>
  <si>
    <t>4ac48b1f-a181-4d7d-b315-dd4559fc0cb0</t>
  </si>
  <si>
    <t>23bc97e5-0c15-4b74-8575-0192d214786c</t>
  </si>
  <si>
    <t>bd096672-483c-487f-ad8d-7470570b528d</t>
  </si>
  <si>
    <t>b532b818-c62e-4845-a100-e644d987b750</t>
  </si>
  <si>
    <t>6328c99e-aea3-4754-ad8d-a7477f28604d</t>
  </si>
  <si>
    <t>4df1b6d8-4f4c-4a38-b8d0-45e139d73ff6</t>
  </si>
  <si>
    <t>209b67d4-7b4b-4f7b-80f9-56a4d0e0b8f7</t>
  </si>
  <si>
    <t>303fa630-69d2-4221-a160-36526f8511b3</t>
  </si>
  <si>
    <t>0-1 a P6</t>
  </si>
  <si>
    <t>c3b92dbb-2a27-44dc-99a6-096934648130</t>
  </si>
  <si>
    <t>0-1 a A-B</t>
  </si>
  <si>
    <t>5613012c-9467-4f73-b51f-913babb48c3a</t>
  </si>
  <si>
    <t>66bb9466-05aa-45b5-bccb-335b16f83589</t>
  </si>
  <si>
    <t>09bc1020-612e-4546-ba3b-fdb2abc3c3f5</t>
  </si>
  <si>
    <t>d81302b8-d885-4309-a915-8814ff2306ec</t>
  </si>
  <si>
    <t>70d50ebe-67ca-40db-b3dd-426183ee589d</t>
  </si>
  <si>
    <t>83b87baa-81b5-4e23-8237-3334646b1395</t>
  </si>
  <si>
    <t>6288ebcf-23b3-4c4f-b913-c3ae30879b19</t>
  </si>
  <si>
    <t>a579e20f-bbdb-4d79-ac13-d5f2b1d5003e</t>
  </si>
  <si>
    <t>3f9afdd8-6c25-4025-a9a2-041ea513f7c8</t>
  </si>
  <si>
    <t>Medios de abastecimiento</t>
  </si>
  <si>
    <t>Carro bandejas 1</t>
  </si>
  <si>
    <t>Carro bandejas 2</t>
  </si>
  <si>
    <t>Carro bandejas 3</t>
  </si>
  <si>
    <t>Carro bandejas 4</t>
  </si>
  <si>
    <t>Carro bandejas 5</t>
  </si>
  <si>
    <t>Carro bandejas 6</t>
  </si>
  <si>
    <t>Carro bandejas 7</t>
  </si>
  <si>
    <t>Carro tarimas 3</t>
  </si>
  <si>
    <t>Carro tarimas 4</t>
  </si>
  <si>
    <t>Estantería  Puesto 0-1</t>
  </si>
  <si>
    <t>Estantería  Puesto 2</t>
  </si>
  <si>
    <t>Estantería  Puesto 3</t>
  </si>
  <si>
    <t>Estantería  Puesto 4</t>
  </si>
  <si>
    <t>Estantería  Puesto 5</t>
  </si>
  <si>
    <t>Estantería  Puesto 6</t>
  </si>
  <si>
    <t>Estantería  Puesto A</t>
  </si>
  <si>
    <t>Estantería  Puesto B</t>
  </si>
  <si>
    <t>Estantería  Puesto C</t>
  </si>
  <si>
    <t>Estantería  Puesto D</t>
  </si>
  <si>
    <t>Estantería ZP8</t>
  </si>
  <si>
    <t>Cajón de origen</t>
  </si>
  <si>
    <t>Tarima de origen</t>
  </si>
  <si>
    <t>Carro especial de sub ensamble</t>
  </si>
  <si>
    <t>Carro especial de elásticos</t>
  </si>
  <si>
    <t>Carro especial Ruedas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</si>
</sst>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8"/>
      <name val="Arial"/>
      <family val="2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8"/>
      <color indexed="8"/>
      <name val="Arial"/>
      <family val="2"/>
    </font>
    <font>
      <b/>
      <sz val="8"/>
      <color indexed="8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1"/>
      <name val="Aptos"/>
      <family val="2"/>
    </font>
    <font>
      <b/>
      <sz val="11"/>
      <color theme="0"/>
      <name val="Calibri"/>
      <scheme val="minor"/>
    </font>
    <font>
      <sz val="10"/>
      <name val="Arial"/>
    </font>
  </fonts>
  <fills count="15">
    <fill>
      <patternFill patternType="none"/>
    </fill>
    <fill>
      <patternFill patternType="gray125"/>
    </fill>
    <fill>
      <patternFill patternType="solid">
        <fgColor theme="1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indexed="41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2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8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4" fillId="4" borderId="1" applyNumberFormat="0" applyFont="0" applyBorder="0" applyAlignment="0" applyProtection="0"/>
    <xf numFmtId="0" fontId="6" fillId="0" borderId="0"/>
    <xf numFmtId="0" fontId="4" fillId="0" borderId="0"/>
  </cellStyleXfs>
  <cellXfs count="224">
    <xf numFmtId="0" fontId="0" fillId="0" borderId="0" xfId="0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quotePrefix="1" applyBorder="1" applyAlignment="1">
      <alignment horizontal="left"/>
    </xf>
    <xf numFmtId="0" fontId="0" fillId="0" borderId="2" xfId="0" applyBorder="1" applyAlignment="1">
      <alignment horizontal="center"/>
    </xf>
    <xf numFmtId="0" fontId="0" fillId="5" borderId="3" xfId="0" quotePrefix="1" applyFill="1" applyBorder="1" applyAlignment="1">
      <alignment horizontal="left"/>
    </xf>
    <xf numFmtId="0" fontId="6" fillId="0" borderId="0" xfId="2"/>
    <xf numFmtId="0" fontId="3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quotePrefix="1" applyAlignment="1">
      <alignment horizontal="left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8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0" xfId="0" applyFont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6" fillId="0" borderId="7" xfId="2" applyBorder="1" applyAlignment="1">
      <alignment vertical="center"/>
    </xf>
    <xf numFmtId="0" fontId="6" fillId="0" borderId="7" xfId="2" applyBorder="1" applyAlignment="1">
      <alignment horizontal="center" vertical="center"/>
    </xf>
    <xf numFmtId="16" fontId="6" fillId="0" borderId="8" xfId="2" applyNumberFormat="1" applyBorder="1" applyAlignment="1">
      <alignment vertical="center"/>
    </xf>
    <xf numFmtId="0" fontId="6" fillId="0" borderId="7" xfId="2" applyBorder="1"/>
    <xf numFmtId="0" fontId="7" fillId="6" borderId="7" xfId="2" applyFont="1" applyFill="1" applyBorder="1" applyAlignment="1">
      <alignment horizontal="center" vertical="top"/>
    </xf>
    <xf numFmtId="0" fontId="7" fillId="6" borderId="7" xfId="2" applyFont="1" applyFill="1" applyBorder="1" applyAlignment="1">
      <alignment horizontal="center" vertical="center" wrapText="1"/>
    </xf>
    <xf numFmtId="0" fontId="6" fillId="0" borderId="7" xfId="2" applyBorder="1" applyAlignment="1">
      <alignment horizontal="center"/>
    </xf>
    <xf numFmtId="0" fontId="4" fillId="0" borderId="7" xfId="2" applyFont="1" applyBorder="1" applyAlignment="1">
      <alignment horizontal="left" vertical="center"/>
    </xf>
    <xf numFmtId="0" fontId="4" fillId="0" borderId="7" xfId="2" applyFont="1" applyBorder="1"/>
    <xf numFmtId="0" fontId="4" fillId="0" borderId="7" xfId="2" applyFont="1" applyBorder="1" applyAlignment="1">
      <alignment horizontal="center"/>
    </xf>
    <xf numFmtId="0" fontId="6" fillId="0" borderId="7" xfId="2" quotePrefix="1" applyBorder="1" applyAlignment="1">
      <alignment horizontal="center"/>
    </xf>
    <xf numFmtId="3" fontId="6" fillId="0" borderId="7" xfId="2" applyNumberFormat="1" applyBorder="1" applyAlignment="1">
      <alignment horizontal="center"/>
    </xf>
    <xf numFmtId="14" fontId="6" fillId="0" borderId="7" xfId="2" applyNumberFormat="1" applyBorder="1"/>
    <xf numFmtId="0" fontId="4" fillId="0" borderId="7" xfId="2" applyFont="1" applyBorder="1" applyAlignment="1">
      <alignment horizontal="left"/>
    </xf>
    <xf numFmtId="0" fontId="6" fillId="0" borderId="7" xfId="2" applyBorder="1" applyAlignment="1">
      <alignment horizontal="left" vertical="center"/>
    </xf>
    <xf numFmtId="3" fontId="6" fillId="0" borderId="7" xfId="2" applyNumberFormat="1" applyBorder="1"/>
    <xf numFmtId="0" fontId="6" fillId="9" borderId="0" xfId="2" applyFill="1"/>
    <xf numFmtId="0" fontId="0" fillId="0" borderId="7" xfId="0" applyBorder="1" applyAlignment="1">
      <alignment vertical="center"/>
    </xf>
    <xf numFmtId="0" fontId="0" fillId="0" borderId="7" xfId="0" applyBorder="1"/>
    <xf numFmtId="0" fontId="6" fillId="0" borderId="0" xfId="2" applyAlignment="1">
      <alignment horizontal="center"/>
    </xf>
    <xf numFmtId="0" fontId="6" fillId="0" borderId="0" xfId="2" applyAlignment="1">
      <alignment horizontal="left" vertical="center"/>
    </xf>
    <xf numFmtId="0" fontId="4" fillId="0" borderId="6" xfId="2" applyFont="1" applyBorder="1" applyAlignment="1">
      <alignment horizontal="left" vertical="center"/>
    </xf>
    <xf numFmtId="0" fontId="6" fillId="5" borderId="7" xfId="2" applyFill="1" applyBorder="1"/>
    <xf numFmtId="0" fontId="6" fillId="5" borderId="7" xfId="2" applyFill="1" applyBorder="1" applyAlignment="1">
      <alignment horizontal="center"/>
    </xf>
    <xf numFmtId="0" fontId="6" fillId="0" borderId="9" xfId="2" applyBorder="1" applyAlignment="1">
      <alignment vertical="center"/>
    </xf>
    <xf numFmtId="0" fontId="6" fillId="0" borderId="3" xfId="2" applyBorder="1" applyAlignment="1">
      <alignment vertical="center"/>
    </xf>
    <xf numFmtId="0" fontId="6" fillId="0" borderId="3" xfId="2" applyBorder="1" applyAlignment="1">
      <alignment horizontal="center" vertical="center"/>
    </xf>
    <xf numFmtId="0" fontId="6" fillId="0" borderId="8" xfId="2" applyBorder="1" applyAlignment="1">
      <alignment horizontal="center" vertical="center"/>
    </xf>
    <xf numFmtId="14" fontId="6" fillId="0" borderId="8" xfId="2" applyNumberFormat="1" applyBorder="1" applyAlignment="1">
      <alignment vertical="center"/>
    </xf>
    <xf numFmtId="0" fontId="6" fillId="0" borderId="0" xfId="2" applyAlignment="1">
      <alignment horizontal="left"/>
    </xf>
    <xf numFmtId="14" fontId="6" fillId="0" borderId="7" xfId="2" applyNumberFormat="1" applyBorder="1" applyAlignment="1">
      <alignment vertical="center"/>
    </xf>
    <xf numFmtId="0" fontId="6" fillId="0" borderId="7" xfId="2" quotePrefix="1" applyBorder="1" applyAlignment="1">
      <alignment horizontal="center" vertical="center"/>
    </xf>
    <xf numFmtId="0" fontId="6" fillId="0" borderId="10" xfId="2" applyBorder="1"/>
    <xf numFmtId="0" fontId="6" fillId="0" borderId="7" xfId="2" quotePrefix="1" applyBorder="1" applyAlignment="1">
      <alignment horizontal="center" wrapText="1"/>
    </xf>
    <xf numFmtId="0" fontId="6" fillId="0" borderId="7" xfId="2" quotePrefix="1" applyBorder="1"/>
    <xf numFmtId="0" fontId="6" fillId="0" borderId="7" xfId="2" applyBorder="1" applyAlignment="1">
      <alignment horizontal="center" wrapText="1"/>
    </xf>
    <xf numFmtId="0" fontId="6" fillId="0" borderId="7" xfId="2" applyBorder="1" applyAlignment="1">
      <alignment horizontal="left"/>
    </xf>
    <xf numFmtId="0" fontId="9" fillId="0" borderId="0" xfId="0" applyFont="1" applyAlignment="1">
      <alignment horizontal="center" vertical="center" wrapText="1"/>
    </xf>
    <xf numFmtId="16" fontId="6" fillId="0" borderId="7" xfId="2" applyNumberFormat="1" applyBorder="1"/>
    <xf numFmtId="0" fontId="0" fillId="5" borderId="0" xfId="0" applyFill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6" fontId="6" fillId="0" borderId="7" xfId="2" applyNumberFormat="1" applyBorder="1" applyAlignment="1">
      <alignment vertical="center"/>
    </xf>
    <xf numFmtId="14" fontId="6" fillId="0" borderId="8" xfId="2" applyNumberFormat="1" applyBorder="1"/>
    <xf numFmtId="0" fontId="16" fillId="0" borderId="0" xfId="0" applyFont="1"/>
    <xf numFmtId="0" fontId="18" fillId="0" borderId="0" xfId="0" applyFont="1" applyAlignment="1">
      <alignment horizontal="right"/>
    </xf>
    <xf numFmtId="14" fontId="18" fillId="0" borderId="0" xfId="0" applyNumberFormat="1" applyFont="1" applyAlignment="1">
      <alignment horizontal="left"/>
    </xf>
    <xf numFmtId="0" fontId="19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11" borderId="0" xfId="0" applyFill="1"/>
    <xf numFmtId="0" fontId="17" fillId="0" borderId="0" xfId="0" applyFont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horizontal="left"/>
    </xf>
    <xf numFmtId="0" fontId="11" fillId="0" borderId="6" xfId="0" applyFont="1" applyBorder="1"/>
    <xf numFmtId="0" fontId="11" fillId="0" borderId="7" xfId="2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12" borderId="7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0" borderId="7" xfId="0" quotePrefix="1" applyBorder="1" applyAlignment="1">
      <alignment horizontal="center" vertical="center" wrapText="1"/>
    </xf>
    <xf numFmtId="0" fontId="0" fillId="12" borderId="7" xfId="0" quotePrefix="1" applyFill="1" applyBorder="1" applyAlignment="1">
      <alignment horizontal="center" vertical="center" wrapText="1"/>
    </xf>
    <xf numFmtId="14" fontId="6" fillId="0" borderId="0" xfId="2" applyNumberFormat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13" borderId="0" xfId="0" applyFill="1" applyAlignment="1">
      <alignment horizontal="center" vertical="center" wrapText="1"/>
    </xf>
    <xf numFmtId="0" fontId="6" fillId="7" borderId="0" xfId="2" applyFill="1"/>
    <xf numFmtId="0" fontId="4" fillId="0" borderId="7" xfId="2" quotePrefix="1" applyFont="1" applyBorder="1" applyAlignment="1">
      <alignment horizontal="center"/>
    </xf>
    <xf numFmtId="14" fontId="6" fillId="0" borderId="7" xfId="2" applyNumberFormat="1" applyBorder="1" applyAlignment="1">
      <alignment horizontal="right"/>
    </xf>
    <xf numFmtId="0" fontId="0" fillId="0" borderId="4" xfId="0" applyBorder="1" applyAlignment="1">
      <alignment vertical="center"/>
    </xf>
    <xf numFmtId="0" fontId="0" fillId="0" borderId="7" xfId="2" applyFont="1" applyBorder="1"/>
    <xf numFmtId="0" fontId="0" fillId="0" borderId="7" xfId="2" applyFont="1" applyBorder="1" applyAlignment="1">
      <alignment horizontal="center"/>
    </xf>
    <xf numFmtId="0" fontId="0" fillId="0" borderId="0" xfId="2" applyFont="1"/>
    <xf numFmtId="0" fontId="0" fillId="7" borderId="0" xfId="2" applyFont="1" applyFill="1"/>
    <xf numFmtId="0" fontId="0" fillId="0" borderId="7" xfId="2" applyFont="1" applyBorder="1" applyAlignment="1">
      <alignment wrapText="1"/>
    </xf>
    <xf numFmtId="3" fontId="0" fillId="0" borderId="7" xfId="2" applyNumberFormat="1" applyFont="1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left"/>
    </xf>
    <xf numFmtId="0" fontId="6" fillId="0" borderId="0" xfId="2" quotePrefix="1" applyAlignment="1">
      <alignment horizontal="center"/>
    </xf>
    <xf numFmtId="0" fontId="22" fillId="0" borderId="7" xfId="2" applyFont="1" applyBorder="1" applyAlignment="1">
      <alignment horizontal="center"/>
    </xf>
    <xf numFmtId="0" fontId="4" fillId="0" borderId="0" xfId="2" applyFont="1" applyAlignment="1">
      <alignment horizontal="left"/>
    </xf>
    <xf numFmtId="3" fontId="0" fillId="0" borderId="0" xfId="2" applyNumberFormat="1" applyFont="1" applyAlignment="1">
      <alignment horizontal="center"/>
    </xf>
    <xf numFmtId="3" fontId="6" fillId="7" borderId="7" xfId="2" applyNumberFormat="1" applyFill="1" applyBorder="1"/>
    <xf numFmtId="0" fontId="6" fillId="7" borderId="7" xfId="2" applyFill="1" applyBorder="1"/>
    <xf numFmtId="16" fontId="6" fillId="7" borderId="7" xfId="2" applyNumberFormat="1" applyFill="1" applyBorder="1"/>
    <xf numFmtId="0" fontId="6" fillId="7" borderId="7" xfId="2" quotePrefix="1" applyFill="1" applyBorder="1"/>
    <xf numFmtId="14" fontId="6" fillId="7" borderId="7" xfId="2" applyNumberFormat="1" applyFill="1" applyBorder="1"/>
    <xf numFmtId="0" fontId="6" fillId="13" borderId="7" xfId="2" applyFill="1" applyBorder="1"/>
    <xf numFmtId="0" fontId="4" fillId="14" borderId="7" xfId="2" applyFont="1" applyFill="1" applyBorder="1" applyAlignment="1">
      <alignment horizontal="left" vertical="center"/>
    </xf>
    <xf numFmtId="0" fontId="0" fillId="14" borderId="7" xfId="2" applyFont="1" applyFill="1" applyBorder="1"/>
    <xf numFmtId="0" fontId="4" fillId="0" borderId="0" xfId="2" applyFont="1" applyAlignment="1">
      <alignment horizontal="left" vertical="center"/>
    </xf>
    <xf numFmtId="0" fontId="0" fillId="0" borderId="0" xfId="2" applyFont="1" applyAlignment="1">
      <alignment horizontal="center"/>
    </xf>
    <xf numFmtId="14" fontId="6" fillId="0" borderId="0" xfId="2" applyNumberFormat="1" applyAlignment="1">
      <alignment vertical="center"/>
    </xf>
    <xf numFmtId="14" fontId="6" fillId="0" borderId="0" xfId="2" applyNumberFormat="1" applyAlignment="1">
      <alignment horizontal="right"/>
    </xf>
    <xf numFmtId="0" fontId="4" fillId="0" borderId="6" xfId="2" applyFont="1" applyBorder="1" applyAlignment="1">
      <alignment horizontal="left"/>
    </xf>
    <xf numFmtId="0" fontId="23" fillId="0" borderId="0" xfId="0" applyFont="1"/>
    <xf numFmtId="0" fontId="7" fillId="6" borderId="9" xfId="2" applyFont="1" applyFill="1" applyBorder="1" applyAlignment="1">
      <alignment horizontal="center" vertical="top"/>
    </xf>
    <xf numFmtId="0" fontId="6" fillId="0" borderId="9" xfId="2" applyBorder="1" applyAlignment="1">
      <alignment horizontal="center"/>
    </xf>
    <xf numFmtId="0" fontId="7" fillId="6" borderId="20" xfId="2" applyFont="1" applyFill="1" applyBorder="1" applyAlignment="1">
      <alignment horizontal="left" vertical="center"/>
    </xf>
    <xf numFmtId="0" fontId="7" fillId="6" borderId="20" xfId="2" applyFont="1" applyFill="1" applyBorder="1" applyAlignment="1">
      <alignment horizontal="center" vertical="top"/>
    </xf>
    <xf numFmtId="0" fontId="12" fillId="6" borderId="20" xfId="2" applyFont="1" applyFill="1" applyBorder="1" applyAlignment="1">
      <alignment horizontal="center" vertical="top" wrapText="1"/>
    </xf>
    <xf numFmtId="0" fontId="13" fillId="5" borderId="20" xfId="2" applyFont="1" applyFill="1" applyBorder="1" applyAlignment="1">
      <alignment horizontal="center" vertical="center"/>
    </xf>
    <xf numFmtId="0" fontId="14" fillId="8" borderId="20" xfId="2" applyFont="1" applyFill="1" applyBorder="1" applyAlignment="1">
      <alignment horizontal="center" vertical="center" wrapText="1"/>
    </xf>
    <xf numFmtId="0" fontId="2" fillId="8" borderId="20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7" fillId="6" borderId="20" xfId="2" applyFont="1" applyFill="1" applyBorder="1" applyAlignment="1">
      <alignment horizontal="center" vertical="center" wrapText="1"/>
    </xf>
    <xf numFmtId="0" fontId="4" fillId="0" borderId="21" xfId="2" applyFont="1" applyBorder="1" applyAlignment="1">
      <alignment horizontal="left" vertical="center"/>
    </xf>
    <xf numFmtId="0" fontId="0" fillId="0" borderId="21" xfId="2" applyFont="1" applyBorder="1"/>
    <xf numFmtId="0" fontId="6" fillId="0" borderId="21" xfId="2" applyBorder="1" applyAlignment="1">
      <alignment horizontal="center"/>
    </xf>
    <xf numFmtId="0" fontId="6" fillId="0" borderId="21" xfId="2" applyBorder="1" applyAlignment="1">
      <alignment horizontal="center" wrapText="1"/>
    </xf>
    <xf numFmtId="0" fontId="0" fillId="0" borderId="21" xfId="2" applyFont="1" applyBorder="1" applyAlignment="1">
      <alignment horizontal="center"/>
    </xf>
    <xf numFmtId="0" fontId="6" fillId="0" borderId="21" xfId="2" applyBorder="1"/>
    <xf numFmtId="0" fontId="15" fillId="8" borderId="20" xfId="2" applyFont="1" applyFill="1" applyBorder="1" applyAlignment="1">
      <alignment horizontal="center" vertical="center" wrapText="1"/>
    </xf>
    <xf numFmtId="0" fontId="6" fillId="0" borderId="9" xfId="2" applyBorder="1"/>
    <xf numFmtId="3" fontId="6" fillId="0" borderId="9" xfId="2" applyNumberFormat="1" applyBorder="1"/>
    <xf numFmtId="0" fontId="7" fillId="6" borderId="23" xfId="2" applyFont="1" applyFill="1" applyBorder="1" applyAlignment="1">
      <alignment horizontal="center" vertical="center" wrapText="1"/>
    </xf>
    <xf numFmtId="0" fontId="0" fillId="0" borderId="21" xfId="0" applyBorder="1" applyAlignment="1">
      <alignment vertical="center"/>
    </xf>
    <xf numFmtId="0" fontId="6" fillId="0" borderId="21" xfId="2" quotePrefix="1" applyBorder="1" applyAlignment="1">
      <alignment horizontal="center"/>
    </xf>
    <xf numFmtId="0" fontId="6" fillId="0" borderId="22" xfId="2" applyBorder="1"/>
    <xf numFmtId="0" fontId="20" fillId="0" borderId="9" xfId="2" applyFont="1" applyBorder="1"/>
    <xf numFmtId="0" fontId="11" fillId="0" borderId="20" xfId="2" applyFont="1" applyBorder="1" applyAlignment="1">
      <alignment horizontal="left" vertical="center"/>
    </xf>
    <xf numFmtId="0" fontId="4" fillId="0" borderId="20" xfId="2" applyFont="1" applyBorder="1"/>
    <xf numFmtId="0" fontId="4" fillId="0" borderId="20" xfId="2" applyFont="1" applyBorder="1" applyAlignment="1">
      <alignment horizontal="center"/>
    </xf>
    <xf numFmtId="0" fontId="6" fillId="0" borderId="20" xfId="2" quotePrefix="1" applyBorder="1" applyAlignment="1">
      <alignment horizontal="center"/>
    </xf>
    <xf numFmtId="0" fontId="6" fillId="0" borderId="20" xfId="2" applyBorder="1"/>
    <xf numFmtId="3" fontId="6" fillId="0" borderId="20" xfId="2" applyNumberFormat="1" applyBorder="1" applyAlignment="1">
      <alignment horizontal="center"/>
    </xf>
    <xf numFmtId="0" fontId="6" fillId="0" borderId="20" xfId="2" applyBorder="1" applyAlignment="1">
      <alignment horizontal="center"/>
    </xf>
    <xf numFmtId="0" fontId="6" fillId="0" borderId="3" xfId="2" applyBorder="1"/>
    <xf numFmtId="3" fontId="6" fillId="0" borderId="3" xfId="2" applyNumberFormat="1" applyBorder="1"/>
    <xf numFmtId="0" fontId="24" fillId="8" borderId="20" xfId="2" applyFont="1" applyFill="1" applyBorder="1" applyAlignment="1">
      <alignment horizontal="center" vertical="center" wrapText="1"/>
    </xf>
    <xf numFmtId="11" fontId="6" fillId="0" borderId="9" xfId="2" applyNumberFormat="1" applyBorder="1"/>
    <xf numFmtId="11" fontId="6" fillId="0" borderId="3" xfId="2" applyNumberFormat="1" applyBorder="1"/>
    <xf numFmtId="11" fontId="6" fillId="0" borderId="7" xfId="2" applyNumberFormat="1" applyBorder="1"/>
    <xf numFmtId="11" fontId="6" fillId="0" borderId="0" xfId="2" applyNumberFormat="1"/>
    <xf numFmtId="11" fontId="6" fillId="7" borderId="7" xfId="2" applyNumberFormat="1" applyFill="1" applyBorder="1"/>
    <xf numFmtId="0" fontId="7" fillId="6" borderId="7" xfId="2" applyFont="1" applyFill="1" applyBorder="1" applyAlignment="1">
      <alignment horizontal="left" vertical="center"/>
    </xf>
    <xf numFmtId="0" fontId="12" fillId="6" borderId="7" xfId="2" applyFont="1" applyFill="1" applyBorder="1" applyAlignment="1">
      <alignment horizontal="center" vertical="top" wrapText="1"/>
    </xf>
    <xf numFmtId="0" fontId="13" fillId="5" borderId="7" xfId="2" applyFont="1" applyFill="1" applyBorder="1" applyAlignment="1">
      <alignment horizontal="center" vertical="center" wrapText="1"/>
    </xf>
    <xf numFmtId="0" fontId="14" fillId="8" borderId="7" xfId="2" applyFont="1" applyFill="1" applyBorder="1" applyAlignment="1">
      <alignment horizontal="center" vertical="center" wrapText="1"/>
    </xf>
    <xf numFmtId="0" fontId="2" fillId="8" borderId="7" xfId="2" applyFont="1" applyFill="1" applyBorder="1" applyAlignment="1">
      <alignment horizontal="center" vertical="center" wrapText="1"/>
    </xf>
    <xf numFmtId="0" fontId="15" fillId="8" borderId="7" xfId="2" applyFont="1" applyFill="1" applyBorder="1" applyAlignment="1">
      <alignment horizontal="center" vertical="center" wrapText="1"/>
    </xf>
    <xf numFmtId="0" fontId="25" fillId="0" borderId="7" xfId="2" applyFont="1" applyBorder="1" applyAlignment="1">
      <alignment horizontal="left" vertical="center"/>
    </xf>
    <xf numFmtId="0" fontId="25" fillId="0" borderId="21" xfId="2" applyFont="1" applyBorder="1" applyAlignment="1">
      <alignment horizontal="left" vertical="center"/>
    </xf>
    <xf numFmtId="0" fontId="6" fillId="0" borderId="21" xfId="2" applyBorder="1" applyAlignment="1">
      <alignment horizontal="left" vertical="center"/>
    </xf>
    <xf numFmtId="0" fontId="6" fillId="0" borderId="21" xfId="2" applyBorder="1" applyAlignment="1">
      <alignment vertical="center"/>
    </xf>
    <xf numFmtId="0" fontId="0" fillId="7" borderId="11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10" borderId="11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7" borderId="1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10" borderId="11" xfId="0" applyFill="1" applyBorder="1" applyAlignment="1">
      <alignment horizontal="center" vertical="center" wrapText="1"/>
    </xf>
    <xf numFmtId="0" fontId="0" fillId="10" borderId="12" xfId="0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10" borderId="18" xfId="0" applyFill="1" applyBorder="1" applyAlignment="1">
      <alignment horizontal="center"/>
    </xf>
    <xf numFmtId="0" fontId="0" fillId="10" borderId="19" xfId="0" applyFill="1" applyBorder="1" applyAlignment="1">
      <alignment horizontal="center"/>
    </xf>
    <xf numFmtId="0" fontId="0" fillId="7" borderId="17" xfId="0" applyFill="1" applyBorder="1" applyAlignment="1">
      <alignment horizontal="center" vertical="center"/>
    </xf>
    <xf numFmtId="0" fontId="1" fillId="0" borderId="7" xfId="2" applyFont="1" applyBorder="1"/>
    <xf numFmtId="0" fontId="1" fillId="0" borderId="7" xfId="2" applyFont="1" applyBorder="1" applyAlignment="1">
      <alignment horizontal="center"/>
    </xf>
    <xf numFmtId="0" fontId="1" fillId="0" borderId="21" xfId="2" applyFont="1" applyBorder="1"/>
    <xf numFmtId="0" fontId="1" fillId="0" borderId="21" xfId="2" applyFont="1" applyBorder="1" applyAlignment="1">
      <alignment horizontal="center"/>
    </xf>
    <xf numFmtId="3" fontId="1" fillId="0" borderId="7" xfId="2" applyNumberFormat="1" applyFont="1" applyBorder="1" applyAlignment="1">
      <alignment horizontal="center"/>
    </xf>
    <xf numFmtId="3" fontId="1" fillId="0" borderId="21" xfId="2" applyNumberFormat="1" applyFont="1" applyBorder="1" applyAlignment="1">
      <alignment horizontal="center"/>
    </xf>
  </cellXfs>
  <cellStyles count="4">
    <cellStyle name="Comentário" xfId="1" xr:uid="{00000000-0005-0000-0000-000000000000}"/>
    <cellStyle name="Normal" xfId="0" builtinId="0"/>
    <cellStyle name="Normal 2" xfId="2" xr:uid="{00000000-0005-0000-0000-000002000000}"/>
    <cellStyle name="Normal 21 2" xfId="3" xr:uid="{00000000-0005-0000-0000-000003000000}"/>
  </cellStyles>
  <dxfs count="81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 style="medium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 style="medium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 style="medium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Estilo de tabla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60961</xdr:colOff>
      <xdr:row>0</xdr:row>
      <xdr:rowOff>48547</xdr:rowOff>
    </xdr:from>
    <xdr:to>
      <xdr:col>0</xdr:col>
      <xdr:colOff>1400447</xdr:colOff>
      <xdr:row>4</xdr:row>
      <xdr:rowOff>2915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1" y="48547"/>
          <a:ext cx="1320164" cy="8592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wbrresf00001\ENGENHARIA\Users\bruno.sereno\AppData\Local\Microsoft\Windows\Temporary%20Internet%20Files\Content.Outlook\CHHH2O1M\20170731_BS_MANConnector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 jan-14 to jun-17"/>
      <sheetName val="IC"/>
      <sheetName val="UBL 230 NG12"/>
      <sheetName val="UBL 230 NG8"/>
      <sheetName val="Plug Assemble 230 NG12"/>
      <sheetName val="Plug Assemble 230 NG8"/>
      <sheetName val="Adapter Assemble 230"/>
      <sheetName val="Plug Assemble 232 NG12"/>
      <sheetName val="Plug Assemble 232 NG8"/>
      <sheetName val="Adapter Assemble 232"/>
      <sheetName val="232 180º NG12"/>
      <sheetName val="232 90º NG12"/>
      <sheetName val="232 T NG12"/>
      <sheetName val="245 Female"/>
      <sheetName val="245 Male"/>
      <sheetName val="Brake Pieces"/>
      <sheetName val="Hourly Rate 2016"/>
      <sheetName val="MAN Proposal"/>
      <sheetName val="Summary"/>
      <sheetName val="TableStruct"/>
      <sheetName val="20170731_BS_MANConnector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ueba" displayName="Prueba" ref="A7:AB1078" totalsRowShown="0" headerRowDxfId="810" dataDxfId="809">
  <autoFilter ref="A7:AB1078" xr:uid="{00000000-0009-0000-0100-000001000000}"/>
  <tableColumns count="28">
    <tableColumn id="1" xr3:uid="{00000000-0010-0000-0000-000001000000}" name="PARTNUMBER" dataDxfId="808"/>
    <tableColumn id="2" xr3:uid="{00000000-0010-0000-0000-000002000000}" name="UM" dataDxfId="806" totalsRowDxfId="807"/>
    <tableColumn id="3" xr3:uid="{00000000-0010-0000-0000-000003000000}" name="DESCRIÇÃO INGLÊS" dataDxfId="804" totalsRowDxfId="805"/>
    <tableColumn id="4" xr3:uid="{00000000-0010-0000-0000-000004000000}" name="DESCRIÇÃO PORTUGUÊS" dataDxfId="802" totalsRowDxfId="803"/>
    <tableColumn id="6" xr3:uid="{00000000-0010-0000-0000-000006000000}" name="BOX" dataDxfId="800" totalsRowDxfId="801"/>
    <tableColumn id="7" xr3:uid="{00000000-0010-0000-0000-000007000000}" name="ORIGEM" dataDxfId="798" totalsRowDxfId="799"/>
    <tableColumn id="16" xr3:uid="{00000000-0010-0000-0000-000010000000}" name="Cant." dataDxfId="796" totalsRowDxfId="797"/>
    <tableColumn id="17" xr3:uid="{00000000-0010-0000-0000-000011000000}" name="Puesto" dataDxfId="794" totalsRowDxfId="795">
      <calculatedColumnFormula>IF(Prueba[[#This Row],[Cant.]]=0,"",IF(OR(Prueba[[#This Row],[Cant.2]]="",Prueba[[#This Row],[Puesto2]]=""),"?",Prueba[[#This Row],[Puesto2]]))</calculatedColumnFormula>
    </tableColumn>
    <tableColumn id="9" xr3:uid="{00000000-0010-0000-0000-000009000000}" name="Cant.2" dataDxfId="792" totalsRowDxfId="793"/>
    <tableColumn id="21" xr3:uid="{00000000-0010-0000-0000-000015000000}" name="Puesto2" dataDxfId="790" totalsRowDxfId="791"/>
    <tableColumn id="10" xr3:uid="{00000000-0010-0000-0000-00000A000000}" name="Cant.3" dataDxfId="788" totalsRowDxfId="789"/>
    <tableColumn id="39" xr3:uid="{00000000-0010-0000-0000-000027000000}" name="Puesto3" dataDxfId="786" totalsRowDxfId="787"/>
    <tableColumn id="11" xr3:uid="{00000000-0010-0000-0000-00000B000000}" name="Cant.4" dataDxfId="784" totalsRowDxfId="785"/>
    <tableColumn id="23" xr3:uid="{00000000-0010-0000-0000-000017000000}" name="Puesto4" dataDxfId="782" totalsRowDxfId="783">
      <calculatedColumnFormula>IF(Prueba[[#This Row],[Cant.4]]=0,"",IF(OR(Prueba[[#This Row],[Cant.6]]="",Prueba[[#This Row],[Puesto6]]=""),"?",Prueba[[#This Row],[Puesto6]]))</calculatedColumnFormula>
    </tableColumn>
    <tableColumn id="12" xr3:uid="{00000000-0010-0000-0000-00000C000000}" name="Cant.5" dataDxfId="780" totalsRowDxfId="781"/>
    <tableColumn id="19" xr3:uid="{00000000-0010-0000-0000-000013000000}" name="Puesto5" dataDxfId="778" totalsRowDxfId="779">
      <calculatedColumnFormula>IF(Prueba[[#This Row],[Cant.5]]=0,"",IF(OR(Prueba[[#This Row],[Cant.6]]="",Prueba[[#This Row],[Puesto6]]=""),"?",Prueba[[#This Row],[Puesto6]]))</calculatedColumnFormula>
    </tableColumn>
    <tableColumn id="13" xr3:uid="{00000000-0010-0000-0000-00000D000000}" name="Cant.6" dataDxfId="777"/>
    <tableColumn id="24" xr3:uid="{00000000-0010-0000-0000-000018000000}" name="Puesto6" dataDxfId="775" totalsRowDxfId="776"/>
    <tableColumn id="14" xr3:uid="{00000000-0010-0000-0000-00000E000000}" name="Cant.7" dataDxfId="773" totalsRowDxfId="774"/>
    <tableColumn id="5" xr3:uid="{00000000-0010-0000-0000-000005000000}" name="Puesto7" dataDxfId="771" totalsRowDxfId="772"/>
    <tableColumn id="15" xr3:uid="{00000000-0010-0000-0000-00000F000000}" name="Cant.8" dataDxfId="769" totalsRowDxfId="770"/>
    <tableColumn id="18" xr3:uid="{00000000-0010-0000-0000-000012000000}" name="Puesto8" dataDxfId="768"/>
    <tableColumn id="36" xr3:uid="{00000000-0010-0000-0000-000024000000}" name="Módulo SHW minutería" dataDxfId="766" totalsRowDxfId="767"/>
    <tableColumn id="38" xr3:uid="{00000000-0010-0000-0000-000026000000}" name="EMBALAJE" dataDxfId="764" totalsRowDxfId="765"/>
    <tableColumn id="26" xr3:uid="{00000000-0010-0000-0000-00001A000000}" name="Cant.9" dataDxfId="763"/>
    <tableColumn id="25" xr3:uid="{00000000-0010-0000-0000-000019000000}" name="Puesto9" dataDxfId="762"/>
    <tableColumn id="27" xr3:uid="{00000000-0010-0000-0000-00001B000000}" name="Cant.10" dataDxfId="761"/>
    <tableColumn id="22" xr3:uid="{00000000-0010-0000-0000-000016000000}" name="Puesto10" dataDxfId="760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9.1780TBXSH1" displayName="M9.1780TBXSH1" ref="B2:L450" totalsRowShown="0" headerRowDxfId="718" headerRowBorderDxfId="716" tableBorderDxfId="717" headerRowCellStyle="Normal 2">
  <autoFilter ref="B2:L450" xr:uid="{00000000-0009-0000-0100-000002000000}"/>
  <tableColumns count="11">
    <tableColumn id="1" xr3:uid="{00000000-0010-0000-0100-000001000000}" name="Materialnumber" dataDxfId="715" dataCellStyle="Normal 2"/>
    <tableColumn id="2" xr3:uid="{00000000-0010-0000-0100-000002000000}" name="Material short text" dataDxfId="714" dataCellStyle="Normal 2"/>
    <tableColumn id="3" xr3:uid="{00000000-0010-0000-0100-000003000000}" name="Uso por _Puesto" dataDxfId="713" dataCellStyle="Normal 2"/>
    <tableColumn id="4" xr3:uid="{00000000-0010-0000-0100-000004000000}" name="_Puesto LF" dataDxfId="712" dataCellStyle="Normal 2"/>
    <tableColumn id="5" xr3:uid="{00000000-0010-0000-0100-000005000000}" name="EMBALAJE Proveedor" dataDxfId="711" dataCellStyle="Normal 2"/>
    <tableColumn id="6" xr3:uid="{00000000-0010-0000-0100-000006000000}" name="Embalaje línea" dataDxfId="710" dataCellStyle="Normal 2"/>
    <tableColumn id="7" xr3:uid="{00000000-0010-0000-0100-000007000000}" name="Módulo de abastecimiento" dataDxfId="709" dataCellStyle="Normal 2"/>
    <tableColumn id="8" xr3:uid="{00000000-0010-0000-0100-000008000000}" name="Medio de Abastecimiento" dataDxfId="708" dataCellStyle="Normal 2"/>
    <tableColumn id="9" xr3:uid="{00000000-0010-0000-0100-000009000000}" name="Nivel" dataDxfId="707" dataCellStyle="Normal 2"/>
    <tableColumn id="10" xr3:uid="{00000000-0010-0000-0100-00000A000000}" name="Observaciones" dataDxfId="706" dataCellStyle="Normal 2"/>
    <tableColumn id="11" xr3:uid="{00000000-0010-0000-0100-00000B000000}" name="__PowerAppsId__" dataCellStyle="Normal 2"/>
  </tableColumns>
  <tableStyleInfo name="Estilo de tabla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11.180TBETV1" displayName="M11.180TBETV1" ref="B2:L450" totalsRowShown="0" headerRowDxfId="658" headerRowBorderDxfId="656" tableBorderDxfId="657" headerRowCellStyle="Normal 2">
  <autoFilter ref="B2:L450" xr:uid="{00000000-0009-0000-0100-000003000000}"/>
  <tableColumns count="11">
    <tableColumn id="1" xr3:uid="{00000000-0010-0000-0200-000001000000}" name="Materialnumber" dataDxfId="655" dataCellStyle="Normal 2"/>
    <tableColumn id="2" xr3:uid="{00000000-0010-0000-0200-000002000000}" name="Material short text" dataDxfId="654" dataCellStyle="Normal 2"/>
    <tableColumn id="3" xr3:uid="{00000000-0010-0000-0200-000003000000}" name="Uso por _Puesto" dataDxfId="653" dataCellStyle="Normal 2"/>
    <tableColumn id="4" xr3:uid="{00000000-0010-0000-0200-000004000000}" name="_Puesto LF" dataDxfId="652" dataCellStyle="Normal 2"/>
    <tableColumn id="5" xr3:uid="{00000000-0010-0000-0200-000005000000}" name="EMBALAJE Proveedor" dataDxfId="651" dataCellStyle="Normal 2"/>
    <tableColumn id="6" xr3:uid="{00000000-0010-0000-0200-000006000000}" name="Embalaje línea" dataDxfId="650" dataCellStyle="Normal 2"/>
    <tableColumn id="7" xr3:uid="{00000000-0010-0000-0200-000007000000}" name="Módulo de abastecimiento" dataDxfId="649" dataCellStyle="Normal 2"/>
    <tableColumn id="8" xr3:uid="{00000000-0010-0000-0200-000008000000}" name="Medio de Abastecimiento" dataDxfId="648" dataCellStyle="Normal 2"/>
    <tableColumn id="9" xr3:uid="{00000000-0010-0000-0200-000009000000}" name="Nivel" dataDxfId="647" dataCellStyle="Normal 2"/>
    <tableColumn id="10" xr3:uid="{00000000-0010-0000-0200-00000A000000}" name="Observaciones" dataDxfId="646" dataCellStyle="Normal 2"/>
    <tableColumn id="11" xr3:uid="{00000000-0010-0000-0200-00000B000000}" name="__PowerAppsId__" dataCellStyle="Normal 2"/>
  </tableColumns>
  <tableStyleInfo name="Estilo de tabla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17280.24JC5B" displayName="M17280.24JC5B" ref="B2:L524" totalsRowShown="0" headerRowDxfId="532" headerRowBorderDxfId="530" tableBorderDxfId="531" headerRowCellStyle="Normal 2">
  <autoFilter ref="B2:L524" xr:uid="{00000000-0009-0000-0100-000004000000}"/>
  <tableColumns count="11">
    <tableColumn id="1" xr3:uid="{00000000-0010-0000-0300-000001000000}" name="Materialnumber" dataDxfId="529" dataCellStyle="Normal 2"/>
    <tableColumn id="2" xr3:uid="{00000000-0010-0000-0300-000002000000}" name="Material short text" dataDxfId="528" dataCellStyle="Normal 2"/>
    <tableColumn id="3" xr3:uid="{00000000-0010-0000-0300-000003000000}" name="Uso por _Puesto" dataDxfId="527" dataCellStyle="Normal 2"/>
    <tableColumn id="4" xr3:uid="{00000000-0010-0000-0300-000004000000}" name="Puesto línea final" dataDxfId="526" dataCellStyle="Normal 2"/>
    <tableColumn id="5" xr3:uid="{00000000-0010-0000-0300-000005000000}" name="EMBALAJE Proveedor" dataDxfId="525" dataCellStyle="Normal 2"/>
    <tableColumn id="6" xr3:uid="{00000000-0010-0000-0300-000006000000}" name="Embalaje línea" dataDxfId="524" dataCellStyle="Normal 2"/>
    <tableColumn id="7" xr3:uid="{00000000-0010-0000-0300-000007000000}" name="Módulo de abastecimiento" dataDxfId="523" dataCellStyle="Normal 2"/>
    <tableColumn id="8" xr3:uid="{00000000-0010-0000-0300-000008000000}" name="Medio de Abastecimiento" dataDxfId="522" dataCellStyle="Normal 2"/>
    <tableColumn id="9" xr3:uid="{00000000-0010-0000-0300-000009000000}" name="Nivel" dataDxfId="521" dataCellStyle="Normal 2"/>
    <tableColumn id="10" xr3:uid="{00000000-0010-0000-0300-00000A000000}" name="Observaciones" dataDxfId="520" dataCellStyle="Normal 2"/>
    <tableColumn id="11" xr3:uid="{00000000-0010-0000-0300-00000B000000}" name="__PowerAppsId__" dataCellStyle="Normal 2"/>
  </tableColumns>
  <tableStyleInfo name="Estilo de tabla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17280.24JD5B" displayName="M17280.24JD5B" ref="B2:L520" totalsRowShown="0" headerRowDxfId="408" headerRowBorderDxfId="406" tableBorderDxfId="407" headerRowCellStyle="Normal 2">
  <autoFilter ref="B2:L520" xr:uid="{00000000-0009-0000-0100-000006000000}"/>
  <tableColumns count="11">
    <tableColumn id="1" xr3:uid="{00000000-0010-0000-0500-000001000000}" name="Materialnumber" dataDxfId="405" dataCellStyle="Normal 2"/>
    <tableColumn id="2" xr3:uid="{00000000-0010-0000-0500-000002000000}" name="Material short text" dataDxfId="404" dataCellStyle="Normal 2"/>
    <tableColumn id="3" xr3:uid="{00000000-0010-0000-0500-000003000000}" name="Uso por _Puesto" dataDxfId="403" dataCellStyle="Normal 2"/>
    <tableColumn id="4" xr3:uid="{00000000-0010-0000-0500-000004000000}" name="Puesto línea final" dataDxfId="402" dataCellStyle="Normal 2"/>
    <tableColumn id="5" xr3:uid="{00000000-0010-0000-0500-000005000000}" name="EMBALAJE Proveedor" dataDxfId="401" dataCellStyle="Normal 2"/>
    <tableColumn id="6" xr3:uid="{00000000-0010-0000-0500-000006000000}" name="Embalaje línea" dataDxfId="400" dataCellStyle="Normal 2"/>
    <tableColumn id="7" xr3:uid="{00000000-0010-0000-0500-000007000000}" name="Módulo de abastecimiento" dataDxfId="399" dataCellStyle="Normal 2"/>
    <tableColumn id="8" xr3:uid="{00000000-0010-0000-0500-000008000000}" name="Medio de Abastecimiento" dataDxfId="398" dataCellStyle="Normal 2"/>
    <tableColumn id="9" xr3:uid="{00000000-0010-0000-0500-000009000000}" name="Nivel" dataDxfId="397" dataCellStyle="Normal 2"/>
    <tableColumn id="10" xr3:uid="{00000000-0010-0000-0500-00000A000000}" name="Observaciones" dataDxfId="396" dataCellStyle="Normal 2"/>
    <tableColumn id="11" xr3:uid="{00000000-0010-0000-0500-00000B000000}" name="__PowerAppsId__"/>
  </tableColumns>
  <tableStyleInfo name="Estilo de tabla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17280.24LC5B" displayName="M17280.24LC5B" ref="B2:L512" totalsRowShown="0" headerRowDxfId="285" headerRowBorderDxfId="283" tableBorderDxfId="284" headerRowCellStyle="Normal 2">
  <autoFilter ref="B2:L512" xr:uid="{00000000-0009-0000-0100-000005000000}"/>
  <tableColumns count="11">
    <tableColumn id="1" xr3:uid="{00000000-0010-0000-0400-000001000000}" name="Materialnumber" dataDxfId="282" dataCellStyle="Normal 2"/>
    <tableColumn id="2" xr3:uid="{00000000-0010-0000-0400-000002000000}" name="Material short text" dataDxfId="281" dataCellStyle="Normal 2"/>
    <tableColumn id="3" xr3:uid="{00000000-0010-0000-0400-000003000000}" name="Uso por _Puesto" dataDxfId="280" dataCellStyle="Normal 2"/>
    <tableColumn id="4" xr3:uid="{00000000-0010-0000-0400-000004000000}" name="Puesto línea final" dataDxfId="279" dataCellStyle="Normal 2"/>
    <tableColumn id="5" xr3:uid="{00000000-0010-0000-0400-000005000000}" name="EMBALAJE Proveedor" dataDxfId="278" dataCellStyle="Normal 2"/>
    <tableColumn id="6" xr3:uid="{00000000-0010-0000-0400-000006000000}" name="Embalaje línea" dataDxfId="277" dataCellStyle="Normal 2"/>
    <tableColumn id="7" xr3:uid="{00000000-0010-0000-0400-000007000000}" name="Módulo de abastecimiento" dataDxfId="276" dataCellStyle="Normal 2"/>
    <tableColumn id="8" xr3:uid="{00000000-0010-0000-0400-000008000000}" name="Medio de Abastecimiento" dataDxfId="275" dataCellStyle="Normal 2"/>
    <tableColumn id="9" xr3:uid="{00000000-0010-0000-0400-000009000000}" name="Nivel" dataDxfId="274" dataCellStyle="Normal 2"/>
    <tableColumn id="10" xr3:uid="{00000000-0010-0000-0400-00000A000000}" name="Observaciones" dataDxfId="273" dataCellStyle="Normal 2"/>
    <tableColumn id="11" xr3:uid="{00000000-0010-0000-0400-00000B000000}" name="__PowerAppsId__" dataCellStyle="Normal 2"/>
  </tableColumns>
  <tableStyleInfo name="Estilo de tabla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17280.27CA5BTractor" displayName="M17280.27CA5BTractor" ref="B2:L526" totalsRowShown="0" headerRowDxfId="168" headerRowBorderDxfId="166" tableBorderDxfId="167" headerRowCellStyle="Normal 2">
  <autoFilter ref="B2:L526" xr:uid="{00000000-0009-0000-0100-000007000000}"/>
  <sortState xmlns:xlrd2="http://schemas.microsoft.com/office/spreadsheetml/2017/richdata2" ref="B3:L523">
    <sortCondition ref="I2:I523"/>
  </sortState>
  <tableColumns count="11">
    <tableColumn id="1" xr3:uid="{00000000-0010-0000-0600-000001000000}" name="Materialnumber" dataDxfId="165"/>
    <tableColumn id="2" xr3:uid="{00000000-0010-0000-0600-000002000000}" name="Material short text" dataDxfId="164" dataCellStyle="Normal 2"/>
    <tableColumn id="3" xr3:uid="{00000000-0010-0000-0600-000003000000}" name="Uso por _Puesto" dataDxfId="163" dataCellStyle="Normal 2"/>
    <tableColumn id="4" xr3:uid="{00000000-0010-0000-0600-000004000000}" name="Puesto línea final" dataDxfId="162" dataCellStyle="Normal 2"/>
    <tableColumn id="5" xr3:uid="{00000000-0010-0000-0600-000005000000}" name="EMBALAJE Proveedor" dataDxfId="161" dataCellStyle="Normal 2"/>
    <tableColumn id="6" xr3:uid="{00000000-0010-0000-0600-000006000000}" name="Embalaje línea" dataDxfId="160" dataCellStyle="Normal 2"/>
    <tableColumn id="7" xr3:uid="{00000000-0010-0000-0600-000007000000}" name="Módulo de abastecimiento" dataDxfId="159" dataCellStyle="Normal 2"/>
    <tableColumn id="8" xr3:uid="{00000000-0010-0000-0600-000008000000}" name="Medio de Abastecimiento" dataDxfId="158" dataCellStyle="Normal 2"/>
    <tableColumn id="9" xr3:uid="{00000000-0010-0000-0600-000009000000}" name="Nivel" dataDxfId="157" dataCellStyle="Normal 2"/>
    <tableColumn id="10" xr3:uid="{00000000-0010-0000-0600-00000A000000}" name="Observaciones" dataDxfId="156" dataCellStyle="Normal 2"/>
    <tableColumn id="11" xr3:uid="{00000000-0010-0000-0600-00000B000000}" name="__PowerAppsId__" dataCellStyle="Normal 2"/>
  </tableColumns>
  <tableStyleInfo name="Estilo de tabla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M15190OD" displayName="M15190OD" ref="B2:L337" totalsRowShown="0" headerRowDxfId="13" headerRowBorderDxfId="11" tableBorderDxfId="12" headerRowCellStyle="Normal 2">
  <autoFilter ref="B2:L337" xr:uid="{00000000-0009-0000-0100-000008000000}"/>
  <tableColumns count="11">
    <tableColumn id="1" xr3:uid="{00000000-0010-0000-0700-000001000000}" name="Materialnumber" dataDxfId="10"/>
    <tableColumn id="2" xr3:uid="{00000000-0010-0000-0700-000002000000}" name="Material short text" dataDxfId="9" dataCellStyle="Normal 2"/>
    <tableColumn id="3" xr3:uid="{00000000-0010-0000-0700-000003000000}" name="Uso por _Puesto" dataDxfId="8" dataCellStyle="Normal 2"/>
    <tableColumn id="4" xr3:uid="{00000000-0010-0000-0700-000004000000}" name="Puesto línea final" dataDxfId="7" dataCellStyle="Normal 2"/>
    <tableColumn id="5" xr3:uid="{00000000-0010-0000-0700-000005000000}" name="EMBALAJE Proveedor" dataDxfId="6" dataCellStyle="Normal 2"/>
    <tableColumn id="6" xr3:uid="{00000000-0010-0000-0700-000006000000}" name="Embalaje línea" dataDxfId="5" dataCellStyle="Normal 2"/>
    <tableColumn id="7" xr3:uid="{00000000-0010-0000-0700-000007000000}" name="Módulo de abastecimiento" dataDxfId="4" dataCellStyle="Normal 2"/>
    <tableColumn id="8" xr3:uid="{00000000-0010-0000-0700-000008000000}" name="Medio de Abastecimiento" dataDxfId="3" dataCellStyle="Normal 2"/>
    <tableColumn id="9" xr3:uid="{00000000-0010-0000-0700-000009000000}" name="Nivel" dataDxfId="2" dataCellStyle="Normal 2"/>
    <tableColumn id="10" xr3:uid="{00000000-0010-0000-0700-00000A000000}" name="Observaciones" dataDxfId="1" dataCellStyle="Normal 2"/>
    <tableColumn id="11" xr3:uid="{00000000-0010-0000-0700-00000B000000}" name="__PowerAppsId__" dataDxfId="0" dataCellStyle="Normal 2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I748"/>
  <sheetViews>
    <sheetView topLeftCell="A133" workbookViewId="0">
      <selection activeCell="A158" sqref="A158"/>
    </sheetView>
  </sheetViews>
  <sheetFormatPr defaultColWidth="50.5703125" defaultRowHeight="14.45"/>
  <cols>
    <col min="1" max="1" width="15.140625" bestFit="1" customWidth="1"/>
    <col min="2" max="2" width="4.85546875" bestFit="1" customWidth="1"/>
    <col min="3" max="3" width="24.140625" bestFit="1" customWidth="1"/>
    <col min="4" max="4" width="44.7109375" bestFit="1" customWidth="1"/>
    <col min="5" max="5" width="5.140625" bestFit="1" customWidth="1"/>
    <col min="6" max="6" width="8" bestFit="1" customWidth="1"/>
    <col min="7" max="7" width="11.28515625" bestFit="1" customWidth="1"/>
    <col min="8" max="8" width="4.42578125" bestFit="1" customWidth="1"/>
    <col min="9" max="9" width="21.7109375" bestFit="1" customWidth="1"/>
  </cols>
  <sheetData>
    <row r="1" spans="1:9">
      <c r="A1" s="1" t="s">
        <v>0</v>
      </c>
      <c r="B1" s="2" t="s">
        <v>1</v>
      </c>
      <c r="C1" s="1" t="s">
        <v>2</v>
      </c>
      <c r="D1" s="1" t="s">
        <v>2</v>
      </c>
      <c r="E1" s="2" t="s">
        <v>3</v>
      </c>
      <c r="F1" s="2" t="s">
        <v>4</v>
      </c>
      <c r="G1" s="2" t="s">
        <v>5</v>
      </c>
      <c r="H1" s="11" t="s">
        <v>6</v>
      </c>
      <c r="I1" s="2" t="s">
        <v>7</v>
      </c>
    </row>
    <row r="2" spans="1:9" ht="27.6">
      <c r="A2" s="3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4">
        <v>1</v>
      </c>
      <c r="I2" s="12" t="s">
        <v>14</v>
      </c>
    </row>
    <row r="3" spans="1:9" ht="27.6">
      <c r="A3" s="3" t="s">
        <v>15</v>
      </c>
      <c r="B3" t="s">
        <v>9</v>
      </c>
      <c r="C3" t="s">
        <v>16</v>
      </c>
      <c r="D3" t="s">
        <v>17</v>
      </c>
      <c r="E3" t="s">
        <v>18</v>
      </c>
      <c r="F3" t="s">
        <v>13</v>
      </c>
      <c r="H3" s="4">
        <v>1</v>
      </c>
      <c r="I3" s="12" t="s">
        <v>14</v>
      </c>
    </row>
    <row r="4" spans="1:9" ht="27.6">
      <c r="A4" s="13" t="s">
        <v>19</v>
      </c>
      <c r="B4" t="s">
        <v>9</v>
      </c>
      <c r="C4" t="s">
        <v>20</v>
      </c>
      <c r="D4" t="s">
        <v>21</v>
      </c>
      <c r="E4" s="4" t="s">
        <v>22</v>
      </c>
      <c r="F4" t="s">
        <v>13</v>
      </c>
      <c r="H4" s="4">
        <v>1</v>
      </c>
      <c r="I4" s="12" t="s">
        <v>14</v>
      </c>
    </row>
    <row r="5" spans="1:9" ht="27.6">
      <c r="A5" s="3" t="s">
        <v>23</v>
      </c>
      <c r="B5" t="s">
        <v>9</v>
      </c>
      <c r="C5" t="s">
        <v>24</v>
      </c>
      <c r="D5" t="s">
        <v>25</v>
      </c>
      <c r="E5" t="s">
        <v>12</v>
      </c>
      <c r="F5" t="s">
        <v>13</v>
      </c>
      <c r="H5" s="4">
        <v>1</v>
      </c>
      <c r="I5" s="12" t="s">
        <v>14</v>
      </c>
    </row>
    <row r="6" spans="1:9" ht="27.6">
      <c r="A6" s="3" t="s">
        <v>26</v>
      </c>
      <c r="B6" t="s">
        <v>9</v>
      </c>
      <c r="C6" t="s">
        <v>24</v>
      </c>
      <c r="D6" t="s">
        <v>27</v>
      </c>
      <c r="E6" t="s">
        <v>12</v>
      </c>
      <c r="F6" t="s">
        <v>13</v>
      </c>
      <c r="H6" s="4">
        <v>1</v>
      </c>
      <c r="I6" s="12" t="s">
        <v>14</v>
      </c>
    </row>
    <row r="7" spans="1:9" ht="27.6">
      <c r="A7" s="3" t="s">
        <v>28</v>
      </c>
      <c r="B7" t="s">
        <v>9</v>
      </c>
      <c r="C7" t="s">
        <v>24</v>
      </c>
      <c r="D7" t="s">
        <v>29</v>
      </c>
      <c r="E7" t="s">
        <v>12</v>
      </c>
      <c r="F7" t="s">
        <v>13</v>
      </c>
      <c r="H7" s="4">
        <v>1</v>
      </c>
      <c r="I7" s="12" t="s">
        <v>14</v>
      </c>
    </row>
    <row r="8" spans="1:9" ht="27.6">
      <c r="A8" s="3" t="s">
        <v>30</v>
      </c>
      <c r="B8" t="s">
        <v>9</v>
      </c>
      <c r="C8" t="s">
        <v>31</v>
      </c>
      <c r="D8" t="s">
        <v>32</v>
      </c>
      <c r="E8" t="s">
        <v>18</v>
      </c>
      <c r="F8" t="s">
        <v>13</v>
      </c>
      <c r="H8" s="4">
        <v>1</v>
      </c>
      <c r="I8" s="12" t="s">
        <v>14</v>
      </c>
    </row>
    <row r="9" spans="1:9" ht="27.6">
      <c r="A9" s="3" t="s">
        <v>33</v>
      </c>
      <c r="B9" t="s">
        <v>9</v>
      </c>
      <c r="C9" t="s">
        <v>34</v>
      </c>
      <c r="D9" t="s">
        <v>35</v>
      </c>
      <c r="E9" t="s">
        <v>18</v>
      </c>
      <c r="F9" t="s">
        <v>13</v>
      </c>
      <c r="H9" s="4">
        <v>1</v>
      </c>
      <c r="I9" s="12" t="s">
        <v>14</v>
      </c>
    </row>
    <row r="10" spans="1:9" ht="27.6">
      <c r="A10" s="3" t="s">
        <v>36</v>
      </c>
      <c r="B10" t="s">
        <v>9</v>
      </c>
      <c r="C10" t="s">
        <v>37</v>
      </c>
      <c r="D10" t="s">
        <v>38</v>
      </c>
      <c r="E10" t="s">
        <v>39</v>
      </c>
      <c r="F10" t="s">
        <v>13</v>
      </c>
      <c r="H10" s="4">
        <v>1</v>
      </c>
      <c r="I10" s="12" t="s">
        <v>14</v>
      </c>
    </row>
    <row r="11" spans="1:9" ht="27.6">
      <c r="A11" s="3" t="s">
        <v>40</v>
      </c>
      <c r="B11" t="s">
        <v>9</v>
      </c>
      <c r="C11" t="s">
        <v>41</v>
      </c>
      <c r="D11" t="s">
        <v>42</v>
      </c>
      <c r="E11" t="s">
        <v>18</v>
      </c>
      <c r="F11" t="s">
        <v>13</v>
      </c>
      <c r="H11" s="4">
        <v>1</v>
      </c>
      <c r="I11" s="12" t="s">
        <v>14</v>
      </c>
    </row>
    <row r="12" spans="1:9" ht="27.6">
      <c r="A12" s="3" t="s">
        <v>43</v>
      </c>
      <c r="B12" t="s">
        <v>9</v>
      </c>
      <c r="C12" t="s">
        <v>41</v>
      </c>
      <c r="D12" t="s">
        <v>44</v>
      </c>
      <c r="E12" t="s">
        <v>18</v>
      </c>
      <c r="F12" t="s">
        <v>13</v>
      </c>
      <c r="H12" s="4">
        <v>1</v>
      </c>
      <c r="I12" s="12" t="s">
        <v>14</v>
      </c>
    </row>
    <row r="13" spans="1:9" ht="27.6">
      <c r="A13" s="3" t="s">
        <v>45</v>
      </c>
      <c r="B13" t="s">
        <v>9</v>
      </c>
      <c r="C13" t="s">
        <v>46</v>
      </c>
      <c r="D13" t="s">
        <v>47</v>
      </c>
      <c r="E13" t="s">
        <v>12</v>
      </c>
      <c r="F13" t="s">
        <v>13</v>
      </c>
      <c r="H13" s="4">
        <v>1</v>
      </c>
      <c r="I13" s="12" t="s">
        <v>14</v>
      </c>
    </row>
    <row r="14" spans="1:9" ht="27.6">
      <c r="A14" s="3" t="s">
        <v>48</v>
      </c>
      <c r="B14" t="s">
        <v>9</v>
      </c>
      <c r="C14" t="s">
        <v>49</v>
      </c>
      <c r="D14" t="s">
        <v>50</v>
      </c>
      <c r="E14" t="s">
        <v>51</v>
      </c>
      <c r="F14" t="s">
        <v>13</v>
      </c>
      <c r="H14" s="4">
        <v>1</v>
      </c>
      <c r="I14" s="12" t="s">
        <v>14</v>
      </c>
    </row>
    <row r="15" spans="1:9" ht="27.6">
      <c r="A15" s="3" t="s">
        <v>52</v>
      </c>
      <c r="B15" t="s">
        <v>9</v>
      </c>
      <c r="C15" t="s">
        <v>53</v>
      </c>
      <c r="D15" t="s">
        <v>54</v>
      </c>
      <c r="E15" t="s">
        <v>22</v>
      </c>
      <c r="F15" t="s">
        <v>13</v>
      </c>
      <c r="H15" s="4">
        <v>1</v>
      </c>
      <c r="I15" s="12" t="s">
        <v>14</v>
      </c>
    </row>
    <row r="16" spans="1:9" ht="27.6">
      <c r="A16" s="3" t="s">
        <v>55</v>
      </c>
      <c r="B16" t="s">
        <v>9</v>
      </c>
      <c r="C16" t="s">
        <v>56</v>
      </c>
      <c r="D16" t="s">
        <v>56</v>
      </c>
      <c r="E16" t="s">
        <v>22</v>
      </c>
      <c r="F16" t="s">
        <v>13</v>
      </c>
      <c r="H16" s="4">
        <v>1</v>
      </c>
      <c r="I16" s="12" t="s">
        <v>14</v>
      </c>
    </row>
    <row r="17" spans="1:9" ht="27.6">
      <c r="A17" s="3" t="s">
        <v>57</v>
      </c>
      <c r="B17" t="s">
        <v>9</v>
      </c>
      <c r="C17" t="s">
        <v>58</v>
      </c>
      <c r="D17" t="s">
        <v>59</v>
      </c>
      <c r="E17" t="s">
        <v>51</v>
      </c>
      <c r="F17" t="s">
        <v>13</v>
      </c>
      <c r="H17" s="4">
        <v>1</v>
      </c>
      <c r="I17" s="12" t="s">
        <v>14</v>
      </c>
    </row>
    <row r="18" spans="1:9" ht="27.6">
      <c r="A18" s="3" t="s">
        <v>60</v>
      </c>
      <c r="B18" t="s">
        <v>9</v>
      </c>
      <c r="C18" t="s">
        <v>61</v>
      </c>
      <c r="D18" t="s">
        <v>62</v>
      </c>
      <c r="E18" t="s">
        <v>12</v>
      </c>
      <c r="F18" t="s">
        <v>13</v>
      </c>
      <c r="H18" s="4">
        <v>1</v>
      </c>
      <c r="I18" s="12" t="s">
        <v>14</v>
      </c>
    </row>
    <row r="19" spans="1:9" ht="27.6">
      <c r="A19" s="3" t="s">
        <v>63</v>
      </c>
      <c r="B19" t="s">
        <v>9</v>
      </c>
      <c r="C19" t="s">
        <v>64</v>
      </c>
      <c r="D19" t="s">
        <v>65</v>
      </c>
      <c r="E19" t="s">
        <v>66</v>
      </c>
      <c r="F19" t="s">
        <v>13</v>
      </c>
      <c r="H19" s="4">
        <v>1</v>
      </c>
      <c r="I19" s="12" t="s">
        <v>14</v>
      </c>
    </row>
    <row r="20" spans="1:9" ht="27.6">
      <c r="A20" s="3" t="s">
        <v>67</v>
      </c>
      <c r="B20" t="s">
        <v>9</v>
      </c>
      <c r="C20" s="6" t="s">
        <v>68</v>
      </c>
      <c r="D20" s="6" t="s">
        <v>69</v>
      </c>
      <c r="E20" s="4" t="s">
        <v>70</v>
      </c>
      <c r="F20" t="s">
        <v>13</v>
      </c>
      <c r="H20" s="4">
        <v>1</v>
      </c>
      <c r="I20" s="12" t="s">
        <v>14</v>
      </c>
    </row>
    <row r="21" spans="1:9" ht="27.6">
      <c r="A21" s="3" t="s">
        <v>71</v>
      </c>
      <c r="B21" t="s">
        <v>9</v>
      </c>
      <c r="C21" t="s">
        <v>72</v>
      </c>
      <c r="D21" t="s">
        <v>73</v>
      </c>
      <c r="E21" t="s">
        <v>12</v>
      </c>
      <c r="F21" t="s">
        <v>13</v>
      </c>
      <c r="H21" s="4">
        <v>1</v>
      </c>
      <c r="I21" s="12" t="s">
        <v>14</v>
      </c>
    </row>
    <row r="22" spans="1:9" ht="27.6">
      <c r="A22" s="3" t="s">
        <v>74</v>
      </c>
      <c r="B22" t="s">
        <v>9</v>
      </c>
      <c r="C22" t="s">
        <v>75</v>
      </c>
      <c r="D22" t="s">
        <v>76</v>
      </c>
      <c r="E22" t="s">
        <v>12</v>
      </c>
      <c r="F22" t="s">
        <v>13</v>
      </c>
      <c r="H22" s="4">
        <v>1</v>
      </c>
      <c r="I22" s="12" t="s">
        <v>14</v>
      </c>
    </row>
    <row r="23" spans="1:9" ht="27.6">
      <c r="A23" s="3" t="s">
        <v>77</v>
      </c>
      <c r="B23" t="s">
        <v>9</v>
      </c>
      <c r="C23" t="s">
        <v>78</v>
      </c>
      <c r="D23" t="s">
        <v>79</v>
      </c>
      <c r="E23" t="s">
        <v>39</v>
      </c>
      <c r="F23" t="s">
        <v>13</v>
      </c>
      <c r="H23" s="4">
        <v>1</v>
      </c>
      <c r="I23" s="12" t="s">
        <v>14</v>
      </c>
    </row>
    <row r="24" spans="1:9" ht="27.6">
      <c r="A24" s="3" t="s">
        <v>80</v>
      </c>
      <c r="B24" t="s">
        <v>9</v>
      </c>
      <c r="C24" t="s">
        <v>81</v>
      </c>
      <c r="D24" t="s">
        <v>82</v>
      </c>
      <c r="E24" t="s">
        <v>12</v>
      </c>
      <c r="F24" t="s">
        <v>13</v>
      </c>
      <c r="H24" s="4">
        <v>1</v>
      </c>
      <c r="I24" s="12" t="s">
        <v>14</v>
      </c>
    </row>
    <row r="25" spans="1:9" ht="27.6">
      <c r="A25" s="3" t="s">
        <v>83</v>
      </c>
      <c r="B25" t="s">
        <v>9</v>
      </c>
      <c r="C25" t="s">
        <v>84</v>
      </c>
      <c r="D25" t="s">
        <v>85</v>
      </c>
      <c r="E25" t="s">
        <v>39</v>
      </c>
      <c r="F25" t="s">
        <v>13</v>
      </c>
      <c r="H25" s="4">
        <v>1</v>
      </c>
      <c r="I25" s="12" t="s">
        <v>14</v>
      </c>
    </row>
    <row r="26" spans="1:9" ht="27.6">
      <c r="A26" s="3" t="s">
        <v>86</v>
      </c>
      <c r="B26" t="s">
        <v>9</v>
      </c>
      <c r="C26" t="s">
        <v>41</v>
      </c>
      <c r="D26" t="s">
        <v>87</v>
      </c>
      <c r="E26" t="s">
        <v>39</v>
      </c>
      <c r="F26" t="s">
        <v>13</v>
      </c>
      <c r="H26" s="4">
        <v>1</v>
      </c>
      <c r="I26" s="12" t="s">
        <v>14</v>
      </c>
    </row>
    <row r="27" spans="1:9" ht="27.6">
      <c r="A27" s="3" t="s">
        <v>88</v>
      </c>
      <c r="B27" t="s">
        <v>9</v>
      </c>
      <c r="C27" t="s">
        <v>89</v>
      </c>
      <c r="D27" t="s">
        <v>90</v>
      </c>
      <c r="E27" t="s">
        <v>22</v>
      </c>
      <c r="F27" t="s">
        <v>13</v>
      </c>
      <c r="H27" s="4">
        <v>63</v>
      </c>
      <c r="I27" s="12" t="s">
        <v>14</v>
      </c>
    </row>
    <row r="28" spans="1:9" ht="27.6">
      <c r="A28" s="3" t="s">
        <v>91</v>
      </c>
      <c r="B28" t="s">
        <v>9</v>
      </c>
      <c r="C28" t="s">
        <v>92</v>
      </c>
      <c r="D28" t="s">
        <v>93</v>
      </c>
      <c r="E28" t="s">
        <v>22</v>
      </c>
      <c r="F28" t="s">
        <v>13</v>
      </c>
      <c r="H28" s="4">
        <v>4</v>
      </c>
      <c r="I28" s="12" t="s">
        <v>14</v>
      </c>
    </row>
    <row r="29" spans="1:9" ht="27.6">
      <c r="A29" s="3" t="s">
        <v>94</v>
      </c>
      <c r="B29" t="s">
        <v>9</v>
      </c>
      <c r="C29" t="s">
        <v>95</v>
      </c>
      <c r="D29" t="s">
        <v>96</v>
      </c>
      <c r="E29" t="s">
        <v>22</v>
      </c>
      <c r="F29" t="s">
        <v>13</v>
      </c>
      <c r="H29" s="4">
        <v>58</v>
      </c>
      <c r="I29" s="12" t="s">
        <v>14</v>
      </c>
    </row>
    <row r="30" spans="1:9" ht="27.6">
      <c r="A30" s="3" t="s">
        <v>97</v>
      </c>
      <c r="B30" t="s">
        <v>9</v>
      </c>
      <c r="C30" t="s">
        <v>98</v>
      </c>
      <c r="D30" t="s">
        <v>99</v>
      </c>
      <c r="E30" t="s">
        <v>22</v>
      </c>
      <c r="F30" t="s">
        <v>13</v>
      </c>
      <c r="H30" s="4">
        <v>4</v>
      </c>
      <c r="I30" s="12" t="s">
        <v>14</v>
      </c>
    </row>
    <row r="31" spans="1:9" ht="27.6">
      <c r="A31" s="3" t="s">
        <v>100</v>
      </c>
      <c r="B31" t="s">
        <v>9</v>
      </c>
      <c r="C31" t="s">
        <v>101</v>
      </c>
      <c r="D31" t="s">
        <v>102</v>
      </c>
      <c r="E31" t="s">
        <v>12</v>
      </c>
      <c r="F31" t="s">
        <v>13</v>
      </c>
      <c r="H31" s="4">
        <v>1</v>
      </c>
      <c r="I31" s="12" t="s">
        <v>14</v>
      </c>
    </row>
    <row r="32" spans="1:9" ht="27.6">
      <c r="A32" s="3" t="s">
        <v>103</v>
      </c>
      <c r="B32" t="s">
        <v>9</v>
      </c>
      <c r="C32" t="s">
        <v>104</v>
      </c>
      <c r="D32" t="s">
        <v>105</v>
      </c>
      <c r="E32" t="s">
        <v>12</v>
      </c>
      <c r="F32" t="s">
        <v>13</v>
      </c>
      <c r="H32" s="4">
        <v>1</v>
      </c>
      <c r="I32" s="12" t="s">
        <v>14</v>
      </c>
    </row>
    <row r="33" spans="1:9" ht="27.6">
      <c r="A33" s="3" t="s">
        <v>106</v>
      </c>
      <c r="B33" t="s">
        <v>9</v>
      </c>
      <c r="C33" t="s">
        <v>107</v>
      </c>
      <c r="D33" t="s">
        <v>108</v>
      </c>
      <c r="E33" t="s">
        <v>12</v>
      </c>
      <c r="F33" t="s">
        <v>13</v>
      </c>
      <c r="H33" s="4">
        <v>1</v>
      </c>
      <c r="I33" s="12" t="s">
        <v>14</v>
      </c>
    </row>
    <row r="34" spans="1:9" ht="27.6">
      <c r="A34" s="3" t="s">
        <v>109</v>
      </c>
      <c r="B34" t="s">
        <v>9</v>
      </c>
      <c r="C34" t="s">
        <v>110</v>
      </c>
      <c r="D34" t="s">
        <v>111</v>
      </c>
      <c r="E34" s="4" t="s">
        <v>22</v>
      </c>
      <c r="F34" t="s">
        <v>13</v>
      </c>
      <c r="H34" s="4">
        <v>1</v>
      </c>
      <c r="I34" s="12" t="s">
        <v>14</v>
      </c>
    </row>
    <row r="35" spans="1:9" ht="27.6">
      <c r="A35" s="3" t="s">
        <v>112</v>
      </c>
      <c r="B35" t="s">
        <v>9</v>
      </c>
      <c r="C35" t="s">
        <v>113</v>
      </c>
      <c r="D35" t="s">
        <v>114</v>
      </c>
      <c r="E35" t="s">
        <v>18</v>
      </c>
      <c r="F35" t="s">
        <v>13</v>
      </c>
      <c r="H35" s="4">
        <v>1</v>
      </c>
      <c r="I35" s="12" t="s">
        <v>14</v>
      </c>
    </row>
    <row r="36" spans="1:9" ht="27.6">
      <c r="A36" s="3" t="s">
        <v>115</v>
      </c>
      <c r="B36" t="s">
        <v>9</v>
      </c>
      <c r="C36" t="s">
        <v>116</v>
      </c>
      <c r="D36" t="s">
        <v>117</v>
      </c>
      <c r="E36" t="s">
        <v>12</v>
      </c>
      <c r="F36" t="s">
        <v>13</v>
      </c>
      <c r="H36" s="4">
        <v>1</v>
      </c>
      <c r="I36" s="12" t="s">
        <v>14</v>
      </c>
    </row>
    <row r="37" spans="1:9" ht="27.6">
      <c r="A37" s="3" t="s">
        <v>118</v>
      </c>
      <c r="B37" t="s">
        <v>9</v>
      </c>
      <c r="C37" t="s">
        <v>84</v>
      </c>
      <c r="D37" t="s">
        <v>119</v>
      </c>
      <c r="E37" t="s">
        <v>39</v>
      </c>
      <c r="F37" t="s">
        <v>13</v>
      </c>
      <c r="H37" s="4">
        <v>2</v>
      </c>
      <c r="I37" s="12" t="s">
        <v>14</v>
      </c>
    </row>
    <row r="38" spans="1:9" ht="27.6">
      <c r="A38" s="3" t="s">
        <v>120</v>
      </c>
      <c r="B38" t="s">
        <v>9</v>
      </c>
      <c r="C38" t="s">
        <v>121</v>
      </c>
      <c r="D38" t="s">
        <v>122</v>
      </c>
      <c r="E38" t="s">
        <v>39</v>
      </c>
      <c r="F38" t="s">
        <v>13</v>
      </c>
      <c r="H38" s="4">
        <v>2</v>
      </c>
      <c r="I38" s="12" t="s">
        <v>14</v>
      </c>
    </row>
    <row r="39" spans="1:9" ht="27.6">
      <c r="A39" s="3" t="s">
        <v>123</v>
      </c>
      <c r="B39" t="s">
        <v>9</v>
      </c>
      <c r="C39" t="s">
        <v>124</v>
      </c>
      <c r="D39" t="s">
        <v>125</v>
      </c>
      <c r="E39" t="s">
        <v>12</v>
      </c>
      <c r="F39" t="s">
        <v>13</v>
      </c>
      <c r="H39" s="4">
        <v>2</v>
      </c>
      <c r="I39" s="12" t="s">
        <v>14</v>
      </c>
    </row>
    <row r="40" spans="1:9" ht="27.6">
      <c r="A40" s="3" t="s">
        <v>126</v>
      </c>
      <c r="B40" t="s">
        <v>9</v>
      </c>
      <c r="C40" t="s">
        <v>58</v>
      </c>
      <c r="D40" t="s">
        <v>59</v>
      </c>
      <c r="E40" t="s">
        <v>51</v>
      </c>
      <c r="F40" t="s">
        <v>13</v>
      </c>
      <c r="H40" s="4">
        <v>1</v>
      </c>
      <c r="I40" s="12" t="s">
        <v>14</v>
      </c>
    </row>
    <row r="41" spans="1:9" ht="27.6">
      <c r="A41" s="3" t="s">
        <v>127</v>
      </c>
      <c r="B41" t="s">
        <v>9</v>
      </c>
      <c r="C41" t="s">
        <v>128</v>
      </c>
      <c r="D41" t="s">
        <v>129</v>
      </c>
      <c r="E41" t="s">
        <v>39</v>
      </c>
      <c r="F41" t="s">
        <v>13</v>
      </c>
      <c r="H41" s="4">
        <v>2</v>
      </c>
      <c r="I41" s="12" t="s">
        <v>14</v>
      </c>
    </row>
    <row r="42" spans="1:9" ht="27.6">
      <c r="A42" s="3" t="s">
        <v>130</v>
      </c>
      <c r="B42" t="s">
        <v>9</v>
      </c>
      <c r="C42" t="s">
        <v>131</v>
      </c>
      <c r="D42" t="s">
        <v>132</v>
      </c>
      <c r="E42" t="s">
        <v>39</v>
      </c>
      <c r="F42" t="s">
        <v>13</v>
      </c>
      <c r="H42" s="4">
        <v>1</v>
      </c>
      <c r="I42" s="12" t="s">
        <v>14</v>
      </c>
    </row>
    <row r="43" spans="1:9" ht="27.6">
      <c r="A43" s="3" t="s">
        <v>133</v>
      </c>
      <c r="B43" t="s">
        <v>9</v>
      </c>
      <c r="C43" t="s">
        <v>131</v>
      </c>
      <c r="D43" t="s">
        <v>134</v>
      </c>
      <c r="E43" t="s">
        <v>39</v>
      </c>
      <c r="F43" t="s">
        <v>13</v>
      </c>
      <c r="H43" s="4">
        <v>1</v>
      </c>
      <c r="I43" s="12" t="s">
        <v>14</v>
      </c>
    </row>
    <row r="44" spans="1:9" ht="27.6">
      <c r="A44" s="3" t="s">
        <v>135</v>
      </c>
      <c r="B44" t="s">
        <v>9</v>
      </c>
      <c r="C44" t="s">
        <v>136</v>
      </c>
      <c r="D44" t="s">
        <v>137</v>
      </c>
      <c r="E44" t="s">
        <v>39</v>
      </c>
      <c r="F44" t="s">
        <v>13</v>
      </c>
      <c r="H44" s="4">
        <v>4</v>
      </c>
      <c r="I44" s="12" t="s">
        <v>14</v>
      </c>
    </row>
    <row r="45" spans="1:9" ht="27.6">
      <c r="A45" s="3" t="s">
        <v>138</v>
      </c>
      <c r="B45" t="s">
        <v>9</v>
      </c>
      <c r="C45" t="s">
        <v>139</v>
      </c>
      <c r="D45" t="s">
        <v>140</v>
      </c>
      <c r="E45" t="s">
        <v>39</v>
      </c>
      <c r="F45" t="s">
        <v>13</v>
      </c>
      <c r="H45" s="4">
        <v>2</v>
      </c>
      <c r="I45" s="12" t="s">
        <v>14</v>
      </c>
    </row>
    <row r="46" spans="1:9" ht="27.6">
      <c r="A46" s="3" t="s">
        <v>141</v>
      </c>
      <c r="B46" t="s">
        <v>9</v>
      </c>
      <c r="C46" t="s">
        <v>139</v>
      </c>
      <c r="D46" t="s">
        <v>142</v>
      </c>
      <c r="E46" t="s">
        <v>39</v>
      </c>
      <c r="F46" t="s">
        <v>13</v>
      </c>
      <c r="H46" s="4">
        <v>2</v>
      </c>
      <c r="I46" s="12" t="s">
        <v>14</v>
      </c>
    </row>
    <row r="47" spans="1:9" ht="27.6">
      <c r="A47" s="3" t="s">
        <v>143</v>
      </c>
      <c r="B47" t="s">
        <v>9</v>
      </c>
      <c r="C47" t="s">
        <v>144</v>
      </c>
      <c r="D47" t="s">
        <v>145</v>
      </c>
      <c r="E47" t="s">
        <v>39</v>
      </c>
      <c r="F47" t="s">
        <v>13</v>
      </c>
      <c r="H47" s="4">
        <v>2</v>
      </c>
      <c r="I47" s="12" t="s">
        <v>14</v>
      </c>
    </row>
    <row r="48" spans="1:9" ht="27.6">
      <c r="A48" s="3" t="s">
        <v>146</v>
      </c>
      <c r="B48" t="s">
        <v>9</v>
      </c>
      <c r="C48" t="s">
        <v>147</v>
      </c>
      <c r="D48" t="s">
        <v>148</v>
      </c>
      <c r="E48" t="s">
        <v>39</v>
      </c>
      <c r="F48" t="s">
        <v>13</v>
      </c>
      <c r="H48" s="4">
        <v>5</v>
      </c>
      <c r="I48" s="12" t="s">
        <v>14</v>
      </c>
    </row>
    <row r="49" spans="1:9" ht="27.6">
      <c r="A49" s="3" t="s">
        <v>149</v>
      </c>
      <c r="B49" t="s">
        <v>9</v>
      </c>
      <c r="C49" t="s">
        <v>150</v>
      </c>
      <c r="D49" t="s">
        <v>151</v>
      </c>
      <c r="E49" t="s">
        <v>39</v>
      </c>
      <c r="F49" t="s">
        <v>13</v>
      </c>
      <c r="H49" s="4">
        <v>1</v>
      </c>
      <c r="I49" s="12" t="s">
        <v>14</v>
      </c>
    </row>
    <row r="50" spans="1:9" ht="27.6">
      <c r="A50" s="3" t="s">
        <v>152</v>
      </c>
      <c r="B50" t="s">
        <v>9</v>
      </c>
      <c r="C50" t="s">
        <v>153</v>
      </c>
      <c r="D50" t="s">
        <v>154</v>
      </c>
      <c r="E50" t="s">
        <v>39</v>
      </c>
      <c r="F50" t="s">
        <v>13</v>
      </c>
      <c r="H50" s="4">
        <v>4</v>
      </c>
      <c r="I50" s="12" t="s">
        <v>14</v>
      </c>
    </row>
    <row r="51" spans="1:9" ht="27.6">
      <c r="A51" s="3" t="s">
        <v>155</v>
      </c>
      <c r="B51" t="s">
        <v>9</v>
      </c>
      <c r="C51" t="s">
        <v>156</v>
      </c>
      <c r="D51" t="s">
        <v>157</v>
      </c>
      <c r="E51" t="s">
        <v>39</v>
      </c>
      <c r="F51" t="s">
        <v>13</v>
      </c>
      <c r="H51" s="4">
        <v>2</v>
      </c>
      <c r="I51" s="12" t="s">
        <v>14</v>
      </c>
    </row>
    <row r="52" spans="1:9" ht="27.6">
      <c r="A52" s="3" t="s">
        <v>158</v>
      </c>
      <c r="B52" t="s">
        <v>9</v>
      </c>
      <c r="C52" t="s">
        <v>84</v>
      </c>
      <c r="D52" t="s">
        <v>159</v>
      </c>
      <c r="E52" t="s">
        <v>39</v>
      </c>
      <c r="F52" t="s">
        <v>13</v>
      </c>
      <c r="H52" s="4">
        <v>2</v>
      </c>
      <c r="I52" s="12" t="s">
        <v>14</v>
      </c>
    </row>
    <row r="53" spans="1:9" ht="27.6">
      <c r="A53" s="3" t="s">
        <v>160</v>
      </c>
      <c r="B53" t="s">
        <v>9</v>
      </c>
      <c r="C53" t="s">
        <v>161</v>
      </c>
      <c r="D53" t="s">
        <v>162</v>
      </c>
      <c r="E53" t="s">
        <v>39</v>
      </c>
      <c r="F53" t="s">
        <v>13</v>
      </c>
      <c r="H53" s="4">
        <v>2</v>
      </c>
      <c r="I53" s="12" t="s">
        <v>14</v>
      </c>
    </row>
    <row r="54" spans="1:9" ht="27.6">
      <c r="A54" s="3" t="s">
        <v>163</v>
      </c>
      <c r="B54" t="s">
        <v>9</v>
      </c>
      <c r="C54" t="s">
        <v>164</v>
      </c>
      <c r="D54" t="s">
        <v>165</v>
      </c>
      <c r="E54" t="s">
        <v>18</v>
      </c>
      <c r="F54" t="s">
        <v>13</v>
      </c>
      <c r="H54" s="4">
        <v>1</v>
      </c>
      <c r="I54" s="12" t="s">
        <v>14</v>
      </c>
    </row>
    <row r="55" spans="1:9" ht="27.6">
      <c r="A55" s="3" t="s">
        <v>166</v>
      </c>
      <c r="B55" t="s">
        <v>9</v>
      </c>
      <c r="C55" t="s">
        <v>164</v>
      </c>
      <c r="D55" t="s">
        <v>165</v>
      </c>
      <c r="E55" s="4" t="s">
        <v>18</v>
      </c>
      <c r="F55" t="s">
        <v>13</v>
      </c>
      <c r="H55" s="4">
        <v>1</v>
      </c>
      <c r="I55" s="12" t="s">
        <v>14</v>
      </c>
    </row>
    <row r="56" spans="1:9" ht="27.6">
      <c r="A56" s="3" t="s">
        <v>167</v>
      </c>
      <c r="B56" t="s">
        <v>9</v>
      </c>
      <c r="C56" t="s">
        <v>168</v>
      </c>
      <c r="D56" t="s">
        <v>169</v>
      </c>
      <c r="E56" t="s">
        <v>22</v>
      </c>
      <c r="F56" t="s">
        <v>13</v>
      </c>
      <c r="H56" s="4">
        <v>1</v>
      </c>
      <c r="I56" s="12" t="s">
        <v>14</v>
      </c>
    </row>
    <row r="57" spans="1:9" ht="27.6">
      <c r="A57" s="3" t="s">
        <v>170</v>
      </c>
      <c r="B57" t="s">
        <v>9</v>
      </c>
      <c r="C57" s="6" t="s">
        <v>171</v>
      </c>
      <c r="D57" s="6" t="s">
        <v>172</v>
      </c>
      <c r="E57" s="5" t="s">
        <v>12</v>
      </c>
      <c r="F57" t="s">
        <v>13</v>
      </c>
      <c r="H57" s="4">
        <v>1</v>
      </c>
      <c r="I57" s="12" t="s">
        <v>14</v>
      </c>
    </row>
    <row r="58" spans="1:9" ht="27.6">
      <c r="A58" s="3" t="s">
        <v>173</v>
      </c>
      <c r="B58" t="s">
        <v>9</v>
      </c>
      <c r="C58" t="s">
        <v>174</v>
      </c>
      <c r="D58" t="s">
        <v>175</v>
      </c>
      <c r="E58" t="s">
        <v>22</v>
      </c>
      <c r="F58" t="s">
        <v>13</v>
      </c>
      <c r="H58" s="4">
        <v>2</v>
      </c>
      <c r="I58" s="12" t="s">
        <v>14</v>
      </c>
    </row>
    <row r="59" spans="1:9" ht="27.6">
      <c r="A59" s="3" t="s">
        <v>176</v>
      </c>
      <c r="B59" t="s">
        <v>9</v>
      </c>
      <c r="C59" t="s">
        <v>84</v>
      </c>
      <c r="D59" t="s">
        <v>177</v>
      </c>
      <c r="E59" t="s">
        <v>18</v>
      </c>
      <c r="F59" t="s">
        <v>13</v>
      </c>
      <c r="H59" s="4">
        <v>1</v>
      </c>
      <c r="I59" s="12" t="s">
        <v>14</v>
      </c>
    </row>
    <row r="60" spans="1:9" ht="27.6">
      <c r="A60" s="3" t="s">
        <v>178</v>
      </c>
      <c r="B60" t="s">
        <v>9</v>
      </c>
      <c r="C60" t="s">
        <v>113</v>
      </c>
      <c r="D60" t="s">
        <v>179</v>
      </c>
      <c r="E60" t="s">
        <v>18</v>
      </c>
      <c r="F60" t="s">
        <v>13</v>
      </c>
      <c r="H60" s="4">
        <v>1</v>
      </c>
      <c r="I60" s="12" t="s">
        <v>14</v>
      </c>
    </row>
    <row r="61" spans="1:9" ht="27.6">
      <c r="A61" s="3" t="s">
        <v>180</v>
      </c>
      <c r="B61" t="s">
        <v>9</v>
      </c>
      <c r="C61" t="s">
        <v>181</v>
      </c>
      <c r="D61" t="s">
        <v>182</v>
      </c>
      <c r="E61" t="s">
        <v>18</v>
      </c>
      <c r="F61" t="s">
        <v>13</v>
      </c>
      <c r="H61" s="4">
        <v>1</v>
      </c>
      <c r="I61" s="12" t="s">
        <v>14</v>
      </c>
    </row>
    <row r="62" spans="1:9" ht="27.6">
      <c r="A62" s="3" t="s">
        <v>183</v>
      </c>
      <c r="B62" t="s">
        <v>9</v>
      </c>
      <c r="C62" t="s">
        <v>184</v>
      </c>
      <c r="D62" t="s">
        <v>185</v>
      </c>
      <c r="E62" t="s">
        <v>12</v>
      </c>
      <c r="F62" t="s">
        <v>13</v>
      </c>
      <c r="H62" s="4">
        <v>1</v>
      </c>
      <c r="I62" s="12" t="s">
        <v>14</v>
      </c>
    </row>
    <row r="63" spans="1:9" ht="27.6">
      <c r="A63" s="3" t="s">
        <v>186</v>
      </c>
      <c r="B63" t="s">
        <v>9</v>
      </c>
      <c r="C63" t="s">
        <v>187</v>
      </c>
      <c r="D63" t="s">
        <v>188</v>
      </c>
      <c r="E63" t="s">
        <v>22</v>
      </c>
      <c r="F63" t="s">
        <v>13</v>
      </c>
      <c r="H63" s="4">
        <v>1</v>
      </c>
      <c r="I63" s="12" t="s">
        <v>14</v>
      </c>
    </row>
    <row r="64" spans="1:9" ht="27.6">
      <c r="A64" s="3" t="s">
        <v>189</v>
      </c>
      <c r="B64" t="s">
        <v>9</v>
      </c>
      <c r="C64" t="s">
        <v>187</v>
      </c>
      <c r="D64" t="s">
        <v>188</v>
      </c>
      <c r="E64" t="s">
        <v>22</v>
      </c>
      <c r="F64" t="s">
        <v>13</v>
      </c>
      <c r="H64" s="4">
        <v>1</v>
      </c>
      <c r="I64" s="12" t="s">
        <v>14</v>
      </c>
    </row>
    <row r="65" spans="1:9" ht="27.6">
      <c r="A65" s="3" t="s">
        <v>190</v>
      </c>
      <c r="B65" t="s">
        <v>9</v>
      </c>
      <c r="C65" t="s">
        <v>41</v>
      </c>
      <c r="D65" t="s">
        <v>191</v>
      </c>
      <c r="E65" t="s">
        <v>18</v>
      </c>
      <c r="F65" t="s">
        <v>13</v>
      </c>
      <c r="H65" s="4">
        <v>1</v>
      </c>
      <c r="I65" s="12" t="s">
        <v>14</v>
      </c>
    </row>
    <row r="66" spans="1:9" ht="27.6">
      <c r="A66" s="3" t="s">
        <v>192</v>
      </c>
      <c r="B66" t="s">
        <v>9</v>
      </c>
      <c r="C66" s="6" t="s">
        <v>193</v>
      </c>
      <c r="D66" s="6" t="s">
        <v>194</v>
      </c>
      <c r="E66" s="5" t="s">
        <v>195</v>
      </c>
      <c r="F66" t="s">
        <v>13</v>
      </c>
      <c r="H66" s="4">
        <v>1</v>
      </c>
      <c r="I66" s="12" t="s">
        <v>14</v>
      </c>
    </row>
    <row r="67" spans="1:9" ht="27.6">
      <c r="A67" s="3" t="s">
        <v>196</v>
      </c>
      <c r="B67" t="s">
        <v>9</v>
      </c>
      <c r="C67" t="s">
        <v>197</v>
      </c>
      <c r="D67" t="s">
        <v>198</v>
      </c>
      <c r="E67" t="s">
        <v>39</v>
      </c>
      <c r="F67" t="s">
        <v>13</v>
      </c>
      <c r="H67" s="4">
        <v>2</v>
      </c>
      <c r="I67" s="12" t="s">
        <v>14</v>
      </c>
    </row>
    <row r="68" spans="1:9" ht="27.6">
      <c r="A68" s="3" t="s">
        <v>199</v>
      </c>
      <c r="B68" t="s">
        <v>9</v>
      </c>
      <c r="C68" t="s">
        <v>200</v>
      </c>
      <c r="D68" t="s">
        <v>201</v>
      </c>
      <c r="E68" t="s">
        <v>39</v>
      </c>
      <c r="F68" t="s">
        <v>13</v>
      </c>
      <c r="H68" s="4">
        <v>2</v>
      </c>
      <c r="I68" s="12" t="s">
        <v>14</v>
      </c>
    </row>
    <row r="69" spans="1:9" ht="27.6">
      <c r="A69" s="3" t="s">
        <v>202</v>
      </c>
      <c r="B69" t="s">
        <v>9</v>
      </c>
      <c r="C69" t="s">
        <v>150</v>
      </c>
      <c r="D69" t="s">
        <v>203</v>
      </c>
      <c r="E69" t="s">
        <v>39</v>
      </c>
      <c r="F69" t="s">
        <v>13</v>
      </c>
      <c r="H69" s="4">
        <v>1</v>
      </c>
      <c r="I69" s="12" t="s">
        <v>14</v>
      </c>
    </row>
    <row r="70" spans="1:9" ht="27.6">
      <c r="A70" s="3" t="s">
        <v>204</v>
      </c>
      <c r="B70" t="s">
        <v>9</v>
      </c>
      <c r="C70" t="s">
        <v>153</v>
      </c>
      <c r="D70" t="s">
        <v>205</v>
      </c>
      <c r="E70" t="s">
        <v>39</v>
      </c>
      <c r="F70" t="s">
        <v>13</v>
      </c>
      <c r="H70" s="4">
        <v>4</v>
      </c>
      <c r="I70" s="12" t="s">
        <v>14</v>
      </c>
    </row>
    <row r="71" spans="1:9" ht="27.6">
      <c r="A71" s="3" t="s">
        <v>206</v>
      </c>
      <c r="B71" t="s">
        <v>9</v>
      </c>
      <c r="C71" t="s">
        <v>153</v>
      </c>
      <c r="D71" t="s">
        <v>207</v>
      </c>
      <c r="E71" t="s">
        <v>39</v>
      </c>
      <c r="F71" t="s">
        <v>13</v>
      </c>
      <c r="H71" s="4">
        <v>2</v>
      </c>
      <c r="I71" s="12" t="s">
        <v>14</v>
      </c>
    </row>
    <row r="72" spans="1:9" ht="27.6">
      <c r="A72" s="3" t="s">
        <v>208</v>
      </c>
      <c r="B72" t="s">
        <v>9</v>
      </c>
      <c r="C72" t="s">
        <v>144</v>
      </c>
      <c r="D72" t="s">
        <v>209</v>
      </c>
      <c r="E72" t="s">
        <v>39</v>
      </c>
      <c r="F72" t="s">
        <v>13</v>
      </c>
      <c r="H72" s="4">
        <v>1</v>
      </c>
      <c r="I72" s="12" t="s">
        <v>14</v>
      </c>
    </row>
    <row r="73" spans="1:9" ht="27.6">
      <c r="A73" s="3" t="s">
        <v>210</v>
      </c>
      <c r="B73" t="s">
        <v>9</v>
      </c>
      <c r="C73" t="s">
        <v>144</v>
      </c>
      <c r="D73" t="s">
        <v>211</v>
      </c>
      <c r="E73" t="s">
        <v>39</v>
      </c>
      <c r="F73" t="s">
        <v>13</v>
      </c>
      <c r="H73" s="4">
        <v>1</v>
      </c>
      <c r="I73" s="12" t="s">
        <v>14</v>
      </c>
    </row>
    <row r="74" spans="1:9" ht="27.6">
      <c r="A74" s="3" t="s">
        <v>212</v>
      </c>
      <c r="B74" t="s">
        <v>9</v>
      </c>
      <c r="C74" t="s">
        <v>161</v>
      </c>
      <c r="D74" t="s">
        <v>213</v>
      </c>
      <c r="E74" t="s">
        <v>39</v>
      </c>
      <c r="F74" t="s">
        <v>13</v>
      </c>
      <c r="H74" s="4">
        <v>2</v>
      </c>
      <c r="I74" s="12" t="s">
        <v>14</v>
      </c>
    </row>
    <row r="75" spans="1:9" ht="27.6">
      <c r="A75" s="3" t="s">
        <v>214</v>
      </c>
      <c r="B75" t="s">
        <v>9</v>
      </c>
      <c r="C75" t="s">
        <v>215</v>
      </c>
      <c r="D75" t="s">
        <v>216</v>
      </c>
      <c r="E75" t="s">
        <v>39</v>
      </c>
      <c r="F75" t="s">
        <v>13</v>
      </c>
      <c r="H75" s="4">
        <v>1</v>
      </c>
      <c r="I75" s="12" t="s">
        <v>14</v>
      </c>
    </row>
    <row r="76" spans="1:9" ht="27.6">
      <c r="A76" s="3" t="s">
        <v>217</v>
      </c>
      <c r="B76" t="s">
        <v>9</v>
      </c>
      <c r="C76" t="s">
        <v>215</v>
      </c>
      <c r="D76" t="s">
        <v>216</v>
      </c>
      <c r="E76" t="s">
        <v>39</v>
      </c>
      <c r="F76" t="s">
        <v>13</v>
      </c>
      <c r="H76" s="4">
        <v>1</v>
      </c>
      <c r="I76" s="12" t="s">
        <v>14</v>
      </c>
    </row>
    <row r="77" spans="1:9" ht="27.6">
      <c r="A77" s="3" t="s">
        <v>218</v>
      </c>
      <c r="B77" t="s">
        <v>9</v>
      </c>
      <c r="C77" t="s">
        <v>219</v>
      </c>
      <c r="D77" t="s">
        <v>220</v>
      </c>
      <c r="E77" t="s">
        <v>12</v>
      </c>
      <c r="F77" t="s">
        <v>13</v>
      </c>
      <c r="H77" s="4">
        <v>1</v>
      </c>
      <c r="I77" s="12" t="s">
        <v>14</v>
      </c>
    </row>
    <row r="78" spans="1:9" ht="27.6">
      <c r="A78" s="3" t="s">
        <v>221</v>
      </c>
      <c r="B78" t="s">
        <v>9</v>
      </c>
      <c r="C78" t="s">
        <v>139</v>
      </c>
      <c r="D78" t="s">
        <v>222</v>
      </c>
      <c r="E78" t="s">
        <v>39</v>
      </c>
      <c r="F78" t="s">
        <v>13</v>
      </c>
      <c r="H78" s="4">
        <v>4</v>
      </c>
      <c r="I78" s="12" t="s">
        <v>14</v>
      </c>
    </row>
    <row r="79" spans="1:9" ht="27.6">
      <c r="A79" s="3" t="s">
        <v>223</v>
      </c>
      <c r="B79" t="s">
        <v>9</v>
      </c>
      <c r="C79" t="s">
        <v>144</v>
      </c>
      <c r="D79" t="s">
        <v>211</v>
      </c>
      <c r="E79" t="s">
        <v>39</v>
      </c>
      <c r="F79" t="s">
        <v>13</v>
      </c>
      <c r="H79" s="4">
        <v>2</v>
      </c>
      <c r="I79" s="12" t="s">
        <v>14</v>
      </c>
    </row>
    <row r="80" spans="1:9" ht="27.6">
      <c r="A80" s="3" t="s">
        <v>224</v>
      </c>
      <c r="B80" t="s">
        <v>9</v>
      </c>
      <c r="C80" t="s">
        <v>136</v>
      </c>
      <c r="D80" t="s">
        <v>225</v>
      </c>
      <c r="E80" t="s">
        <v>39</v>
      </c>
      <c r="F80" t="s">
        <v>13</v>
      </c>
      <c r="H80" s="4">
        <v>2</v>
      </c>
      <c r="I80" s="12" t="s">
        <v>14</v>
      </c>
    </row>
    <row r="81" spans="1:9" ht="27.6">
      <c r="A81" s="3" t="s">
        <v>226</v>
      </c>
      <c r="B81" t="s">
        <v>9</v>
      </c>
      <c r="C81" t="s">
        <v>136</v>
      </c>
      <c r="D81" t="s">
        <v>225</v>
      </c>
      <c r="E81" t="s">
        <v>39</v>
      </c>
      <c r="F81" t="s">
        <v>13</v>
      </c>
      <c r="H81" s="4">
        <v>2</v>
      </c>
      <c r="I81" s="12" t="s">
        <v>14</v>
      </c>
    </row>
    <row r="82" spans="1:9" ht="27.6">
      <c r="A82" s="3" t="s">
        <v>227</v>
      </c>
      <c r="B82" t="s">
        <v>9</v>
      </c>
      <c r="C82" s="6" t="s">
        <v>228</v>
      </c>
      <c r="D82" s="6" t="s">
        <v>229</v>
      </c>
      <c r="E82" s="5" t="s">
        <v>230</v>
      </c>
      <c r="F82" t="s">
        <v>13</v>
      </c>
      <c r="H82" s="4">
        <v>7</v>
      </c>
      <c r="I82" s="12" t="s">
        <v>14</v>
      </c>
    </row>
    <row r="83" spans="1:9" ht="27.6">
      <c r="A83" s="3" t="s">
        <v>231</v>
      </c>
      <c r="B83" t="s">
        <v>9</v>
      </c>
      <c r="C83" t="s">
        <v>232</v>
      </c>
      <c r="D83" t="s">
        <v>233</v>
      </c>
      <c r="E83" t="s">
        <v>12</v>
      </c>
      <c r="F83" t="s">
        <v>13</v>
      </c>
      <c r="H83" s="4">
        <v>12</v>
      </c>
      <c r="I83" s="12" t="s">
        <v>14</v>
      </c>
    </row>
    <row r="84" spans="1:9" ht="27.6">
      <c r="A84" s="3" t="s">
        <v>234</v>
      </c>
      <c r="B84" t="s">
        <v>9</v>
      </c>
      <c r="C84" t="s">
        <v>235</v>
      </c>
      <c r="D84" t="s">
        <v>236</v>
      </c>
      <c r="E84" t="s">
        <v>39</v>
      </c>
      <c r="F84" t="s">
        <v>13</v>
      </c>
      <c r="H84" s="4">
        <v>1</v>
      </c>
      <c r="I84" s="12" t="s">
        <v>14</v>
      </c>
    </row>
    <row r="85" spans="1:9" ht="27.6">
      <c r="A85" s="3" t="s">
        <v>237</v>
      </c>
      <c r="B85" t="s">
        <v>9</v>
      </c>
      <c r="C85" t="s">
        <v>238</v>
      </c>
      <c r="D85" t="s">
        <v>239</v>
      </c>
      <c r="E85" t="s">
        <v>39</v>
      </c>
      <c r="F85" t="s">
        <v>13</v>
      </c>
      <c r="H85" s="4">
        <v>1</v>
      </c>
      <c r="I85" s="12" t="s">
        <v>14</v>
      </c>
    </row>
    <row r="86" spans="1:9" ht="27.6">
      <c r="A86" s="3" t="s">
        <v>240</v>
      </c>
      <c r="B86" t="s">
        <v>9</v>
      </c>
      <c r="C86" t="s">
        <v>241</v>
      </c>
      <c r="D86" t="s">
        <v>242</v>
      </c>
      <c r="E86" t="s">
        <v>22</v>
      </c>
      <c r="F86" t="s">
        <v>13</v>
      </c>
      <c r="H86" s="4">
        <v>16</v>
      </c>
      <c r="I86" s="12" t="s">
        <v>14</v>
      </c>
    </row>
    <row r="87" spans="1:9" ht="27.6">
      <c r="A87" s="3" t="s">
        <v>243</v>
      </c>
      <c r="B87" t="s">
        <v>9</v>
      </c>
      <c r="C87" t="s">
        <v>241</v>
      </c>
      <c r="D87" t="s">
        <v>242</v>
      </c>
      <c r="E87" t="s">
        <v>22</v>
      </c>
      <c r="F87" t="s">
        <v>13</v>
      </c>
      <c r="H87" s="4">
        <v>6</v>
      </c>
      <c r="I87" s="12" t="s">
        <v>14</v>
      </c>
    </row>
    <row r="88" spans="1:9" ht="27.6">
      <c r="A88" s="3" t="s">
        <v>244</v>
      </c>
      <c r="B88" t="s">
        <v>9</v>
      </c>
      <c r="C88" t="s">
        <v>241</v>
      </c>
      <c r="D88" t="s">
        <v>242</v>
      </c>
      <c r="E88" t="s">
        <v>22</v>
      </c>
      <c r="F88" t="s">
        <v>13</v>
      </c>
      <c r="H88" s="4">
        <v>3</v>
      </c>
      <c r="I88" s="12" t="s">
        <v>14</v>
      </c>
    </row>
    <row r="89" spans="1:9" ht="27.6">
      <c r="A89" s="3" t="s">
        <v>245</v>
      </c>
      <c r="B89" t="s">
        <v>9</v>
      </c>
      <c r="C89" t="s">
        <v>241</v>
      </c>
      <c r="D89" t="s">
        <v>242</v>
      </c>
      <c r="E89" t="s">
        <v>22</v>
      </c>
      <c r="F89" t="s">
        <v>13</v>
      </c>
      <c r="H89" s="4">
        <v>4</v>
      </c>
      <c r="I89" s="12" t="s">
        <v>14</v>
      </c>
    </row>
    <row r="90" spans="1:9" ht="27.6">
      <c r="A90" s="3" t="s">
        <v>246</v>
      </c>
      <c r="B90" t="s">
        <v>9</v>
      </c>
      <c r="C90" t="s">
        <v>241</v>
      </c>
      <c r="D90" t="s">
        <v>242</v>
      </c>
      <c r="E90" t="s">
        <v>22</v>
      </c>
      <c r="F90" t="s">
        <v>13</v>
      </c>
      <c r="H90" s="4">
        <v>1</v>
      </c>
      <c r="I90" s="12" t="s">
        <v>14</v>
      </c>
    </row>
    <row r="91" spans="1:9" ht="27.6">
      <c r="A91" s="3" t="s">
        <v>247</v>
      </c>
      <c r="B91" t="s">
        <v>9</v>
      </c>
      <c r="C91" t="s">
        <v>241</v>
      </c>
      <c r="D91" t="s">
        <v>242</v>
      </c>
      <c r="E91" t="s">
        <v>22</v>
      </c>
      <c r="F91" t="s">
        <v>13</v>
      </c>
      <c r="H91" s="4">
        <v>4</v>
      </c>
      <c r="I91" s="12" t="s">
        <v>14</v>
      </c>
    </row>
    <row r="92" spans="1:9" ht="27.6">
      <c r="A92" s="3" t="s">
        <v>248</v>
      </c>
      <c r="B92" t="s">
        <v>9</v>
      </c>
      <c r="C92" t="s">
        <v>241</v>
      </c>
      <c r="D92" t="s">
        <v>242</v>
      </c>
      <c r="E92" t="s">
        <v>22</v>
      </c>
      <c r="F92" t="s">
        <v>13</v>
      </c>
      <c r="H92" s="4">
        <v>8</v>
      </c>
      <c r="I92" s="12" t="s">
        <v>14</v>
      </c>
    </row>
    <row r="93" spans="1:9" ht="27.6">
      <c r="A93" s="3" t="s">
        <v>249</v>
      </c>
      <c r="B93" t="s">
        <v>9</v>
      </c>
      <c r="C93" t="s">
        <v>241</v>
      </c>
      <c r="D93" t="s">
        <v>242</v>
      </c>
      <c r="E93" t="s">
        <v>22</v>
      </c>
      <c r="F93" t="s">
        <v>13</v>
      </c>
      <c r="H93" s="4">
        <v>1</v>
      </c>
      <c r="I93" s="12" t="s">
        <v>14</v>
      </c>
    </row>
    <row r="94" spans="1:9" ht="27.6">
      <c r="A94" s="3" t="s">
        <v>250</v>
      </c>
      <c r="B94" t="s">
        <v>9</v>
      </c>
      <c r="C94" t="s">
        <v>241</v>
      </c>
      <c r="D94" t="s">
        <v>242</v>
      </c>
      <c r="E94" t="s">
        <v>22</v>
      </c>
      <c r="F94" t="s">
        <v>13</v>
      </c>
      <c r="H94" s="4">
        <v>2</v>
      </c>
      <c r="I94" s="12" t="s">
        <v>14</v>
      </c>
    </row>
    <row r="95" spans="1:9" ht="27.6">
      <c r="A95" s="3" t="s">
        <v>251</v>
      </c>
      <c r="B95" t="s">
        <v>9</v>
      </c>
      <c r="C95" t="s">
        <v>241</v>
      </c>
      <c r="D95" t="s">
        <v>242</v>
      </c>
      <c r="E95" t="s">
        <v>22</v>
      </c>
      <c r="F95" t="s">
        <v>13</v>
      </c>
      <c r="H95" s="4">
        <v>2</v>
      </c>
      <c r="I95" s="12" t="s">
        <v>14</v>
      </c>
    </row>
    <row r="96" spans="1:9" ht="27.6">
      <c r="A96" s="3" t="s">
        <v>252</v>
      </c>
      <c r="B96" t="s">
        <v>9</v>
      </c>
      <c r="C96" t="s">
        <v>241</v>
      </c>
      <c r="D96" t="s">
        <v>242</v>
      </c>
      <c r="E96" t="s">
        <v>22</v>
      </c>
      <c r="F96" t="s">
        <v>13</v>
      </c>
      <c r="H96" s="4">
        <v>2</v>
      </c>
      <c r="I96" s="12" t="s">
        <v>14</v>
      </c>
    </row>
    <row r="97" spans="1:9" ht="27.6">
      <c r="A97" s="3" t="s">
        <v>253</v>
      </c>
      <c r="B97" t="s">
        <v>9</v>
      </c>
      <c r="C97" t="s">
        <v>84</v>
      </c>
      <c r="D97" t="s">
        <v>254</v>
      </c>
      <c r="E97" t="s">
        <v>18</v>
      </c>
      <c r="F97" t="s">
        <v>13</v>
      </c>
      <c r="H97" s="4">
        <v>1</v>
      </c>
      <c r="I97" s="12" t="s">
        <v>14</v>
      </c>
    </row>
    <row r="98" spans="1:9" ht="27.6">
      <c r="A98" s="3" t="s">
        <v>255</v>
      </c>
      <c r="B98" t="s">
        <v>9</v>
      </c>
      <c r="C98" t="s">
        <v>256</v>
      </c>
      <c r="D98" t="s">
        <v>257</v>
      </c>
      <c r="E98" t="s">
        <v>18</v>
      </c>
      <c r="F98" t="s">
        <v>13</v>
      </c>
      <c r="H98" s="4">
        <v>2</v>
      </c>
      <c r="I98" s="12" t="s">
        <v>14</v>
      </c>
    </row>
    <row r="99" spans="1:9" ht="27.6">
      <c r="A99" s="3" t="s">
        <v>258</v>
      </c>
      <c r="B99" t="s">
        <v>9</v>
      </c>
      <c r="C99" t="s">
        <v>259</v>
      </c>
      <c r="D99" t="s">
        <v>260</v>
      </c>
      <c r="E99" t="s">
        <v>22</v>
      </c>
      <c r="F99" t="s">
        <v>13</v>
      </c>
      <c r="H99" s="4">
        <v>2</v>
      </c>
      <c r="I99" s="12" t="s">
        <v>14</v>
      </c>
    </row>
    <row r="100" spans="1:9" ht="27.6">
      <c r="A100" s="3" t="s">
        <v>261</v>
      </c>
      <c r="B100" t="s">
        <v>9</v>
      </c>
      <c r="C100" t="s">
        <v>262</v>
      </c>
      <c r="D100" t="s">
        <v>263</v>
      </c>
      <c r="E100" t="s">
        <v>12</v>
      </c>
      <c r="F100" t="s">
        <v>13</v>
      </c>
      <c r="H100" s="4">
        <v>1</v>
      </c>
      <c r="I100" s="12" t="s">
        <v>14</v>
      </c>
    </row>
    <row r="101" spans="1:9" ht="27.6">
      <c r="A101" s="3" t="s">
        <v>264</v>
      </c>
      <c r="B101" t="s">
        <v>9</v>
      </c>
      <c r="C101" t="s">
        <v>187</v>
      </c>
      <c r="D101" t="s">
        <v>265</v>
      </c>
      <c r="E101" t="s">
        <v>22</v>
      </c>
      <c r="F101" t="s">
        <v>13</v>
      </c>
      <c r="H101" s="4">
        <v>1</v>
      </c>
      <c r="I101" s="12" t="s">
        <v>14</v>
      </c>
    </row>
    <row r="102" spans="1:9" ht="27.6">
      <c r="A102" s="3" t="s">
        <v>266</v>
      </c>
      <c r="B102" t="s">
        <v>9</v>
      </c>
      <c r="C102" t="s">
        <v>267</v>
      </c>
      <c r="D102" t="s">
        <v>268</v>
      </c>
      <c r="E102" t="s">
        <v>18</v>
      </c>
      <c r="F102" t="s">
        <v>13</v>
      </c>
      <c r="H102" s="4">
        <v>1</v>
      </c>
      <c r="I102" s="12" t="s">
        <v>14</v>
      </c>
    </row>
    <row r="103" spans="1:9" ht="27.6">
      <c r="A103" s="3" t="s">
        <v>269</v>
      </c>
      <c r="B103" t="s">
        <v>9</v>
      </c>
      <c r="C103" t="s">
        <v>121</v>
      </c>
      <c r="D103" t="s">
        <v>270</v>
      </c>
      <c r="E103" t="s">
        <v>22</v>
      </c>
      <c r="F103" t="s">
        <v>13</v>
      </c>
      <c r="H103" s="4">
        <v>12</v>
      </c>
      <c r="I103" s="12" t="s">
        <v>14</v>
      </c>
    </row>
    <row r="104" spans="1:9" ht="27.6">
      <c r="A104" s="3" t="s">
        <v>271</v>
      </c>
      <c r="B104" t="s">
        <v>9</v>
      </c>
      <c r="C104" t="s">
        <v>272</v>
      </c>
      <c r="D104" t="s">
        <v>273</v>
      </c>
      <c r="E104" t="s">
        <v>18</v>
      </c>
      <c r="F104" t="s">
        <v>13</v>
      </c>
      <c r="H104" s="4">
        <v>1</v>
      </c>
      <c r="I104" s="12" t="s">
        <v>14</v>
      </c>
    </row>
    <row r="105" spans="1:9" ht="27.6">
      <c r="A105" s="3" t="s">
        <v>274</v>
      </c>
      <c r="B105" t="s">
        <v>9</v>
      </c>
      <c r="C105" t="s">
        <v>262</v>
      </c>
      <c r="D105" t="s">
        <v>275</v>
      </c>
      <c r="E105" t="s">
        <v>18</v>
      </c>
      <c r="F105" t="s">
        <v>13</v>
      </c>
      <c r="H105" s="4">
        <v>2</v>
      </c>
      <c r="I105" s="12" t="s">
        <v>14</v>
      </c>
    </row>
    <row r="106" spans="1:9" ht="27.6">
      <c r="A106" s="3" t="s">
        <v>276</v>
      </c>
      <c r="B106" t="s">
        <v>9</v>
      </c>
      <c r="C106" t="s">
        <v>41</v>
      </c>
      <c r="D106" t="s">
        <v>277</v>
      </c>
      <c r="E106" t="s">
        <v>39</v>
      </c>
      <c r="F106" t="s">
        <v>13</v>
      </c>
      <c r="H106" s="4">
        <v>1</v>
      </c>
      <c r="I106" s="12" t="s">
        <v>14</v>
      </c>
    </row>
    <row r="107" spans="1:9" ht="27.6">
      <c r="A107" s="3" t="s">
        <v>278</v>
      </c>
      <c r="B107" t="s">
        <v>9</v>
      </c>
      <c r="C107" t="s">
        <v>84</v>
      </c>
      <c r="D107" t="s">
        <v>277</v>
      </c>
      <c r="E107" t="s">
        <v>39</v>
      </c>
      <c r="F107" t="s">
        <v>13</v>
      </c>
      <c r="H107" s="4">
        <v>1</v>
      </c>
      <c r="I107" s="12" t="s">
        <v>14</v>
      </c>
    </row>
    <row r="108" spans="1:9" ht="27.6">
      <c r="A108" s="3" t="s">
        <v>279</v>
      </c>
      <c r="B108" t="s">
        <v>9</v>
      </c>
      <c r="C108" t="s">
        <v>84</v>
      </c>
      <c r="D108" t="s">
        <v>277</v>
      </c>
      <c r="E108" t="s">
        <v>18</v>
      </c>
      <c r="F108" t="s">
        <v>13</v>
      </c>
      <c r="H108" s="4">
        <v>1</v>
      </c>
      <c r="I108" s="12" t="s">
        <v>14</v>
      </c>
    </row>
    <row r="109" spans="1:9" ht="27.6">
      <c r="A109" s="3" t="s">
        <v>280</v>
      </c>
      <c r="B109" t="s">
        <v>9</v>
      </c>
      <c r="C109" t="s">
        <v>281</v>
      </c>
      <c r="D109" t="s">
        <v>282</v>
      </c>
      <c r="E109" t="s">
        <v>18</v>
      </c>
      <c r="F109" t="s">
        <v>13</v>
      </c>
      <c r="H109" s="4">
        <v>1</v>
      </c>
      <c r="I109" s="12" t="s">
        <v>14</v>
      </c>
    </row>
    <row r="110" spans="1:9" ht="27.6">
      <c r="A110" s="3" t="s">
        <v>283</v>
      </c>
      <c r="B110" t="s">
        <v>9</v>
      </c>
      <c r="C110" t="s">
        <v>281</v>
      </c>
      <c r="D110" t="s">
        <v>284</v>
      </c>
      <c r="E110" t="s">
        <v>18</v>
      </c>
      <c r="F110" t="s">
        <v>13</v>
      </c>
      <c r="H110" s="4">
        <v>1</v>
      </c>
      <c r="I110" s="12" t="s">
        <v>14</v>
      </c>
    </row>
    <row r="111" spans="1:9" ht="27.6">
      <c r="A111" s="3" t="s">
        <v>285</v>
      </c>
      <c r="B111" t="s">
        <v>9</v>
      </c>
      <c r="C111" s="6" t="s">
        <v>262</v>
      </c>
      <c r="D111" s="6" t="s">
        <v>263</v>
      </c>
      <c r="E111" s="4" t="s">
        <v>18</v>
      </c>
      <c r="F111" t="s">
        <v>13</v>
      </c>
      <c r="H111" s="4">
        <v>1</v>
      </c>
      <c r="I111" s="12" t="s">
        <v>14</v>
      </c>
    </row>
    <row r="112" spans="1:9" ht="27.6">
      <c r="A112" s="3" t="s">
        <v>286</v>
      </c>
      <c r="B112" t="s">
        <v>9</v>
      </c>
      <c r="C112" s="6" t="s">
        <v>287</v>
      </c>
      <c r="D112" s="6" t="s">
        <v>288</v>
      </c>
      <c r="E112" s="5" t="s">
        <v>289</v>
      </c>
      <c r="F112" t="s">
        <v>13</v>
      </c>
      <c r="H112" s="4">
        <v>1</v>
      </c>
      <c r="I112" s="12" t="s">
        <v>14</v>
      </c>
    </row>
    <row r="113" spans="1:9" ht="27.6">
      <c r="A113" s="3" t="s">
        <v>290</v>
      </c>
      <c r="B113" t="s">
        <v>9</v>
      </c>
      <c r="C113" t="s">
        <v>291</v>
      </c>
      <c r="D113" t="s">
        <v>292</v>
      </c>
      <c r="E113" t="s">
        <v>293</v>
      </c>
      <c r="F113" t="s">
        <v>13</v>
      </c>
      <c r="H113" s="4">
        <v>2</v>
      </c>
      <c r="I113" s="12" t="s">
        <v>14</v>
      </c>
    </row>
    <row r="114" spans="1:9" ht="27.6">
      <c r="A114" s="3" t="s">
        <v>294</v>
      </c>
      <c r="B114" t="s">
        <v>9</v>
      </c>
      <c r="C114" t="s">
        <v>84</v>
      </c>
      <c r="D114" t="s">
        <v>295</v>
      </c>
      <c r="E114" t="s">
        <v>39</v>
      </c>
      <c r="F114" t="s">
        <v>13</v>
      </c>
      <c r="H114" s="4">
        <v>1</v>
      </c>
      <c r="I114" s="12" t="s">
        <v>14</v>
      </c>
    </row>
    <row r="115" spans="1:9" ht="27.6">
      <c r="A115" s="3" t="s">
        <v>296</v>
      </c>
      <c r="B115" t="s">
        <v>9</v>
      </c>
      <c r="C115" t="s">
        <v>41</v>
      </c>
      <c r="D115" t="s">
        <v>297</v>
      </c>
      <c r="E115" t="s">
        <v>39</v>
      </c>
      <c r="F115" t="s">
        <v>13</v>
      </c>
      <c r="H115" s="4">
        <v>1</v>
      </c>
      <c r="I115" s="12" t="s">
        <v>14</v>
      </c>
    </row>
    <row r="116" spans="1:9" ht="27.6">
      <c r="A116" s="3" t="s">
        <v>298</v>
      </c>
      <c r="B116" t="s">
        <v>9</v>
      </c>
      <c r="C116" t="s">
        <v>299</v>
      </c>
      <c r="D116" t="s">
        <v>300</v>
      </c>
      <c r="E116" t="s">
        <v>22</v>
      </c>
      <c r="F116" t="s">
        <v>13</v>
      </c>
      <c r="H116" s="4">
        <v>2</v>
      </c>
      <c r="I116" s="12" t="s">
        <v>14</v>
      </c>
    </row>
    <row r="117" spans="1:9" ht="27.6">
      <c r="A117" s="3" t="s">
        <v>301</v>
      </c>
      <c r="B117" t="s">
        <v>9</v>
      </c>
      <c r="C117" t="s">
        <v>179</v>
      </c>
      <c r="D117" t="s">
        <v>302</v>
      </c>
      <c r="E117" t="s">
        <v>18</v>
      </c>
      <c r="F117" t="s">
        <v>13</v>
      </c>
      <c r="H117" s="4">
        <v>1</v>
      </c>
      <c r="I117" s="12" t="s">
        <v>14</v>
      </c>
    </row>
    <row r="118" spans="1:9" ht="27.6">
      <c r="A118" s="3" t="s">
        <v>303</v>
      </c>
      <c r="B118" t="s">
        <v>9</v>
      </c>
      <c r="C118" t="s">
        <v>84</v>
      </c>
      <c r="D118" t="s">
        <v>304</v>
      </c>
      <c r="E118" t="s">
        <v>39</v>
      </c>
      <c r="F118" t="s">
        <v>13</v>
      </c>
      <c r="H118" s="4">
        <v>2</v>
      </c>
      <c r="I118" s="12" t="s">
        <v>14</v>
      </c>
    </row>
    <row r="119" spans="1:9" ht="27.6">
      <c r="A119" s="3" t="s">
        <v>305</v>
      </c>
      <c r="B119" t="s">
        <v>9</v>
      </c>
      <c r="C119" t="s">
        <v>306</v>
      </c>
      <c r="D119" t="s">
        <v>307</v>
      </c>
      <c r="E119" t="s">
        <v>308</v>
      </c>
      <c r="F119" t="s">
        <v>13</v>
      </c>
      <c r="H119" s="4">
        <v>1</v>
      </c>
      <c r="I119" s="12" t="s">
        <v>14</v>
      </c>
    </row>
    <row r="120" spans="1:9" ht="27.6">
      <c r="A120" s="3" t="s">
        <v>309</v>
      </c>
      <c r="B120" t="s">
        <v>9</v>
      </c>
      <c r="C120" t="s">
        <v>84</v>
      </c>
      <c r="D120" t="s">
        <v>310</v>
      </c>
      <c r="E120" t="s">
        <v>18</v>
      </c>
      <c r="F120" t="s">
        <v>13</v>
      </c>
      <c r="H120" s="4">
        <v>2</v>
      </c>
      <c r="I120" s="12" t="s">
        <v>14</v>
      </c>
    </row>
    <row r="121" spans="1:9" ht="27.6">
      <c r="A121" s="3" t="s">
        <v>311</v>
      </c>
      <c r="B121" t="s">
        <v>9</v>
      </c>
      <c r="C121" s="6" t="s">
        <v>312</v>
      </c>
      <c r="D121" s="6" t="s">
        <v>313</v>
      </c>
      <c r="E121" s="5" t="s">
        <v>18</v>
      </c>
      <c r="F121" t="s">
        <v>13</v>
      </c>
      <c r="H121" s="4">
        <v>1</v>
      </c>
      <c r="I121" s="12" t="s">
        <v>14</v>
      </c>
    </row>
    <row r="122" spans="1:9" ht="27.6">
      <c r="A122" s="3" t="s">
        <v>314</v>
      </c>
      <c r="B122" t="s">
        <v>9</v>
      </c>
      <c r="C122" s="6" t="s">
        <v>315</v>
      </c>
      <c r="D122" s="6" t="s">
        <v>316</v>
      </c>
      <c r="E122" s="5" t="s">
        <v>12</v>
      </c>
      <c r="F122" t="s">
        <v>13</v>
      </c>
      <c r="H122" s="4">
        <v>1</v>
      </c>
      <c r="I122" s="12" t="s">
        <v>14</v>
      </c>
    </row>
    <row r="123" spans="1:9" ht="27.6">
      <c r="A123" s="3" t="s">
        <v>317</v>
      </c>
      <c r="B123" t="s">
        <v>9</v>
      </c>
      <c r="C123" t="s">
        <v>318</v>
      </c>
      <c r="D123" t="s">
        <v>319</v>
      </c>
      <c r="E123" t="s">
        <v>308</v>
      </c>
      <c r="F123" t="s">
        <v>13</v>
      </c>
      <c r="H123" s="4">
        <v>1</v>
      </c>
      <c r="I123" s="12" t="s">
        <v>14</v>
      </c>
    </row>
    <row r="124" spans="1:9" ht="27.6">
      <c r="A124" s="3" t="s">
        <v>320</v>
      </c>
      <c r="B124" t="s">
        <v>9</v>
      </c>
      <c r="C124" t="s">
        <v>318</v>
      </c>
      <c r="D124" t="s">
        <v>321</v>
      </c>
      <c r="E124" t="s">
        <v>322</v>
      </c>
      <c r="F124" t="s">
        <v>13</v>
      </c>
      <c r="H124" s="4">
        <v>1</v>
      </c>
      <c r="I124" s="12" t="s">
        <v>14</v>
      </c>
    </row>
    <row r="125" spans="1:9" ht="27.6">
      <c r="A125" s="3" t="s">
        <v>323</v>
      </c>
      <c r="B125" t="s">
        <v>9</v>
      </c>
      <c r="C125" t="s">
        <v>318</v>
      </c>
      <c r="D125" t="s">
        <v>321</v>
      </c>
      <c r="E125" t="s">
        <v>322</v>
      </c>
      <c r="F125" t="s">
        <v>13</v>
      </c>
      <c r="H125" s="4">
        <v>1</v>
      </c>
      <c r="I125" s="12" t="s">
        <v>14</v>
      </c>
    </row>
    <row r="126" spans="1:9" ht="27.6">
      <c r="A126" s="3" t="s">
        <v>324</v>
      </c>
      <c r="B126" t="s">
        <v>9</v>
      </c>
      <c r="C126" t="s">
        <v>325</v>
      </c>
      <c r="D126" t="s">
        <v>326</v>
      </c>
      <c r="E126" t="s">
        <v>39</v>
      </c>
      <c r="F126" t="s">
        <v>13</v>
      </c>
      <c r="H126" s="4">
        <v>1</v>
      </c>
      <c r="I126" s="12" t="s">
        <v>14</v>
      </c>
    </row>
    <row r="127" spans="1:9" ht="27.6">
      <c r="A127" s="3" t="s">
        <v>327</v>
      </c>
      <c r="B127" t="s">
        <v>9</v>
      </c>
      <c r="C127" t="s">
        <v>328</v>
      </c>
      <c r="D127" t="s">
        <v>329</v>
      </c>
      <c r="E127" t="s">
        <v>39</v>
      </c>
      <c r="F127" t="s">
        <v>13</v>
      </c>
      <c r="H127" s="4">
        <v>1</v>
      </c>
      <c r="I127" s="12" t="s">
        <v>14</v>
      </c>
    </row>
    <row r="128" spans="1:9" ht="27.6">
      <c r="A128" s="3" t="s">
        <v>330</v>
      </c>
      <c r="B128" t="s">
        <v>9</v>
      </c>
      <c r="C128" s="6" t="s">
        <v>10</v>
      </c>
      <c r="D128" s="6" t="s">
        <v>331</v>
      </c>
      <c r="E128" s="5" t="s">
        <v>308</v>
      </c>
      <c r="F128" t="s">
        <v>13</v>
      </c>
      <c r="H128" s="4">
        <v>1</v>
      </c>
      <c r="I128" s="12" t="s">
        <v>14</v>
      </c>
    </row>
    <row r="129" spans="1:9" ht="27.6">
      <c r="A129" s="3" t="s">
        <v>332</v>
      </c>
      <c r="B129" t="s">
        <v>9</v>
      </c>
      <c r="C129" s="6" t="s">
        <v>10</v>
      </c>
      <c r="D129" s="6" t="s">
        <v>331</v>
      </c>
      <c r="E129" s="5" t="s">
        <v>308</v>
      </c>
      <c r="F129" t="s">
        <v>13</v>
      </c>
      <c r="H129" s="4">
        <v>1</v>
      </c>
      <c r="I129" s="12" t="s">
        <v>14</v>
      </c>
    </row>
    <row r="130" spans="1:9" ht="27.6">
      <c r="A130" s="3" t="s">
        <v>333</v>
      </c>
      <c r="B130" t="s">
        <v>9</v>
      </c>
      <c r="C130" t="s">
        <v>10</v>
      </c>
      <c r="D130" t="s">
        <v>334</v>
      </c>
      <c r="E130" t="s">
        <v>308</v>
      </c>
      <c r="F130" t="s">
        <v>13</v>
      </c>
      <c r="H130" s="4">
        <v>1</v>
      </c>
      <c r="I130" s="12" t="s">
        <v>14</v>
      </c>
    </row>
    <row r="131" spans="1:9" ht="27.6">
      <c r="A131" s="3" t="s">
        <v>335</v>
      </c>
      <c r="B131" t="s">
        <v>9</v>
      </c>
      <c r="C131" t="s">
        <v>10</v>
      </c>
      <c r="D131" t="s">
        <v>336</v>
      </c>
      <c r="E131" t="s">
        <v>308</v>
      </c>
      <c r="F131" t="s">
        <v>13</v>
      </c>
      <c r="H131" s="4">
        <v>1</v>
      </c>
      <c r="I131" s="12" t="s">
        <v>14</v>
      </c>
    </row>
    <row r="132" spans="1:9" ht="27.6">
      <c r="A132" s="3" t="s">
        <v>337</v>
      </c>
      <c r="B132" t="s">
        <v>9</v>
      </c>
      <c r="C132" t="s">
        <v>338</v>
      </c>
      <c r="D132" t="s">
        <v>339</v>
      </c>
      <c r="E132" t="s">
        <v>308</v>
      </c>
      <c r="F132" t="s">
        <v>13</v>
      </c>
      <c r="H132" s="4">
        <v>1</v>
      </c>
      <c r="I132" s="12" t="s">
        <v>14</v>
      </c>
    </row>
    <row r="133" spans="1:9" ht="27.6">
      <c r="A133" s="3" t="s">
        <v>340</v>
      </c>
      <c r="B133" t="s">
        <v>9</v>
      </c>
      <c r="C133" t="s">
        <v>338</v>
      </c>
      <c r="D133" t="s">
        <v>339</v>
      </c>
      <c r="E133" t="s">
        <v>308</v>
      </c>
      <c r="F133" t="s">
        <v>13</v>
      </c>
      <c r="H133" s="4">
        <v>1</v>
      </c>
      <c r="I133" s="12" t="s">
        <v>14</v>
      </c>
    </row>
    <row r="134" spans="1:9" ht="27.6">
      <c r="A134" s="3" t="s">
        <v>341</v>
      </c>
      <c r="B134" t="s">
        <v>9</v>
      </c>
      <c r="C134" t="s">
        <v>342</v>
      </c>
      <c r="D134" t="s">
        <v>343</v>
      </c>
      <c r="E134" t="s">
        <v>308</v>
      </c>
      <c r="F134" t="s">
        <v>13</v>
      </c>
      <c r="H134" s="4">
        <v>1</v>
      </c>
      <c r="I134" s="12" t="s">
        <v>14</v>
      </c>
    </row>
    <row r="135" spans="1:9" ht="27.6">
      <c r="A135" s="3" t="s">
        <v>344</v>
      </c>
      <c r="B135" t="s">
        <v>9</v>
      </c>
      <c r="C135" t="s">
        <v>345</v>
      </c>
      <c r="D135" t="s">
        <v>346</v>
      </c>
      <c r="E135" t="s">
        <v>308</v>
      </c>
      <c r="F135" t="s">
        <v>13</v>
      </c>
      <c r="H135" s="4">
        <v>1</v>
      </c>
      <c r="I135" s="12" t="s">
        <v>14</v>
      </c>
    </row>
    <row r="136" spans="1:9" ht="27.6">
      <c r="A136" s="3" t="s">
        <v>347</v>
      </c>
      <c r="B136" t="s">
        <v>9</v>
      </c>
      <c r="C136" t="s">
        <v>348</v>
      </c>
      <c r="D136" t="s">
        <v>349</v>
      </c>
      <c r="E136" t="s">
        <v>308</v>
      </c>
      <c r="F136" t="s">
        <v>13</v>
      </c>
      <c r="H136" s="4">
        <v>1</v>
      </c>
      <c r="I136" s="12" t="s">
        <v>14</v>
      </c>
    </row>
    <row r="137" spans="1:9" ht="27.6">
      <c r="A137" s="3" t="s">
        <v>350</v>
      </c>
      <c r="B137" t="s">
        <v>9</v>
      </c>
      <c r="C137" t="s">
        <v>351</v>
      </c>
      <c r="D137" t="s">
        <v>352</v>
      </c>
      <c r="E137" t="s">
        <v>12</v>
      </c>
      <c r="F137" t="s">
        <v>13</v>
      </c>
      <c r="H137" s="4">
        <v>1</v>
      </c>
      <c r="I137" s="12" t="s">
        <v>14</v>
      </c>
    </row>
    <row r="138" spans="1:9" ht="27.6">
      <c r="A138" s="3" t="s">
        <v>353</v>
      </c>
      <c r="B138" t="s">
        <v>9</v>
      </c>
      <c r="C138" t="s">
        <v>84</v>
      </c>
      <c r="D138" t="s">
        <v>354</v>
      </c>
      <c r="E138" t="s">
        <v>18</v>
      </c>
      <c r="F138" t="s">
        <v>13</v>
      </c>
      <c r="H138" s="4">
        <v>2</v>
      </c>
      <c r="I138" s="12" t="s">
        <v>14</v>
      </c>
    </row>
    <row r="139" spans="1:9" ht="27.6">
      <c r="A139" s="3" t="s">
        <v>355</v>
      </c>
      <c r="B139" t="s">
        <v>9</v>
      </c>
      <c r="C139" t="s">
        <v>356</v>
      </c>
      <c r="D139" t="s">
        <v>357</v>
      </c>
      <c r="E139" t="s">
        <v>308</v>
      </c>
      <c r="F139" t="s">
        <v>13</v>
      </c>
      <c r="H139" s="4">
        <v>1</v>
      </c>
      <c r="I139" s="12" t="s">
        <v>14</v>
      </c>
    </row>
    <row r="140" spans="1:9" ht="27.6">
      <c r="A140" s="3" t="s">
        <v>358</v>
      </c>
      <c r="B140" t="s">
        <v>9</v>
      </c>
      <c r="C140" t="s">
        <v>356</v>
      </c>
      <c r="D140" t="s">
        <v>357</v>
      </c>
      <c r="E140" t="s">
        <v>308</v>
      </c>
      <c r="F140" t="s">
        <v>13</v>
      </c>
      <c r="H140" s="4">
        <v>1</v>
      </c>
      <c r="I140" s="12" t="s">
        <v>14</v>
      </c>
    </row>
    <row r="141" spans="1:9" ht="27.6">
      <c r="A141" s="3" t="s">
        <v>359</v>
      </c>
      <c r="B141" t="s">
        <v>9</v>
      </c>
      <c r="C141" t="s">
        <v>360</v>
      </c>
      <c r="D141" t="s">
        <v>361</v>
      </c>
      <c r="E141" t="s">
        <v>12</v>
      </c>
      <c r="F141" t="s">
        <v>13</v>
      </c>
      <c r="H141" s="4">
        <v>1</v>
      </c>
      <c r="I141" s="12" t="s">
        <v>14</v>
      </c>
    </row>
    <row r="142" spans="1:9" ht="27.6">
      <c r="A142" s="3" t="s">
        <v>362</v>
      </c>
      <c r="B142" t="s">
        <v>9</v>
      </c>
      <c r="C142" t="s">
        <v>363</v>
      </c>
      <c r="D142" t="s">
        <v>364</v>
      </c>
      <c r="E142" t="s">
        <v>308</v>
      </c>
      <c r="F142" t="s">
        <v>13</v>
      </c>
      <c r="H142" s="4">
        <v>1</v>
      </c>
      <c r="I142" s="12" t="s">
        <v>14</v>
      </c>
    </row>
    <row r="143" spans="1:9" ht="27.6">
      <c r="A143" s="3" t="s">
        <v>365</v>
      </c>
      <c r="B143" t="s">
        <v>9</v>
      </c>
      <c r="C143" t="s">
        <v>366</v>
      </c>
      <c r="D143" t="s">
        <v>367</v>
      </c>
      <c r="E143" t="s">
        <v>12</v>
      </c>
      <c r="F143" t="s">
        <v>13</v>
      </c>
      <c r="H143" s="4">
        <v>1</v>
      </c>
      <c r="I143" s="12" t="s">
        <v>14</v>
      </c>
    </row>
    <row r="144" spans="1:9" ht="27.6">
      <c r="A144" s="3" t="s">
        <v>368</v>
      </c>
      <c r="B144" t="s">
        <v>9</v>
      </c>
      <c r="C144" t="s">
        <v>366</v>
      </c>
      <c r="D144" t="s">
        <v>369</v>
      </c>
      <c r="E144" t="s">
        <v>12</v>
      </c>
      <c r="F144" t="s">
        <v>13</v>
      </c>
      <c r="H144" s="4">
        <v>1</v>
      </c>
      <c r="I144" s="12" t="s">
        <v>14</v>
      </c>
    </row>
    <row r="145" spans="1:9" ht="27.6">
      <c r="A145" s="3" t="s">
        <v>370</v>
      </c>
      <c r="B145" t="s">
        <v>9</v>
      </c>
      <c r="C145" t="s">
        <v>371</v>
      </c>
      <c r="D145" t="s">
        <v>372</v>
      </c>
      <c r="E145" t="s">
        <v>18</v>
      </c>
      <c r="F145" t="s">
        <v>13</v>
      </c>
      <c r="H145" s="4">
        <v>1</v>
      </c>
      <c r="I145" s="12" t="s">
        <v>14</v>
      </c>
    </row>
    <row r="146" spans="1:9" ht="27.6">
      <c r="A146" s="3" t="s">
        <v>373</v>
      </c>
      <c r="B146" t="s">
        <v>9</v>
      </c>
      <c r="C146" t="s">
        <v>371</v>
      </c>
      <c r="D146" t="s">
        <v>374</v>
      </c>
      <c r="E146" t="s">
        <v>18</v>
      </c>
      <c r="F146" t="s">
        <v>13</v>
      </c>
      <c r="H146" s="4">
        <v>1</v>
      </c>
      <c r="I146" s="12" t="s">
        <v>14</v>
      </c>
    </row>
    <row r="147" spans="1:9" ht="27.6">
      <c r="A147" s="3" t="s">
        <v>375</v>
      </c>
      <c r="B147" t="s">
        <v>9</v>
      </c>
      <c r="C147" t="s">
        <v>174</v>
      </c>
      <c r="D147" t="s">
        <v>376</v>
      </c>
      <c r="E147" t="s">
        <v>18</v>
      </c>
      <c r="F147" t="s">
        <v>13</v>
      </c>
      <c r="H147" s="4">
        <v>2</v>
      </c>
      <c r="I147" s="12" t="s">
        <v>14</v>
      </c>
    </row>
    <row r="148" spans="1:9" ht="27.6">
      <c r="A148" s="3" t="s">
        <v>377</v>
      </c>
      <c r="B148" t="s">
        <v>9</v>
      </c>
      <c r="C148" t="s">
        <v>84</v>
      </c>
      <c r="D148" t="s">
        <v>378</v>
      </c>
      <c r="E148" t="s">
        <v>39</v>
      </c>
      <c r="F148" t="s">
        <v>13</v>
      </c>
      <c r="H148" s="4">
        <v>2</v>
      </c>
      <c r="I148" s="12" t="s">
        <v>14</v>
      </c>
    </row>
    <row r="149" spans="1:9" ht="27.6">
      <c r="A149" s="3" t="s">
        <v>379</v>
      </c>
      <c r="B149" t="s">
        <v>9</v>
      </c>
      <c r="C149" t="s">
        <v>84</v>
      </c>
      <c r="D149" t="s">
        <v>380</v>
      </c>
      <c r="E149" t="s">
        <v>39</v>
      </c>
      <c r="F149" t="s">
        <v>13</v>
      </c>
      <c r="H149" s="4">
        <v>1</v>
      </c>
      <c r="I149" s="12" t="s">
        <v>14</v>
      </c>
    </row>
    <row r="150" spans="1:9" ht="27.6">
      <c r="A150" s="3" t="s">
        <v>381</v>
      </c>
      <c r="B150" t="s">
        <v>9</v>
      </c>
      <c r="C150" t="s">
        <v>382</v>
      </c>
      <c r="D150" t="s">
        <v>383</v>
      </c>
      <c r="E150" t="s">
        <v>18</v>
      </c>
      <c r="F150" t="s">
        <v>13</v>
      </c>
      <c r="H150" s="4">
        <v>4</v>
      </c>
      <c r="I150" s="12" t="s">
        <v>14</v>
      </c>
    </row>
    <row r="151" spans="1:9" ht="27.6">
      <c r="A151" s="3" t="s">
        <v>384</v>
      </c>
      <c r="B151" t="s">
        <v>9</v>
      </c>
      <c r="C151" t="s">
        <v>385</v>
      </c>
      <c r="D151" t="s">
        <v>386</v>
      </c>
      <c r="E151" t="s">
        <v>22</v>
      </c>
      <c r="F151" t="s">
        <v>13</v>
      </c>
      <c r="H151" s="4">
        <v>4</v>
      </c>
      <c r="I151" s="12" t="s">
        <v>14</v>
      </c>
    </row>
    <row r="152" spans="1:9" ht="27.6">
      <c r="A152" s="3" t="s">
        <v>387</v>
      </c>
      <c r="B152" t="s">
        <v>9</v>
      </c>
      <c r="C152" t="s">
        <v>388</v>
      </c>
      <c r="D152" t="s">
        <v>389</v>
      </c>
      <c r="E152" t="s">
        <v>39</v>
      </c>
      <c r="F152" t="s">
        <v>13</v>
      </c>
      <c r="H152" s="4">
        <v>1</v>
      </c>
      <c r="I152" s="12" t="s">
        <v>14</v>
      </c>
    </row>
    <row r="153" spans="1:9" ht="27.6">
      <c r="A153" s="3" t="s">
        <v>390</v>
      </c>
      <c r="B153" t="s">
        <v>9</v>
      </c>
      <c r="C153" t="s">
        <v>388</v>
      </c>
      <c r="D153" t="s">
        <v>389</v>
      </c>
      <c r="E153" t="s">
        <v>39</v>
      </c>
      <c r="F153" t="s">
        <v>13</v>
      </c>
      <c r="H153" s="4">
        <v>1</v>
      </c>
      <c r="I153" s="12" t="s">
        <v>14</v>
      </c>
    </row>
    <row r="154" spans="1:9" ht="27.6">
      <c r="A154" s="3" t="s">
        <v>391</v>
      </c>
      <c r="B154" t="s">
        <v>9</v>
      </c>
      <c r="C154" t="s">
        <v>161</v>
      </c>
      <c r="D154" t="s">
        <v>392</v>
      </c>
      <c r="E154" t="s">
        <v>12</v>
      </c>
      <c r="F154" t="s">
        <v>13</v>
      </c>
      <c r="H154" s="4">
        <v>2</v>
      </c>
      <c r="I154" s="12" t="s">
        <v>14</v>
      </c>
    </row>
    <row r="155" spans="1:9" ht="27.6">
      <c r="A155" s="3" t="s">
        <v>393</v>
      </c>
      <c r="B155" t="s">
        <v>9</v>
      </c>
      <c r="C155" t="s">
        <v>394</v>
      </c>
      <c r="D155" t="s">
        <v>395</v>
      </c>
      <c r="E155" t="s">
        <v>39</v>
      </c>
      <c r="F155" t="s">
        <v>13</v>
      </c>
      <c r="H155" s="4">
        <v>2</v>
      </c>
      <c r="I155" s="12" t="s">
        <v>14</v>
      </c>
    </row>
    <row r="156" spans="1:9" ht="27.6">
      <c r="A156" s="3" t="s">
        <v>396</v>
      </c>
      <c r="B156" t="s">
        <v>9</v>
      </c>
      <c r="C156" t="s">
        <v>397</v>
      </c>
      <c r="D156" t="s">
        <v>398</v>
      </c>
      <c r="E156" t="s">
        <v>39</v>
      </c>
      <c r="F156" t="s">
        <v>13</v>
      </c>
      <c r="H156" s="4">
        <v>1</v>
      </c>
      <c r="I156" s="12" t="s">
        <v>14</v>
      </c>
    </row>
    <row r="157" spans="1:9" ht="27.6">
      <c r="A157" s="3" t="s">
        <v>399</v>
      </c>
      <c r="B157" t="s">
        <v>9</v>
      </c>
      <c r="C157" t="s">
        <v>41</v>
      </c>
      <c r="D157" t="s">
        <v>400</v>
      </c>
      <c r="E157" t="s">
        <v>39</v>
      </c>
      <c r="F157" t="s">
        <v>13</v>
      </c>
      <c r="H157" s="4">
        <v>1</v>
      </c>
      <c r="I157" s="12" t="s">
        <v>14</v>
      </c>
    </row>
    <row r="158" spans="1:9" ht="27.6">
      <c r="A158" s="3" t="s">
        <v>401</v>
      </c>
      <c r="B158" t="s">
        <v>9</v>
      </c>
      <c r="C158" t="s">
        <v>402</v>
      </c>
      <c r="D158" t="s">
        <v>403</v>
      </c>
      <c r="E158" t="s">
        <v>18</v>
      </c>
      <c r="F158" t="s">
        <v>13</v>
      </c>
      <c r="H158" s="4">
        <v>1</v>
      </c>
      <c r="I158" s="12" t="s">
        <v>14</v>
      </c>
    </row>
    <row r="159" spans="1:9" ht="27.6">
      <c r="A159" s="3" t="s">
        <v>404</v>
      </c>
      <c r="B159" t="s">
        <v>9</v>
      </c>
      <c r="C159" t="s">
        <v>84</v>
      </c>
      <c r="D159" t="s">
        <v>405</v>
      </c>
      <c r="E159" t="s">
        <v>12</v>
      </c>
      <c r="F159" t="s">
        <v>13</v>
      </c>
      <c r="H159" s="4">
        <v>1</v>
      </c>
      <c r="I159" s="12" t="s">
        <v>14</v>
      </c>
    </row>
    <row r="160" spans="1:9" ht="27.6">
      <c r="A160" s="3" t="s">
        <v>406</v>
      </c>
      <c r="B160" t="s">
        <v>9</v>
      </c>
      <c r="C160" t="s">
        <v>84</v>
      </c>
      <c r="D160" t="s">
        <v>407</v>
      </c>
      <c r="E160" t="s">
        <v>18</v>
      </c>
      <c r="F160" t="s">
        <v>13</v>
      </c>
      <c r="H160" s="4">
        <v>1</v>
      </c>
      <c r="I160" s="12" t="s">
        <v>14</v>
      </c>
    </row>
    <row r="161" spans="1:9" ht="27.6">
      <c r="A161" s="3" t="s">
        <v>408</v>
      </c>
      <c r="B161" t="s">
        <v>9</v>
      </c>
      <c r="C161" t="s">
        <v>409</v>
      </c>
      <c r="D161" t="s">
        <v>410</v>
      </c>
      <c r="E161" t="s">
        <v>22</v>
      </c>
      <c r="F161" t="s">
        <v>13</v>
      </c>
      <c r="H161" s="4">
        <v>1</v>
      </c>
      <c r="I161" s="12" t="s">
        <v>14</v>
      </c>
    </row>
    <row r="162" spans="1:9" ht="27.6">
      <c r="A162" s="3" t="s">
        <v>411</v>
      </c>
      <c r="B162" t="s">
        <v>9</v>
      </c>
      <c r="C162" t="s">
        <v>41</v>
      </c>
      <c r="D162" t="s">
        <v>405</v>
      </c>
      <c r="E162" t="s">
        <v>12</v>
      </c>
      <c r="F162" t="s">
        <v>13</v>
      </c>
      <c r="H162" s="4">
        <v>1</v>
      </c>
      <c r="I162" s="12" t="s">
        <v>14</v>
      </c>
    </row>
    <row r="163" spans="1:9" ht="27.6">
      <c r="A163" s="3" t="s">
        <v>412</v>
      </c>
      <c r="B163" t="s">
        <v>9</v>
      </c>
      <c r="C163" t="s">
        <v>413</v>
      </c>
      <c r="D163" t="s">
        <v>414</v>
      </c>
      <c r="E163" t="s">
        <v>39</v>
      </c>
      <c r="F163" t="s">
        <v>13</v>
      </c>
      <c r="H163" s="4">
        <v>1</v>
      </c>
      <c r="I163" s="12" t="s">
        <v>14</v>
      </c>
    </row>
    <row r="164" spans="1:9" ht="27.6">
      <c r="A164" s="3" t="s">
        <v>415</v>
      </c>
      <c r="B164" t="s">
        <v>9</v>
      </c>
      <c r="C164" t="s">
        <v>416</v>
      </c>
      <c r="D164" t="s">
        <v>417</v>
      </c>
      <c r="E164" t="s">
        <v>12</v>
      </c>
      <c r="F164" t="s">
        <v>13</v>
      </c>
      <c r="H164" s="4">
        <v>1</v>
      </c>
      <c r="I164" s="12" t="s">
        <v>14</v>
      </c>
    </row>
    <row r="165" spans="1:9" ht="27.6">
      <c r="A165" s="3" t="s">
        <v>418</v>
      </c>
      <c r="B165" t="s">
        <v>9</v>
      </c>
      <c r="C165" t="s">
        <v>419</v>
      </c>
      <c r="D165" t="s">
        <v>420</v>
      </c>
      <c r="E165" t="s">
        <v>308</v>
      </c>
      <c r="F165" t="s">
        <v>13</v>
      </c>
      <c r="H165" s="4">
        <v>1</v>
      </c>
      <c r="I165" s="12" t="s">
        <v>14</v>
      </c>
    </row>
    <row r="166" spans="1:9" ht="27.6">
      <c r="A166" s="3" t="s">
        <v>421</v>
      </c>
      <c r="B166" t="s">
        <v>9</v>
      </c>
      <c r="C166" t="s">
        <v>419</v>
      </c>
      <c r="D166" t="s">
        <v>422</v>
      </c>
      <c r="E166" t="s">
        <v>308</v>
      </c>
      <c r="F166" t="s">
        <v>13</v>
      </c>
      <c r="H166" s="4">
        <v>1</v>
      </c>
      <c r="I166" s="12" t="s">
        <v>14</v>
      </c>
    </row>
    <row r="167" spans="1:9" ht="27.6">
      <c r="A167" s="3" t="s">
        <v>423</v>
      </c>
      <c r="B167" t="s">
        <v>9</v>
      </c>
      <c r="C167" t="s">
        <v>84</v>
      </c>
      <c r="D167" t="s">
        <v>424</v>
      </c>
      <c r="E167" t="s">
        <v>39</v>
      </c>
      <c r="F167" t="s">
        <v>13</v>
      </c>
      <c r="H167" s="4">
        <v>2</v>
      </c>
      <c r="I167" s="12" t="s">
        <v>14</v>
      </c>
    </row>
    <row r="168" spans="1:9" ht="27.6">
      <c r="A168" s="3" t="s">
        <v>425</v>
      </c>
      <c r="B168" t="s">
        <v>9</v>
      </c>
      <c r="C168" t="s">
        <v>426</v>
      </c>
      <c r="D168" t="s">
        <v>427</v>
      </c>
      <c r="E168" t="s">
        <v>12</v>
      </c>
      <c r="F168" t="s">
        <v>13</v>
      </c>
      <c r="H168" s="4">
        <v>1</v>
      </c>
      <c r="I168" s="12" t="s">
        <v>14</v>
      </c>
    </row>
    <row r="169" spans="1:9" ht="27.6">
      <c r="A169" s="3" t="s">
        <v>428</v>
      </c>
      <c r="B169" t="s">
        <v>9</v>
      </c>
      <c r="C169" t="s">
        <v>426</v>
      </c>
      <c r="D169" t="s">
        <v>427</v>
      </c>
      <c r="E169" t="s">
        <v>12</v>
      </c>
      <c r="F169" t="s">
        <v>13</v>
      </c>
      <c r="H169" s="4">
        <v>1</v>
      </c>
      <c r="I169" s="12" t="s">
        <v>14</v>
      </c>
    </row>
    <row r="170" spans="1:9" ht="27.6">
      <c r="A170" s="3" t="s">
        <v>429</v>
      </c>
      <c r="B170" t="s">
        <v>9</v>
      </c>
      <c r="C170" t="s">
        <v>430</v>
      </c>
      <c r="D170" t="s">
        <v>431</v>
      </c>
      <c r="E170" t="s">
        <v>18</v>
      </c>
      <c r="F170" t="s">
        <v>13</v>
      </c>
      <c r="H170" s="4">
        <v>1</v>
      </c>
      <c r="I170" s="12" t="s">
        <v>14</v>
      </c>
    </row>
    <row r="171" spans="1:9" ht="27.6">
      <c r="A171" s="3" t="s">
        <v>432</v>
      </c>
      <c r="B171" t="s">
        <v>9</v>
      </c>
      <c r="C171" t="s">
        <v>433</v>
      </c>
      <c r="D171" t="s">
        <v>433</v>
      </c>
      <c r="E171" t="s">
        <v>12</v>
      </c>
      <c r="F171" t="s">
        <v>13</v>
      </c>
      <c r="H171" s="4">
        <v>2</v>
      </c>
      <c r="I171" s="12" t="s">
        <v>14</v>
      </c>
    </row>
    <row r="172" spans="1:9" ht="27.6">
      <c r="A172" s="3" t="s">
        <v>434</v>
      </c>
      <c r="B172" t="s">
        <v>9</v>
      </c>
      <c r="C172" t="s">
        <v>435</v>
      </c>
      <c r="D172" t="s">
        <v>436</v>
      </c>
      <c r="E172" t="s">
        <v>308</v>
      </c>
      <c r="F172" t="s">
        <v>13</v>
      </c>
      <c r="H172" s="4">
        <v>1</v>
      </c>
      <c r="I172" s="12" t="s">
        <v>14</v>
      </c>
    </row>
    <row r="173" spans="1:9" ht="27.6">
      <c r="A173" s="3" t="s">
        <v>437</v>
      </c>
      <c r="B173" t="s">
        <v>9</v>
      </c>
      <c r="C173" t="s">
        <v>438</v>
      </c>
      <c r="D173" t="s">
        <v>439</v>
      </c>
      <c r="E173" t="s">
        <v>18</v>
      </c>
      <c r="F173" t="s">
        <v>13</v>
      </c>
      <c r="H173" s="4">
        <v>1</v>
      </c>
      <c r="I173" s="12" t="s">
        <v>14</v>
      </c>
    </row>
    <row r="174" spans="1:9" ht="27.6">
      <c r="A174" s="3" t="s">
        <v>440</v>
      </c>
      <c r="B174" t="s">
        <v>9</v>
      </c>
      <c r="C174" t="s">
        <v>441</v>
      </c>
      <c r="D174" t="s">
        <v>442</v>
      </c>
      <c r="E174" t="s">
        <v>18</v>
      </c>
      <c r="F174" t="s">
        <v>13</v>
      </c>
      <c r="H174" s="4">
        <v>1</v>
      </c>
      <c r="I174" s="12" t="s">
        <v>14</v>
      </c>
    </row>
    <row r="175" spans="1:9" ht="27.6">
      <c r="A175" s="3" t="s">
        <v>443</v>
      </c>
      <c r="B175" t="s">
        <v>9</v>
      </c>
      <c r="C175" t="s">
        <v>444</v>
      </c>
      <c r="D175" t="s">
        <v>445</v>
      </c>
      <c r="E175" t="s">
        <v>12</v>
      </c>
      <c r="F175" t="s">
        <v>13</v>
      </c>
      <c r="H175" s="4">
        <v>1</v>
      </c>
      <c r="I175" s="12" t="s">
        <v>14</v>
      </c>
    </row>
    <row r="176" spans="1:9" ht="27.6">
      <c r="A176" s="3" t="s">
        <v>446</v>
      </c>
      <c r="B176" t="s">
        <v>9</v>
      </c>
      <c r="C176" t="s">
        <v>24</v>
      </c>
      <c r="D176" t="s">
        <v>447</v>
      </c>
      <c r="E176" t="s">
        <v>12</v>
      </c>
      <c r="F176" t="s">
        <v>13</v>
      </c>
      <c r="H176" s="4">
        <v>1</v>
      </c>
      <c r="I176" s="12" t="s">
        <v>14</v>
      </c>
    </row>
    <row r="177" spans="1:9" ht="27.6">
      <c r="A177" s="3" t="s">
        <v>448</v>
      </c>
      <c r="B177" t="s">
        <v>9</v>
      </c>
      <c r="C177" t="s">
        <v>449</v>
      </c>
      <c r="D177" t="s">
        <v>450</v>
      </c>
      <c r="E177" t="s">
        <v>22</v>
      </c>
      <c r="F177" t="s">
        <v>13</v>
      </c>
      <c r="H177" s="4">
        <v>1</v>
      </c>
      <c r="I177" s="12" t="s">
        <v>14</v>
      </c>
    </row>
    <row r="178" spans="1:9" ht="27.6">
      <c r="A178" s="3" t="s">
        <v>451</v>
      </c>
      <c r="B178" t="s">
        <v>9</v>
      </c>
      <c r="C178" t="s">
        <v>452</v>
      </c>
      <c r="D178" t="s">
        <v>453</v>
      </c>
      <c r="E178" t="s">
        <v>22</v>
      </c>
      <c r="F178" t="s">
        <v>13</v>
      </c>
      <c r="H178" s="4">
        <v>6</v>
      </c>
      <c r="I178" s="12" t="s">
        <v>14</v>
      </c>
    </row>
    <row r="179" spans="1:9" ht="27.6">
      <c r="A179" s="3" t="s">
        <v>454</v>
      </c>
      <c r="B179" t="s">
        <v>9</v>
      </c>
      <c r="C179" t="s">
        <v>455</v>
      </c>
      <c r="D179" t="s">
        <v>456</v>
      </c>
      <c r="E179" t="s">
        <v>12</v>
      </c>
      <c r="F179" t="s">
        <v>13</v>
      </c>
      <c r="H179" s="4">
        <v>1</v>
      </c>
      <c r="I179" s="12" t="s">
        <v>14</v>
      </c>
    </row>
    <row r="180" spans="1:9" ht="27.6">
      <c r="A180" s="3" t="s">
        <v>457</v>
      </c>
      <c r="B180" t="s">
        <v>9</v>
      </c>
      <c r="C180" t="s">
        <v>21</v>
      </c>
      <c r="D180" t="s">
        <v>21</v>
      </c>
      <c r="E180" t="s">
        <v>12</v>
      </c>
      <c r="F180" t="s">
        <v>13</v>
      </c>
      <c r="H180" s="4">
        <v>1</v>
      </c>
      <c r="I180" s="12" t="s">
        <v>14</v>
      </c>
    </row>
    <row r="181" spans="1:9" ht="27.6">
      <c r="A181" s="3" t="s">
        <v>458</v>
      </c>
      <c r="B181" t="s">
        <v>9</v>
      </c>
      <c r="C181" t="s">
        <v>459</v>
      </c>
      <c r="D181" t="s">
        <v>460</v>
      </c>
      <c r="E181" t="s">
        <v>12</v>
      </c>
      <c r="F181" t="s">
        <v>13</v>
      </c>
      <c r="H181" s="4">
        <v>1</v>
      </c>
      <c r="I181" s="12" t="s">
        <v>14</v>
      </c>
    </row>
    <row r="182" spans="1:9" ht="27.6">
      <c r="A182" s="3" t="s">
        <v>461</v>
      </c>
      <c r="B182" t="s">
        <v>9</v>
      </c>
      <c r="C182" t="s">
        <v>462</v>
      </c>
      <c r="D182" t="s">
        <v>463</v>
      </c>
      <c r="E182" t="s">
        <v>12</v>
      </c>
      <c r="F182" t="s">
        <v>13</v>
      </c>
      <c r="H182" s="4">
        <v>2</v>
      </c>
      <c r="I182" s="12" t="s">
        <v>14</v>
      </c>
    </row>
    <row r="183" spans="1:9" ht="27.6">
      <c r="A183" s="3" t="s">
        <v>464</v>
      </c>
      <c r="B183" t="s">
        <v>9</v>
      </c>
      <c r="C183" t="s">
        <v>465</v>
      </c>
      <c r="D183" t="s">
        <v>465</v>
      </c>
      <c r="E183" t="s">
        <v>18</v>
      </c>
      <c r="F183" t="s">
        <v>13</v>
      </c>
      <c r="H183" s="4">
        <v>2</v>
      </c>
      <c r="I183" s="12" t="s">
        <v>14</v>
      </c>
    </row>
    <row r="184" spans="1:9" ht="27.6">
      <c r="A184" s="3" t="s">
        <v>466</v>
      </c>
      <c r="B184" t="s">
        <v>9</v>
      </c>
      <c r="C184" t="s">
        <v>467</v>
      </c>
      <c r="D184" t="s">
        <v>468</v>
      </c>
      <c r="E184" t="s">
        <v>22</v>
      </c>
      <c r="F184" t="s">
        <v>13</v>
      </c>
      <c r="H184" s="4">
        <v>2</v>
      </c>
      <c r="I184" s="12" t="s">
        <v>14</v>
      </c>
    </row>
    <row r="185" spans="1:9" ht="27.6">
      <c r="A185" s="3" t="s">
        <v>469</v>
      </c>
      <c r="B185" t="s">
        <v>9</v>
      </c>
      <c r="C185" t="s">
        <v>470</v>
      </c>
      <c r="D185" t="s">
        <v>471</v>
      </c>
      <c r="E185" t="s">
        <v>22</v>
      </c>
      <c r="F185" t="s">
        <v>13</v>
      </c>
      <c r="H185" s="4">
        <v>2</v>
      </c>
      <c r="I185" s="12" t="s">
        <v>14</v>
      </c>
    </row>
    <row r="186" spans="1:9" ht="27.6">
      <c r="A186" s="3" t="s">
        <v>472</v>
      </c>
      <c r="B186" t="s">
        <v>9</v>
      </c>
      <c r="C186" t="s">
        <v>473</v>
      </c>
      <c r="D186" t="s">
        <v>474</v>
      </c>
      <c r="E186" t="s">
        <v>18</v>
      </c>
      <c r="F186" t="s">
        <v>13</v>
      </c>
      <c r="H186" s="4">
        <v>2</v>
      </c>
      <c r="I186" s="12" t="s">
        <v>14</v>
      </c>
    </row>
    <row r="187" spans="1:9" ht="27.6">
      <c r="A187" s="3" t="s">
        <v>475</v>
      </c>
      <c r="B187" t="s">
        <v>9</v>
      </c>
      <c r="C187" t="s">
        <v>473</v>
      </c>
      <c r="D187" t="s">
        <v>474</v>
      </c>
      <c r="E187" t="s">
        <v>22</v>
      </c>
      <c r="F187" t="s">
        <v>13</v>
      </c>
      <c r="H187" s="4">
        <v>2</v>
      </c>
      <c r="I187" s="12" t="s">
        <v>14</v>
      </c>
    </row>
    <row r="188" spans="1:9" ht="27.6">
      <c r="A188" s="3" t="s">
        <v>476</v>
      </c>
      <c r="B188" t="s">
        <v>9</v>
      </c>
      <c r="C188" t="s">
        <v>153</v>
      </c>
      <c r="D188" t="s">
        <v>477</v>
      </c>
      <c r="E188" t="s">
        <v>22</v>
      </c>
      <c r="F188" t="s">
        <v>13</v>
      </c>
      <c r="H188" s="4">
        <v>4</v>
      </c>
      <c r="I188" s="12" t="s">
        <v>14</v>
      </c>
    </row>
    <row r="189" spans="1:9" ht="27.6">
      <c r="A189" s="3" t="s">
        <v>478</v>
      </c>
      <c r="B189" t="s">
        <v>9</v>
      </c>
      <c r="C189" t="s">
        <v>479</v>
      </c>
      <c r="D189" t="s">
        <v>480</v>
      </c>
      <c r="E189" t="s">
        <v>39</v>
      </c>
      <c r="F189" t="s">
        <v>13</v>
      </c>
      <c r="H189" s="4">
        <v>1</v>
      </c>
      <c r="I189" s="12" t="s">
        <v>14</v>
      </c>
    </row>
    <row r="190" spans="1:9" ht="27.6">
      <c r="A190" s="3" t="s">
        <v>481</v>
      </c>
      <c r="B190" t="s">
        <v>9</v>
      </c>
      <c r="C190" t="s">
        <v>482</v>
      </c>
      <c r="D190" t="s">
        <v>483</v>
      </c>
      <c r="E190" t="s">
        <v>39</v>
      </c>
      <c r="F190" t="s">
        <v>13</v>
      </c>
      <c r="H190" s="4">
        <v>1</v>
      </c>
      <c r="I190" s="12" t="s">
        <v>14</v>
      </c>
    </row>
    <row r="191" spans="1:9" ht="27.6">
      <c r="A191" s="3" t="s">
        <v>484</v>
      </c>
      <c r="B191" t="s">
        <v>9</v>
      </c>
      <c r="C191" t="s">
        <v>259</v>
      </c>
      <c r="D191" t="s">
        <v>485</v>
      </c>
      <c r="E191" t="s">
        <v>22</v>
      </c>
      <c r="F191" t="s">
        <v>13</v>
      </c>
      <c r="H191" s="4">
        <v>3</v>
      </c>
      <c r="I191" s="12" t="s">
        <v>14</v>
      </c>
    </row>
    <row r="192" spans="1:9" ht="27.6">
      <c r="A192" s="3" t="s">
        <v>486</v>
      </c>
      <c r="B192" t="s">
        <v>9</v>
      </c>
      <c r="C192" t="s">
        <v>259</v>
      </c>
      <c r="D192" t="s">
        <v>485</v>
      </c>
      <c r="E192" t="s">
        <v>22</v>
      </c>
      <c r="F192" t="s">
        <v>13</v>
      </c>
      <c r="H192" s="4">
        <v>2</v>
      </c>
      <c r="I192" s="12" t="s">
        <v>14</v>
      </c>
    </row>
    <row r="193" spans="1:9" ht="27.6">
      <c r="A193" s="3" t="s">
        <v>487</v>
      </c>
      <c r="B193" t="s">
        <v>9</v>
      </c>
      <c r="C193" t="s">
        <v>259</v>
      </c>
      <c r="D193" t="s">
        <v>485</v>
      </c>
      <c r="E193" t="s">
        <v>22</v>
      </c>
      <c r="F193" t="s">
        <v>13</v>
      </c>
      <c r="H193" s="4">
        <v>2</v>
      </c>
      <c r="I193" s="12" t="s">
        <v>14</v>
      </c>
    </row>
    <row r="194" spans="1:9" ht="27.6">
      <c r="A194" s="3" t="s">
        <v>488</v>
      </c>
      <c r="B194" t="s">
        <v>9</v>
      </c>
      <c r="C194" t="s">
        <v>259</v>
      </c>
      <c r="D194" t="s">
        <v>489</v>
      </c>
      <c r="E194" t="s">
        <v>22</v>
      </c>
      <c r="F194" t="s">
        <v>13</v>
      </c>
      <c r="H194" s="4">
        <v>2</v>
      </c>
      <c r="I194" s="12" t="s">
        <v>14</v>
      </c>
    </row>
    <row r="195" spans="1:9" ht="27.6">
      <c r="A195" s="3" t="s">
        <v>490</v>
      </c>
      <c r="B195" t="s">
        <v>9</v>
      </c>
      <c r="C195" t="s">
        <v>259</v>
      </c>
      <c r="D195" t="s">
        <v>485</v>
      </c>
      <c r="E195" t="s">
        <v>22</v>
      </c>
      <c r="F195" t="s">
        <v>13</v>
      </c>
      <c r="H195" s="4">
        <v>2</v>
      </c>
      <c r="I195" s="12" t="s">
        <v>14</v>
      </c>
    </row>
    <row r="196" spans="1:9" ht="27.6">
      <c r="A196" s="3" t="s">
        <v>491</v>
      </c>
      <c r="B196" t="s">
        <v>9</v>
      </c>
      <c r="C196" t="s">
        <v>259</v>
      </c>
      <c r="D196" t="s">
        <v>492</v>
      </c>
      <c r="E196" t="s">
        <v>22</v>
      </c>
      <c r="F196" t="s">
        <v>13</v>
      </c>
      <c r="H196" s="4">
        <v>2</v>
      </c>
      <c r="I196" s="12" t="s">
        <v>14</v>
      </c>
    </row>
    <row r="197" spans="1:9" ht="27.6">
      <c r="A197" s="3" t="s">
        <v>493</v>
      </c>
      <c r="B197" t="s">
        <v>9</v>
      </c>
      <c r="C197" t="s">
        <v>494</v>
      </c>
      <c r="D197" t="s">
        <v>495</v>
      </c>
      <c r="E197" t="s">
        <v>22</v>
      </c>
      <c r="F197" t="s">
        <v>13</v>
      </c>
      <c r="H197" s="4">
        <v>2</v>
      </c>
      <c r="I197" s="12" t="s">
        <v>14</v>
      </c>
    </row>
    <row r="198" spans="1:9" ht="27.6">
      <c r="A198" s="3" t="s">
        <v>496</v>
      </c>
      <c r="B198" t="s">
        <v>9</v>
      </c>
      <c r="C198" t="s">
        <v>497</v>
      </c>
      <c r="D198" t="s">
        <v>498</v>
      </c>
      <c r="E198" t="s">
        <v>22</v>
      </c>
      <c r="F198" t="s">
        <v>13</v>
      </c>
      <c r="H198" s="4">
        <v>4</v>
      </c>
      <c r="I198" s="12" t="s">
        <v>14</v>
      </c>
    </row>
    <row r="199" spans="1:9" ht="27.6">
      <c r="A199" s="3" t="s">
        <v>499</v>
      </c>
      <c r="B199" t="s">
        <v>9</v>
      </c>
      <c r="C199" t="s">
        <v>174</v>
      </c>
      <c r="D199" t="s">
        <v>500</v>
      </c>
      <c r="E199" t="s">
        <v>22</v>
      </c>
      <c r="F199" t="s">
        <v>13</v>
      </c>
      <c r="H199" s="4">
        <v>2</v>
      </c>
      <c r="I199" s="12" t="s">
        <v>14</v>
      </c>
    </row>
    <row r="200" spans="1:9" ht="27.6">
      <c r="A200" s="3" t="s">
        <v>501</v>
      </c>
      <c r="B200" t="s">
        <v>9</v>
      </c>
      <c r="C200" t="s">
        <v>502</v>
      </c>
      <c r="D200" t="s">
        <v>503</v>
      </c>
      <c r="E200" t="s">
        <v>22</v>
      </c>
      <c r="F200" t="s">
        <v>13</v>
      </c>
      <c r="H200" s="4">
        <v>1</v>
      </c>
      <c r="I200" s="12" t="s">
        <v>14</v>
      </c>
    </row>
    <row r="201" spans="1:9" ht="27.6">
      <c r="A201" s="3" t="s">
        <v>504</v>
      </c>
      <c r="B201" t="s">
        <v>9</v>
      </c>
      <c r="C201" t="s">
        <v>505</v>
      </c>
      <c r="D201" t="s">
        <v>506</v>
      </c>
      <c r="E201" t="s">
        <v>22</v>
      </c>
      <c r="F201" t="s">
        <v>13</v>
      </c>
      <c r="H201" s="4">
        <v>1</v>
      </c>
      <c r="I201" s="12" t="s">
        <v>14</v>
      </c>
    </row>
    <row r="202" spans="1:9" ht="27.6">
      <c r="A202" s="3" t="s">
        <v>507</v>
      </c>
      <c r="B202" t="s">
        <v>9</v>
      </c>
      <c r="C202" t="s">
        <v>174</v>
      </c>
      <c r="D202" t="s">
        <v>21</v>
      </c>
      <c r="E202" t="s">
        <v>22</v>
      </c>
      <c r="F202" t="s">
        <v>13</v>
      </c>
      <c r="H202" s="4">
        <v>4</v>
      </c>
      <c r="I202" s="12" t="s">
        <v>14</v>
      </c>
    </row>
    <row r="203" spans="1:9" ht="27.6">
      <c r="A203" s="3" t="s">
        <v>508</v>
      </c>
      <c r="B203" t="s">
        <v>9</v>
      </c>
      <c r="C203" t="s">
        <v>174</v>
      </c>
      <c r="D203" t="s">
        <v>21</v>
      </c>
      <c r="E203" t="s">
        <v>22</v>
      </c>
      <c r="F203" t="s">
        <v>13</v>
      </c>
      <c r="H203" s="4">
        <v>1</v>
      </c>
      <c r="I203" s="12" t="s">
        <v>14</v>
      </c>
    </row>
    <row r="204" spans="1:9" ht="27.6">
      <c r="A204" s="3" t="s">
        <v>509</v>
      </c>
      <c r="B204" t="s">
        <v>9</v>
      </c>
      <c r="C204" t="s">
        <v>174</v>
      </c>
      <c r="D204" t="s">
        <v>21</v>
      </c>
      <c r="E204" t="s">
        <v>22</v>
      </c>
      <c r="F204" t="s">
        <v>13</v>
      </c>
      <c r="H204" s="4">
        <v>2</v>
      </c>
      <c r="I204" s="12" t="s">
        <v>14</v>
      </c>
    </row>
    <row r="205" spans="1:9" ht="27.6">
      <c r="A205" s="3" t="s">
        <v>510</v>
      </c>
      <c r="B205" t="s">
        <v>9</v>
      </c>
      <c r="C205" s="6" t="s">
        <v>511</v>
      </c>
      <c r="D205" s="6" t="s">
        <v>512</v>
      </c>
      <c r="E205" s="5" t="s">
        <v>39</v>
      </c>
      <c r="F205" t="s">
        <v>13</v>
      </c>
      <c r="H205" s="4">
        <v>1</v>
      </c>
      <c r="I205" s="12" t="s">
        <v>14</v>
      </c>
    </row>
    <row r="206" spans="1:9" ht="27.6">
      <c r="A206" s="3" t="s">
        <v>513</v>
      </c>
      <c r="B206" t="s">
        <v>9</v>
      </c>
      <c r="C206" t="s">
        <v>174</v>
      </c>
      <c r="D206" t="s">
        <v>514</v>
      </c>
      <c r="E206" t="s">
        <v>22</v>
      </c>
      <c r="F206" t="s">
        <v>13</v>
      </c>
      <c r="H206" s="4">
        <v>4</v>
      </c>
      <c r="I206" s="12" t="s">
        <v>14</v>
      </c>
    </row>
    <row r="207" spans="1:9" ht="27.6">
      <c r="A207" s="3" t="s">
        <v>515</v>
      </c>
      <c r="B207" t="s">
        <v>9</v>
      </c>
      <c r="C207" t="s">
        <v>516</v>
      </c>
      <c r="D207" t="s">
        <v>517</v>
      </c>
      <c r="E207" t="s">
        <v>308</v>
      </c>
      <c r="F207" t="s">
        <v>13</v>
      </c>
      <c r="H207" s="4">
        <v>1</v>
      </c>
      <c r="I207" s="12" t="s">
        <v>14</v>
      </c>
    </row>
    <row r="208" spans="1:9" ht="27.6">
      <c r="A208" s="3" t="s">
        <v>518</v>
      </c>
      <c r="B208" t="s">
        <v>9</v>
      </c>
      <c r="C208" t="s">
        <v>516</v>
      </c>
      <c r="D208" t="s">
        <v>519</v>
      </c>
      <c r="E208" t="s">
        <v>308</v>
      </c>
      <c r="F208" t="s">
        <v>13</v>
      </c>
      <c r="H208" s="4">
        <v>1</v>
      </c>
      <c r="I208" s="12" t="s">
        <v>14</v>
      </c>
    </row>
    <row r="209" spans="1:9" ht="27.6">
      <c r="A209" s="3" t="s">
        <v>520</v>
      </c>
      <c r="B209" t="s">
        <v>9</v>
      </c>
      <c r="C209" t="s">
        <v>56</v>
      </c>
      <c r="D209" t="s">
        <v>521</v>
      </c>
      <c r="E209" t="s">
        <v>22</v>
      </c>
      <c r="F209" t="s">
        <v>13</v>
      </c>
      <c r="H209" s="4">
        <v>1</v>
      </c>
      <c r="I209" s="12" t="s">
        <v>14</v>
      </c>
    </row>
    <row r="210" spans="1:9" ht="27.6">
      <c r="A210" s="3" t="s">
        <v>522</v>
      </c>
      <c r="B210" t="s">
        <v>9</v>
      </c>
      <c r="C210" t="s">
        <v>56</v>
      </c>
      <c r="D210" t="s">
        <v>521</v>
      </c>
      <c r="E210" t="s">
        <v>22</v>
      </c>
      <c r="F210" t="s">
        <v>13</v>
      </c>
      <c r="H210" s="4">
        <v>1</v>
      </c>
      <c r="I210" s="12" t="s">
        <v>14</v>
      </c>
    </row>
    <row r="211" spans="1:9" ht="27.6">
      <c r="A211" s="3" t="s">
        <v>523</v>
      </c>
      <c r="B211" t="s">
        <v>9</v>
      </c>
      <c r="C211" t="s">
        <v>20</v>
      </c>
      <c r="D211" t="s">
        <v>21</v>
      </c>
      <c r="E211" t="s">
        <v>22</v>
      </c>
      <c r="F211" t="s">
        <v>13</v>
      </c>
      <c r="H211" s="4">
        <v>6</v>
      </c>
      <c r="I211" s="12" t="s">
        <v>14</v>
      </c>
    </row>
    <row r="212" spans="1:9" ht="27.6">
      <c r="A212" s="3" t="s">
        <v>524</v>
      </c>
      <c r="B212" t="s">
        <v>9</v>
      </c>
      <c r="C212" t="s">
        <v>525</v>
      </c>
      <c r="D212" t="s">
        <v>526</v>
      </c>
      <c r="E212" t="s">
        <v>22</v>
      </c>
      <c r="F212" t="s">
        <v>13</v>
      </c>
      <c r="H212" s="4">
        <v>2</v>
      </c>
      <c r="I212" s="12" t="s">
        <v>14</v>
      </c>
    </row>
    <row r="213" spans="1:9" ht="27.6">
      <c r="A213" s="3" t="s">
        <v>527</v>
      </c>
      <c r="B213" t="s">
        <v>9</v>
      </c>
      <c r="C213" t="s">
        <v>528</v>
      </c>
      <c r="D213" t="s">
        <v>529</v>
      </c>
      <c r="E213" t="s">
        <v>22</v>
      </c>
      <c r="F213" t="s">
        <v>13</v>
      </c>
      <c r="H213" s="4">
        <v>3</v>
      </c>
      <c r="I213" s="12" t="s">
        <v>14</v>
      </c>
    </row>
    <row r="214" spans="1:9" ht="27.6">
      <c r="A214" s="3" t="s">
        <v>530</v>
      </c>
      <c r="B214" t="s">
        <v>9</v>
      </c>
      <c r="C214" t="s">
        <v>531</v>
      </c>
      <c r="D214" t="s">
        <v>532</v>
      </c>
      <c r="E214" t="s">
        <v>18</v>
      </c>
      <c r="F214" t="s">
        <v>13</v>
      </c>
      <c r="H214" s="4">
        <v>1</v>
      </c>
      <c r="I214" s="12" t="s">
        <v>14</v>
      </c>
    </row>
    <row r="215" spans="1:9" ht="27.6">
      <c r="A215" s="3" t="s">
        <v>533</v>
      </c>
      <c r="B215" t="s">
        <v>9</v>
      </c>
      <c r="C215" t="s">
        <v>299</v>
      </c>
      <c r="D215" t="s">
        <v>534</v>
      </c>
      <c r="E215" t="s">
        <v>22</v>
      </c>
      <c r="F215" t="s">
        <v>13</v>
      </c>
      <c r="H215" s="4">
        <v>11</v>
      </c>
      <c r="I215" s="12" t="s">
        <v>14</v>
      </c>
    </row>
    <row r="216" spans="1:9" ht="27.6">
      <c r="A216" s="3" t="s">
        <v>535</v>
      </c>
      <c r="B216" t="s">
        <v>9</v>
      </c>
      <c r="C216" t="s">
        <v>536</v>
      </c>
      <c r="D216" t="s">
        <v>537</v>
      </c>
      <c r="E216" t="s">
        <v>22</v>
      </c>
      <c r="F216" t="s">
        <v>13</v>
      </c>
      <c r="H216" s="4">
        <v>2</v>
      </c>
      <c r="I216" s="12" t="s">
        <v>14</v>
      </c>
    </row>
    <row r="217" spans="1:9" ht="27.6">
      <c r="A217" s="3" t="s">
        <v>538</v>
      </c>
      <c r="B217" t="s">
        <v>9</v>
      </c>
      <c r="C217" t="s">
        <v>539</v>
      </c>
      <c r="D217" t="s">
        <v>540</v>
      </c>
      <c r="E217" t="s">
        <v>22</v>
      </c>
      <c r="F217" t="s">
        <v>13</v>
      </c>
      <c r="H217" s="4">
        <v>2</v>
      </c>
      <c r="I217" s="12" t="s">
        <v>14</v>
      </c>
    </row>
    <row r="218" spans="1:9" ht="27.6">
      <c r="A218" s="3" t="s">
        <v>541</v>
      </c>
      <c r="B218" t="s">
        <v>9</v>
      </c>
      <c r="C218" t="s">
        <v>174</v>
      </c>
      <c r="D218" t="s">
        <v>21</v>
      </c>
      <c r="E218" t="s">
        <v>22</v>
      </c>
      <c r="F218" t="s">
        <v>13</v>
      </c>
      <c r="H218" s="4">
        <v>2</v>
      </c>
      <c r="I218" s="12" t="s">
        <v>14</v>
      </c>
    </row>
    <row r="219" spans="1:9" ht="27.6">
      <c r="A219" s="3" t="s">
        <v>542</v>
      </c>
      <c r="B219" t="s">
        <v>9</v>
      </c>
      <c r="C219" t="s">
        <v>174</v>
      </c>
      <c r="D219" t="s">
        <v>543</v>
      </c>
      <c r="E219" t="s">
        <v>22</v>
      </c>
      <c r="F219" t="s">
        <v>13</v>
      </c>
      <c r="H219" s="4">
        <v>1</v>
      </c>
      <c r="I219" s="12" t="s">
        <v>14</v>
      </c>
    </row>
    <row r="220" spans="1:9" ht="27.6">
      <c r="A220" s="3" t="s">
        <v>544</v>
      </c>
      <c r="B220" t="s">
        <v>9</v>
      </c>
      <c r="C220" t="s">
        <v>545</v>
      </c>
      <c r="D220" t="s">
        <v>116</v>
      </c>
      <c r="E220" t="s">
        <v>12</v>
      </c>
      <c r="F220" t="s">
        <v>13</v>
      </c>
      <c r="H220" s="4">
        <v>1</v>
      </c>
      <c r="I220" s="12" t="s">
        <v>14</v>
      </c>
    </row>
    <row r="221" spans="1:9" ht="27.6">
      <c r="A221" s="3" t="s">
        <v>546</v>
      </c>
      <c r="B221" t="s">
        <v>9</v>
      </c>
      <c r="C221" t="s">
        <v>16</v>
      </c>
      <c r="D221" t="s">
        <v>17</v>
      </c>
      <c r="E221" t="s">
        <v>18</v>
      </c>
      <c r="F221" t="s">
        <v>13</v>
      </c>
      <c r="H221" s="4">
        <v>1</v>
      </c>
      <c r="I221" s="12" t="s">
        <v>14</v>
      </c>
    </row>
    <row r="222" spans="1:9" ht="27.6">
      <c r="A222" s="3" t="s">
        <v>547</v>
      </c>
      <c r="B222" t="s">
        <v>9</v>
      </c>
      <c r="C222" t="s">
        <v>312</v>
      </c>
      <c r="D222" t="s">
        <v>548</v>
      </c>
      <c r="E222" t="s">
        <v>22</v>
      </c>
      <c r="F222" t="s">
        <v>13</v>
      </c>
      <c r="H222" s="4">
        <v>15</v>
      </c>
      <c r="I222" s="12" t="s">
        <v>14</v>
      </c>
    </row>
    <row r="223" spans="1:9" ht="27.6">
      <c r="A223" s="3" t="s">
        <v>549</v>
      </c>
      <c r="B223" t="s">
        <v>9</v>
      </c>
      <c r="C223" t="s">
        <v>550</v>
      </c>
      <c r="D223" t="s">
        <v>551</v>
      </c>
      <c r="E223" t="s">
        <v>12</v>
      </c>
      <c r="F223" t="s">
        <v>13</v>
      </c>
      <c r="H223" s="4">
        <v>1</v>
      </c>
      <c r="I223" s="12" t="s">
        <v>14</v>
      </c>
    </row>
    <row r="224" spans="1:9" ht="27.6">
      <c r="A224" s="3" t="s">
        <v>552</v>
      </c>
      <c r="B224" t="s">
        <v>9</v>
      </c>
      <c r="C224" t="s">
        <v>174</v>
      </c>
      <c r="D224" t="s">
        <v>21</v>
      </c>
      <c r="E224" t="s">
        <v>22</v>
      </c>
      <c r="F224" t="s">
        <v>13</v>
      </c>
      <c r="H224" s="4">
        <v>1</v>
      </c>
      <c r="I224" s="12" t="s">
        <v>14</v>
      </c>
    </row>
    <row r="225" spans="1:9" ht="27.6">
      <c r="A225" s="3" t="s">
        <v>553</v>
      </c>
      <c r="B225" t="s">
        <v>9</v>
      </c>
      <c r="C225" t="s">
        <v>554</v>
      </c>
      <c r="D225" t="s">
        <v>555</v>
      </c>
      <c r="E225" t="s">
        <v>22</v>
      </c>
      <c r="F225" t="s">
        <v>13</v>
      </c>
      <c r="H225" s="4">
        <v>1</v>
      </c>
      <c r="I225" s="12" t="s">
        <v>14</v>
      </c>
    </row>
    <row r="226" spans="1:9" ht="27.6">
      <c r="A226" s="3" t="s">
        <v>556</v>
      </c>
      <c r="B226" t="s">
        <v>9</v>
      </c>
      <c r="C226" t="s">
        <v>557</v>
      </c>
      <c r="D226" t="s">
        <v>558</v>
      </c>
      <c r="E226" t="s">
        <v>22</v>
      </c>
      <c r="F226" t="s">
        <v>13</v>
      </c>
      <c r="H226" s="4">
        <v>2</v>
      </c>
      <c r="I226" s="12" t="s">
        <v>14</v>
      </c>
    </row>
    <row r="227" spans="1:9" ht="27.6">
      <c r="A227" s="3" t="s">
        <v>559</v>
      </c>
      <c r="B227" t="s">
        <v>9</v>
      </c>
      <c r="C227" t="s">
        <v>121</v>
      </c>
      <c r="D227" t="s">
        <v>560</v>
      </c>
      <c r="E227" t="s">
        <v>22</v>
      </c>
      <c r="F227" t="s">
        <v>13</v>
      </c>
      <c r="H227" s="4">
        <v>32</v>
      </c>
      <c r="I227" s="12" t="s">
        <v>14</v>
      </c>
    </row>
    <row r="228" spans="1:9" ht="27.6">
      <c r="A228" s="3" t="s">
        <v>561</v>
      </c>
      <c r="B228" t="s">
        <v>9</v>
      </c>
      <c r="C228" t="s">
        <v>56</v>
      </c>
      <c r="D228" t="s">
        <v>521</v>
      </c>
      <c r="E228" t="s">
        <v>22</v>
      </c>
      <c r="F228" t="s">
        <v>13</v>
      </c>
      <c r="H228" s="4">
        <v>1</v>
      </c>
      <c r="I228" s="12" t="s">
        <v>14</v>
      </c>
    </row>
    <row r="229" spans="1:9" ht="27.6">
      <c r="A229" s="3" t="s">
        <v>562</v>
      </c>
      <c r="B229" t="s">
        <v>9</v>
      </c>
      <c r="C229" t="s">
        <v>563</v>
      </c>
      <c r="D229" t="s">
        <v>564</v>
      </c>
      <c r="E229" t="s">
        <v>12</v>
      </c>
      <c r="F229" t="s">
        <v>13</v>
      </c>
      <c r="H229" s="4">
        <v>1</v>
      </c>
      <c r="I229" s="12" t="s">
        <v>14</v>
      </c>
    </row>
    <row r="230" spans="1:9" ht="27.6">
      <c r="A230" s="3" t="s">
        <v>565</v>
      </c>
      <c r="B230" t="s">
        <v>9</v>
      </c>
      <c r="C230" t="s">
        <v>566</v>
      </c>
      <c r="D230" t="s">
        <v>17</v>
      </c>
      <c r="E230" t="s">
        <v>18</v>
      </c>
      <c r="F230" t="s">
        <v>13</v>
      </c>
      <c r="H230" s="4">
        <v>3</v>
      </c>
      <c r="I230" s="12" t="s">
        <v>14</v>
      </c>
    </row>
    <row r="231" spans="1:9" ht="27.6">
      <c r="A231" s="3" t="s">
        <v>567</v>
      </c>
      <c r="B231" t="s">
        <v>9</v>
      </c>
      <c r="C231" t="s">
        <v>568</v>
      </c>
      <c r="D231" t="s">
        <v>569</v>
      </c>
      <c r="E231" t="s">
        <v>12</v>
      </c>
      <c r="F231" t="s">
        <v>13</v>
      </c>
      <c r="H231" s="4">
        <v>2</v>
      </c>
      <c r="I231" s="12" t="s">
        <v>14</v>
      </c>
    </row>
    <row r="232" spans="1:9" ht="27.6">
      <c r="A232" s="3" t="s">
        <v>570</v>
      </c>
      <c r="B232" t="s">
        <v>9</v>
      </c>
      <c r="C232" t="s">
        <v>571</v>
      </c>
      <c r="D232" t="s">
        <v>572</v>
      </c>
      <c r="E232" t="s">
        <v>22</v>
      </c>
      <c r="F232" t="s">
        <v>13</v>
      </c>
      <c r="H232" s="4">
        <v>3</v>
      </c>
      <c r="I232" s="12" t="s">
        <v>14</v>
      </c>
    </row>
    <row r="233" spans="1:9" ht="27.6">
      <c r="A233" s="3" t="s">
        <v>573</v>
      </c>
      <c r="B233" t="s">
        <v>9</v>
      </c>
      <c r="C233" t="s">
        <v>574</v>
      </c>
      <c r="D233" t="s">
        <v>575</v>
      </c>
      <c r="E233" t="s">
        <v>22</v>
      </c>
      <c r="F233" t="s">
        <v>13</v>
      </c>
      <c r="H233" s="4">
        <v>13</v>
      </c>
      <c r="I233" s="12" t="s">
        <v>14</v>
      </c>
    </row>
    <row r="234" spans="1:9" ht="27.6">
      <c r="A234" s="3" t="s">
        <v>576</v>
      </c>
      <c r="B234" t="s">
        <v>9</v>
      </c>
      <c r="C234" t="s">
        <v>577</v>
      </c>
      <c r="D234" t="s">
        <v>578</v>
      </c>
      <c r="E234" t="s">
        <v>22</v>
      </c>
      <c r="F234" t="s">
        <v>13</v>
      </c>
      <c r="H234" s="4">
        <v>2</v>
      </c>
      <c r="I234" s="12" t="s">
        <v>14</v>
      </c>
    </row>
    <row r="235" spans="1:9" ht="27.6">
      <c r="A235" s="3" t="s">
        <v>579</v>
      </c>
      <c r="B235" t="s">
        <v>9</v>
      </c>
      <c r="C235" t="s">
        <v>580</v>
      </c>
      <c r="D235" t="s">
        <v>489</v>
      </c>
      <c r="E235" t="s">
        <v>22</v>
      </c>
      <c r="F235" t="s">
        <v>13</v>
      </c>
      <c r="H235" s="4">
        <v>6</v>
      </c>
      <c r="I235" s="12" t="s">
        <v>14</v>
      </c>
    </row>
    <row r="236" spans="1:9" ht="27.6">
      <c r="A236" s="3" t="s">
        <v>581</v>
      </c>
      <c r="B236" t="s">
        <v>9</v>
      </c>
      <c r="C236" t="s">
        <v>580</v>
      </c>
      <c r="D236" t="s">
        <v>582</v>
      </c>
      <c r="E236" t="s">
        <v>22</v>
      </c>
      <c r="F236" t="s">
        <v>13</v>
      </c>
      <c r="H236" s="4">
        <v>11</v>
      </c>
      <c r="I236" s="12" t="s">
        <v>14</v>
      </c>
    </row>
    <row r="237" spans="1:9" ht="27.6">
      <c r="A237" s="3" t="s">
        <v>583</v>
      </c>
      <c r="B237" t="s">
        <v>9</v>
      </c>
      <c r="C237" t="s">
        <v>580</v>
      </c>
      <c r="D237" t="s">
        <v>584</v>
      </c>
      <c r="E237" t="s">
        <v>22</v>
      </c>
      <c r="F237" t="s">
        <v>13</v>
      </c>
      <c r="H237" s="4">
        <v>12</v>
      </c>
      <c r="I237" s="12" t="s">
        <v>14</v>
      </c>
    </row>
    <row r="238" spans="1:9" ht="27.6">
      <c r="A238" s="3" t="s">
        <v>585</v>
      </c>
      <c r="B238" t="s">
        <v>9</v>
      </c>
      <c r="C238" t="s">
        <v>586</v>
      </c>
      <c r="D238" t="s">
        <v>587</v>
      </c>
      <c r="E238" t="s">
        <v>22</v>
      </c>
      <c r="F238" t="s">
        <v>13</v>
      </c>
      <c r="H238" s="4">
        <v>8</v>
      </c>
      <c r="I238" s="12" t="s">
        <v>14</v>
      </c>
    </row>
    <row r="239" spans="1:9" ht="27.6">
      <c r="A239" s="3" t="s">
        <v>588</v>
      </c>
      <c r="B239" t="s">
        <v>9</v>
      </c>
      <c r="C239" t="s">
        <v>586</v>
      </c>
      <c r="D239" t="s">
        <v>589</v>
      </c>
      <c r="E239" t="s">
        <v>22</v>
      </c>
      <c r="F239" t="s">
        <v>13</v>
      </c>
      <c r="H239" s="4">
        <v>13</v>
      </c>
      <c r="I239" s="12" t="s">
        <v>14</v>
      </c>
    </row>
    <row r="240" spans="1:9" ht="27.6">
      <c r="A240" s="3" t="s">
        <v>590</v>
      </c>
      <c r="B240" t="s">
        <v>9</v>
      </c>
      <c r="C240" t="s">
        <v>586</v>
      </c>
      <c r="D240" t="s">
        <v>591</v>
      </c>
      <c r="E240" t="s">
        <v>22</v>
      </c>
      <c r="F240" t="s">
        <v>13</v>
      </c>
      <c r="H240" s="4">
        <v>8</v>
      </c>
      <c r="I240" s="12" t="s">
        <v>14</v>
      </c>
    </row>
    <row r="241" spans="1:9" ht="27.6">
      <c r="A241" s="3" t="s">
        <v>592</v>
      </c>
      <c r="B241" t="s">
        <v>9</v>
      </c>
      <c r="C241" t="s">
        <v>586</v>
      </c>
      <c r="D241" t="s">
        <v>593</v>
      </c>
      <c r="E241" t="s">
        <v>22</v>
      </c>
      <c r="F241" t="s">
        <v>13</v>
      </c>
      <c r="H241" s="4">
        <v>10</v>
      </c>
      <c r="I241" s="12" t="s">
        <v>14</v>
      </c>
    </row>
    <row r="242" spans="1:9" ht="27.6">
      <c r="A242" s="3" t="s">
        <v>594</v>
      </c>
      <c r="B242" t="s">
        <v>9</v>
      </c>
      <c r="C242" t="s">
        <v>586</v>
      </c>
      <c r="D242" t="s">
        <v>587</v>
      </c>
      <c r="E242" t="s">
        <v>22</v>
      </c>
      <c r="F242" t="s">
        <v>13</v>
      </c>
      <c r="H242" s="4">
        <v>4</v>
      </c>
      <c r="I242" s="12" t="s">
        <v>14</v>
      </c>
    </row>
    <row r="243" spans="1:9" ht="27.6">
      <c r="A243" s="3" t="s">
        <v>595</v>
      </c>
      <c r="B243" t="s">
        <v>9</v>
      </c>
      <c r="C243" t="s">
        <v>596</v>
      </c>
      <c r="D243" t="s">
        <v>597</v>
      </c>
      <c r="E243" t="s">
        <v>22</v>
      </c>
      <c r="F243" t="s">
        <v>13</v>
      </c>
      <c r="H243" s="4">
        <v>3</v>
      </c>
      <c r="I243" s="12" t="s">
        <v>14</v>
      </c>
    </row>
    <row r="244" spans="1:9" ht="27.6">
      <c r="A244" s="3" t="s">
        <v>598</v>
      </c>
      <c r="B244" t="s">
        <v>9</v>
      </c>
      <c r="C244" t="s">
        <v>599</v>
      </c>
      <c r="D244" t="s">
        <v>600</v>
      </c>
      <c r="E244" t="s">
        <v>22</v>
      </c>
      <c r="F244" t="s">
        <v>13</v>
      </c>
      <c r="H244" s="4">
        <v>6</v>
      </c>
      <c r="I244" s="12" t="s">
        <v>14</v>
      </c>
    </row>
    <row r="245" spans="1:9" ht="27.6">
      <c r="A245" s="3" t="s">
        <v>601</v>
      </c>
      <c r="B245" t="s">
        <v>9</v>
      </c>
      <c r="C245" t="s">
        <v>599</v>
      </c>
      <c r="D245" t="s">
        <v>602</v>
      </c>
      <c r="E245" t="s">
        <v>22</v>
      </c>
      <c r="F245" t="s">
        <v>13</v>
      </c>
      <c r="H245" s="4">
        <v>14</v>
      </c>
      <c r="I245" s="12" t="s">
        <v>14</v>
      </c>
    </row>
    <row r="246" spans="1:9" ht="27.6">
      <c r="A246" s="3" t="s">
        <v>603</v>
      </c>
      <c r="B246" t="s">
        <v>9</v>
      </c>
      <c r="C246" t="s">
        <v>599</v>
      </c>
      <c r="D246" t="s">
        <v>604</v>
      </c>
      <c r="E246" t="s">
        <v>22</v>
      </c>
      <c r="F246" t="s">
        <v>13</v>
      </c>
      <c r="H246" s="4">
        <v>2</v>
      </c>
      <c r="I246" s="12" t="s">
        <v>14</v>
      </c>
    </row>
    <row r="247" spans="1:9" ht="27.6">
      <c r="A247" s="3" t="s">
        <v>605</v>
      </c>
      <c r="B247" t="s">
        <v>9</v>
      </c>
      <c r="C247" t="s">
        <v>606</v>
      </c>
      <c r="D247" t="s">
        <v>607</v>
      </c>
      <c r="E247" t="s">
        <v>22</v>
      </c>
      <c r="F247" t="s">
        <v>13</v>
      </c>
      <c r="H247" s="4">
        <v>4</v>
      </c>
      <c r="I247" s="12" t="s">
        <v>14</v>
      </c>
    </row>
    <row r="248" spans="1:9" ht="27.6">
      <c r="A248" s="3" t="s">
        <v>608</v>
      </c>
      <c r="B248" t="s">
        <v>9</v>
      </c>
      <c r="C248" t="s">
        <v>606</v>
      </c>
      <c r="D248" t="s">
        <v>609</v>
      </c>
      <c r="E248" t="s">
        <v>22</v>
      </c>
      <c r="F248" t="s">
        <v>13</v>
      </c>
      <c r="H248" s="4">
        <v>4</v>
      </c>
      <c r="I248" s="12" t="s">
        <v>14</v>
      </c>
    </row>
    <row r="249" spans="1:9" ht="27.6">
      <c r="A249" s="3" t="s">
        <v>610</v>
      </c>
      <c r="B249" t="s">
        <v>9</v>
      </c>
      <c r="C249" t="s">
        <v>606</v>
      </c>
      <c r="D249" t="s">
        <v>611</v>
      </c>
      <c r="E249" t="s">
        <v>22</v>
      </c>
      <c r="F249" t="s">
        <v>13</v>
      </c>
      <c r="H249" s="4">
        <v>2</v>
      </c>
      <c r="I249" s="12" t="s">
        <v>14</v>
      </c>
    </row>
    <row r="250" spans="1:9" ht="27.6">
      <c r="A250" s="3" t="s">
        <v>612</v>
      </c>
      <c r="B250" t="s">
        <v>9</v>
      </c>
      <c r="C250" t="s">
        <v>613</v>
      </c>
      <c r="D250" t="s">
        <v>614</v>
      </c>
      <c r="E250" t="s">
        <v>22</v>
      </c>
      <c r="F250" t="s">
        <v>13</v>
      </c>
      <c r="H250" s="4">
        <v>148</v>
      </c>
      <c r="I250" s="12" t="s">
        <v>14</v>
      </c>
    </row>
    <row r="251" spans="1:9" ht="27.6">
      <c r="A251" s="3" t="s">
        <v>615</v>
      </c>
      <c r="B251" t="s">
        <v>9</v>
      </c>
      <c r="C251" t="s">
        <v>580</v>
      </c>
      <c r="D251" t="s">
        <v>616</v>
      </c>
      <c r="E251" t="s">
        <v>22</v>
      </c>
      <c r="F251" t="s">
        <v>13</v>
      </c>
      <c r="H251" s="4">
        <v>1</v>
      </c>
      <c r="I251" s="12" t="s">
        <v>14</v>
      </c>
    </row>
    <row r="252" spans="1:9" ht="27.6">
      <c r="A252" s="3" t="s">
        <v>617</v>
      </c>
      <c r="B252" t="s">
        <v>9</v>
      </c>
      <c r="C252" t="s">
        <v>599</v>
      </c>
      <c r="D252" t="s">
        <v>618</v>
      </c>
      <c r="E252" t="s">
        <v>22</v>
      </c>
      <c r="F252" t="s">
        <v>13</v>
      </c>
      <c r="H252" s="4">
        <v>6</v>
      </c>
      <c r="I252" s="12" t="s">
        <v>14</v>
      </c>
    </row>
    <row r="253" spans="1:9" ht="27.6">
      <c r="A253" s="3" t="s">
        <v>619</v>
      </c>
      <c r="B253" t="s">
        <v>9</v>
      </c>
      <c r="C253" t="s">
        <v>577</v>
      </c>
      <c r="D253" t="s">
        <v>620</v>
      </c>
      <c r="E253" t="s">
        <v>22</v>
      </c>
      <c r="F253" t="s">
        <v>13</v>
      </c>
      <c r="H253" s="4">
        <v>1</v>
      </c>
      <c r="I253" s="12" t="s">
        <v>14</v>
      </c>
    </row>
    <row r="254" spans="1:9" ht="27.6">
      <c r="A254" s="3" t="s">
        <v>621</v>
      </c>
      <c r="B254" t="s">
        <v>9</v>
      </c>
      <c r="C254" t="s">
        <v>580</v>
      </c>
      <c r="D254" t="s">
        <v>622</v>
      </c>
      <c r="E254" t="s">
        <v>22</v>
      </c>
      <c r="F254" t="s">
        <v>13</v>
      </c>
      <c r="H254" s="4">
        <v>149</v>
      </c>
      <c r="I254" s="12" t="s">
        <v>14</v>
      </c>
    </row>
    <row r="255" spans="1:9" ht="27.6">
      <c r="A255" s="3" t="s">
        <v>623</v>
      </c>
      <c r="B255" t="s">
        <v>9</v>
      </c>
      <c r="C255" t="s">
        <v>580</v>
      </c>
      <c r="D255" t="s">
        <v>616</v>
      </c>
      <c r="E255" t="s">
        <v>22</v>
      </c>
      <c r="F255" t="s">
        <v>13</v>
      </c>
      <c r="H255" s="4">
        <v>4</v>
      </c>
      <c r="I255" s="12" t="s">
        <v>14</v>
      </c>
    </row>
    <row r="256" spans="1:9" ht="27.6">
      <c r="A256" s="3" t="s">
        <v>624</v>
      </c>
      <c r="B256" t="s">
        <v>9</v>
      </c>
      <c r="C256" t="s">
        <v>606</v>
      </c>
      <c r="D256" t="s">
        <v>625</v>
      </c>
      <c r="E256" t="s">
        <v>22</v>
      </c>
      <c r="F256" t="s">
        <v>13</v>
      </c>
      <c r="H256" s="4">
        <v>4</v>
      </c>
      <c r="I256" s="12" t="s">
        <v>14</v>
      </c>
    </row>
    <row r="257" spans="1:9" ht="27.6">
      <c r="A257" s="3" t="s">
        <v>626</v>
      </c>
      <c r="B257" t="s">
        <v>9</v>
      </c>
      <c r="C257" t="s">
        <v>606</v>
      </c>
      <c r="D257" t="s">
        <v>627</v>
      </c>
      <c r="E257" t="s">
        <v>22</v>
      </c>
      <c r="F257" t="s">
        <v>13</v>
      </c>
      <c r="H257" s="4">
        <v>2</v>
      </c>
      <c r="I257" s="12" t="s">
        <v>14</v>
      </c>
    </row>
    <row r="258" spans="1:9" ht="27.6">
      <c r="A258" s="3" t="s">
        <v>628</v>
      </c>
      <c r="B258" t="s">
        <v>9</v>
      </c>
      <c r="C258" t="s">
        <v>606</v>
      </c>
      <c r="D258" t="s">
        <v>611</v>
      </c>
      <c r="E258" t="s">
        <v>22</v>
      </c>
      <c r="F258" t="s">
        <v>13</v>
      </c>
      <c r="H258" s="4">
        <v>6</v>
      </c>
      <c r="I258" s="12" t="s">
        <v>14</v>
      </c>
    </row>
    <row r="259" spans="1:9" ht="27.6">
      <c r="A259" s="3" t="s">
        <v>629</v>
      </c>
      <c r="B259" t="s">
        <v>9</v>
      </c>
      <c r="C259" t="s">
        <v>577</v>
      </c>
      <c r="D259" t="s">
        <v>630</v>
      </c>
      <c r="E259" t="s">
        <v>22</v>
      </c>
      <c r="F259" t="s">
        <v>13</v>
      </c>
      <c r="H259" s="4">
        <v>2</v>
      </c>
      <c r="I259" s="12" t="s">
        <v>14</v>
      </c>
    </row>
    <row r="260" spans="1:9" ht="27.6">
      <c r="A260" s="3" t="s">
        <v>631</v>
      </c>
      <c r="B260" t="s">
        <v>9</v>
      </c>
      <c r="C260" t="s">
        <v>599</v>
      </c>
      <c r="D260" t="s">
        <v>632</v>
      </c>
      <c r="E260" t="s">
        <v>22</v>
      </c>
      <c r="F260" t="s">
        <v>13</v>
      </c>
      <c r="H260" s="4">
        <v>8</v>
      </c>
      <c r="I260" s="12" t="s">
        <v>14</v>
      </c>
    </row>
    <row r="261" spans="1:9" ht="27.6">
      <c r="A261" s="3" t="s">
        <v>633</v>
      </c>
      <c r="B261" t="s">
        <v>9</v>
      </c>
      <c r="C261" t="s">
        <v>599</v>
      </c>
      <c r="D261" t="s">
        <v>634</v>
      </c>
      <c r="E261" t="s">
        <v>22</v>
      </c>
      <c r="F261" t="s">
        <v>13</v>
      </c>
      <c r="H261" s="4">
        <v>4</v>
      </c>
      <c r="I261" s="12" t="s">
        <v>14</v>
      </c>
    </row>
    <row r="262" spans="1:9" ht="27.6">
      <c r="A262" s="3" t="s">
        <v>635</v>
      </c>
      <c r="B262" t="s">
        <v>9</v>
      </c>
      <c r="C262" t="s">
        <v>636</v>
      </c>
      <c r="D262" t="s">
        <v>604</v>
      </c>
      <c r="E262" t="s">
        <v>22</v>
      </c>
      <c r="F262" t="s">
        <v>13</v>
      </c>
      <c r="H262" s="4">
        <v>4</v>
      </c>
      <c r="I262" s="12" t="s">
        <v>14</v>
      </c>
    </row>
    <row r="263" spans="1:9" ht="27.6">
      <c r="A263" s="3" t="s">
        <v>637</v>
      </c>
      <c r="B263" t="s">
        <v>9</v>
      </c>
      <c r="C263" t="s">
        <v>580</v>
      </c>
      <c r="D263" t="s">
        <v>638</v>
      </c>
      <c r="E263" t="s">
        <v>22</v>
      </c>
      <c r="F263" t="s">
        <v>13</v>
      </c>
      <c r="H263" s="4">
        <v>6</v>
      </c>
      <c r="I263" s="12" t="s">
        <v>14</v>
      </c>
    </row>
    <row r="264" spans="1:9" ht="27.6">
      <c r="A264" s="3" t="s">
        <v>639</v>
      </c>
      <c r="B264" t="s">
        <v>9</v>
      </c>
      <c r="C264" s="6" t="s">
        <v>606</v>
      </c>
      <c r="D264" s="6" t="s">
        <v>611</v>
      </c>
      <c r="E264" s="5" t="s">
        <v>22</v>
      </c>
      <c r="F264" t="s">
        <v>13</v>
      </c>
      <c r="H264" s="4">
        <v>1</v>
      </c>
      <c r="I264" s="12" t="s">
        <v>14</v>
      </c>
    </row>
    <row r="265" spans="1:9" ht="27.6">
      <c r="A265" s="3" t="s">
        <v>640</v>
      </c>
      <c r="B265" t="s">
        <v>9</v>
      </c>
      <c r="C265" t="s">
        <v>630</v>
      </c>
      <c r="D265" t="s">
        <v>611</v>
      </c>
      <c r="E265" t="s">
        <v>22</v>
      </c>
      <c r="F265" t="s">
        <v>13</v>
      </c>
      <c r="H265" s="4">
        <v>2</v>
      </c>
      <c r="I265" s="12" t="s">
        <v>14</v>
      </c>
    </row>
    <row r="266" spans="1:9" ht="27.6">
      <c r="A266" s="3" t="s">
        <v>641</v>
      </c>
      <c r="B266" t="s">
        <v>9</v>
      </c>
      <c r="C266" t="s">
        <v>606</v>
      </c>
      <c r="D266" t="s">
        <v>611</v>
      </c>
      <c r="E266" t="s">
        <v>22</v>
      </c>
      <c r="F266" t="s">
        <v>13</v>
      </c>
      <c r="H266" s="4">
        <v>4</v>
      </c>
      <c r="I266" s="12" t="s">
        <v>14</v>
      </c>
    </row>
    <row r="267" spans="1:9" ht="27.6">
      <c r="A267" s="3" t="s">
        <v>642</v>
      </c>
      <c r="B267" t="s">
        <v>9</v>
      </c>
      <c r="C267" t="s">
        <v>580</v>
      </c>
      <c r="D267" t="s">
        <v>643</v>
      </c>
      <c r="E267" t="s">
        <v>22</v>
      </c>
      <c r="F267" t="s">
        <v>13</v>
      </c>
      <c r="H267" s="4">
        <v>12</v>
      </c>
      <c r="I267" s="12" t="s">
        <v>14</v>
      </c>
    </row>
    <row r="268" spans="1:9" ht="27.6">
      <c r="A268" s="3" t="s">
        <v>644</v>
      </c>
      <c r="B268" t="s">
        <v>9</v>
      </c>
      <c r="C268" t="s">
        <v>606</v>
      </c>
      <c r="D268" t="s">
        <v>645</v>
      </c>
      <c r="E268" t="s">
        <v>22</v>
      </c>
      <c r="F268" t="s">
        <v>13</v>
      </c>
      <c r="H268" s="4">
        <v>1</v>
      </c>
      <c r="I268" s="12" t="s">
        <v>14</v>
      </c>
    </row>
    <row r="269" spans="1:9" ht="27.6">
      <c r="A269" s="3" t="s">
        <v>646</v>
      </c>
      <c r="B269" t="s">
        <v>9</v>
      </c>
      <c r="C269" t="s">
        <v>606</v>
      </c>
      <c r="D269" t="s">
        <v>647</v>
      </c>
      <c r="E269" t="s">
        <v>22</v>
      </c>
      <c r="F269" t="s">
        <v>13</v>
      </c>
      <c r="H269" s="4">
        <v>1</v>
      </c>
      <c r="I269" s="12" t="s">
        <v>14</v>
      </c>
    </row>
    <row r="270" spans="1:9" ht="27.6">
      <c r="A270" s="3" t="s">
        <v>648</v>
      </c>
      <c r="B270" t="s">
        <v>9</v>
      </c>
      <c r="C270" t="s">
        <v>606</v>
      </c>
      <c r="D270" t="s">
        <v>611</v>
      </c>
      <c r="E270" t="s">
        <v>22</v>
      </c>
      <c r="F270" t="s">
        <v>13</v>
      </c>
      <c r="H270" s="4">
        <v>19</v>
      </c>
      <c r="I270" s="12" t="s">
        <v>14</v>
      </c>
    </row>
    <row r="271" spans="1:9" ht="27.6">
      <c r="A271" s="3" t="s">
        <v>649</v>
      </c>
      <c r="B271" t="s">
        <v>9</v>
      </c>
      <c r="C271" t="s">
        <v>650</v>
      </c>
      <c r="D271" t="s">
        <v>651</v>
      </c>
      <c r="E271" t="s">
        <v>22</v>
      </c>
      <c r="F271" t="s">
        <v>13</v>
      </c>
      <c r="H271" s="4">
        <v>4</v>
      </c>
      <c r="I271" s="12" t="s">
        <v>14</v>
      </c>
    </row>
    <row r="272" spans="1:9" ht="27.6">
      <c r="A272" s="3" t="s">
        <v>652</v>
      </c>
      <c r="B272" t="s">
        <v>9</v>
      </c>
      <c r="C272" t="s">
        <v>653</v>
      </c>
      <c r="D272" t="s">
        <v>654</v>
      </c>
      <c r="E272" t="s">
        <v>22</v>
      </c>
      <c r="F272" t="s">
        <v>13</v>
      </c>
      <c r="H272" s="4">
        <v>6</v>
      </c>
      <c r="I272" s="12" t="s">
        <v>14</v>
      </c>
    </row>
    <row r="273" spans="1:9" ht="27.6">
      <c r="A273" s="3" t="s">
        <v>655</v>
      </c>
      <c r="B273" t="s">
        <v>9</v>
      </c>
      <c r="C273" t="s">
        <v>606</v>
      </c>
      <c r="D273" t="s">
        <v>656</v>
      </c>
      <c r="E273" t="s">
        <v>22</v>
      </c>
      <c r="F273" t="s">
        <v>13</v>
      </c>
      <c r="H273" s="4">
        <v>3</v>
      </c>
      <c r="I273" s="12" t="s">
        <v>14</v>
      </c>
    </row>
    <row r="274" spans="1:9" ht="27.6">
      <c r="A274" s="3" t="s">
        <v>657</v>
      </c>
      <c r="B274" t="s">
        <v>9</v>
      </c>
      <c r="C274" t="s">
        <v>606</v>
      </c>
      <c r="D274" t="s">
        <v>658</v>
      </c>
      <c r="E274" t="s">
        <v>22</v>
      </c>
      <c r="F274" t="s">
        <v>13</v>
      </c>
      <c r="H274" s="4">
        <v>59</v>
      </c>
      <c r="I274" s="12" t="s">
        <v>14</v>
      </c>
    </row>
    <row r="275" spans="1:9" ht="27.6">
      <c r="A275" s="3" t="s">
        <v>659</v>
      </c>
      <c r="B275" t="s">
        <v>9</v>
      </c>
      <c r="C275" t="s">
        <v>653</v>
      </c>
      <c r="D275" t="s">
        <v>660</v>
      </c>
      <c r="E275" t="s">
        <v>22</v>
      </c>
      <c r="F275" t="s">
        <v>13</v>
      </c>
      <c r="H275" s="4">
        <v>2</v>
      </c>
      <c r="I275" s="12" t="s">
        <v>14</v>
      </c>
    </row>
    <row r="276" spans="1:9" ht="27.6">
      <c r="A276" s="3" t="s">
        <v>661</v>
      </c>
      <c r="B276" t="s">
        <v>9</v>
      </c>
      <c r="C276" t="s">
        <v>606</v>
      </c>
      <c r="D276" t="s">
        <v>662</v>
      </c>
      <c r="E276" t="s">
        <v>22</v>
      </c>
      <c r="F276" t="s">
        <v>13</v>
      </c>
      <c r="H276" s="4">
        <v>5</v>
      </c>
      <c r="I276" s="12" t="s">
        <v>14</v>
      </c>
    </row>
    <row r="277" spans="1:9" ht="27.6">
      <c r="A277" s="3" t="s">
        <v>663</v>
      </c>
      <c r="B277" t="s">
        <v>9</v>
      </c>
      <c r="C277" t="s">
        <v>664</v>
      </c>
      <c r="D277" t="s">
        <v>665</v>
      </c>
      <c r="E277" t="s">
        <v>22</v>
      </c>
      <c r="F277" t="s">
        <v>13</v>
      </c>
      <c r="H277" s="4">
        <v>2</v>
      </c>
      <c r="I277" s="12" t="s">
        <v>14</v>
      </c>
    </row>
    <row r="278" spans="1:9" ht="27.6">
      <c r="A278" s="3" t="s">
        <v>666</v>
      </c>
      <c r="B278" t="s">
        <v>9</v>
      </c>
      <c r="C278" t="s">
        <v>606</v>
      </c>
      <c r="D278" t="s">
        <v>667</v>
      </c>
      <c r="E278" t="s">
        <v>22</v>
      </c>
      <c r="F278" t="s">
        <v>13</v>
      </c>
      <c r="H278" s="4">
        <v>8</v>
      </c>
      <c r="I278" s="12" t="s">
        <v>14</v>
      </c>
    </row>
    <row r="279" spans="1:9" ht="27.6">
      <c r="A279" s="3" t="s">
        <v>668</v>
      </c>
      <c r="B279" t="s">
        <v>9</v>
      </c>
      <c r="C279" t="s">
        <v>606</v>
      </c>
      <c r="D279" t="s">
        <v>669</v>
      </c>
      <c r="E279" t="s">
        <v>22</v>
      </c>
      <c r="F279" t="s">
        <v>13</v>
      </c>
      <c r="H279" s="4">
        <v>8</v>
      </c>
      <c r="I279" s="12" t="s">
        <v>14</v>
      </c>
    </row>
    <row r="280" spans="1:9" ht="27.6">
      <c r="A280" s="3" t="s">
        <v>670</v>
      </c>
      <c r="B280" t="s">
        <v>9</v>
      </c>
      <c r="C280" t="s">
        <v>653</v>
      </c>
      <c r="D280" t="s">
        <v>671</v>
      </c>
      <c r="E280" t="s">
        <v>22</v>
      </c>
      <c r="F280" t="s">
        <v>13</v>
      </c>
      <c r="H280" s="4">
        <v>6</v>
      </c>
      <c r="I280" s="12" t="s">
        <v>14</v>
      </c>
    </row>
    <row r="281" spans="1:9" ht="27.6">
      <c r="A281" s="3" t="s">
        <v>672</v>
      </c>
      <c r="B281" t="s">
        <v>9</v>
      </c>
      <c r="C281" t="s">
        <v>606</v>
      </c>
      <c r="D281" t="s">
        <v>673</v>
      </c>
      <c r="E281" t="s">
        <v>22</v>
      </c>
      <c r="F281" t="s">
        <v>13</v>
      </c>
      <c r="H281" s="4">
        <v>3</v>
      </c>
      <c r="I281" s="12" t="s">
        <v>14</v>
      </c>
    </row>
    <row r="282" spans="1:9" ht="27.6">
      <c r="A282" s="3" t="s">
        <v>674</v>
      </c>
      <c r="B282" t="s">
        <v>9</v>
      </c>
      <c r="C282" t="s">
        <v>606</v>
      </c>
      <c r="D282" t="s">
        <v>675</v>
      </c>
      <c r="E282" t="s">
        <v>22</v>
      </c>
      <c r="F282" t="s">
        <v>13</v>
      </c>
      <c r="H282" s="4">
        <v>2</v>
      </c>
      <c r="I282" s="12" t="s">
        <v>14</v>
      </c>
    </row>
    <row r="283" spans="1:9" ht="27.6">
      <c r="A283" s="3" t="s">
        <v>676</v>
      </c>
      <c r="B283" t="s">
        <v>9</v>
      </c>
      <c r="C283" t="s">
        <v>653</v>
      </c>
      <c r="D283" t="s">
        <v>677</v>
      </c>
      <c r="E283" t="s">
        <v>22</v>
      </c>
      <c r="F283" t="s">
        <v>13</v>
      </c>
      <c r="H283" s="4">
        <v>4</v>
      </c>
      <c r="I283" s="12" t="s">
        <v>14</v>
      </c>
    </row>
    <row r="284" spans="1:9" ht="27.6">
      <c r="A284" s="3" t="s">
        <v>678</v>
      </c>
      <c r="B284" t="s">
        <v>9</v>
      </c>
      <c r="C284" t="s">
        <v>679</v>
      </c>
      <c r="D284" t="s">
        <v>680</v>
      </c>
      <c r="E284" t="s">
        <v>22</v>
      </c>
      <c r="F284" t="s">
        <v>13</v>
      </c>
      <c r="H284" s="4">
        <v>20</v>
      </c>
      <c r="I284" s="12" t="s">
        <v>14</v>
      </c>
    </row>
    <row r="285" spans="1:9" ht="27.6">
      <c r="A285" s="3" t="s">
        <v>681</v>
      </c>
      <c r="B285" t="s">
        <v>9</v>
      </c>
      <c r="C285" t="s">
        <v>682</v>
      </c>
      <c r="D285" t="s">
        <v>683</v>
      </c>
      <c r="E285" t="s">
        <v>22</v>
      </c>
      <c r="F285" t="s">
        <v>13</v>
      </c>
      <c r="H285" s="4">
        <v>4</v>
      </c>
      <c r="I285" s="12" t="s">
        <v>14</v>
      </c>
    </row>
    <row r="286" spans="1:9" ht="27.6">
      <c r="A286" s="3" t="s">
        <v>684</v>
      </c>
      <c r="B286" t="s">
        <v>9</v>
      </c>
      <c r="C286" t="s">
        <v>606</v>
      </c>
      <c r="D286" t="s">
        <v>685</v>
      </c>
      <c r="E286" t="s">
        <v>22</v>
      </c>
      <c r="F286" t="s">
        <v>13</v>
      </c>
      <c r="H286" s="4">
        <v>6</v>
      </c>
      <c r="I286" s="12" t="s">
        <v>14</v>
      </c>
    </row>
    <row r="287" spans="1:9" ht="27.6">
      <c r="A287" s="3" t="s">
        <v>686</v>
      </c>
      <c r="B287" t="s">
        <v>9</v>
      </c>
      <c r="C287" t="s">
        <v>653</v>
      </c>
      <c r="D287" t="s">
        <v>687</v>
      </c>
      <c r="E287" t="s">
        <v>22</v>
      </c>
      <c r="F287" t="s">
        <v>13</v>
      </c>
      <c r="H287" s="4">
        <v>16</v>
      </c>
      <c r="I287" s="12" t="s">
        <v>14</v>
      </c>
    </row>
    <row r="288" spans="1:9" ht="27.6">
      <c r="A288" s="3" t="s">
        <v>688</v>
      </c>
      <c r="B288" t="s">
        <v>9</v>
      </c>
      <c r="C288" t="s">
        <v>606</v>
      </c>
      <c r="D288" t="s">
        <v>689</v>
      </c>
      <c r="E288" t="s">
        <v>22</v>
      </c>
      <c r="F288" t="s">
        <v>13</v>
      </c>
      <c r="H288" s="4">
        <v>3</v>
      </c>
      <c r="I288" s="12" t="s">
        <v>14</v>
      </c>
    </row>
    <row r="289" spans="1:9" ht="27.6">
      <c r="A289" s="3" t="s">
        <v>690</v>
      </c>
      <c r="B289" t="s">
        <v>9</v>
      </c>
      <c r="C289" t="s">
        <v>577</v>
      </c>
      <c r="D289" t="s">
        <v>691</v>
      </c>
      <c r="E289" t="s">
        <v>22</v>
      </c>
      <c r="F289" t="s">
        <v>13</v>
      </c>
      <c r="H289" s="4">
        <v>2</v>
      </c>
      <c r="I289" s="12" t="s">
        <v>14</v>
      </c>
    </row>
    <row r="290" spans="1:9" ht="27.6">
      <c r="A290" s="3" t="s">
        <v>692</v>
      </c>
      <c r="B290" t="s">
        <v>9</v>
      </c>
      <c r="C290" t="s">
        <v>580</v>
      </c>
      <c r="D290" t="s">
        <v>693</v>
      </c>
      <c r="E290" t="s">
        <v>22</v>
      </c>
      <c r="F290" t="s">
        <v>13</v>
      </c>
      <c r="H290" s="4">
        <v>11</v>
      </c>
      <c r="I290" s="12" t="s">
        <v>14</v>
      </c>
    </row>
    <row r="291" spans="1:9" ht="27.6">
      <c r="A291" s="3" t="s">
        <v>694</v>
      </c>
      <c r="B291" t="s">
        <v>9</v>
      </c>
      <c r="C291" t="s">
        <v>580</v>
      </c>
      <c r="D291" t="s">
        <v>695</v>
      </c>
      <c r="E291" t="s">
        <v>22</v>
      </c>
      <c r="F291" t="s">
        <v>13</v>
      </c>
      <c r="H291" s="4">
        <v>2</v>
      </c>
      <c r="I291" s="12" t="s">
        <v>14</v>
      </c>
    </row>
    <row r="292" spans="1:9" ht="27.6">
      <c r="A292" s="3" t="s">
        <v>696</v>
      </c>
      <c r="B292" t="s">
        <v>9</v>
      </c>
      <c r="C292" t="s">
        <v>606</v>
      </c>
      <c r="D292" t="s">
        <v>611</v>
      </c>
      <c r="E292" t="s">
        <v>22</v>
      </c>
      <c r="F292" t="s">
        <v>13</v>
      </c>
      <c r="H292" s="4">
        <v>1</v>
      </c>
      <c r="I292" s="12" t="s">
        <v>14</v>
      </c>
    </row>
    <row r="293" spans="1:9" ht="27.6">
      <c r="A293" s="3" t="s">
        <v>697</v>
      </c>
      <c r="B293" t="s">
        <v>9</v>
      </c>
      <c r="C293" t="s">
        <v>698</v>
      </c>
      <c r="D293" t="s">
        <v>699</v>
      </c>
      <c r="E293" t="s">
        <v>22</v>
      </c>
      <c r="F293" t="s">
        <v>13</v>
      </c>
      <c r="H293" s="4">
        <v>1</v>
      </c>
      <c r="I293" s="12" t="s">
        <v>14</v>
      </c>
    </row>
    <row r="294" spans="1:9" ht="27.6">
      <c r="A294" s="3" t="s">
        <v>700</v>
      </c>
      <c r="B294" t="s">
        <v>9</v>
      </c>
      <c r="C294" t="s">
        <v>701</v>
      </c>
      <c r="D294" t="s">
        <v>702</v>
      </c>
      <c r="E294" t="s">
        <v>22</v>
      </c>
      <c r="F294" t="s">
        <v>13</v>
      </c>
      <c r="H294" s="4">
        <v>3</v>
      </c>
      <c r="I294" s="12" t="s">
        <v>14</v>
      </c>
    </row>
    <row r="295" spans="1:9" ht="27.6">
      <c r="A295" s="3" t="s">
        <v>703</v>
      </c>
      <c r="B295" t="s">
        <v>9</v>
      </c>
      <c r="C295" t="s">
        <v>701</v>
      </c>
      <c r="D295" t="s">
        <v>704</v>
      </c>
      <c r="E295" t="s">
        <v>22</v>
      </c>
      <c r="F295" t="s">
        <v>13</v>
      </c>
      <c r="H295" s="4">
        <v>2</v>
      </c>
      <c r="I295" s="12" t="s">
        <v>14</v>
      </c>
    </row>
    <row r="296" spans="1:9" ht="27.6">
      <c r="A296" s="3" t="s">
        <v>705</v>
      </c>
      <c r="B296" t="s">
        <v>9</v>
      </c>
      <c r="C296" t="s">
        <v>606</v>
      </c>
      <c r="D296" t="s">
        <v>611</v>
      </c>
      <c r="E296" t="s">
        <v>22</v>
      </c>
      <c r="F296" t="s">
        <v>13</v>
      </c>
      <c r="H296" s="4">
        <v>8</v>
      </c>
      <c r="I296" s="12" t="s">
        <v>14</v>
      </c>
    </row>
    <row r="297" spans="1:9" ht="27.6">
      <c r="A297" s="3" t="s">
        <v>706</v>
      </c>
      <c r="B297" t="s">
        <v>9</v>
      </c>
      <c r="C297" t="s">
        <v>580</v>
      </c>
      <c r="D297" t="s">
        <v>695</v>
      </c>
      <c r="E297" t="s">
        <v>22</v>
      </c>
      <c r="F297" t="s">
        <v>13</v>
      </c>
      <c r="H297" s="4">
        <v>2</v>
      </c>
      <c r="I297" s="12" t="s">
        <v>14</v>
      </c>
    </row>
    <row r="298" spans="1:9" ht="27.6">
      <c r="A298" s="3" t="s">
        <v>707</v>
      </c>
      <c r="B298" t="s">
        <v>9</v>
      </c>
      <c r="C298" t="s">
        <v>580</v>
      </c>
      <c r="D298" t="s">
        <v>708</v>
      </c>
      <c r="E298" t="s">
        <v>22</v>
      </c>
      <c r="F298" t="s">
        <v>13</v>
      </c>
      <c r="H298" s="4">
        <v>1</v>
      </c>
      <c r="I298" s="12" t="s">
        <v>14</v>
      </c>
    </row>
    <row r="299" spans="1:9" ht="27.6">
      <c r="A299" s="3" t="s">
        <v>709</v>
      </c>
      <c r="B299" t="s">
        <v>9</v>
      </c>
      <c r="C299" t="s">
        <v>586</v>
      </c>
      <c r="D299" t="s">
        <v>710</v>
      </c>
      <c r="E299" t="s">
        <v>22</v>
      </c>
      <c r="F299" t="s">
        <v>13</v>
      </c>
      <c r="H299" s="4">
        <v>2</v>
      </c>
      <c r="I299" s="12" t="s">
        <v>14</v>
      </c>
    </row>
    <row r="300" spans="1:9" ht="27.6">
      <c r="A300" s="3" t="s">
        <v>711</v>
      </c>
      <c r="B300" t="s">
        <v>9</v>
      </c>
      <c r="C300" t="s">
        <v>599</v>
      </c>
      <c r="D300" t="s">
        <v>712</v>
      </c>
      <c r="E300" t="s">
        <v>22</v>
      </c>
      <c r="F300" t="s">
        <v>13</v>
      </c>
      <c r="H300" s="4">
        <v>4</v>
      </c>
      <c r="I300" s="12" t="s">
        <v>14</v>
      </c>
    </row>
    <row r="301" spans="1:9" ht="27.6">
      <c r="A301" s="3" t="s">
        <v>713</v>
      </c>
      <c r="B301" t="s">
        <v>9</v>
      </c>
      <c r="C301" t="s">
        <v>714</v>
      </c>
      <c r="D301" t="s">
        <v>715</v>
      </c>
      <c r="E301" t="s">
        <v>22</v>
      </c>
      <c r="F301" t="s">
        <v>13</v>
      </c>
      <c r="H301" s="4">
        <v>2</v>
      </c>
      <c r="I301" s="12" t="s">
        <v>14</v>
      </c>
    </row>
    <row r="302" spans="1:9" ht="27.6">
      <c r="A302" s="3" t="s">
        <v>716</v>
      </c>
      <c r="B302" t="s">
        <v>9</v>
      </c>
      <c r="C302" t="s">
        <v>714</v>
      </c>
      <c r="D302" t="s">
        <v>717</v>
      </c>
      <c r="E302" t="s">
        <v>22</v>
      </c>
      <c r="F302" t="s">
        <v>13</v>
      </c>
      <c r="H302" s="4">
        <v>10</v>
      </c>
      <c r="I302" s="12" t="s">
        <v>14</v>
      </c>
    </row>
    <row r="303" spans="1:9" ht="27.6">
      <c r="A303" s="3" t="s">
        <v>718</v>
      </c>
      <c r="B303" t="s">
        <v>9</v>
      </c>
      <c r="C303" t="s">
        <v>606</v>
      </c>
      <c r="D303" t="s">
        <v>611</v>
      </c>
      <c r="E303" t="s">
        <v>22</v>
      </c>
      <c r="F303" t="s">
        <v>13</v>
      </c>
      <c r="H303" s="4">
        <v>2</v>
      </c>
      <c r="I303" s="12" t="s">
        <v>14</v>
      </c>
    </row>
    <row r="304" spans="1:9" ht="27.6">
      <c r="A304" s="3" t="s">
        <v>719</v>
      </c>
      <c r="B304" t="s">
        <v>9</v>
      </c>
      <c r="C304" t="s">
        <v>653</v>
      </c>
      <c r="D304" t="s">
        <v>673</v>
      </c>
      <c r="E304" t="s">
        <v>22</v>
      </c>
      <c r="F304" t="s">
        <v>13</v>
      </c>
      <c r="H304" s="4">
        <v>2</v>
      </c>
      <c r="I304" s="12" t="s">
        <v>14</v>
      </c>
    </row>
    <row r="305" spans="1:9" ht="27.6">
      <c r="A305" s="3" t="s">
        <v>720</v>
      </c>
      <c r="B305" t="s">
        <v>9</v>
      </c>
      <c r="C305" t="s">
        <v>653</v>
      </c>
      <c r="D305" t="s">
        <v>673</v>
      </c>
      <c r="E305" t="s">
        <v>22</v>
      </c>
      <c r="F305" t="s">
        <v>13</v>
      </c>
      <c r="H305" s="4">
        <v>4</v>
      </c>
      <c r="I305" s="12" t="s">
        <v>14</v>
      </c>
    </row>
    <row r="306" spans="1:9" ht="27.6">
      <c r="A306" s="3" t="s">
        <v>721</v>
      </c>
      <c r="B306" t="s">
        <v>9</v>
      </c>
      <c r="C306" t="s">
        <v>653</v>
      </c>
      <c r="D306" t="s">
        <v>722</v>
      </c>
      <c r="E306" t="s">
        <v>22</v>
      </c>
      <c r="F306" t="s">
        <v>13</v>
      </c>
      <c r="H306" s="4">
        <v>4</v>
      </c>
      <c r="I306" s="12" t="s">
        <v>14</v>
      </c>
    </row>
    <row r="307" spans="1:9" ht="27.6">
      <c r="A307" s="3" t="s">
        <v>723</v>
      </c>
      <c r="B307" t="s">
        <v>9</v>
      </c>
      <c r="C307" t="s">
        <v>724</v>
      </c>
      <c r="D307" t="s">
        <v>725</v>
      </c>
      <c r="E307" t="s">
        <v>22</v>
      </c>
      <c r="F307" t="s">
        <v>13</v>
      </c>
      <c r="H307" s="4">
        <v>2</v>
      </c>
      <c r="I307" s="12" t="s">
        <v>14</v>
      </c>
    </row>
    <row r="308" spans="1:9" ht="27.6">
      <c r="A308" s="3" t="s">
        <v>726</v>
      </c>
      <c r="B308" t="s">
        <v>9</v>
      </c>
      <c r="C308" t="s">
        <v>653</v>
      </c>
      <c r="D308" t="s">
        <v>727</v>
      </c>
      <c r="E308" t="s">
        <v>22</v>
      </c>
      <c r="F308" t="s">
        <v>13</v>
      </c>
      <c r="H308" s="4">
        <v>3</v>
      </c>
      <c r="I308" s="12" t="s">
        <v>14</v>
      </c>
    </row>
    <row r="309" spans="1:9" ht="27.6">
      <c r="A309" s="3" t="s">
        <v>728</v>
      </c>
      <c r="B309" t="s">
        <v>9</v>
      </c>
      <c r="C309" t="s">
        <v>580</v>
      </c>
      <c r="D309" t="s">
        <v>643</v>
      </c>
      <c r="E309" t="s">
        <v>22</v>
      </c>
      <c r="F309" t="s">
        <v>13</v>
      </c>
      <c r="H309" s="4">
        <v>28</v>
      </c>
      <c r="I309" s="12" t="s">
        <v>14</v>
      </c>
    </row>
    <row r="310" spans="1:9" ht="27.6">
      <c r="A310" s="3" t="s">
        <v>729</v>
      </c>
      <c r="B310" t="s">
        <v>9</v>
      </c>
      <c r="C310" t="s">
        <v>653</v>
      </c>
      <c r="D310" t="s">
        <v>722</v>
      </c>
      <c r="E310" t="s">
        <v>22</v>
      </c>
      <c r="F310" t="s">
        <v>13</v>
      </c>
      <c r="H310" s="4">
        <v>6</v>
      </c>
      <c r="I310" s="12" t="s">
        <v>14</v>
      </c>
    </row>
    <row r="311" spans="1:9" ht="27.6">
      <c r="A311" s="3" t="s">
        <v>730</v>
      </c>
      <c r="B311" t="s">
        <v>9</v>
      </c>
      <c r="C311" s="6" t="s">
        <v>731</v>
      </c>
      <c r="D311" s="6" t="s">
        <v>732</v>
      </c>
      <c r="E311" s="5" t="s">
        <v>22</v>
      </c>
      <c r="F311" t="s">
        <v>13</v>
      </c>
      <c r="H311" s="4">
        <v>8</v>
      </c>
      <c r="I311" s="12" t="s">
        <v>14</v>
      </c>
    </row>
    <row r="312" spans="1:9" ht="27.6">
      <c r="A312" s="3" t="s">
        <v>733</v>
      </c>
      <c r="B312" t="s">
        <v>9</v>
      </c>
      <c r="C312" t="s">
        <v>653</v>
      </c>
      <c r="D312" t="s">
        <v>606</v>
      </c>
      <c r="E312" t="s">
        <v>22</v>
      </c>
      <c r="F312" t="s">
        <v>13</v>
      </c>
      <c r="H312" s="4">
        <v>2</v>
      </c>
      <c r="I312" s="12" t="s">
        <v>14</v>
      </c>
    </row>
    <row r="313" spans="1:9" ht="27.6">
      <c r="A313" s="3" t="s">
        <v>734</v>
      </c>
      <c r="B313" t="s">
        <v>9</v>
      </c>
      <c r="C313" t="s">
        <v>586</v>
      </c>
      <c r="D313" t="s">
        <v>735</v>
      </c>
      <c r="E313" t="s">
        <v>22</v>
      </c>
      <c r="F313" t="s">
        <v>13</v>
      </c>
      <c r="H313" s="4">
        <v>4</v>
      </c>
      <c r="I313" s="12" t="s">
        <v>14</v>
      </c>
    </row>
    <row r="314" spans="1:9" ht="27.6">
      <c r="A314" s="3" t="s">
        <v>736</v>
      </c>
      <c r="B314" t="s">
        <v>9</v>
      </c>
      <c r="C314" t="s">
        <v>714</v>
      </c>
      <c r="D314" t="s">
        <v>737</v>
      </c>
      <c r="E314" t="s">
        <v>22</v>
      </c>
      <c r="F314" t="s">
        <v>13</v>
      </c>
      <c r="H314" s="4">
        <v>3</v>
      </c>
      <c r="I314" s="12" t="s">
        <v>14</v>
      </c>
    </row>
    <row r="315" spans="1:9" ht="27.6">
      <c r="A315" s="3" t="s">
        <v>738</v>
      </c>
      <c r="B315" t="s">
        <v>9</v>
      </c>
      <c r="C315" t="s">
        <v>312</v>
      </c>
      <c r="D315" t="s">
        <v>739</v>
      </c>
      <c r="E315" t="s">
        <v>22</v>
      </c>
      <c r="F315" t="s">
        <v>13</v>
      </c>
      <c r="H315" s="4">
        <v>1</v>
      </c>
      <c r="I315" s="12" t="s">
        <v>14</v>
      </c>
    </row>
    <row r="316" spans="1:9" ht="27.6">
      <c r="A316" s="3" t="s">
        <v>740</v>
      </c>
      <c r="B316" t="s">
        <v>9</v>
      </c>
      <c r="C316" t="s">
        <v>84</v>
      </c>
      <c r="D316" t="s">
        <v>41</v>
      </c>
      <c r="E316" t="s">
        <v>308</v>
      </c>
      <c r="F316" t="s">
        <v>13</v>
      </c>
      <c r="H316" s="4">
        <v>1</v>
      </c>
      <c r="I316" s="12" t="s">
        <v>14</v>
      </c>
    </row>
    <row r="317" spans="1:9" ht="27.6">
      <c r="A317" s="3" t="s">
        <v>741</v>
      </c>
      <c r="B317" t="s">
        <v>9</v>
      </c>
      <c r="C317" t="s">
        <v>174</v>
      </c>
      <c r="D317" t="s">
        <v>41</v>
      </c>
      <c r="E317" t="s">
        <v>18</v>
      </c>
      <c r="F317" t="s">
        <v>13</v>
      </c>
      <c r="H317" s="4">
        <v>1</v>
      </c>
      <c r="I317" s="12" t="s">
        <v>14</v>
      </c>
    </row>
    <row r="318" spans="1:9" ht="27.6">
      <c r="A318" s="3" t="s">
        <v>742</v>
      </c>
      <c r="B318" t="s">
        <v>9</v>
      </c>
      <c r="C318" t="s">
        <v>586</v>
      </c>
      <c r="D318" t="s">
        <v>587</v>
      </c>
      <c r="E318" t="s">
        <v>22</v>
      </c>
      <c r="F318" t="s">
        <v>13</v>
      </c>
      <c r="H318" s="4">
        <v>8</v>
      </c>
      <c r="I318" s="12" t="s">
        <v>14</v>
      </c>
    </row>
    <row r="319" spans="1:9" ht="27.6">
      <c r="A319" s="3" t="s">
        <v>743</v>
      </c>
      <c r="B319" t="s">
        <v>9</v>
      </c>
      <c r="C319" t="s">
        <v>744</v>
      </c>
      <c r="D319" t="s">
        <v>745</v>
      </c>
      <c r="E319" t="s">
        <v>12</v>
      </c>
      <c r="F319" t="s">
        <v>13</v>
      </c>
      <c r="H319" s="4">
        <v>2</v>
      </c>
      <c r="I319" s="12" t="s">
        <v>14</v>
      </c>
    </row>
    <row r="320" spans="1:9" ht="27.6">
      <c r="A320" s="3" t="s">
        <v>746</v>
      </c>
      <c r="B320" t="s">
        <v>9</v>
      </c>
      <c r="C320" t="s">
        <v>84</v>
      </c>
      <c r="D320" t="s">
        <v>41</v>
      </c>
      <c r="E320" t="s">
        <v>12</v>
      </c>
      <c r="F320" t="s">
        <v>13</v>
      </c>
      <c r="H320" s="4">
        <v>1</v>
      </c>
      <c r="I320" s="12" t="s">
        <v>14</v>
      </c>
    </row>
    <row r="321" spans="1:9" ht="27.6">
      <c r="A321" s="3" t="s">
        <v>747</v>
      </c>
      <c r="B321" t="s">
        <v>9</v>
      </c>
      <c r="C321" t="s">
        <v>748</v>
      </c>
      <c r="D321" t="s">
        <v>748</v>
      </c>
      <c r="E321" t="s">
        <v>22</v>
      </c>
      <c r="F321" t="s">
        <v>13</v>
      </c>
      <c r="H321" s="4">
        <v>4</v>
      </c>
      <c r="I321" s="12" t="s">
        <v>14</v>
      </c>
    </row>
    <row r="322" spans="1:9" ht="27.6">
      <c r="A322" s="3" t="s">
        <v>749</v>
      </c>
      <c r="B322" t="s">
        <v>9</v>
      </c>
      <c r="C322" t="s">
        <v>473</v>
      </c>
      <c r="D322" t="s">
        <v>474</v>
      </c>
      <c r="E322" t="s">
        <v>22</v>
      </c>
      <c r="F322" t="s">
        <v>13</v>
      </c>
      <c r="H322" s="4">
        <v>1</v>
      </c>
      <c r="I322" s="12" t="s">
        <v>14</v>
      </c>
    </row>
    <row r="323" spans="1:9" ht="27.6">
      <c r="A323" s="3" t="s">
        <v>750</v>
      </c>
      <c r="B323" t="s">
        <v>9</v>
      </c>
      <c r="C323" t="s">
        <v>751</v>
      </c>
      <c r="D323" t="s">
        <v>492</v>
      </c>
      <c r="E323" t="s">
        <v>22</v>
      </c>
      <c r="F323" t="s">
        <v>13</v>
      </c>
      <c r="H323" s="4">
        <v>8</v>
      </c>
      <c r="I323" s="12" t="s">
        <v>14</v>
      </c>
    </row>
    <row r="324" spans="1:9" ht="27.6">
      <c r="A324" s="3" t="s">
        <v>752</v>
      </c>
      <c r="B324" t="s">
        <v>9</v>
      </c>
      <c r="C324" t="s">
        <v>753</v>
      </c>
      <c r="D324" t="s">
        <v>489</v>
      </c>
      <c r="E324" t="s">
        <v>22</v>
      </c>
      <c r="F324" t="s">
        <v>13</v>
      </c>
      <c r="H324" s="4">
        <v>1</v>
      </c>
      <c r="I324" s="12" t="s">
        <v>14</v>
      </c>
    </row>
    <row r="325" spans="1:9" ht="27.6">
      <c r="A325" s="3" t="s">
        <v>754</v>
      </c>
      <c r="B325" t="s">
        <v>9</v>
      </c>
      <c r="C325" t="s">
        <v>755</v>
      </c>
      <c r="D325" t="s">
        <v>492</v>
      </c>
      <c r="E325" t="s">
        <v>22</v>
      </c>
      <c r="F325" t="s">
        <v>13</v>
      </c>
      <c r="H325" s="4">
        <v>2</v>
      </c>
      <c r="I325" s="12" t="s">
        <v>14</v>
      </c>
    </row>
    <row r="326" spans="1:9" ht="27.6">
      <c r="A326" s="3" t="s">
        <v>756</v>
      </c>
      <c r="B326" t="s">
        <v>9</v>
      </c>
      <c r="C326" t="s">
        <v>755</v>
      </c>
      <c r="D326" t="s">
        <v>492</v>
      </c>
      <c r="E326" t="s">
        <v>22</v>
      </c>
      <c r="F326" t="s">
        <v>13</v>
      </c>
      <c r="H326" s="4">
        <v>1</v>
      </c>
      <c r="I326" s="12" t="s">
        <v>14</v>
      </c>
    </row>
    <row r="327" spans="1:9" ht="27.6">
      <c r="A327" s="3" t="s">
        <v>757</v>
      </c>
      <c r="B327" t="s">
        <v>9</v>
      </c>
      <c r="C327" t="s">
        <v>753</v>
      </c>
      <c r="D327" t="s">
        <v>489</v>
      </c>
      <c r="E327" t="s">
        <v>22</v>
      </c>
      <c r="F327" t="s">
        <v>13</v>
      </c>
      <c r="H327" s="4">
        <v>1</v>
      </c>
      <c r="I327" s="12" t="s">
        <v>14</v>
      </c>
    </row>
    <row r="328" spans="1:9" ht="27.6">
      <c r="A328" s="3" t="s">
        <v>758</v>
      </c>
      <c r="B328" t="s">
        <v>9</v>
      </c>
      <c r="C328" t="s">
        <v>577</v>
      </c>
      <c r="D328" t="s">
        <v>759</v>
      </c>
      <c r="E328" t="s">
        <v>22</v>
      </c>
      <c r="F328" t="s">
        <v>13</v>
      </c>
      <c r="H328" s="4">
        <v>2</v>
      </c>
      <c r="I328" s="12" t="s">
        <v>14</v>
      </c>
    </row>
    <row r="329" spans="1:9" ht="27.6">
      <c r="A329" s="3" t="s">
        <v>760</v>
      </c>
      <c r="B329" t="s">
        <v>9</v>
      </c>
      <c r="C329" t="s">
        <v>761</v>
      </c>
      <c r="D329" t="s">
        <v>762</v>
      </c>
      <c r="E329" t="s">
        <v>22</v>
      </c>
      <c r="F329" t="s">
        <v>13</v>
      </c>
      <c r="H329" s="4">
        <v>1</v>
      </c>
      <c r="I329" s="12" t="s">
        <v>14</v>
      </c>
    </row>
    <row r="330" spans="1:9">
      <c r="A330" s="7" t="s">
        <v>763</v>
      </c>
      <c r="B330" s="5" t="s">
        <v>9</v>
      </c>
      <c r="C330" s="6" t="s">
        <v>153</v>
      </c>
      <c r="D330" s="6" t="s">
        <v>764</v>
      </c>
      <c r="E330" s="5" t="s">
        <v>22</v>
      </c>
      <c r="F330" s="5" t="s">
        <v>13</v>
      </c>
      <c r="G330" s="5"/>
      <c r="H330" s="8">
        <v>1</v>
      </c>
      <c r="I330" s="8" t="s">
        <v>765</v>
      </c>
    </row>
    <row r="331" spans="1:9">
      <c r="A331" s="7" t="s">
        <v>8</v>
      </c>
      <c r="B331" s="5" t="s">
        <v>9</v>
      </c>
      <c r="C331" s="6" t="s">
        <v>10</v>
      </c>
      <c r="D331" s="6" t="s">
        <v>11</v>
      </c>
      <c r="E331" s="5" t="s">
        <v>12</v>
      </c>
      <c r="F331" s="5" t="s">
        <v>13</v>
      </c>
      <c r="G331" s="5"/>
      <c r="H331" s="8">
        <v>1</v>
      </c>
      <c r="I331" s="8" t="s">
        <v>765</v>
      </c>
    </row>
    <row r="332" spans="1:9">
      <c r="A332" s="7" t="s">
        <v>766</v>
      </c>
      <c r="B332" s="5" t="s">
        <v>9</v>
      </c>
      <c r="C332" s="6" t="s">
        <v>241</v>
      </c>
      <c r="D332" s="6" t="s">
        <v>767</v>
      </c>
      <c r="E332" s="5" t="s">
        <v>22</v>
      </c>
      <c r="F332" s="5" t="s">
        <v>13</v>
      </c>
      <c r="G332" s="5"/>
      <c r="H332" s="8">
        <v>2</v>
      </c>
      <c r="I332" s="8" t="s">
        <v>765</v>
      </c>
    </row>
    <row r="333" spans="1:9">
      <c r="A333" s="7" t="s">
        <v>52</v>
      </c>
      <c r="B333" s="5" t="s">
        <v>9</v>
      </c>
      <c r="C333" s="6" t="s">
        <v>53</v>
      </c>
      <c r="D333" s="6" t="s">
        <v>54</v>
      </c>
      <c r="E333" s="5" t="s">
        <v>22</v>
      </c>
      <c r="F333" s="5" t="s">
        <v>13</v>
      </c>
      <c r="G333" s="5"/>
      <c r="H333" s="8">
        <v>1</v>
      </c>
      <c r="I333" s="8" t="s">
        <v>765</v>
      </c>
    </row>
    <row r="334" spans="1:9">
      <c r="A334" s="7" t="s">
        <v>768</v>
      </c>
      <c r="B334" s="5" t="s">
        <v>9</v>
      </c>
      <c r="C334" s="6" t="s">
        <v>769</v>
      </c>
      <c r="D334" s="6" t="s">
        <v>769</v>
      </c>
      <c r="E334" s="5" t="s">
        <v>22</v>
      </c>
      <c r="F334" s="5" t="s">
        <v>13</v>
      </c>
      <c r="G334" s="5"/>
      <c r="H334" s="8">
        <v>2</v>
      </c>
      <c r="I334" s="8" t="s">
        <v>765</v>
      </c>
    </row>
    <row r="335" spans="1:9">
      <c r="A335" s="7" t="s">
        <v>269</v>
      </c>
      <c r="B335" s="5" t="s">
        <v>9</v>
      </c>
      <c r="C335" s="6" t="s">
        <v>121</v>
      </c>
      <c r="D335" s="6" t="s">
        <v>270</v>
      </c>
      <c r="E335" s="5" t="s">
        <v>22</v>
      </c>
      <c r="F335" s="5" t="s">
        <v>13</v>
      </c>
      <c r="G335" s="5"/>
      <c r="H335" s="8">
        <v>8</v>
      </c>
      <c r="I335" s="8" t="s">
        <v>765</v>
      </c>
    </row>
    <row r="336" spans="1:9">
      <c r="A336" s="7" t="s">
        <v>770</v>
      </c>
      <c r="B336" s="5" t="s">
        <v>9</v>
      </c>
      <c r="C336" s="6" t="s">
        <v>771</v>
      </c>
      <c r="D336" s="6" t="s">
        <v>772</v>
      </c>
      <c r="E336" s="5" t="s">
        <v>22</v>
      </c>
      <c r="F336" s="5" t="s">
        <v>13</v>
      </c>
      <c r="G336" s="5"/>
      <c r="H336" s="8">
        <v>1</v>
      </c>
      <c r="I336" s="8" t="s">
        <v>765</v>
      </c>
    </row>
    <row r="337" spans="1:9">
      <c r="A337" s="7" t="s">
        <v>773</v>
      </c>
      <c r="B337" s="5" t="s">
        <v>9</v>
      </c>
      <c r="C337" s="6" t="s">
        <v>774</v>
      </c>
      <c r="D337" s="6" t="s">
        <v>775</v>
      </c>
      <c r="E337" s="5" t="s">
        <v>12</v>
      </c>
      <c r="F337" s="5" t="s">
        <v>13</v>
      </c>
      <c r="G337" s="5"/>
      <c r="H337" s="8">
        <v>1</v>
      </c>
      <c r="I337" s="8" t="s">
        <v>765</v>
      </c>
    </row>
    <row r="338" spans="1:9">
      <c r="A338" s="7" t="s">
        <v>776</v>
      </c>
      <c r="B338" s="5" t="s">
        <v>9</v>
      </c>
      <c r="C338" s="6" t="s">
        <v>312</v>
      </c>
      <c r="D338" s="6" t="s">
        <v>739</v>
      </c>
      <c r="E338" s="5" t="s">
        <v>22</v>
      </c>
      <c r="F338" s="5" t="s">
        <v>13</v>
      </c>
      <c r="G338" s="5"/>
      <c r="H338" s="8">
        <v>2</v>
      </c>
      <c r="I338" s="8" t="s">
        <v>765</v>
      </c>
    </row>
    <row r="339" spans="1:9">
      <c r="A339" s="7" t="s">
        <v>777</v>
      </c>
      <c r="B339" s="5" t="s">
        <v>9</v>
      </c>
      <c r="C339" s="6" t="s">
        <v>312</v>
      </c>
      <c r="D339" s="6" t="s">
        <v>778</v>
      </c>
      <c r="E339" s="5" t="s">
        <v>22</v>
      </c>
      <c r="F339" s="5" t="s">
        <v>13</v>
      </c>
      <c r="G339" s="5"/>
      <c r="H339" s="8">
        <v>3</v>
      </c>
      <c r="I339" s="8" t="s">
        <v>765</v>
      </c>
    </row>
    <row r="340" spans="1:9">
      <c r="A340" s="7" t="s">
        <v>779</v>
      </c>
      <c r="B340" s="5" t="s">
        <v>9</v>
      </c>
      <c r="C340" s="6" t="s">
        <v>110</v>
      </c>
      <c r="D340" s="6" t="s">
        <v>111</v>
      </c>
      <c r="E340" s="5" t="s">
        <v>22</v>
      </c>
      <c r="F340" s="5" t="s">
        <v>13</v>
      </c>
      <c r="G340" s="5"/>
      <c r="H340" s="8">
        <v>2</v>
      </c>
      <c r="I340" s="8" t="s">
        <v>765</v>
      </c>
    </row>
    <row r="341" spans="1:9">
      <c r="A341" s="7" t="s">
        <v>466</v>
      </c>
      <c r="B341" s="5" t="s">
        <v>9</v>
      </c>
      <c r="C341" s="6" t="s">
        <v>467</v>
      </c>
      <c r="D341" s="6" t="s">
        <v>468</v>
      </c>
      <c r="E341" s="5" t="s">
        <v>22</v>
      </c>
      <c r="F341" s="5" t="s">
        <v>13</v>
      </c>
      <c r="G341" s="5"/>
      <c r="H341" s="8">
        <v>1</v>
      </c>
      <c r="I341" s="8" t="s">
        <v>765</v>
      </c>
    </row>
    <row r="342" spans="1:9">
      <c r="A342" s="7" t="s">
        <v>780</v>
      </c>
      <c r="B342" s="5" t="s">
        <v>9</v>
      </c>
      <c r="C342" s="6" t="s">
        <v>265</v>
      </c>
      <c r="D342" s="6" t="s">
        <v>265</v>
      </c>
      <c r="E342" s="5" t="s">
        <v>22</v>
      </c>
      <c r="F342" s="5" t="s">
        <v>13</v>
      </c>
      <c r="G342" s="5"/>
      <c r="H342" s="8">
        <v>2</v>
      </c>
      <c r="I342" s="8" t="s">
        <v>765</v>
      </c>
    </row>
    <row r="343" spans="1:9">
      <c r="A343" s="7" t="s">
        <v>469</v>
      </c>
      <c r="B343" s="5" t="s">
        <v>9</v>
      </c>
      <c r="C343" s="6" t="s">
        <v>470</v>
      </c>
      <c r="D343" s="6" t="s">
        <v>471</v>
      </c>
      <c r="E343" s="5" t="s">
        <v>22</v>
      </c>
      <c r="F343" s="5" t="s">
        <v>13</v>
      </c>
      <c r="G343" s="5"/>
      <c r="H343" s="8">
        <v>2</v>
      </c>
      <c r="I343" s="8" t="s">
        <v>765</v>
      </c>
    </row>
    <row r="344" spans="1:9">
      <c r="A344" s="7" t="s">
        <v>781</v>
      </c>
      <c r="B344" s="5" t="s">
        <v>9</v>
      </c>
      <c r="C344" s="6" t="s">
        <v>312</v>
      </c>
      <c r="D344" s="6" t="s">
        <v>739</v>
      </c>
      <c r="E344" s="5" t="s">
        <v>22</v>
      </c>
      <c r="F344" s="5" t="s">
        <v>13</v>
      </c>
      <c r="G344" s="5"/>
      <c r="H344" s="8">
        <v>1</v>
      </c>
      <c r="I344" s="8" t="s">
        <v>765</v>
      </c>
    </row>
    <row r="345" spans="1:9">
      <c r="A345" s="7" t="s">
        <v>782</v>
      </c>
      <c r="B345" s="5" t="s">
        <v>9</v>
      </c>
      <c r="C345" s="6" t="s">
        <v>558</v>
      </c>
      <c r="D345" s="6" t="s">
        <v>558</v>
      </c>
      <c r="E345" s="5" t="s">
        <v>22</v>
      </c>
      <c r="F345" s="5" t="s">
        <v>13</v>
      </c>
      <c r="G345" s="5"/>
      <c r="H345" s="8">
        <v>2</v>
      </c>
      <c r="I345" s="8" t="s">
        <v>765</v>
      </c>
    </row>
    <row r="346" spans="1:9">
      <c r="A346" s="7" t="s">
        <v>783</v>
      </c>
      <c r="B346" s="5" t="s">
        <v>9</v>
      </c>
      <c r="C346" s="6" t="s">
        <v>84</v>
      </c>
      <c r="D346" s="6" t="s">
        <v>41</v>
      </c>
      <c r="E346" s="5" t="s">
        <v>39</v>
      </c>
      <c r="F346" s="5" t="s">
        <v>13</v>
      </c>
      <c r="G346" s="5"/>
      <c r="H346" s="8">
        <v>2</v>
      </c>
      <c r="I346" s="8" t="s">
        <v>765</v>
      </c>
    </row>
    <row r="347" spans="1:9">
      <c r="A347" s="7" t="s">
        <v>481</v>
      </c>
      <c r="B347" s="5" t="s">
        <v>9</v>
      </c>
      <c r="C347" s="6" t="s">
        <v>482</v>
      </c>
      <c r="D347" s="6" t="s">
        <v>483</v>
      </c>
      <c r="E347" s="5" t="s">
        <v>39</v>
      </c>
      <c r="F347" s="5" t="s">
        <v>13</v>
      </c>
      <c r="G347" s="5"/>
      <c r="H347" s="8">
        <v>1</v>
      </c>
      <c r="I347" s="8" t="s">
        <v>765</v>
      </c>
    </row>
    <row r="348" spans="1:9">
      <c r="A348" s="7" t="s">
        <v>784</v>
      </c>
      <c r="B348" s="5" t="s">
        <v>9</v>
      </c>
      <c r="C348" s="6" t="s">
        <v>56</v>
      </c>
      <c r="D348" s="6" t="s">
        <v>54</v>
      </c>
      <c r="E348" s="5" t="s">
        <v>22</v>
      </c>
      <c r="F348" s="5" t="s">
        <v>13</v>
      </c>
      <c r="G348" s="5"/>
      <c r="H348" s="8">
        <v>1</v>
      </c>
      <c r="I348" s="8" t="s">
        <v>765</v>
      </c>
    </row>
    <row r="349" spans="1:9">
      <c r="A349" s="7" t="s">
        <v>785</v>
      </c>
      <c r="B349" s="5" t="s">
        <v>9</v>
      </c>
      <c r="C349" s="6" t="s">
        <v>56</v>
      </c>
      <c r="D349" s="6" t="s">
        <v>54</v>
      </c>
      <c r="E349" s="5" t="s">
        <v>22</v>
      </c>
      <c r="F349" s="5" t="s">
        <v>13</v>
      </c>
      <c r="G349" s="5"/>
      <c r="H349" s="8">
        <v>1</v>
      </c>
      <c r="I349" s="8" t="s">
        <v>765</v>
      </c>
    </row>
    <row r="350" spans="1:9">
      <c r="A350" s="7" t="s">
        <v>786</v>
      </c>
      <c r="B350" s="5" t="s">
        <v>9</v>
      </c>
      <c r="C350" s="6" t="s">
        <v>56</v>
      </c>
      <c r="D350" s="6" t="s">
        <v>521</v>
      </c>
      <c r="E350" s="5" t="s">
        <v>308</v>
      </c>
      <c r="F350" s="5" t="s">
        <v>13</v>
      </c>
      <c r="G350" s="5"/>
      <c r="H350" s="8">
        <v>1</v>
      </c>
      <c r="I350" s="8" t="s">
        <v>765</v>
      </c>
    </row>
    <row r="351" spans="1:9">
      <c r="A351" s="7" t="s">
        <v>787</v>
      </c>
      <c r="B351" s="5" t="s">
        <v>9</v>
      </c>
      <c r="C351" s="6" t="s">
        <v>788</v>
      </c>
      <c r="D351" s="6" t="s">
        <v>789</v>
      </c>
      <c r="E351" s="5" t="s">
        <v>790</v>
      </c>
      <c r="F351" s="5" t="s">
        <v>13</v>
      </c>
      <c r="G351" s="5"/>
      <c r="H351" s="8">
        <v>1</v>
      </c>
      <c r="I351" s="8" t="s">
        <v>765</v>
      </c>
    </row>
    <row r="352" spans="1:9">
      <c r="A352" s="7" t="s">
        <v>791</v>
      </c>
      <c r="B352" s="5" t="s">
        <v>9</v>
      </c>
      <c r="C352" s="6" t="s">
        <v>174</v>
      </c>
      <c r="D352" s="6" t="s">
        <v>792</v>
      </c>
      <c r="E352" s="5" t="s">
        <v>18</v>
      </c>
      <c r="F352" s="5" t="s">
        <v>13</v>
      </c>
      <c r="G352" s="5"/>
      <c r="H352" s="8">
        <v>1</v>
      </c>
      <c r="I352" s="8" t="s">
        <v>765</v>
      </c>
    </row>
    <row r="353" spans="1:9">
      <c r="A353" s="7" t="s">
        <v>793</v>
      </c>
      <c r="B353" s="5" t="s">
        <v>9</v>
      </c>
      <c r="C353" s="6" t="s">
        <v>259</v>
      </c>
      <c r="D353" s="6" t="s">
        <v>485</v>
      </c>
      <c r="E353" s="5" t="s">
        <v>22</v>
      </c>
      <c r="F353" s="5" t="s">
        <v>13</v>
      </c>
      <c r="G353" s="5"/>
      <c r="H353" s="8">
        <v>10</v>
      </c>
      <c r="I353" s="8" t="s">
        <v>765</v>
      </c>
    </row>
    <row r="354" spans="1:9">
      <c r="A354" s="7" t="s">
        <v>484</v>
      </c>
      <c r="B354" s="5" t="s">
        <v>9</v>
      </c>
      <c r="C354" s="6" t="s">
        <v>259</v>
      </c>
      <c r="D354" s="6" t="s">
        <v>485</v>
      </c>
      <c r="E354" s="5" t="s">
        <v>22</v>
      </c>
      <c r="F354" s="5" t="s">
        <v>13</v>
      </c>
      <c r="G354" s="5"/>
      <c r="H354" s="8">
        <v>3</v>
      </c>
      <c r="I354" s="8" t="s">
        <v>765</v>
      </c>
    </row>
    <row r="355" spans="1:9">
      <c r="A355" s="7" t="s">
        <v>486</v>
      </c>
      <c r="B355" s="5" t="s">
        <v>9</v>
      </c>
      <c r="C355" s="6" t="s">
        <v>259</v>
      </c>
      <c r="D355" s="6" t="s">
        <v>485</v>
      </c>
      <c r="E355" s="5" t="s">
        <v>22</v>
      </c>
      <c r="F355" s="5" t="s">
        <v>13</v>
      </c>
      <c r="G355" s="5"/>
      <c r="H355" s="8">
        <v>33</v>
      </c>
      <c r="I355" s="8" t="s">
        <v>765</v>
      </c>
    </row>
    <row r="356" spans="1:9">
      <c r="A356" s="7" t="s">
        <v>488</v>
      </c>
      <c r="B356" s="5" t="s">
        <v>9</v>
      </c>
      <c r="C356" s="6" t="s">
        <v>259</v>
      </c>
      <c r="D356" s="6" t="s">
        <v>489</v>
      </c>
      <c r="E356" s="5" t="s">
        <v>22</v>
      </c>
      <c r="F356" s="5" t="s">
        <v>13</v>
      </c>
      <c r="G356" s="5"/>
      <c r="H356" s="8">
        <v>2</v>
      </c>
      <c r="I356" s="8" t="s">
        <v>765</v>
      </c>
    </row>
    <row r="357" spans="1:9">
      <c r="A357" s="7" t="s">
        <v>794</v>
      </c>
      <c r="B357" s="5" t="s">
        <v>9</v>
      </c>
      <c r="C357" s="6" t="s">
        <v>259</v>
      </c>
      <c r="D357" s="6" t="s">
        <v>485</v>
      </c>
      <c r="E357" s="5" t="s">
        <v>22</v>
      </c>
      <c r="F357" s="5" t="s">
        <v>13</v>
      </c>
      <c r="G357" s="5"/>
      <c r="H357" s="8">
        <v>2</v>
      </c>
      <c r="I357" s="8" t="s">
        <v>765</v>
      </c>
    </row>
    <row r="358" spans="1:9">
      <c r="A358" s="7" t="s">
        <v>490</v>
      </c>
      <c r="B358" s="5" t="s">
        <v>9</v>
      </c>
      <c r="C358" s="6" t="s">
        <v>259</v>
      </c>
      <c r="D358" s="6" t="s">
        <v>485</v>
      </c>
      <c r="E358" s="5" t="s">
        <v>22</v>
      </c>
      <c r="F358" s="5" t="s">
        <v>13</v>
      </c>
      <c r="G358" s="5"/>
      <c r="H358" s="8">
        <v>2</v>
      </c>
      <c r="I358" s="8" t="s">
        <v>765</v>
      </c>
    </row>
    <row r="359" spans="1:9">
      <c r="A359" s="7" t="s">
        <v>795</v>
      </c>
      <c r="B359" s="5" t="s">
        <v>9</v>
      </c>
      <c r="C359" s="6" t="s">
        <v>259</v>
      </c>
      <c r="D359" s="6" t="s">
        <v>485</v>
      </c>
      <c r="E359" s="5" t="s">
        <v>22</v>
      </c>
      <c r="F359" s="5" t="s">
        <v>13</v>
      </c>
      <c r="G359" s="5"/>
      <c r="H359" s="8">
        <v>24</v>
      </c>
      <c r="I359" s="8" t="s">
        <v>765</v>
      </c>
    </row>
    <row r="360" spans="1:9">
      <c r="A360" s="7" t="s">
        <v>796</v>
      </c>
      <c r="B360" s="5" t="s">
        <v>9</v>
      </c>
      <c r="C360" s="6" t="s">
        <v>259</v>
      </c>
      <c r="D360" s="6" t="s">
        <v>485</v>
      </c>
      <c r="E360" s="5" t="s">
        <v>22</v>
      </c>
      <c r="F360" s="5" t="s">
        <v>13</v>
      </c>
      <c r="G360" s="5"/>
      <c r="H360" s="8">
        <v>4</v>
      </c>
      <c r="I360" s="8" t="s">
        <v>765</v>
      </c>
    </row>
    <row r="361" spans="1:9">
      <c r="A361" s="7" t="s">
        <v>797</v>
      </c>
      <c r="B361" s="5" t="s">
        <v>9</v>
      </c>
      <c r="C361" s="6" t="s">
        <v>259</v>
      </c>
      <c r="D361" s="6" t="s">
        <v>485</v>
      </c>
      <c r="E361" s="5" t="s">
        <v>22</v>
      </c>
      <c r="F361" s="5" t="s">
        <v>13</v>
      </c>
      <c r="G361" s="5"/>
      <c r="H361" s="8">
        <v>2</v>
      </c>
      <c r="I361" s="8" t="s">
        <v>765</v>
      </c>
    </row>
    <row r="362" spans="1:9">
      <c r="A362" s="7" t="s">
        <v>798</v>
      </c>
      <c r="B362" s="5" t="s">
        <v>9</v>
      </c>
      <c r="C362" s="6" t="s">
        <v>259</v>
      </c>
      <c r="D362" s="6" t="s">
        <v>485</v>
      </c>
      <c r="E362" s="5" t="s">
        <v>22</v>
      </c>
      <c r="F362" s="5" t="s">
        <v>13</v>
      </c>
      <c r="G362" s="5"/>
      <c r="H362" s="8">
        <v>1</v>
      </c>
      <c r="I362" s="8" t="s">
        <v>765</v>
      </c>
    </row>
    <row r="363" spans="1:9">
      <c r="A363" s="7" t="s">
        <v>799</v>
      </c>
      <c r="B363" s="5" t="s">
        <v>9</v>
      </c>
      <c r="C363" s="6" t="s">
        <v>259</v>
      </c>
      <c r="D363" s="6" t="s">
        <v>485</v>
      </c>
      <c r="E363" s="5" t="s">
        <v>22</v>
      </c>
      <c r="F363" s="5" t="s">
        <v>13</v>
      </c>
      <c r="G363" s="5"/>
      <c r="H363" s="8">
        <v>2</v>
      </c>
      <c r="I363" s="8" t="s">
        <v>765</v>
      </c>
    </row>
    <row r="364" spans="1:9">
      <c r="A364" s="7" t="s">
        <v>800</v>
      </c>
      <c r="B364" s="5" t="s">
        <v>9</v>
      </c>
      <c r="C364" s="6" t="s">
        <v>259</v>
      </c>
      <c r="D364" s="6" t="s">
        <v>485</v>
      </c>
      <c r="E364" s="5" t="s">
        <v>22</v>
      </c>
      <c r="F364" s="5" t="s">
        <v>13</v>
      </c>
      <c r="G364" s="5"/>
      <c r="H364" s="8">
        <v>2</v>
      </c>
      <c r="I364" s="8" t="s">
        <v>765</v>
      </c>
    </row>
    <row r="365" spans="1:9">
      <c r="A365" s="7" t="s">
        <v>801</v>
      </c>
      <c r="B365" s="5" t="s">
        <v>9</v>
      </c>
      <c r="C365" s="6" t="s">
        <v>259</v>
      </c>
      <c r="D365" s="6" t="s">
        <v>485</v>
      </c>
      <c r="E365" s="5" t="s">
        <v>22</v>
      </c>
      <c r="F365" s="5" t="s">
        <v>13</v>
      </c>
      <c r="G365" s="5"/>
      <c r="H365" s="8">
        <v>2</v>
      </c>
      <c r="I365" s="8" t="s">
        <v>765</v>
      </c>
    </row>
    <row r="366" spans="1:9">
      <c r="A366" s="7" t="s">
        <v>802</v>
      </c>
      <c r="B366" s="5" t="s">
        <v>9</v>
      </c>
      <c r="C366" s="6" t="s">
        <v>485</v>
      </c>
      <c r="D366" s="6" t="s">
        <v>485</v>
      </c>
      <c r="E366" s="5" t="s">
        <v>22</v>
      </c>
      <c r="F366" s="5" t="s">
        <v>13</v>
      </c>
      <c r="G366" s="5"/>
      <c r="H366" s="8">
        <v>2</v>
      </c>
      <c r="I366" s="8" t="s">
        <v>765</v>
      </c>
    </row>
    <row r="367" spans="1:9">
      <c r="A367" s="7" t="s">
        <v>491</v>
      </c>
      <c r="B367" s="5" t="s">
        <v>9</v>
      </c>
      <c r="C367" s="6" t="s">
        <v>259</v>
      </c>
      <c r="D367" s="6" t="s">
        <v>492</v>
      </c>
      <c r="E367" s="5" t="s">
        <v>22</v>
      </c>
      <c r="F367" s="5" t="s">
        <v>13</v>
      </c>
      <c r="G367" s="5"/>
      <c r="H367" s="8">
        <v>2</v>
      </c>
      <c r="I367" s="8" t="s">
        <v>765</v>
      </c>
    </row>
    <row r="368" spans="1:9">
      <c r="A368" s="7" t="s">
        <v>803</v>
      </c>
      <c r="B368" s="5" t="s">
        <v>9</v>
      </c>
      <c r="C368" s="6" t="s">
        <v>485</v>
      </c>
      <c r="D368" s="6" t="s">
        <v>485</v>
      </c>
      <c r="E368" s="5" t="s">
        <v>22</v>
      </c>
      <c r="F368" s="5" t="s">
        <v>13</v>
      </c>
      <c r="G368" s="5"/>
      <c r="H368" s="8">
        <v>4</v>
      </c>
      <c r="I368" s="8" t="s">
        <v>765</v>
      </c>
    </row>
    <row r="369" spans="1:9">
      <c r="A369" s="7" t="s">
        <v>804</v>
      </c>
      <c r="B369" s="5" t="s">
        <v>9</v>
      </c>
      <c r="C369" s="6" t="s">
        <v>485</v>
      </c>
      <c r="D369" s="6" t="s">
        <v>485</v>
      </c>
      <c r="E369" s="5" t="s">
        <v>22</v>
      </c>
      <c r="F369" s="5" t="s">
        <v>13</v>
      </c>
      <c r="G369" s="5"/>
      <c r="H369" s="8">
        <v>6</v>
      </c>
      <c r="I369" s="8" t="s">
        <v>765</v>
      </c>
    </row>
    <row r="370" spans="1:9">
      <c r="A370" s="7" t="s">
        <v>805</v>
      </c>
      <c r="B370" s="5" t="s">
        <v>9</v>
      </c>
      <c r="C370" s="6" t="s">
        <v>259</v>
      </c>
      <c r="D370" s="6" t="s">
        <v>485</v>
      </c>
      <c r="E370" s="5" t="s">
        <v>22</v>
      </c>
      <c r="F370" s="5" t="s">
        <v>13</v>
      </c>
      <c r="G370" s="5"/>
      <c r="H370" s="8">
        <v>11</v>
      </c>
      <c r="I370" s="8" t="s">
        <v>765</v>
      </c>
    </row>
    <row r="371" spans="1:9">
      <c r="A371" s="7" t="s">
        <v>493</v>
      </c>
      <c r="B371" s="5" t="s">
        <v>9</v>
      </c>
      <c r="C371" s="6" t="s">
        <v>494</v>
      </c>
      <c r="D371" s="6" t="s">
        <v>495</v>
      </c>
      <c r="E371" s="5" t="s">
        <v>22</v>
      </c>
      <c r="F371" s="5" t="s">
        <v>13</v>
      </c>
      <c r="G371" s="5"/>
      <c r="H371" s="8">
        <v>2</v>
      </c>
      <c r="I371" s="8" t="s">
        <v>765</v>
      </c>
    </row>
    <row r="372" spans="1:9">
      <c r="A372" s="7" t="s">
        <v>806</v>
      </c>
      <c r="B372" s="5" t="s">
        <v>9</v>
      </c>
      <c r="C372" s="6" t="s">
        <v>807</v>
      </c>
      <c r="D372" s="6" t="s">
        <v>808</v>
      </c>
      <c r="E372" s="5" t="s">
        <v>790</v>
      </c>
      <c r="F372" s="5" t="s">
        <v>13</v>
      </c>
      <c r="G372" s="5"/>
      <c r="H372" s="8">
        <v>1</v>
      </c>
      <c r="I372" s="8" t="s">
        <v>765</v>
      </c>
    </row>
    <row r="373" spans="1:9">
      <c r="A373" s="7" t="s">
        <v>809</v>
      </c>
      <c r="B373" s="5" t="s">
        <v>9</v>
      </c>
      <c r="C373" s="6" t="s">
        <v>84</v>
      </c>
      <c r="D373" s="6" t="s">
        <v>41</v>
      </c>
      <c r="E373" s="5" t="s">
        <v>22</v>
      </c>
      <c r="F373" s="5" t="s">
        <v>13</v>
      </c>
      <c r="G373" s="5"/>
      <c r="H373" s="8">
        <v>1</v>
      </c>
      <c r="I373" s="8" t="s">
        <v>765</v>
      </c>
    </row>
    <row r="374" spans="1:9">
      <c r="A374" s="7" t="s">
        <v>810</v>
      </c>
      <c r="B374" s="5" t="s">
        <v>9</v>
      </c>
      <c r="C374" s="6" t="s">
        <v>811</v>
      </c>
      <c r="D374" s="6" t="s">
        <v>812</v>
      </c>
      <c r="E374" s="5" t="s">
        <v>22</v>
      </c>
      <c r="F374" s="5" t="s">
        <v>13</v>
      </c>
      <c r="G374" s="5"/>
      <c r="H374" s="8">
        <v>4</v>
      </c>
      <c r="I374" s="8" t="s">
        <v>765</v>
      </c>
    </row>
    <row r="375" spans="1:9">
      <c r="A375" s="7" t="s">
        <v>813</v>
      </c>
      <c r="B375" s="5" t="s">
        <v>9</v>
      </c>
      <c r="C375" s="6" t="s">
        <v>771</v>
      </c>
      <c r="D375" s="6" t="s">
        <v>814</v>
      </c>
      <c r="E375" s="5" t="s">
        <v>12</v>
      </c>
      <c r="F375" s="5" t="s">
        <v>13</v>
      </c>
      <c r="G375" s="5"/>
      <c r="H375" s="8">
        <v>1</v>
      </c>
      <c r="I375" s="8" t="s">
        <v>765</v>
      </c>
    </row>
    <row r="376" spans="1:9">
      <c r="A376" s="7" t="s">
        <v>815</v>
      </c>
      <c r="B376" s="5" t="s">
        <v>9</v>
      </c>
      <c r="C376" s="6" t="s">
        <v>816</v>
      </c>
      <c r="D376" s="6" t="s">
        <v>817</v>
      </c>
      <c r="E376" s="5" t="s">
        <v>39</v>
      </c>
      <c r="F376" s="5" t="s">
        <v>13</v>
      </c>
      <c r="G376" s="5"/>
      <c r="H376" s="8">
        <v>2</v>
      </c>
      <c r="I376" s="8" t="s">
        <v>765</v>
      </c>
    </row>
    <row r="377" spans="1:9">
      <c r="A377" s="7" t="s">
        <v>818</v>
      </c>
      <c r="B377" s="5" t="s">
        <v>9</v>
      </c>
      <c r="C377" s="6" t="s">
        <v>819</v>
      </c>
      <c r="D377" s="6" t="s">
        <v>820</v>
      </c>
      <c r="E377" s="5" t="s">
        <v>308</v>
      </c>
      <c r="F377" s="5" t="s">
        <v>13</v>
      </c>
      <c r="G377" s="5"/>
      <c r="H377" s="8">
        <v>1</v>
      </c>
      <c r="I377" s="8" t="s">
        <v>765</v>
      </c>
    </row>
    <row r="378" spans="1:9">
      <c r="A378" s="7" t="s">
        <v>821</v>
      </c>
      <c r="B378" s="5" t="s">
        <v>9</v>
      </c>
      <c r="C378" s="6" t="s">
        <v>819</v>
      </c>
      <c r="D378" s="6" t="s">
        <v>820</v>
      </c>
      <c r="E378" s="5" t="s">
        <v>308</v>
      </c>
      <c r="F378" s="5" t="s">
        <v>13</v>
      </c>
      <c r="G378" s="5"/>
      <c r="H378" s="8">
        <v>1</v>
      </c>
      <c r="I378" s="8" t="s">
        <v>765</v>
      </c>
    </row>
    <row r="379" spans="1:9">
      <c r="A379" s="7" t="s">
        <v>822</v>
      </c>
      <c r="B379" s="5" t="s">
        <v>9</v>
      </c>
      <c r="C379" s="6" t="s">
        <v>823</v>
      </c>
      <c r="D379" s="6" t="s">
        <v>824</v>
      </c>
      <c r="E379" s="5" t="s">
        <v>39</v>
      </c>
      <c r="F379" s="5" t="s">
        <v>13</v>
      </c>
      <c r="G379" s="5"/>
      <c r="H379" s="8">
        <v>1</v>
      </c>
      <c r="I379" s="8" t="s">
        <v>765</v>
      </c>
    </row>
    <row r="380" spans="1:9">
      <c r="A380" s="7" t="s">
        <v>825</v>
      </c>
      <c r="B380" s="5" t="s">
        <v>9</v>
      </c>
      <c r="C380" s="6" t="s">
        <v>826</v>
      </c>
      <c r="D380" s="6" t="s">
        <v>827</v>
      </c>
      <c r="E380" s="5" t="s">
        <v>18</v>
      </c>
      <c r="F380" s="5" t="s">
        <v>13</v>
      </c>
      <c r="G380" s="5"/>
      <c r="H380" s="8">
        <v>1</v>
      </c>
      <c r="I380" s="8" t="s">
        <v>765</v>
      </c>
    </row>
    <row r="381" spans="1:9">
      <c r="A381" s="7" t="s">
        <v>828</v>
      </c>
      <c r="B381" s="5" t="s">
        <v>9</v>
      </c>
      <c r="C381" s="6" t="s">
        <v>829</v>
      </c>
      <c r="D381" s="6" t="s">
        <v>830</v>
      </c>
      <c r="E381" s="5" t="s">
        <v>22</v>
      </c>
      <c r="F381" s="5" t="s">
        <v>13</v>
      </c>
      <c r="G381" s="5"/>
      <c r="H381" s="8">
        <v>1</v>
      </c>
      <c r="I381" s="8" t="s">
        <v>765</v>
      </c>
    </row>
    <row r="382" spans="1:9">
      <c r="A382" s="7" t="s">
        <v>831</v>
      </c>
      <c r="B382" s="5" t="s">
        <v>9</v>
      </c>
      <c r="C382" s="6" t="s">
        <v>832</v>
      </c>
      <c r="D382" s="6" t="s">
        <v>833</v>
      </c>
      <c r="E382" s="5" t="s">
        <v>12</v>
      </c>
      <c r="F382" s="5" t="s">
        <v>13</v>
      </c>
      <c r="G382" s="5"/>
      <c r="H382" s="8">
        <v>1</v>
      </c>
      <c r="I382" s="8" t="s">
        <v>765</v>
      </c>
    </row>
    <row r="383" spans="1:9">
      <c r="A383" s="7" t="s">
        <v>834</v>
      </c>
      <c r="B383" s="5" t="s">
        <v>9</v>
      </c>
      <c r="C383" s="6" t="s">
        <v>10</v>
      </c>
      <c r="D383" s="6" t="s">
        <v>835</v>
      </c>
      <c r="E383" s="5" t="s">
        <v>308</v>
      </c>
      <c r="F383" s="5" t="s">
        <v>13</v>
      </c>
      <c r="G383" s="5"/>
      <c r="H383" s="8">
        <v>1</v>
      </c>
      <c r="I383" s="8" t="s">
        <v>765</v>
      </c>
    </row>
    <row r="384" spans="1:9">
      <c r="A384" s="7" t="s">
        <v>836</v>
      </c>
      <c r="B384" s="5" t="s">
        <v>9</v>
      </c>
      <c r="C384" s="6" t="s">
        <v>419</v>
      </c>
      <c r="D384" s="6" t="s">
        <v>837</v>
      </c>
      <c r="E384" s="5" t="s">
        <v>18</v>
      </c>
      <c r="F384" s="5" t="s">
        <v>13</v>
      </c>
      <c r="G384" s="5"/>
      <c r="H384" s="8">
        <v>1</v>
      </c>
      <c r="I384" s="8" t="s">
        <v>765</v>
      </c>
    </row>
    <row r="385" spans="1:9">
      <c r="A385" s="7" t="s">
        <v>838</v>
      </c>
      <c r="B385" s="5" t="s">
        <v>9</v>
      </c>
      <c r="C385" s="6" t="s">
        <v>419</v>
      </c>
      <c r="D385" s="6" t="s">
        <v>839</v>
      </c>
      <c r="E385" s="5" t="s">
        <v>18</v>
      </c>
      <c r="F385" s="5" t="s">
        <v>13</v>
      </c>
      <c r="G385" s="5"/>
      <c r="H385" s="8">
        <v>1</v>
      </c>
      <c r="I385" s="8" t="s">
        <v>765</v>
      </c>
    </row>
    <row r="386" spans="1:9">
      <c r="A386" s="7" t="s">
        <v>840</v>
      </c>
      <c r="B386" s="5" t="s">
        <v>9</v>
      </c>
      <c r="C386" s="6" t="s">
        <v>841</v>
      </c>
      <c r="D386" s="6" t="s">
        <v>842</v>
      </c>
      <c r="E386" s="5" t="s">
        <v>22</v>
      </c>
      <c r="F386" s="5" t="s">
        <v>13</v>
      </c>
      <c r="G386" s="5"/>
      <c r="H386" s="8">
        <v>2</v>
      </c>
      <c r="I386" s="8" t="s">
        <v>765</v>
      </c>
    </row>
    <row r="387" spans="1:9">
      <c r="A387" s="7" t="s">
        <v>843</v>
      </c>
      <c r="B387" s="5" t="s">
        <v>9</v>
      </c>
      <c r="C387" s="6" t="s">
        <v>844</v>
      </c>
      <c r="D387" s="6" t="s">
        <v>845</v>
      </c>
      <c r="E387" s="5" t="s">
        <v>18</v>
      </c>
      <c r="F387" s="5" t="s">
        <v>13</v>
      </c>
      <c r="G387" s="5"/>
      <c r="H387" s="8">
        <v>1</v>
      </c>
      <c r="I387" s="8" t="s">
        <v>765</v>
      </c>
    </row>
    <row r="388" spans="1:9">
      <c r="A388" s="7" t="s">
        <v>846</v>
      </c>
      <c r="B388" s="5" t="s">
        <v>9</v>
      </c>
      <c r="C388" s="6" t="s">
        <v>844</v>
      </c>
      <c r="D388" s="6" t="s">
        <v>845</v>
      </c>
      <c r="E388" s="5" t="s">
        <v>18</v>
      </c>
      <c r="F388" s="5" t="s">
        <v>13</v>
      </c>
      <c r="G388" s="5"/>
      <c r="H388" s="8">
        <v>1</v>
      </c>
      <c r="I388" s="8" t="s">
        <v>765</v>
      </c>
    </row>
    <row r="389" spans="1:9">
      <c r="A389" s="7" t="s">
        <v>847</v>
      </c>
      <c r="B389" s="5" t="s">
        <v>9</v>
      </c>
      <c r="C389" s="6" t="s">
        <v>433</v>
      </c>
      <c r="D389" s="6" t="s">
        <v>848</v>
      </c>
      <c r="E389" s="5" t="s">
        <v>308</v>
      </c>
      <c r="F389" s="5" t="s">
        <v>13</v>
      </c>
      <c r="G389" s="5"/>
      <c r="H389" s="8">
        <v>2</v>
      </c>
      <c r="I389" s="8" t="s">
        <v>765</v>
      </c>
    </row>
    <row r="390" spans="1:9">
      <c r="A390" s="7" t="s">
        <v>496</v>
      </c>
      <c r="B390" s="5" t="s">
        <v>9</v>
      </c>
      <c r="C390" s="6" t="s">
        <v>497</v>
      </c>
      <c r="D390" s="6" t="s">
        <v>498</v>
      </c>
      <c r="E390" s="5" t="s">
        <v>22</v>
      </c>
      <c r="F390" s="5" t="s">
        <v>13</v>
      </c>
      <c r="G390" s="5"/>
      <c r="H390" s="8">
        <v>4</v>
      </c>
      <c r="I390" s="8" t="s">
        <v>765</v>
      </c>
    </row>
    <row r="391" spans="1:9">
      <c r="A391" s="7" t="s">
        <v>499</v>
      </c>
      <c r="B391" s="5" t="s">
        <v>9</v>
      </c>
      <c r="C391" s="6" t="s">
        <v>174</v>
      </c>
      <c r="D391" s="6" t="s">
        <v>500</v>
      </c>
      <c r="E391" s="5" t="s">
        <v>22</v>
      </c>
      <c r="F391" s="5" t="s">
        <v>13</v>
      </c>
      <c r="G391" s="5"/>
      <c r="H391" s="8">
        <v>1</v>
      </c>
      <c r="I391" s="8" t="s">
        <v>765</v>
      </c>
    </row>
    <row r="392" spans="1:9">
      <c r="A392" s="7" t="s">
        <v>849</v>
      </c>
      <c r="B392" s="5" t="s">
        <v>850</v>
      </c>
      <c r="C392" s="6" t="s">
        <v>851</v>
      </c>
      <c r="D392" s="6" t="s">
        <v>852</v>
      </c>
      <c r="E392" s="5" t="s">
        <v>853</v>
      </c>
      <c r="F392" s="5" t="s">
        <v>13</v>
      </c>
      <c r="G392" s="5"/>
      <c r="H392" s="8">
        <v>9765.76</v>
      </c>
      <c r="I392" s="8" t="s">
        <v>765</v>
      </c>
    </row>
    <row r="393" spans="1:9">
      <c r="A393" s="7" t="s">
        <v>854</v>
      </c>
      <c r="B393" s="5" t="s">
        <v>850</v>
      </c>
      <c r="C393" s="6" t="s">
        <v>855</v>
      </c>
      <c r="D393" s="6" t="s">
        <v>856</v>
      </c>
      <c r="E393" s="5" t="s">
        <v>853</v>
      </c>
      <c r="F393" s="5" t="s">
        <v>13</v>
      </c>
      <c r="G393" s="5"/>
      <c r="H393" s="8">
        <v>1350</v>
      </c>
      <c r="I393" s="8" t="s">
        <v>765</v>
      </c>
    </row>
    <row r="394" spans="1:9">
      <c r="A394" s="7" t="s">
        <v>501</v>
      </c>
      <c r="B394" s="5" t="s">
        <v>9</v>
      </c>
      <c r="C394" s="6" t="s">
        <v>502</v>
      </c>
      <c r="D394" s="6" t="s">
        <v>503</v>
      </c>
      <c r="E394" s="5" t="s">
        <v>22</v>
      </c>
      <c r="F394" s="5" t="s">
        <v>13</v>
      </c>
      <c r="G394" s="5"/>
      <c r="H394" s="8">
        <v>1</v>
      </c>
      <c r="I394" s="8" t="s">
        <v>765</v>
      </c>
    </row>
    <row r="395" spans="1:9">
      <c r="A395" s="7" t="s">
        <v>857</v>
      </c>
      <c r="B395" s="5" t="s">
        <v>9</v>
      </c>
      <c r="C395" s="6" t="s">
        <v>753</v>
      </c>
      <c r="D395" s="6" t="s">
        <v>489</v>
      </c>
      <c r="E395" s="5" t="s">
        <v>22</v>
      </c>
      <c r="F395" s="5" t="s">
        <v>13</v>
      </c>
      <c r="G395" s="5"/>
      <c r="H395" s="8">
        <v>6</v>
      </c>
      <c r="I395" s="8" t="s">
        <v>765</v>
      </c>
    </row>
    <row r="396" spans="1:9">
      <c r="A396" s="7" t="s">
        <v>858</v>
      </c>
      <c r="B396" s="5" t="s">
        <v>850</v>
      </c>
      <c r="C396" s="6" t="s">
        <v>852</v>
      </c>
      <c r="D396" s="6" t="s">
        <v>859</v>
      </c>
      <c r="E396" s="5" t="s">
        <v>853</v>
      </c>
      <c r="F396" s="5" t="s">
        <v>13</v>
      </c>
      <c r="G396" s="5"/>
      <c r="H396" s="8">
        <v>12025</v>
      </c>
      <c r="I396" s="8" t="s">
        <v>765</v>
      </c>
    </row>
    <row r="397" spans="1:9">
      <c r="A397" s="7" t="s">
        <v>860</v>
      </c>
      <c r="B397" s="5" t="s">
        <v>9</v>
      </c>
      <c r="C397" s="6" t="s">
        <v>861</v>
      </c>
      <c r="D397" s="6" t="s">
        <v>862</v>
      </c>
      <c r="E397" s="5" t="s">
        <v>22</v>
      </c>
      <c r="F397" s="5" t="s">
        <v>13</v>
      </c>
      <c r="G397" s="5"/>
      <c r="H397" s="8">
        <v>2</v>
      </c>
      <c r="I397" s="8" t="s">
        <v>765</v>
      </c>
    </row>
    <row r="398" spans="1:9">
      <c r="A398" s="7" t="s">
        <v>863</v>
      </c>
      <c r="B398" s="5" t="s">
        <v>9</v>
      </c>
      <c r="C398" s="6" t="s">
        <v>864</v>
      </c>
      <c r="D398" s="6" t="s">
        <v>865</v>
      </c>
      <c r="E398" s="5" t="s">
        <v>22</v>
      </c>
      <c r="F398" s="5" t="s">
        <v>13</v>
      </c>
      <c r="G398" s="5"/>
      <c r="H398" s="8">
        <v>3</v>
      </c>
      <c r="I398" s="8" t="s">
        <v>765</v>
      </c>
    </row>
    <row r="399" spans="1:9">
      <c r="A399" s="7" t="s">
        <v>866</v>
      </c>
      <c r="B399" s="5" t="s">
        <v>9</v>
      </c>
      <c r="C399" s="6" t="s">
        <v>174</v>
      </c>
      <c r="D399" s="6" t="s">
        <v>21</v>
      </c>
      <c r="E399" s="5" t="s">
        <v>22</v>
      </c>
      <c r="F399" s="5" t="s">
        <v>13</v>
      </c>
      <c r="G399" s="5"/>
      <c r="H399" s="8">
        <v>1</v>
      </c>
      <c r="I399" s="8" t="s">
        <v>765</v>
      </c>
    </row>
    <row r="400" spans="1:9">
      <c r="A400" s="7" t="s">
        <v>867</v>
      </c>
      <c r="B400" s="5" t="s">
        <v>9</v>
      </c>
      <c r="C400" s="6" t="s">
        <v>868</v>
      </c>
      <c r="D400" s="6" t="s">
        <v>21</v>
      </c>
      <c r="E400" s="5" t="s">
        <v>22</v>
      </c>
      <c r="F400" s="5" t="s">
        <v>13</v>
      </c>
      <c r="G400" s="5"/>
      <c r="H400" s="8">
        <v>1</v>
      </c>
      <c r="I400" s="8" t="s">
        <v>765</v>
      </c>
    </row>
    <row r="401" spans="1:9">
      <c r="A401" s="7" t="s">
        <v>509</v>
      </c>
      <c r="B401" s="5" t="s">
        <v>9</v>
      </c>
      <c r="C401" s="6" t="s">
        <v>174</v>
      </c>
      <c r="D401" s="6" t="s">
        <v>21</v>
      </c>
      <c r="E401" s="5" t="s">
        <v>22</v>
      </c>
      <c r="F401" s="5" t="s">
        <v>13</v>
      </c>
      <c r="G401" s="5"/>
      <c r="H401" s="8">
        <v>3</v>
      </c>
      <c r="I401" s="8" t="s">
        <v>765</v>
      </c>
    </row>
    <row r="402" spans="1:9">
      <c r="A402" s="7" t="s">
        <v>869</v>
      </c>
      <c r="B402" s="5" t="s">
        <v>9</v>
      </c>
      <c r="C402" s="6" t="s">
        <v>174</v>
      </c>
      <c r="D402" s="6" t="s">
        <v>21</v>
      </c>
      <c r="E402" s="5" t="s">
        <v>22</v>
      </c>
      <c r="F402" s="5" t="s">
        <v>13</v>
      </c>
      <c r="G402" s="5"/>
      <c r="H402" s="8">
        <v>2</v>
      </c>
      <c r="I402" s="8" t="s">
        <v>765</v>
      </c>
    </row>
    <row r="403" spans="1:9">
      <c r="A403" s="7" t="s">
        <v>870</v>
      </c>
      <c r="B403" s="5" t="s">
        <v>9</v>
      </c>
      <c r="C403" s="6" t="s">
        <v>174</v>
      </c>
      <c r="D403" s="6" t="s">
        <v>21</v>
      </c>
      <c r="E403" s="5" t="s">
        <v>22</v>
      </c>
      <c r="F403" s="5" t="s">
        <v>13</v>
      </c>
      <c r="G403" s="5"/>
      <c r="H403" s="8">
        <v>2</v>
      </c>
      <c r="I403" s="8" t="s">
        <v>765</v>
      </c>
    </row>
    <row r="404" spans="1:9">
      <c r="A404" s="7" t="s">
        <v>871</v>
      </c>
      <c r="B404" s="5" t="s">
        <v>850</v>
      </c>
      <c r="C404" s="6" t="s">
        <v>232</v>
      </c>
      <c r="D404" s="6" t="s">
        <v>232</v>
      </c>
      <c r="E404" s="5" t="s">
        <v>853</v>
      </c>
      <c r="F404" s="5" t="s">
        <v>13</v>
      </c>
      <c r="G404" s="5"/>
      <c r="H404" s="8">
        <v>180</v>
      </c>
      <c r="I404" s="8" t="s">
        <v>765</v>
      </c>
    </row>
    <row r="405" spans="1:9">
      <c r="A405" s="7" t="s">
        <v>872</v>
      </c>
      <c r="B405" s="5" t="s">
        <v>9</v>
      </c>
      <c r="C405" s="6" t="s">
        <v>873</v>
      </c>
      <c r="D405" s="6" t="s">
        <v>874</v>
      </c>
      <c r="E405" s="5" t="s">
        <v>39</v>
      </c>
      <c r="F405" s="5" t="s">
        <v>13</v>
      </c>
      <c r="G405" s="5"/>
      <c r="H405" s="8">
        <v>4</v>
      </c>
      <c r="I405" s="8" t="s">
        <v>765</v>
      </c>
    </row>
    <row r="406" spans="1:9">
      <c r="A406" s="7" t="s">
        <v>875</v>
      </c>
      <c r="B406" s="5" t="s">
        <v>9</v>
      </c>
      <c r="C406" s="6" t="s">
        <v>753</v>
      </c>
      <c r="D406" s="6" t="s">
        <v>876</v>
      </c>
      <c r="E406" s="5" t="s">
        <v>22</v>
      </c>
      <c r="F406" s="5" t="s">
        <v>13</v>
      </c>
      <c r="G406" s="5"/>
      <c r="H406" s="8">
        <v>4</v>
      </c>
      <c r="I406" s="8" t="s">
        <v>765</v>
      </c>
    </row>
    <row r="407" spans="1:9">
      <c r="A407" s="7" t="s">
        <v>877</v>
      </c>
      <c r="B407" s="5" t="s">
        <v>9</v>
      </c>
      <c r="C407" s="6" t="s">
        <v>107</v>
      </c>
      <c r="D407" s="6" t="s">
        <v>878</v>
      </c>
      <c r="E407" s="5" t="s">
        <v>12</v>
      </c>
      <c r="F407" s="5" t="s">
        <v>13</v>
      </c>
      <c r="G407" s="5"/>
      <c r="H407" s="8">
        <v>1</v>
      </c>
      <c r="I407" s="8" t="s">
        <v>765</v>
      </c>
    </row>
    <row r="408" spans="1:9">
      <c r="A408" s="7" t="s">
        <v>879</v>
      </c>
      <c r="B408" s="5" t="s">
        <v>9</v>
      </c>
      <c r="C408" s="6" t="s">
        <v>880</v>
      </c>
      <c r="D408" s="6" t="s">
        <v>881</v>
      </c>
      <c r="E408" s="5" t="s">
        <v>12</v>
      </c>
      <c r="F408" s="5" t="s">
        <v>13</v>
      </c>
      <c r="G408" s="5"/>
      <c r="H408" s="8">
        <v>2</v>
      </c>
      <c r="I408" s="8" t="s">
        <v>765</v>
      </c>
    </row>
    <row r="409" spans="1:9">
      <c r="A409" s="7" t="s">
        <v>882</v>
      </c>
      <c r="B409" s="5" t="s">
        <v>9</v>
      </c>
      <c r="C409" s="6" t="s">
        <v>883</v>
      </c>
      <c r="D409" s="6" t="s">
        <v>883</v>
      </c>
      <c r="E409" s="5" t="s">
        <v>18</v>
      </c>
      <c r="F409" s="5" t="s">
        <v>13</v>
      </c>
      <c r="G409" s="5"/>
      <c r="H409" s="8">
        <v>1</v>
      </c>
      <c r="I409" s="8" t="s">
        <v>765</v>
      </c>
    </row>
    <row r="410" spans="1:9">
      <c r="A410" s="7" t="s">
        <v>884</v>
      </c>
      <c r="B410" s="5" t="s">
        <v>9</v>
      </c>
      <c r="C410" s="6" t="s">
        <v>788</v>
      </c>
      <c r="D410" s="6" t="s">
        <v>885</v>
      </c>
      <c r="E410" s="5" t="s">
        <v>39</v>
      </c>
      <c r="F410" s="5" t="s">
        <v>13</v>
      </c>
      <c r="G410" s="5"/>
      <c r="H410" s="8">
        <v>1</v>
      </c>
      <c r="I410" s="8" t="s">
        <v>765</v>
      </c>
    </row>
    <row r="411" spans="1:9">
      <c r="A411" s="7" t="s">
        <v>886</v>
      </c>
      <c r="B411" s="5" t="s">
        <v>9</v>
      </c>
      <c r="C411" s="6" t="s">
        <v>174</v>
      </c>
      <c r="D411" s="6" t="s">
        <v>21</v>
      </c>
      <c r="E411" s="5" t="s">
        <v>22</v>
      </c>
      <c r="F411" s="5" t="s">
        <v>13</v>
      </c>
      <c r="G411" s="5"/>
      <c r="H411" s="8">
        <v>1</v>
      </c>
      <c r="I411" s="8" t="s">
        <v>765</v>
      </c>
    </row>
    <row r="412" spans="1:9">
      <c r="A412" s="7" t="s">
        <v>887</v>
      </c>
      <c r="B412" s="5" t="s">
        <v>9</v>
      </c>
      <c r="C412" s="6" t="s">
        <v>84</v>
      </c>
      <c r="D412" s="6" t="s">
        <v>888</v>
      </c>
      <c r="E412" s="5" t="s">
        <v>18</v>
      </c>
      <c r="F412" s="5" t="s">
        <v>13</v>
      </c>
      <c r="G412" s="5"/>
      <c r="H412" s="8">
        <v>1</v>
      </c>
      <c r="I412" s="8" t="s">
        <v>765</v>
      </c>
    </row>
    <row r="413" spans="1:9">
      <c r="A413" s="7" t="s">
        <v>889</v>
      </c>
      <c r="B413" s="5" t="s">
        <v>9</v>
      </c>
      <c r="C413" s="6" t="s">
        <v>84</v>
      </c>
      <c r="D413" s="6" t="s">
        <v>890</v>
      </c>
      <c r="E413" s="5" t="s">
        <v>18</v>
      </c>
      <c r="F413" s="5" t="s">
        <v>13</v>
      </c>
      <c r="G413" s="5"/>
      <c r="H413" s="8">
        <v>1</v>
      </c>
      <c r="I413" s="8" t="s">
        <v>765</v>
      </c>
    </row>
    <row r="414" spans="1:9">
      <c r="A414" s="7" t="s">
        <v>891</v>
      </c>
      <c r="B414" s="5" t="s">
        <v>9</v>
      </c>
      <c r="C414" s="6" t="s">
        <v>892</v>
      </c>
      <c r="D414" s="6" t="s">
        <v>893</v>
      </c>
      <c r="E414" s="5" t="s">
        <v>12</v>
      </c>
      <c r="F414" s="5" t="s">
        <v>13</v>
      </c>
      <c r="G414" s="5"/>
      <c r="H414" s="8">
        <v>1</v>
      </c>
      <c r="I414" s="8" t="s">
        <v>765</v>
      </c>
    </row>
    <row r="415" spans="1:9">
      <c r="A415" s="7" t="s">
        <v>894</v>
      </c>
      <c r="B415" s="5" t="s">
        <v>9</v>
      </c>
      <c r="C415" s="6" t="s">
        <v>184</v>
      </c>
      <c r="D415" s="6" t="s">
        <v>895</v>
      </c>
      <c r="E415" s="5" t="s">
        <v>12</v>
      </c>
      <c r="F415" s="5" t="s">
        <v>13</v>
      </c>
      <c r="G415" s="5"/>
      <c r="H415" s="8">
        <v>1</v>
      </c>
      <c r="I415" s="8" t="s">
        <v>765</v>
      </c>
    </row>
    <row r="416" spans="1:9">
      <c r="A416" s="7" t="s">
        <v>896</v>
      </c>
      <c r="B416" s="5" t="s">
        <v>9</v>
      </c>
      <c r="C416" s="6" t="s">
        <v>897</v>
      </c>
      <c r="D416" s="6" t="s">
        <v>898</v>
      </c>
      <c r="E416" s="5" t="s">
        <v>12</v>
      </c>
      <c r="F416" s="5" t="s">
        <v>13</v>
      </c>
      <c r="G416" s="5"/>
      <c r="H416" s="8">
        <v>1</v>
      </c>
      <c r="I416" s="8" t="s">
        <v>765</v>
      </c>
    </row>
    <row r="417" spans="1:9">
      <c r="A417" s="7" t="s">
        <v>899</v>
      </c>
      <c r="B417" s="5" t="s">
        <v>9</v>
      </c>
      <c r="C417" s="6" t="s">
        <v>897</v>
      </c>
      <c r="D417" s="6" t="s">
        <v>900</v>
      </c>
      <c r="E417" s="5" t="s">
        <v>18</v>
      </c>
      <c r="F417" s="5" t="s">
        <v>13</v>
      </c>
      <c r="G417" s="5"/>
      <c r="H417" s="8">
        <v>1</v>
      </c>
      <c r="I417" s="8" t="s">
        <v>765</v>
      </c>
    </row>
    <row r="418" spans="1:9">
      <c r="A418" s="7" t="s">
        <v>901</v>
      </c>
      <c r="B418" s="5" t="s">
        <v>9</v>
      </c>
      <c r="C418" s="6" t="s">
        <v>902</v>
      </c>
      <c r="D418" s="6" t="s">
        <v>903</v>
      </c>
      <c r="E418" s="5" t="s">
        <v>22</v>
      </c>
      <c r="F418" s="5" t="s">
        <v>13</v>
      </c>
      <c r="G418" s="5"/>
      <c r="H418" s="8">
        <v>3</v>
      </c>
      <c r="I418" s="8" t="s">
        <v>765</v>
      </c>
    </row>
    <row r="419" spans="1:9">
      <c r="A419" s="7" t="s">
        <v>904</v>
      </c>
      <c r="B419" s="5" t="s">
        <v>9</v>
      </c>
      <c r="C419" s="6" t="s">
        <v>905</v>
      </c>
      <c r="D419" s="6" t="s">
        <v>906</v>
      </c>
      <c r="E419" s="5" t="s">
        <v>22</v>
      </c>
      <c r="F419" s="5" t="s">
        <v>13</v>
      </c>
      <c r="G419" s="5"/>
      <c r="H419" s="8">
        <v>31</v>
      </c>
      <c r="I419" s="8" t="s">
        <v>765</v>
      </c>
    </row>
    <row r="420" spans="1:9">
      <c r="A420" s="7" t="s">
        <v>907</v>
      </c>
      <c r="B420" s="5" t="s">
        <v>9</v>
      </c>
      <c r="C420" s="6" t="s">
        <v>84</v>
      </c>
      <c r="D420" s="6" t="s">
        <v>41</v>
      </c>
      <c r="E420" s="5" t="s">
        <v>12</v>
      </c>
      <c r="F420" s="5" t="s">
        <v>13</v>
      </c>
      <c r="G420" s="5"/>
      <c r="H420" s="8">
        <v>1</v>
      </c>
      <c r="I420" s="8" t="s">
        <v>765</v>
      </c>
    </row>
    <row r="421" spans="1:9">
      <c r="A421" s="7" t="s">
        <v>908</v>
      </c>
      <c r="B421" s="5" t="s">
        <v>9</v>
      </c>
      <c r="C421" s="6" t="s">
        <v>909</v>
      </c>
      <c r="D421" s="6" t="s">
        <v>910</v>
      </c>
      <c r="E421" s="5" t="s">
        <v>790</v>
      </c>
      <c r="F421" s="5" t="s">
        <v>13</v>
      </c>
      <c r="G421" s="5"/>
      <c r="H421" s="8">
        <v>1</v>
      </c>
      <c r="I421" s="8" t="s">
        <v>765</v>
      </c>
    </row>
    <row r="422" spans="1:9">
      <c r="A422" s="7" t="s">
        <v>911</v>
      </c>
      <c r="B422" s="5" t="s">
        <v>9</v>
      </c>
      <c r="C422" s="6" t="s">
        <v>912</v>
      </c>
      <c r="D422" s="6" t="s">
        <v>913</v>
      </c>
      <c r="E422" s="5" t="s">
        <v>39</v>
      </c>
      <c r="F422" s="5" t="s">
        <v>13</v>
      </c>
      <c r="G422" s="5"/>
      <c r="H422" s="8">
        <v>1</v>
      </c>
      <c r="I422" s="8" t="s">
        <v>765</v>
      </c>
    </row>
    <row r="423" spans="1:9">
      <c r="A423" s="7" t="s">
        <v>914</v>
      </c>
      <c r="B423" s="5" t="s">
        <v>9</v>
      </c>
      <c r="C423" s="6" t="s">
        <v>912</v>
      </c>
      <c r="D423" s="6" t="s">
        <v>913</v>
      </c>
      <c r="E423" s="5" t="s">
        <v>39</v>
      </c>
      <c r="F423" s="5" t="s">
        <v>13</v>
      </c>
      <c r="G423" s="5"/>
      <c r="H423" s="8">
        <v>1</v>
      </c>
      <c r="I423" s="8" t="s">
        <v>765</v>
      </c>
    </row>
    <row r="424" spans="1:9">
      <c r="A424" s="7" t="s">
        <v>915</v>
      </c>
      <c r="B424" s="5" t="s">
        <v>9</v>
      </c>
      <c r="C424" s="6" t="s">
        <v>916</v>
      </c>
      <c r="D424" s="6" t="s">
        <v>917</v>
      </c>
      <c r="E424" s="5" t="s">
        <v>790</v>
      </c>
      <c r="F424" s="5" t="s">
        <v>13</v>
      </c>
      <c r="G424" s="5"/>
      <c r="H424" s="8">
        <v>1</v>
      </c>
      <c r="I424" s="8" t="s">
        <v>765</v>
      </c>
    </row>
    <row r="425" spans="1:9">
      <c r="A425" s="7" t="s">
        <v>918</v>
      </c>
      <c r="B425" s="5" t="s">
        <v>9</v>
      </c>
      <c r="C425" s="6" t="s">
        <v>306</v>
      </c>
      <c r="D425" s="6" t="s">
        <v>321</v>
      </c>
      <c r="E425" s="5" t="s">
        <v>790</v>
      </c>
      <c r="F425" s="5" t="s">
        <v>13</v>
      </c>
      <c r="G425" s="5"/>
      <c r="H425" s="8">
        <v>1</v>
      </c>
      <c r="I425" s="8" t="s">
        <v>765</v>
      </c>
    </row>
    <row r="426" spans="1:9">
      <c r="A426" s="7" t="s">
        <v>919</v>
      </c>
      <c r="B426" s="5" t="s">
        <v>9</v>
      </c>
      <c r="C426" s="6" t="s">
        <v>306</v>
      </c>
      <c r="D426" s="6" t="s">
        <v>321</v>
      </c>
      <c r="E426" s="5" t="s">
        <v>790</v>
      </c>
      <c r="F426" s="5" t="s">
        <v>13</v>
      </c>
      <c r="G426" s="5"/>
      <c r="H426" s="8">
        <v>1</v>
      </c>
      <c r="I426" s="8" t="s">
        <v>765</v>
      </c>
    </row>
    <row r="427" spans="1:9">
      <c r="A427" s="7" t="s">
        <v>920</v>
      </c>
      <c r="B427" s="5" t="s">
        <v>9</v>
      </c>
      <c r="C427" s="6" t="s">
        <v>921</v>
      </c>
      <c r="D427" s="6" t="s">
        <v>922</v>
      </c>
      <c r="E427" s="5" t="s">
        <v>923</v>
      </c>
      <c r="F427" s="5" t="s">
        <v>13</v>
      </c>
      <c r="G427" s="5"/>
      <c r="H427" s="8">
        <v>1</v>
      </c>
      <c r="I427" s="8" t="s">
        <v>765</v>
      </c>
    </row>
    <row r="428" spans="1:9">
      <c r="A428" s="7" t="s">
        <v>924</v>
      </c>
      <c r="B428" s="5" t="s">
        <v>9</v>
      </c>
      <c r="C428" s="6" t="s">
        <v>84</v>
      </c>
      <c r="D428" s="6" t="s">
        <v>925</v>
      </c>
      <c r="E428" s="5" t="s">
        <v>12</v>
      </c>
      <c r="F428" s="5" t="s">
        <v>13</v>
      </c>
      <c r="G428" s="5"/>
      <c r="H428" s="8">
        <v>1</v>
      </c>
      <c r="I428" s="8" t="s">
        <v>765</v>
      </c>
    </row>
    <row r="429" spans="1:9">
      <c r="A429" s="7" t="s">
        <v>926</v>
      </c>
      <c r="B429" s="5" t="s">
        <v>9</v>
      </c>
      <c r="C429" s="6" t="s">
        <v>318</v>
      </c>
      <c r="D429" s="6" t="s">
        <v>321</v>
      </c>
      <c r="E429" s="5" t="s">
        <v>790</v>
      </c>
      <c r="F429" s="5" t="s">
        <v>13</v>
      </c>
      <c r="G429" s="5"/>
      <c r="H429" s="8">
        <v>1</v>
      </c>
      <c r="I429" s="8" t="s">
        <v>765</v>
      </c>
    </row>
    <row r="430" spans="1:9">
      <c r="A430" s="7" t="s">
        <v>927</v>
      </c>
      <c r="B430" s="5" t="s">
        <v>9</v>
      </c>
      <c r="C430" s="6" t="s">
        <v>318</v>
      </c>
      <c r="D430" s="6" t="s">
        <v>321</v>
      </c>
      <c r="E430" s="5" t="s">
        <v>790</v>
      </c>
      <c r="F430" s="5" t="s">
        <v>13</v>
      </c>
      <c r="G430" s="5"/>
      <c r="H430" s="8">
        <v>1</v>
      </c>
      <c r="I430" s="8" t="s">
        <v>765</v>
      </c>
    </row>
    <row r="431" spans="1:9">
      <c r="A431" s="7" t="s">
        <v>928</v>
      </c>
      <c r="B431" s="5" t="s">
        <v>9</v>
      </c>
      <c r="C431" s="6" t="s">
        <v>929</v>
      </c>
      <c r="D431" s="6" t="s">
        <v>930</v>
      </c>
      <c r="E431" s="5" t="s">
        <v>790</v>
      </c>
      <c r="F431" s="5" t="s">
        <v>13</v>
      </c>
      <c r="G431" s="5"/>
      <c r="H431" s="8">
        <v>2</v>
      </c>
      <c r="I431" s="8" t="s">
        <v>765</v>
      </c>
    </row>
    <row r="432" spans="1:9">
      <c r="A432" s="7" t="s">
        <v>931</v>
      </c>
      <c r="B432" s="5" t="s">
        <v>9</v>
      </c>
      <c r="C432" s="6" t="s">
        <v>932</v>
      </c>
      <c r="D432" s="6" t="s">
        <v>933</v>
      </c>
      <c r="E432" s="5" t="s">
        <v>790</v>
      </c>
      <c r="F432" s="5" t="s">
        <v>13</v>
      </c>
      <c r="G432" s="5"/>
      <c r="H432" s="8">
        <v>1</v>
      </c>
      <c r="I432" s="8" t="s">
        <v>765</v>
      </c>
    </row>
    <row r="433" spans="1:9">
      <c r="A433" s="7" t="s">
        <v>934</v>
      </c>
      <c r="B433" s="5" t="s">
        <v>9</v>
      </c>
      <c r="C433" s="6" t="s">
        <v>811</v>
      </c>
      <c r="D433" s="6" t="s">
        <v>812</v>
      </c>
      <c r="E433" s="5" t="s">
        <v>22</v>
      </c>
      <c r="F433" s="5" t="s">
        <v>13</v>
      </c>
      <c r="G433" s="5"/>
      <c r="H433" s="8">
        <v>2</v>
      </c>
      <c r="I433" s="8" t="s">
        <v>765</v>
      </c>
    </row>
    <row r="434" spans="1:9">
      <c r="A434" s="7" t="s">
        <v>935</v>
      </c>
      <c r="B434" s="5" t="s">
        <v>9</v>
      </c>
      <c r="C434" s="6" t="s">
        <v>936</v>
      </c>
      <c r="D434" s="6" t="s">
        <v>937</v>
      </c>
      <c r="E434" s="5" t="s">
        <v>790</v>
      </c>
      <c r="F434" s="5" t="s">
        <v>13</v>
      </c>
      <c r="G434" s="5"/>
      <c r="H434" s="8">
        <v>1</v>
      </c>
      <c r="I434" s="8" t="s">
        <v>765</v>
      </c>
    </row>
    <row r="435" spans="1:9">
      <c r="A435" s="7" t="s">
        <v>938</v>
      </c>
      <c r="B435" s="5" t="s">
        <v>9</v>
      </c>
      <c r="C435" s="6" t="s">
        <v>936</v>
      </c>
      <c r="D435" s="6" t="s">
        <v>939</v>
      </c>
      <c r="E435" s="5" t="s">
        <v>790</v>
      </c>
      <c r="F435" s="5" t="s">
        <v>13</v>
      </c>
      <c r="G435" s="5"/>
      <c r="H435" s="8">
        <v>1</v>
      </c>
      <c r="I435" s="8" t="s">
        <v>765</v>
      </c>
    </row>
    <row r="436" spans="1:9">
      <c r="A436" s="7" t="s">
        <v>940</v>
      </c>
      <c r="B436" s="5" t="s">
        <v>9</v>
      </c>
      <c r="C436" s="6" t="s">
        <v>356</v>
      </c>
      <c r="D436" s="6" t="s">
        <v>941</v>
      </c>
      <c r="E436" s="5" t="s">
        <v>790</v>
      </c>
      <c r="F436" s="5" t="s">
        <v>13</v>
      </c>
      <c r="G436" s="5"/>
      <c r="H436" s="8">
        <v>1</v>
      </c>
      <c r="I436" s="8" t="s">
        <v>765</v>
      </c>
    </row>
    <row r="437" spans="1:9">
      <c r="A437" s="7" t="s">
        <v>942</v>
      </c>
      <c r="B437" s="5" t="s">
        <v>9</v>
      </c>
      <c r="C437" s="6" t="s">
        <v>356</v>
      </c>
      <c r="D437" s="6" t="s">
        <v>941</v>
      </c>
      <c r="E437" s="5" t="s">
        <v>790</v>
      </c>
      <c r="F437" s="5" t="s">
        <v>13</v>
      </c>
      <c r="G437" s="5"/>
      <c r="H437" s="8">
        <v>1</v>
      </c>
      <c r="I437" s="8" t="s">
        <v>765</v>
      </c>
    </row>
    <row r="438" spans="1:9">
      <c r="A438" s="7" t="s">
        <v>943</v>
      </c>
      <c r="B438" s="5" t="s">
        <v>9</v>
      </c>
      <c r="C438" s="6" t="s">
        <v>944</v>
      </c>
      <c r="D438" s="6" t="s">
        <v>945</v>
      </c>
      <c r="E438" s="5" t="s">
        <v>790</v>
      </c>
      <c r="F438" s="5" t="s">
        <v>13</v>
      </c>
      <c r="G438" s="5"/>
      <c r="H438" s="8">
        <v>1</v>
      </c>
      <c r="I438" s="8" t="s">
        <v>765</v>
      </c>
    </row>
    <row r="439" spans="1:9">
      <c r="A439" s="7" t="s">
        <v>946</v>
      </c>
      <c r="B439" s="5" t="s">
        <v>9</v>
      </c>
      <c r="C439" s="6" t="s">
        <v>944</v>
      </c>
      <c r="D439" s="6" t="s">
        <v>947</v>
      </c>
      <c r="E439" s="5" t="s">
        <v>790</v>
      </c>
      <c r="F439" s="5" t="s">
        <v>13</v>
      </c>
      <c r="G439" s="5"/>
      <c r="H439" s="8">
        <v>1</v>
      </c>
      <c r="I439" s="8" t="s">
        <v>765</v>
      </c>
    </row>
    <row r="440" spans="1:9">
      <c r="A440" s="7" t="s">
        <v>948</v>
      </c>
      <c r="B440" s="5" t="s">
        <v>9</v>
      </c>
      <c r="C440" s="6" t="s">
        <v>944</v>
      </c>
      <c r="D440" s="6" t="s">
        <v>949</v>
      </c>
      <c r="E440" s="5" t="s">
        <v>790</v>
      </c>
      <c r="F440" s="5" t="s">
        <v>13</v>
      </c>
      <c r="G440" s="5"/>
      <c r="H440" s="8">
        <v>1</v>
      </c>
      <c r="I440" s="8" t="s">
        <v>765</v>
      </c>
    </row>
    <row r="441" spans="1:9">
      <c r="A441" s="7" t="s">
        <v>950</v>
      </c>
      <c r="B441" s="5" t="s">
        <v>9</v>
      </c>
      <c r="C441" s="6" t="s">
        <v>944</v>
      </c>
      <c r="D441" s="6" t="s">
        <v>945</v>
      </c>
      <c r="E441" s="5" t="s">
        <v>790</v>
      </c>
      <c r="F441" s="5" t="s">
        <v>13</v>
      </c>
      <c r="G441" s="5"/>
      <c r="H441" s="8">
        <v>1</v>
      </c>
      <c r="I441" s="8" t="s">
        <v>765</v>
      </c>
    </row>
    <row r="442" spans="1:9">
      <c r="A442" s="7" t="s">
        <v>951</v>
      </c>
      <c r="B442" s="5" t="s">
        <v>9</v>
      </c>
      <c r="C442" s="6" t="s">
        <v>10</v>
      </c>
      <c r="D442" s="6" t="s">
        <v>952</v>
      </c>
      <c r="E442" s="5" t="s">
        <v>790</v>
      </c>
      <c r="F442" s="5" t="s">
        <v>13</v>
      </c>
      <c r="G442" s="5"/>
      <c r="H442" s="8">
        <v>1</v>
      </c>
      <c r="I442" s="8" t="s">
        <v>765</v>
      </c>
    </row>
    <row r="443" spans="1:9">
      <c r="A443" s="7" t="s">
        <v>953</v>
      </c>
      <c r="B443" s="5" t="s">
        <v>9</v>
      </c>
      <c r="C443" s="6" t="s">
        <v>10</v>
      </c>
      <c r="D443" s="6" t="s">
        <v>952</v>
      </c>
      <c r="E443" s="5" t="s">
        <v>790</v>
      </c>
      <c r="F443" s="5" t="s">
        <v>13</v>
      </c>
      <c r="G443" s="5"/>
      <c r="H443" s="8">
        <v>1</v>
      </c>
      <c r="I443" s="8" t="s">
        <v>765</v>
      </c>
    </row>
    <row r="444" spans="1:9">
      <c r="A444" s="7" t="s">
        <v>954</v>
      </c>
      <c r="B444" s="5" t="s">
        <v>9</v>
      </c>
      <c r="C444" s="6" t="s">
        <v>955</v>
      </c>
      <c r="D444" s="6" t="s">
        <v>956</v>
      </c>
      <c r="E444" s="5" t="s">
        <v>308</v>
      </c>
      <c r="F444" s="5" t="s">
        <v>13</v>
      </c>
      <c r="G444" s="5"/>
      <c r="H444" s="8">
        <v>1</v>
      </c>
      <c r="I444" s="8" t="s">
        <v>765</v>
      </c>
    </row>
    <row r="445" spans="1:9">
      <c r="A445" s="7" t="s">
        <v>957</v>
      </c>
      <c r="B445" s="5" t="s">
        <v>9</v>
      </c>
      <c r="C445" s="6" t="s">
        <v>958</v>
      </c>
      <c r="D445" s="6" t="s">
        <v>366</v>
      </c>
      <c r="E445" s="5" t="s">
        <v>308</v>
      </c>
      <c r="F445" s="5" t="s">
        <v>13</v>
      </c>
      <c r="G445" s="5"/>
      <c r="H445" s="8">
        <v>1</v>
      </c>
      <c r="I445" s="8" t="s">
        <v>765</v>
      </c>
    </row>
    <row r="446" spans="1:9">
      <c r="A446" s="7" t="s">
        <v>959</v>
      </c>
      <c r="B446" s="5" t="s">
        <v>9</v>
      </c>
      <c r="C446" s="6" t="s">
        <v>960</v>
      </c>
      <c r="D446" s="6" t="s">
        <v>961</v>
      </c>
      <c r="E446" s="5" t="s">
        <v>308</v>
      </c>
      <c r="F446" s="5" t="s">
        <v>13</v>
      </c>
      <c r="G446" s="5"/>
      <c r="H446" s="8">
        <v>1</v>
      </c>
      <c r="I446" s="8" t="s">
        <v>765</v>
      </c>
    </row>
    <row r="447" spans="1:9">
      <c r="A447" s="7" t="s">
        <v>962</v>
      </c>
      <c r="B447" s="5" t="s">
        <v>9</v>
      </c>
      <c r="C447" s="6" t="s">
        <v>960</v>
      </c>
      <c r="D447" s="6" t="s">
        <v>963</v>
      </c>
      <c r="E447" s="5" t="s">
        <v>308</v>
      </c>
      <c r="F447" s="5" t="s">
        <v>13</v>
      </c>
      <c r="G447" s="5"/>
      <c r="H447" s="8">
        <v>1</v>
      </c>
      <c r="I447" s="8" t="s">
        <v>765</v>
      </c>
    </row>
    <row r="448" spans="1:9">
      <c r="A448" s="7" t="s">
        <v>964</v>
      </c>
      <c r="B448" s="5" t="s">
        <v>9</v>
      </c>
      <c r="C448" s="6" t="s">
        <v>965</v>
      </c>
      <c r="D448" s="6" t="s">
        <v>965</v>
      </c>
      <c r="E448" s="5" t="s">
        <v>18</v>
      </c>
      <c r="F448" s="5" t="s">
        <v>13</v>
      </c>
      <c r="G448" s="5"/>
      <c r="H448" s="8">
        <v>1</v>
      </c>
      <c r="I448" s="8" t="s">
        <v>765</v>
      </c>
    </row>
    <row r="449" spans="1:9">
      <c r="A449" s="7" t="s">
        <v>966</v>
      </c>
      <c r="B449" s="5" t="s">
        <v>9</v>
      </c>
      <c r="C449" s="6" t="s">
        <v>965</v>
      </c>
      <c r="D449" s="6" t="s">
        <v>965</v>
      </c>
      <c r="E449" s="5" t="s">
        <v>18</v>
      </c>
      <c r="F449" s="5" t="s">
        <v>13</v>
      </c>
      <c r="G449" s="5"/>
      <c r="H449" s="8">
        <v>1</v>
      </c>
      <c r="I449" s="8" t="s">
        <v>765</v>
      </c>
    </row>
    <row r="450" spans="1:9">
      <c r="A450" s="7" t="s">
        <v>967</v>
      </c>
      <c r="B450" s="5" t="s">
        <v>9</v>
      </c>
      <c r="C450" s="6" t="s">
        <v>84</v>
      </c>
      <c r="D450" s="6" t="s">
        <v>41</v>
      </c>
      <c r="E450" s="5" t="s">
        <v>39</v>
      </c>
      <c r="F450" s="5" t="s">
        <v>13</v>
      </c>
      <c r="G450" s="5"/>
      <c r="H450" s="8">
        <v>1</v>
      </c>
      <c r="I450" s="8" t="s">
        <v>765</v>
      </c>
    </row>
    <row r="451" spans="1:9">
      <c r="A451" s="7" t="s">
        <v>968</v>
      </c>
      <c r="B451" s="5" t="s">
        <v>9</v>
      </c>
      <c r="C451" s="6" t="s">
        <v>969</v>
      </c>
      <c r="D451" s="6" t="s">
        <v>970</v>
      </c>
      <c r="E451" s="5" t="s">
        <v>308</v>
      </c>
      <c r="F451" s="5" t="s">
        <v>13</v>
      </c>
      <c r="G451" s="5"/>
      <c r="H451" s="8">
        <v>1</v>
      </c>
      <c r="I451" s="8" t="s">
        <v>765</v>
      </c>
    </row>
    <row r="452" spans="1:9">
      <c r="A452" s="7" t="s">
        <v>971</v>
      </c>
      <c r="B452" s="5" t="s">
        <v>9</v>
      </c>
      <c r="C452" s="6" t="s">
        <v>413</v>
      </c>
      <c r="D452" s="6" t="s">
        <v>972</v>
      </c>
      <c r="E452" s="5" t="s">
        <v>39</v>
      </c>
      <c r="F452" s="5" t="s">
        <v>13</v>
      </c>
      <c r="G452" s="5"/>
      <c r="H452" s="8">
        <v>1</v>
      </c>
      <c r="I452" s="8" t="s">
        <v>765</v>
      </c>
    </row>
    <row r="453" spans="1:9">
      <c r="A453" s="7" t="s">
        <v>515</v>
      </c>
      <c r="B453" s="5" t="s">
        <v>9</v>
      </c>
      <c r="C453" s="6" t="s">
        <v>516</v>
      </c>
      <c r="D453" s="6" t="s">
        <v>517</v>
      </c>
      <c r="E453" s="5" t="s">
        <v>308</v>
      </c>
      <c r="F453" s="5" t="s">
        <v>13</v>
      </c>
      <c r="G453" s="5"/>
      <c r="H453" s="8">
        <v>1</v>
      </c>
      <c r="I453" s="8" t="s">
        <v>765</v>
      </c>
    </row>
    <row r="454" spans="1:9">
      <c r="A454" s="7" t="s">
        <v>518</v>
      </c>
      <c r="B454" s="5" t="s">
        <v>9</v>
      </c>
      <c r="C454" s="6" t="s">
        <v>516</v>
      </c>
      <c r="D454" s="6" t="s">
        <v>519</v>
      </c>
      <c r="E454" s="5" t="s">
        <v>308</v>
      </c>
      <c r="F454" s="5" t="s">
        <v>13</v>
      </c>
      <c r="G454" s="5"/>
      <c r="H454" s="8">
        <v>1</v>
      </c>
      <c r="I454" s="8" t="s">
        <v>765</v>
      </c>
    </row>
    <row r="455" spans="1:9">
      <c r="A455" s="7" t="s">
        <v>973</v>
      </c>
      <c r="B455" s="5" t="s">
        <v>9</v>
      </c>
      <c r="C455" s="6" t="s">
        <v>974</v>
      </c>
      <c r="D455" s="6" t="s">
        <v>975</v>
      </c>
      <c r="E455" s="5" t="s">
        <v>22</v>
      </c>
      <c r="F455" s="5" t="s">
        <v>13</v>
      </c>
      <c r="G455" s="5"/>
      <c r="H455" s="8">
        <v>1</v>
      </c>
      <c r="I455" s="8" t="s">
        <v>765</v>
      </c>
    </row>
    <row r="456" spans="1:9">
      <c r="A456" s="7" t="s">
        <v>520</v>
      </c>
      <c r="B456" s="5" t="s">
        <v>9</v>
      </c>
      <c r="C456" s="6" t="s">
        <v>56</v>
      </c>
      <c r="D456" s="6" t="s">
        <v>521</v>
      </c>
      <c r="E456" s="5" t="s">
        <v>22</v>
      </c>
      <c r="F456" s="5" t="s">
        <v>13</v>
      </c>
      <c r="G456" s="5"/>
      <c r="H456" s="8">
        <v>1</v>
      </c>
      <c r="I456" s="8" t="s">
        <v>765</v>
      </c>
    </row>
    <row r="457" spans="1:9">
      <c r="A457" s="7" t="s">
        <v>522</v>
      </c>
      <c r="B457" s="5" t="s">
        <v>9</v>
      </c>
      <c r="C457" s="6" t="s">
        <v>56</v>
      </c>
      <c r="D457" s="6" t="s">
        <v>521</v>
      </c>
      <c r="E457" s="5" t="s">
        <v>22</v>
      </c>
      <c r="F457" s="5" t="s">
        <v>13</v>
      </c>
      <c r="G457" s="5"/>
      <c r="H457" s="8">
        <v>1</v>
      </c>
      <c r="I457" s="8" t="s">
        <v>765</v>
      </c>
    </row>
    <row r="458" spans="1:9">
      <c r="A458" s="7" t="s">
        <v>976</v>
      </c>
      <c r="B458" s="5" t="s">
        <v>9</v>
      </c>
      <c r="C458" s="6" t="s">
        <v>161</v>
      </c>
      <c r="D458" s="6" t="s">
        <v>162</v>
      </c>
      <c r="E458" s="5" t="s">
        <v>39</v>
      </c>
      <c r="F458" s="5" t="s">
        <v>13</v>
      </c>
      <c r="G458" s="5"/>
      <c r="H458" s="8">
        <v>2</v>
      </c>
      <c r="I458" s="8" t="s">
        <v>765</v>
      </c>
    </row>
    <row r="459" spans="1:9">
      <c r="A459" s="7" t="s">
        <v>977</v>
      </c>
      <c r="B459" s="5" t="s">
        <v>9</v>
      </c>
      <c r="C459" s="6" t="s">
        <v>193</v>
      </c>
      <c r="D459" s="6" t="s">
        <v>194</v>
      </c>
      <c r="E459" s="5" t="s">
        <v>195</v>
      </c>
      <c r="F459" s="5" t="s">
        <v>13</v>
      </c>
      <c r="G459" s="5"/>
      <c r="H459" s="8">
        <v>1</v>
      </c>
      <c r="I459" s="8" t="s">
        <v>765</v>
      </c>
    </row>
    <row r="460" spans="1:9">
      <c r="A460" s="7" t="s">
        <v>978</v>
      </c>
      <c r="B460" s="5" t="s">
        <v>9</v>
      </c>
      <c r="C460" s="6" t="s">
        <v>979</v>
      </c>
      <c r="D460" s="6" t="s">
        <v>979</v>
      </c>
      <c r="E460" s="5" t="s">
        <v>18</v>
      </c>
      <c r="F460" s="5" t="s">
        <v>13</v>
      </c>
      <c r="G460" s="5"/>
      <c r="H460" s="8">
        <v>1</v>
      </c>
      <c r="I460" s="8" t="s">
        <v>765</v>
      </c>
    </row>
    <row r="461" spans="1:9">
      <c r="A461" s="7" t="s">
        <v>980</v>
      </c>
      <c r="B461" s="5" t="s">
        <v>9</v>
      </c>
      <c r="C461" s="6" t="s">
        <v>187</v>
      </c>
      <c r="D461" s="6" t="s">
        <v>979</v>
      </c>
      <c r="E461" s="5" t="s">
        <v>18</v>
      </c>
      <c r="F461" s="5" t="s">
        <v>13</v>
      </c>
      <c r="G461" s="5"/>
      <c r="H461" s="8">
        <v>1</v>
      </c>
      <c r="I461" s="8" t="s">
        <v>765</v>
      </c>
    </row>
    <row r="462" spans="1:9">
      <c r="A462" s="7" t="s">
        <v>981</v>
      </c>
      <c r="B462" s="5" t="s">
        <v>9</v>
      </c>
      <c r="C462" s="6" t="s">
        <v>16</v>
      </c>
      <c r="D462" s="6" t="s">
        <v>982</v>
      </c>
      <c r="E462" s="5" t="s">
        <v>12</v>
      </c>
      <c r="F462" s="5" t="s">
        <v>13</v>
      </c>
      <c r="G462" s="5"/>
      <c r="H462" s="8">
        <v>1</v>
      </c>
      <c r="I462" s="8" t="s">
        <v>765</v>
      </c>
    </row>
    <row r="463" spans="1:9">
      <c r="A463" s="7" t="s">
        <v>983</v>
      </c>
      <c r="B463" s="5" t="s">
        <v>9</v>
      </c>
      <c r="C463" s="6" t="s">
        <v>16</v>
      </c>
      <c r="D463" s="6" t="s">
        <v>984</v>
      </c>
      <c r="E463" s="5" t="s">
        <v>18</v>
      </c>
      <c r="F463" s="5" t="s">
        <v>13</v>
      </c>
      <c r="G463" s="5"/>
      <c r="H463" s="8">
        <v>1</v>
      </c>
      <c r="I463" s="8" t="s">
        <v>765</v>
      </c>
    </row>
    <row r="464" spans="1:9">
      <c r="A464" s="7" t="s">
        <v>985</v>
      </c>
      <c r="B464" s="5" t="s">
        <v>9</v>
      </c>
      <c r="C464" s="6" t="s">
        <v>986</v>
      </c>
      <c r="D464" s="6" t="s">
        <v>987</v>
      </c>
      <c r="E464" s="5" t="s">
        <v>39</v>
      </c>
      <c r="F464" s="5" t="s">
        <v>13</v>
      </c>
      <c r="G464" s="5"/>
      <c r="H464" s="8">
        <v>1</v>
      </c>
      <c r="I464" s="8" t="s">
        <v>765</v>
      </c>
    </row>
    <row r="465" spans="1:9">
      <c r="A465" s="7" t="s">
        <v>988</v>
      </c>
      <c r="B465" s="5" t="s">
        <v>9</v>
      </c>
      <c r="C465" s="6" t="s">
        <v>84</v>
      </c>
      <c r="D465" s="6" t="s">
        <v>989</v>
      </c>
      <c r="E465" s="5" t="s">
        <v>18</v>
      </c>
      <c r="F465" s="5" t="s">
        <v>13</v>
      </c>
      <c r="G465" s="5"/>
      <c r="H465" s="8">
        <v>1</v>
      </c>
      <c r="I465" s="8" t="s">
        <v>765</v>
      </c>
    </row>
    <row r="466" spans="1:9">
      <c r="A466" s="7" t="s">
        <v>990</v>
      </c>
      <c r="B466" s="5" t="s">
        <v>9</v>
      </c>
      <c r="C466" s="6" t="s">
        <v>753</v>
      </c>
      <c r="D466" s="6" t="s">
        <v>489</v>
      </c>
      <c r="E466" s="5" t="s">
        <v>22</v>
      </c>
      <c r="F466" s="5" t="s">
        <v>13</v>
      </c>
      <c r="G466" s="5"/>
      <c r="H466" s="8">
        <v>1</v>
      </c>
      <c r="I466" s="8" t="s">
        <v>765</v>
      </c>
    </row>
    <row r="467" spans="1:9">
      <c r="A467" s="7" t="s">
        <v>991</v>
      </c>
      <c r="B467" s="5" t="s">
        <v>9</v>
      </c>
      <c r="C467" s="6" t="s">
        <v>586</v>
      </c>
      <c r="D467" s="6" t="s">
        <v>587</v>
      </c>
      <c r="E467" s="5" t="s">
        <v>22</v>
      </c>
      <c r="F467" s="5" t="s">
        <v>13</v>
      </c>
      <c r="G467" s="5"/>
      <c r="H467" s="8">
        <v>4</v>
      </c>
      <c r="I467" s="8" t="s">
        <v>765</v>
      </c>
    </row>
    <row r="468" spans="1:9">
      <c r="A468" s="7" t="s">
        <v>992</v>
      </c>
      <c r="B468" s="5" t="s">
        <v>9</v>
      </c>
      <c r="C468" s="6" t="s">
        <v>993</v>
      </c>
      <c r="D468" s="6" t="s">
        <v>24</v>
      </c>
      <c r="E468" s="5" t="s">
        <v>12</v>
      </c>
      <c r="F468" s="5" t="s">
        <v>13</v>
      </c>
      <c r="G468" s="5"/>
      <c r="H468" s="8">
        <v>1</v>
      </c>
      <c r="I468" s="8" t="s">
        <v>765</v>
      </c>
    </row>
    <row r="469" spans="1:9">
      <c r="A469" s="7" t="s">
        <v>994</v>
      </c>
      <c r="B469" s="5" t="s">
        <v>9</v>
      </c>
      <c r="C469" s="6" t="s">
        <v>995</v>
      </c>
      <c r="D469" s="6" t="s">
        <v>996</v>
      </c>
      <c r="E469" s="5" t="s">
        <v>18</v>
      </c>
      <c r="F469" s="5" t="s">
        <v>13</v>
      </c>
      <c r="G469" s="5"/>
      <c r="H469" s="8">
        <v>1</v>
      </c>
      <c r="I469" s="8" t="s">
        <v>765</v>
      </c>
    </row>
    <row r="470" spans="1:9">
      <c r="A470" s="7" t="s">
        <v>997</v>
      </c>
      <c r="B470" s="5" t="s">
        <v>9</v>
      </c>
      <c r="C470" s="6" t="s">
        <v>64</v>
      </c>
      <c r="D470" s="6" t="s">
        <v>998</v>
      </c>
      <c r="E470" s="5" t="s">
        <v>12</v>
      </c>
      <c r="F470" s="5" t="s">
        <v>13</v>
      </c>
      <c r="G470" s="5"/>
      <c r="H470" s="8">
        <v>1</v>
      </c>
      <c r="I470" s="8" t="s">
        <v>765</v>
      </c>
    </row>
    <row r="471" spans="1:9">
      <c r="A471" s="7" t="s">
        <v>999</v>
      </c>
      <c r="B471" s="5" t="s">
        <v>9</v>
      </c>
      <c r="C471" s="6" t="s">
        <v>1000</v>
      </c>
      <c r="D471" s="6" t="s">
        <v>1001</v>
      </c>
      <c r="E471" s="5" t="s">
        <v>308</v>
      </c>
      <c r="F471" s="5" t="s">
        <v>13</v>
      </c>
      <c r="G471" s="5"/>
      <c r="H471" s="8">
        <v>1</v>
      </c>
      <c r="I471" s="8" t="s">
        <v>765</v>
      </c>
    </row>
    <row r="472" spans="1:9">
      <c r="A472" s="7" t="s">
        <v>1002</v>
      </c>
      <c r="B472" s="5" t="s">
        <v>9</v>
      </c>
      <c r="C472" s="6" t="s">
        <v>200</v>
      </c>
      <c r="D472" s="6" t="s">
        <v>745</v>
      </c>
      <c r="E472" s="5" t="s">
        <v>12</v>
      </c>
      <c r="F472" s="5" t="s">
        <v>13</v>
      </c>
      <c r="G472" s="5"/>
      <c r="H472" s="8">
        <v>2</v>
      </c>
      <c r="I472" s="8" t="s">
        <v>765</v>
      </c>
    </row>
    <row r="473" spans="1:9">
      <c r="A473" s="7" t="s">
        <v>1003</v>
      </c>
      <c r="B473" s="5" t="s">
        <v>9</v>
      </c>
      <c r="C473" s="6" t="s">
        <v>1004</v>
      </c>
      <c r="D473" s="6" t="s">
        <v>1005</v>
      </c>
      <c r="E473" s="5" t="s">
        <v>39</v>
      </c>
      <c r="F473" s="5" t="s">
        <v>13</v>
      </c>
      <c r="G473" s="5"/>
      <c r="H473" s="8">
        <v>1</v>
      </c>
      <c r="I473" s="8" t="s">
        <v>765</v>
      </c>
    </row>
    <row r="474" spans="1:9">
      <c r="A474" s="7" t="s">
        <v>1006</v>
      </c>
      <c r="B474" s="5" t="s">
        <v>9</v>
      </c>
      <c r="C474" s="6" t="s">
        <v>1007</v>
      </c>
      <c r="D474" s="6" t="s">
        <v>1008</v>
      </c>
      <c r="E474" s="5" t="s">
        <v>923</v>
      </c>
      <c r="F474" s="5" t="s">
        <v>13</v>
      </c>
      <c r="G474" s="5"/>
      <c r="H474" s="8">
        <v>1</v>
      </c>
      <c r="I474" s="8" t="s">
        <v>765</v>
      </c>
    </row>
    <row r="475" spans="1:9">
      <c r="A475" s="7" t="s">
        <v>1009</v>
      </c>
      <c r="B475" s="5" t="s">
        <v>9</v>
      </c>
      <c r="C475" s="6" t="s">
        <v>788</v>
      </c>
      <c r="D475" s="6" t="s">
        <v>789</v>
      </c>
      <c r="E475" s="5" t="s">
        <v>18</v>
      </c>
      <c r="F475" s="5" t="s">
        <v>13</v>
      </c>
      <c r="G475" s="5"/>
      <c r="H475" s="8">
        <v>2</v>
      </c>
      <c r="I475" s="8" t="s">
        <v>765</v>
      </c>
    </row>
    <row r="476" spans="1:9">
      <c r="A476" s="7" t="s">
        <v>1010</v>
      </c>
      <c r="B476" s="5" t="s">
        <v>9</v>
      </c>
      <c r="C476" s="6" t="s">
        <v>84</v>
      </c>
      <c r="D476" s="6" t="s">
        <v>41</v>
      </c>
      <c r="E476" s="5" t="s">
        <v>39</v>
      </c>
      <c r="F476" s="5" t="s">
        <v>13</v>
      </c>
      <c r="G476" s="5"/>
      <c r="H476" s="8">
        <v>1</v>
      </c>
      <c r="I476" s="8" t="s">
        <v>765</v>
      </c>
    </row>
    <row r="477" spans="1:9">
      <c r="A477" s="7" t="s">
        <v>1011</v>
      </c>
      <c r="B477" s="5" t="s">
        <v>9</v>
      </c>
      <c r="C477" s="6" t="s">
        <v>84</v>
      </c>
      <c r="D477" s="6" t="s">
        <v>41</v>
      </c>
      <c r="E477" s="5" t="s">
        <v>39</v>
      </c>
      <c r="F477" s="5" t="s">
        <v>13</v>
      </c>
      <c r="G477" s="5"/>
      <c r="H477" s="8">
        <v>1</v>
      </c>
      <c r="I477" s="8" t="s">
        <v>765</v>
      </c>
    </row>
    <row r="478" spans="1:9">
      <c r="A478" s="7" t="s">
        <v>1012</v>
      </c>
      <c r="B478" s="5" t="s">
        <v>9</v>
      </c>
      <c r="C478" s="6" t="s">
        <v>1013</v>
      </c>
      <c r="D478" s="6" t="s">
        <v>232</v>
      </c>
      <c r="E478" s="5" t="s">
        <v>39</v>
      </c>
      <c r="F478" s="5" t="s">
        <v>13</v>
      </c>
      <c r="G478" s="5"/>
      <c r="H478" s="8">
        <v>1</v>
      </c>
      <c r="I478" s="8" t="s">
        <v>765</v>
      </c>
    </row>
    <row r="479" spans="1:9">
      <c r="A479" s="7" t="s">
        <v>1014</v>
      </c>
      <c r="B479" s="5" t="s">
        <v>9</v>
      </c>
      <c r="C479" s="6" t="s">
        <v>1015</v>
      </c>
      <c r="D479" s="6" t="s">
        <v>1016</v>
      </c>
      <c r="E479" s="5" t="s">
        <v>12</v>
      </c>
      <c r="F479" s="5" t="s">
        <v>13</v>
      </c>
      <c r="G479" s="5"/>
      <c r="H479" s="8">
        <v>1</v>
      </c>
      <c r="I479" s="8" t="s">
        <v>765</v>
      </c>
    </row>
    <row r="480" spans="1:9">
      <c r="A480" s="7" t="s">
        <v>1017</v>
      </c>
      <c r="B480" s="5" t="s">
        <v>9</v>
      </c>
      <c r="C480" s="6" t="s">
        <v>1018</v>
      </c>
      <c r="D480" s="6" t="s">
        <v>1019</v>
      </c>
      <c r="E480" s="5" t="s">
        <v>18</v>
      </c>
      <c r="F480" s="5" t="s">
        <v>13</v>
      </c>
      <c r="G480" s="5"/>
      <c r="H480" s="8">
        <v>2</v>
      </c>
      <c r="I480" s="8" t="s">
        <v>765</v>
      </c>
    </row>
    <row r="481" spans="1:9">
      <c r="A481" s="7" t="s">
        <v>1020</v>
      </c>
      <c r="B481" s="5" t="s">
        <v>9</v>
      </c>
      <c r="C481" s="6" t="s">
        <v>1021</v>
      </c>
      <c r="D481" s="6" t="s">
        <v>1022</v>
      </c>
      <c r="E481" s="5" t="s">
        <v>790</v>
      </c>
      <c r="F481" s="5" t="s">
        <v>13</v>
      </c>
      <c r="G481" s="5"/>
      <c r="H481" s="8">
        <v>1</v>
      </c>
      <c r="I481" s="8" t="s">
        <v>765</v>
      </c>
    </row>
    <row r="482" spans="1:9">
      <c r="A482" s="7" t="s">
        <v>1023</v>
      </c>
      <c r="B482" s="5" t="s">
        <v>9</v>
      </c>
      <c r="C482" s="6" t="s">
        <v>788</v>
      </c>
      <c r="D482" s="6" t="s">
        <v>789</v>
      </c>
      <c r="E482" s="5" t="s">
        <v>790</v>
      </c>
      <c r="F482" s="5" t="s">
        <v>13</v>
      </c>
      <c r="G482" s="5"/>
      <c r="H482" s="8">
        <v>1</v>
      </c>
      <c r="I482" s="8" t="s">
        <v>765</v>
      </c>
    </row>
    <row r="483" spans="1:9">
      <c r="A483" s="7" t="s">
        <v>1024</v>
      </c>
      <c r="B483" s="5" t="s">
        <v>9</v>
      </c>
      <c r="C483" s="6" t="s">
        <v>1025</v>
      </c>
      <c r="D483" s="6" t="s">
        <v>1026</v>
      </c>
      <c r="E483" s="5" t="s">
        <v>39</v>
      </c>
      <c r="F483" s="5" t="s">
        <v>13</v>
      </c>
      <c r="G483" s="5"/>
      <c r="H483" s="8">
        <v>1</v>
      </c>
      <c r="I483" s="8" t="s">
        <v>765</v>
      </c>
    </row>
    <row r="484" spans="1:9">
      <c r="A484" s="7" t="s">
        <v>1027</v>
      </c>
      <c r="B484" s="5" t="s">
        <v>9</v>
      </c>
      <c r="C484" s="6" t="s">
        <v>1028</v>
      </c>
      <c r="D484" s="6" t="s">
        <v>1029</v>
      </c>
      <c r="E484" s="5" t="s">
        <v>39</v>
      </c>
      <c r="F484" s="5" t="s">
        <v>13</v>
      </c>
      <c r="G484" s="5"/>
      <c r="H484" s="8">
        <v>1</v>
      </c>
      <c r="I484" s="8" t="s">
        <v>765</v>
      </c>
    </row>
    <row r="485" spans="1:9">
      <c r="A485" s="7" t="s">
        <v>1030</v>
      </c>
      <c r="B485" s="5" t="s">
        <v>9</v>
      </c>
      <c r="C485" s="6" t="s">
        <v>1031</v>
      </c>
      <c r="D485" s="6" t="s">
        <v>1032</v>
      </c>
      <c r="E485" s="5" t="s">
        <v>18</v>
      </c>
      <c r="F485" s="5" t="s">
        <v>13</v>
      </c>
      <c r="G485" s="5"/>
      <c r="H485" s="8">
        <v>1</v>
      </c>
      <c r="I485" s="8" t="s">
        <v>765</v>
      </c>
    </row>
    <row r="486" spans="1:9">
      <c r="A486" s="7" t="s">
        <v>1033</v>
      </c>
      <c r="B486" s="5" t="s">
        <v>9</v>
      </c>
      <c r="C486" s="6" t="s">
        <v>84</v>
      </c>
      <c r="D486" s="6" t="s">
        <v>41</v>
      </c>
      <c r="E486" s="5" t="s">
        <v>39</v>
      </c>
      <c r="F486" s="5" t="s">
        <v>13</v>
      </c>
      <c r="G486" s="5"/>
      <c r="H486" s="8">
        <v>4</v>
      </c>
      <c r="I486" s="8" t="s">
        <v>765</v>
      </c>
    </row>
    <row r="487" spans="1:9">
      <c r="A487" s="7" t="s">
        <v>1034</v>
      </c>
      <c r="B487" s="5" t="s">
        <v>9</v>
      </c>
      <c r="C487" s="6" t="s">
        <v>31</v>
      </c>
      <c r="D487" s="6" t="s">
        <v>1035</v>
      </c>
      <c r="E487" s="5" t="s">
        <v>18</v>
      </c>
      <c r="F487" s="5" t="s">
        <v>13</v>
      </c>
      <c r="G487" s="5"/>
      <c r="H487" s="8">
        <v>1</v>
      </c>
      <c r="I487" s="8" t="s">
        <v>765</v>
      </c>
    </row>
    <row r="488" spans="1:9">
      <c r="A488" s="7" t="s">
        <v>1036</v>
      </c>
      <c r="B488" s="5" t="s">
        <v>9</v>
      </c>
      <c r="C488" s="6" t="s">
        <v>1037</v>
      </c>
      <c r="D488" s="6" t="s">
        <v>1035</v>
      </c>
      <c r="E488" s="5" t="s">
        <v>18</v>
      </c>
      <c r="F488" s="5" t="s">
        <v>13</v>
      </c>
      <c r="G488" s="5"/>
      <c r="H488" s="8">
        <v>1</v>
      </c>
      <c r="I488" s="8" t="s">
        <v>765</v>
      </c>
    </row>
    <row r="489" spans="1:9">
      <c r="A489" s="7" t="s">
        <v>1038</v>
      </c>
      <c r="B489" s="5" t="s">
        <v>9</v>
      </c>
      <c r="C489" s="6" t="s">
        <v>955</v>
      </c>
      <c r="D489" s="6" t="s">
        <v>41</v>
      </c>
      <c r="E489" s="5" t="s">
        <v>18</v>
      </c>
      <c r="F489" s="5" t="s">
        <v>13</v>
      </c>
      <c r="G489" s="5"/>
      <c r="H489" s="8">
        <v>1</v>
      </c>
      <c r="I489" s="8" t="s">
        <v>765</v>
      </c>
    </row>
    <row r="490" spans="1:9">
      <c r="A490" s="7" t="s">
        <v>1039</v>
      </c>
      <c r="B490" s="5" t="s">
        <v>9</v>
      </c>
      <c r="C490" s="6" t="s">
        <v>21</v>
      </c>
      <c r="D490" s="6" t="s">
        <v>21</v>
      </c>
      <c r="E490" s="5" t="s">
        <v>22</v>
      </c>
      <c r="F490" s="5" t="s">
        <v>13</v>
      </c>
      <c r="G490" s="5"/>
      <c r="H490" s="8">
        <v>1</v>
      </c>
      <c r="I490" s="8" t="s">
        <v>765</v>
      </c>
    </row>
    <row r="491" spans="1:9">
      <c r="A491" s="7" t="s">
        <v>1040</v>
      </c>
      <c r="B491" s="5" t="s">
        <v>9</v>
      </c>
      <c r="C491" s="6" t="s">
        <v>20</v>
      </c>
      <c r="D491" s="6" t="s">
        <v>21</v>
      </c>
      <c r="E491" s="5" t="s">
        <v>22</v>
      </c>
      <c r="F491" s="5" t="s">
        <v>13</v>
      </c>
      <c r="G491" s="5"/>
      <c r="H491" s="8">
        <v>1</v>
      </c>
      <c r="I491" s="8" t="s">
        <v>765</v>
      </c>
    </row>
    <row r="492" spans="1:9">
      <c r="A492" s="7" t="s">
        <v>1041</v>
      </c>
      <c r="B492" s="5" t="s">
        <v>9</v>
      </c>
      <c r="C492" s="6" t="s">
        <v>1042</v>
      </c>
      <c r="D492" s="6" t="s">
        <v>1043</v>
      </c>
      <c r="E492" s="5" t="s">
        <v>39</v>
      </c>
      <c r="F492" s="5" t="s">
        <v>13</v>
      </c>
      <c r="G492" s="5"/>
      <c r="H492" s="8">
        <v>1</v>
      </c>
      <c r="I492" s="8" t="s">
        <v>765</v>
      </c>
    </row>
    <row r="493" spans="1:9">
      <c r="A493" s="7" t="s">
        <v>1044</v>
      </c>
      <c r="B493" s="5" t="s">
        <v>9</v>
      </c>
      <c r="C493" s="6" t="s">
        <v>84</v>
      </c>
      <c r="D493" s="6" t="s">
        <v>41</v>
      </c>
      <c r="E493" s="5" t="s">
        <v>39</v>
      </c>
      <c r="F493" s="5" t="s">
        <v>13</v>
      </c>
      <c r="G493" s="5"/>
      <c r="H493" s="8">
        <v>1</v>
      </c>
      <c r="I493" s="8" t="s">
        <v>765</v>
      </c>
    </row>
    <row r="494" spans="1:9">
      <c r="A494" s="7" t="s">
        <v>1045</v>
      </c>
      <c r="B494" s="5" t="s">
        <v>9</v>
      </c>
      <c r="C494" s="6" t="s">
        <v>1046</v>
      </c>
      <c r="D494" s="6" t="s">
        <v>59</v>
      </c>
      <c r="E494" s="5" t="s">
        <v>1047</v>
      </c>
      <c r="F494" s="5" t="s">
        <v>13</v>
      </c>
      <c r="G494" s="5"/>
      <c r="H494" s="8">
        <v>1</v>
      </c>
      <c r="I494" s="8" t="s">
        <v>765</v>
      </c>
    </row>
    <row r="495" spans="1:9">
      <c r="A495" s="7" t="s">
        <v>1048</v>
      </c>
      <c r="B495" s="5" t="s">
        <v>9</v>
      </c>
      <c r="C495" s="6" t="s">
        <v>241</v>
      </c>
      <c r="D495" s="6" t="s">
        <v>1049</v>
      </c>
      <c r="E495" s="5" t="s">
        <v>22</v>
      </c>
      <c r="F495" s="5" t="s">
        <v>13</v>
      </c>
      <c r="G495" s="5"/>
      <c r="H495" s="8">
        <v>7</v>
      </c>
      <c r="I495" s="8" t="s">
        <v>765</v>
      </c>
    </row>
    <row r="496" spans="1:9">
      <c r="A496" s="7" t="s">
        <v>1050</v>
      </c>
      <c r="B496" s="5" t="s">
        <v>9</v>
      </c>
      <c r="C496" s="6" t="s">
        <v>150</v>
      </c>
      <c r="D496" s="6" t="s">
        <v>1051</v>
      </c>
      <c r="E496" s="5" t="s">
        <v>39</v>
      </c>
      <c r="F496" s="5" t="s">
        <v>13</v>
      </c>
      <c r="G496" s="5"/>
      <c r="H496" s="8">
        <v>1</v>
      </c>
      <c r="I496" s="8" t="s">
        <v>765</v>
      </c>
    </row>
    <row r="497" spans="1:9">
      <c r="A497" s="7" t="s">
        <v>1052</v>
      </c>
      <c r="B497" s="5" t="s">
        <v>9</v>
      </c>
      <c r="C497" s="6" t="s">
        <v>84</v>
      </c>
      <c r="D497" s="6" t="s">
        <v>41</v>
      </c>
      <c r="E497" s="5" t="s">
        <v>39</v>
      </c>
      <c r="F497" s="5" t="s">
        <v>13</v>
      </c>
      <c r="G497" s="5"/>
      <c r="H497" s="8">
        <v>2</v>
      </c>
      <c r="I497" s="8" t="s">
        <v>765</v>
      </c>
    </row>
    <row r="498" spans="1:9">
      <c r="A498" s="7" t="s">
        <v>1053</v>
      </c>
      <c r="B498" s="5" t="s">
        <v>9</v>
      </c>
      <c r="C498" s="6" t="s">
        <v>131</v>
      </c>
      <c r="D498" s="6" t="s">
        <v>1054</v>
      </c>
      <c r="E498" s="5" t="s">
        <v>39</v>
      </c>
      <c r="F498" s="5" t="s">
        <v>13</v>
      </c>
      <c r="G498" s="5"/>
      <c r="H498" s="8">
        <v>1</v>
      </c>
      <c r="I498" s="8" t="s">
        <v>765</v>
      </c>
    </row>
    <row r="499" spans="1:9">
      <c r="A499" s="7" t="s">
        <v>1055</v>
      </c>
      <c r="B499" s="5" t="s">
        <v>9</v>
      </c>
      <c r="C499" s="6" t="s">
        <v>131</v>
      </c>
      <c r="D499" s="6" t="s">
        <v>1056</v>
      </c>
      <c r="E499" s="5" t="s">
        <v>39</v>
      </c>
      <c r="F499" s="5" t="s">
        <v>13</v>
      </c>
      <c r="G499" s="5"/>
      <c r="H499" s="8">
        <v>1</v>
      </c>
      <c r="I499" s="8" t="s">
        <v>765</v>
      </c>
    </row>
    <row r="500" spans="1:9">
      <c r="A500" s="7" t="s">
        <v>1057</v>
      </c>
      <c r="B500" s="5" t="s">
        <v>9</v>
      </c>
      <c r="C500" s="6" t="s">
        <v>171</v>
      </c>
      <c r="D500" s="6" t="s">
        <v>1058</v>
      </c>
      <c r="E500" s="5" t="s">
        <v>12</v>
      </c>
      <c r="F500" s="5" t="s">
        <v>13</v>
      </c>
      <c r="G500" s="5"/>
      <c r="H500" s="8">
        <v>1</v>
      </c>
      <c r="I500" s="8" t="s">
        <v>765</v>
      </c>
    </row>
    <row r="501" spans="1:9">
      <c r="A501" s="7" t="s">
        <v>1059</v>
      </c>
      <c r="B501" s="5" t="s">
        <v>9</v>
      </c>
      <c r="C501" s="6" t="s">
        <v>113</v>
      </c>
      <c r="D501" s="6" t="s">
        <v>1031</v>
      </c>
      <c r="E501" s="5" t="s">
        <v>18</v>
      </c>
      <c r="F501" s="5" t="s">
        <v>13</v>
      </c>
      <c r="G501" s="5"/>
      <c r="H501" s="8">
        <v>1</v>
      </c>
      <c r="I501" s="8" t="s">
        <v>765</v>
      </c>
    </row>
    <row r="502" spans="1:9">
      <c r="A502" s="7" t="s">
        <v>1060</v>
      </c>
      <c r="B502" s="5" t="s">
        <v>9</v>
      </c>
      <c r="C502" s="6" t="s">
        <v>1061</v>
      </c>
      <c r="D502" s="6" t="s">
        <v>181</v>
      </c>
      <c r="E502" s="5" t="s">
        <v>18</v>
      </c>
      <c r="F502" s="5" t="s">
        <v>13</v>
      </c>
      <c r="G502" s="5"/>
      <c r="H502" s="8">
        <v>1</v>
      </c>
      <c r="I502" s="8" t="s">
        <v>765</v>
      </c>
    </row>
    <row r="503" spans="1:9">
      <c r="A503" s="7" t="s">
        <v>1062</v>
      </c>
      <c r="B503" s="5" t="s">
        <v>9</v>
      </c>
      <c r="C503" s="6" t="s">
        <v>1063</v>
      </c>
      <c r="D503" s="6" t="s">
        <v>1064</v>
      </c>
      <c r="E503" s="5" t="s">
        <v>22</v>
      </c>
      <c r="F503" s="5" t="s">
        <v>13</v>
      </c>
      <c r="G503" s="5"/>
      <c r="H503" s="8">
        <v>20</v>
      </c>
      <c r="I503" s="8" t="s">
        <v>765</v>
      </c>
    </row>
    <row r="504" spans="1:9">
      <c r="A504" s="7" t="s">
        <v>524</v>
      </c>
      <c r="B504" s="5" t="s">
        <v>9</v>
      </c>
      <c r="C504" s="6" t="s">
        <v>525</v>
      </c>
      <c r="D504" s="6" t="s">
        <v>526</v>
      </c>
      <c r="E504" s="5" t="s">
        <v>22</v>
      </c>
      <c r="F504" s="5" t="s">
        <v>13</v>
      </c>
      <c r="G504" s="5"/>
      <c r="H504" s="8">
        <v>2</v>
      </c>
      <c r="I504" s="8" t="s">
        <v>765</v>
      </c>
    </row>
    <row r="505" spans="1:9">
      <c r="A505" s="7" t="s">
        <v>1065</v>
      </c>
      <c r="B505" s="5" t="s">
        <v>9</v>
      </c>
      <c r="C505" s="6" t="s">
        <v>116</v>
      </c>
      <c r="D505" s="6" t="s">
        <v>1066</v>
      </c>
      <c r="E505" s="5" t="s">
        <v>12</v>
      </c>
      <c r="F505" s="5" t="s">
        <v>13</v>
      </c>
      <c r="G505" s="5"/>
      <c r="H505" s="8">
        <v>2</v>
      </c>
      <c r="I505" s="8" t="s">
        <v>765</v>
      </c>
    </row>
    <row r="506" spans="1:9">
      <c r="A506" s="7" t="s">
        <v>1067</v>
      </c>
      <c r="B506" s="5" t="s">
        <v>9</v>
      </c>
      <c r="C506" s="6" t="s">
        <v>1068</v>
      </c>
      <c r="D506" s="6" t="s">
        <v>1069</v>
      </c>
      <c r="E506" s="5" t="s">
        <v>18</v>
      </c>
      <c r="F506" s="5" t="s">
        <v>13</v>
      </c>
      <c r="G506" s="5"/>
      <c r="H506" s="8">
        <v>1</v>
      </c>
      <c r="I506" s="8" t="s">
        <v>765</v>
      </c>
    </row>
    <row r="507" spans="1:9">
      <c r="A507" s="7" t="s">
        <v>1070</v>
      </c>
      <c r="B507" s="5" t="s">
        <v>9</v>
      </c>
      <c r="C507" s="6" t="s">
        <v>1071</v>
      </c>
      <c r="D507" s="6" t="s">
        <v>1072</v>
      </c>
      <c r="E507" s="5" t="s">
        <v>18</v>
      </c>
      <c r="F507" s="5" t="s">
        <v>13</v>
      </c>
      <c r="G507" s="5"/>
      <c r="H507" s="8">
        <v>1</v>
      </c>
      <c r="I507" s="8" t="s">
        <v>765</v>
      </c>
    </row>
    <row r="508" spans="1:9">
      <c r="A508" s="7" t="s">
        <v>1073</v>
      </c>
      <c r="B508" s="5" t="s">
        <v>9</v>
      </c>
      <c r="C508" s="6" t="s">
        <v>1071</v>
      </c>
      <c r="D508" s="6" t="s">
        <v>1074</v>
      </c>
      <c r="E508" s="5" t="s">
        <v>18</v>
      </c>
      <c r="F508" s="5" t="s">
        <v>13</v>
      </c>
      <c r="G508" s="5"/>
      <c r="H508" s="8">
        <v>1</v>
      </c>
      <c r="I508" s="8" t="s">
        <v>765</v>
      </c>
    </row>
    <row r="509" spans="1:9">
      <c r="A509" s="7" t="s">
        <v>1075</v>
      </c>
      <c r="B509" s="5" t="s">
        <v>9</v>
      </c>
      <c r="C509" s="6" t="s">
        <v>272</v>
      </c>
      <c r="D509" s="6" t="s">
        <v>1076</v>
      </c>
      <c r="E509" s="5" t="s">
        <v>18</v>
      </c>
      <c r="F509" s="5" t="s">
        <v>13</v>
      </c>
      <c r="G509" s="5"/>
      <c r="H509" s="8">
        <v>1</v>
      </c>
      <c r="I509" s="8" t="s">
        <v>765</v>
      </c>
    </row>
    <row r="510" spans="1:9">
      <c r="A510" s="7" t="s">
        <v>527</v>
      </c>
      <c r="B510" s="5" t="s">
        <v>9</v>
      </c>
      <c r="C510" s="6" t="s">
        <v>528</v>
      </c>
      <c r="D510" s="6" t="s">
        <v>529</v>
      </c>
      <c r="E510" s="5" t="s">
        <v>22</v>
      </c>
      <c r="F510" s="5" t="s">
        <v>13</v>
      </c>
      <c r="G510" s="5"/>
      <c r="H510" s="8">
        <v>3</v>
      </c>
      <c r="I510" s="8" t="s">
        <v>765</v>
      </c>
    </row>
    <row r="511" spans="1:9">
      <c r="A511" s="7" t="s">
        <v>1077</v>
      </c>
      <c r="B511" s="5" t="s">
        <v>9</v>
      </c>
      <c r="C511" s="6" t="s">
        <v>84</v>
      </c>
      <c r="D511" s="6" t="s">
        <v>41</v>
      </c>
      <c r="E511" s="5" t="s">
        <v>18</v>
      </c>
      <c r="F511" s="5" t="s">
        <v>13</v>
      </c>
      <c r="G511" s="5"/>
      <c r="H511" s="8">
        <v>1</v>
      </c>
      <c r="I511" s="8" t="s">
        <v>765</v>
      </c>
    </row>
    <row r="512" spans="1:9">
      <c r="A512" s="7" t="s">
        <v>1078</v>
      </c>
      <c r="B512" s="5" t="s">
        <v>9</v>
      </c>
      <c r="C512" s="6" t="s">
        <v>267</v>
      </c>
      <c r="D512" s="6" t="s">
        <v>1079</v>
      </c>
      <c r="E512" s="5" t="s">
        <v>18</v>
      </c>
      <c r="F512" s="5" t="s">
        <v>13</v>
      </c>
      <c r="G512" s="5"/>
      <c r="H512" s="8">
        <v>1</v>
      </c>
      <c r="I512" s="8" t="s">
        <v>765</v>
      </c>
    </row>
    <row r="513" spans="1:9">
      <c r="A513" s="7" t="s">
        <v>1080</v>
      </c>
      <c r="B513" s="5" t="s">
        <v>9</v>
      </c>
      <c r="C513" s="6" t="s">
        <v>84</v>
      </c>
      <c r="D513" s="6" t="s">
        <v>41</v>
      </c>
      <c r="E513" s="5" t="s">
        <v>18</v>
      </c>
      <c r="F513" s="5" t="s">
        <v>13</v>
      </c>
      <c r="G513" s="5"/>
      <c r="H513" s="8">
        <v>1</v>
      </c>
      <c r="I513" s="8" t="s">
        <v>765</v>
      </c>
    </row>
    <row r="514" spans="1:9">
      <c r="A514" s="7" t="s">
        <v>1081</v>
      </c>
      <c r="B514" s="5" t="s">
        <v>9</v>
      </c>
      <c r="C514" s="6" t="s">
        <v>557</v>
      </c>
      <c r="D514" s="6" t="s">
        <v>558</v>
      </c>
      <c r="E514" s="5" t="s">
        <v>22</v>
      </c>
      <c r="F514" s="5" t="s">
        <v>13</v>
      </c>
      <c r="G514" s="5"/>
      <c r="H514" s="8">
        <v>4</v>
      </c>
      <c r="I514" s="8" t="s">
        <v>765</v>
      </c>
    </row>
    <row r="515" spans="1:9">
      <c r="A515" s="7" t="s">
        <v>1082</v>
      </c>
      <c r="B515" s="5" t="s">
        <v>9</v>
      </c>
      <c r="C515" s="6" t="s">
        <v>84</v>
      </c>
      <c r="D515" s="6" t="s">
        <v>41</v>
      </c>
      <c r="E515" s="5" t="s">
        <v>18</v>
      </c>
      <c r="F515" s="5" t="s">
        <v>13</v>
      </c>
      <c r="G515" s="5"/>
      <c r="H515" s="8">
        <v>1</v>
      </c>
      <c r="I515" s="8" t="s">
        <v>765</v>
      </c>
    </row>
    <row r="516" spans="1:9">
      <c r="A516" s="7" t="s">
        <v>1083</v>
      </c>
      <c r="B516" s="5" t="s">
        <v>9</v>
      </c>
      <c r="C516" s="6" t="s">
        <v>84</v>
      </c>
      <c r="D516" s="6" t="s">
        <v>41</v>
      </c>
      <c r="E516" s="5" t="s">
        <v>18</v>
      </c>
      <c r="F516" s="5" t="s">
        <v>13</v>
      </c>
      <c r="G516" s="5"/>
      <c r="H516" s="8">
        <v>1</v>
      </c>
      <c r="I516" s="8" t="s">
        <v>765</v>
      </c>
    </row>
    <row r="517" spans="1:9">
      <c r="A517" s="7" t="s">
        <v>1084</v>
      </c>
      <c r="B517" s="5" t="s">
        <v>9</v>
      </c>
      <c r="C517" s="6" t="s">
        <v>84</v>
      </c>
      <c r="D517" s="6" t="s">
        <v>41</v>
      </c>
      <c r="E517" s="5" t="s">
        <v>18</v>
      </c>
      <c r="F517" s="5" t="s">
        <v>13</v>
      </c>
      <c r="G517" s="5"/>
      <c r="H517" s="8">
        <v>1</v>
      </c>
      <c r="I517" s="8" t="s">
        <v>765</v>
      </c>
    </row>
    <row r="518" spans="1:9">
      <c r="A518" s="7" t="s">
        <v>1085</v>
      </c>
      <c r="B518" s="5" t="s">
        <v>9</v>
      </c>
      <c r="C518" s="6" t="s">
        <v>84</v>
      </c>
      <c r="D518" s="6" t="s">
        <v>41</v>
      </c>
      <c r="E518" s="5" t="s">
        <v>18</v>
      </c>
      <c r="F518" s="5" t="s">
        <v>13</v>
      </c>
      <c r="G518" s="5"/>
      <c r="H518" s="8">
        <v>1</v>
      </c>
      <c r="I518" s="8" t="s">
        <v>765</v>
      </c>
    </row>
    <row r="519" spans="1:9">
      <c r="A519" s="7" t="s">
        <v>1086</v>
      </c>
      <c r="B519" s="5" t="s">
        <v>9</v>
      </c>
      <c r="C519" s="6" t="s">
        <v>179</v>
      </c>
      <c r="D519" s="6" t="s">
        <v>1087</v>
      </c>
      <c r="E519" s="5" t="s">
        <v>18</v>
      </c>
      <c r="F519" s="5" t="s">
        <v>13</v>
      </c>
      <c r="G519" s="5"/>
      <c r="H519" s="8">
        <v>1</v>
      </c>
      <c r="I519" s="8" t="s">
        <v>765</v>
      </c>
    </row>
    <row r="520" spans="1:9">
      <c r="A520" s="7" t="s">
        <v>1088</v>
      </c>
      <c r="B520" s="5" t="s">
        <v>9</v>
      </c>
      <c r="C520" s="6" t="s">
        <v>1089</v>
      </c>
      <c r="D520" s="6" t="s">
        <v>1090</v>
      </c>
      <c r="E520" s="5" t="s">
        <v>12</v>
      </c>
      <c r="F520" s="5" t="s">
        <v>13</v>
      </c>
      <c r="G520" s="5"/>
      <c r="H520" s="8">
        <v>1</v>
      </c>
      <c r="I520" s="8" t="s">
        <v>765</v>
      </c>
    </row>
    <row r="521" spans="1:9">
      <c r="A521" s="7" t="s">
        <v>1091</v>
      </c>
      <c r="B521" s="5" t="s">
        <v>9</v>
      </c>
      <c r="C521" s="6" t="s">
        <v>156</v>
      </c>
      <c r="D521" s="6" t="s">
        <v>913</v>
      </c>
      <c r="E521" s="5" t="s">
        <v>18</v>
      </c>
      <c r="F521" s="5" t="s">
        <v>13</v>
      </c>
      <c r="G521" s="5"/>
      <c r="H521" s="8">
        <v>1</v>
      </c>
      <c r="I521" s="8" t="s">
        <v>765</v>
      </c>
    </row>
    <row r="522" spans="1:9">
      <c r="A522" s="7" t="s">
        <v>1092</v>
      </c>
      <c r="B522" s="5" t="s">
        <v>9</v>
      </c>
      <c r="C522" s="6" t="s">
        <v>1093</v>
      </c>
      <c r="D522" s="6" t="s">
        <v>1094</v>
      </c>
      <c r="E522" s="5" t="s">
        <v>12</v>
      </c>
      <c r="F522" s="5" t="s">
        <v>13</v>
      </c>
      <c r="G522" s="5"/>
      <c r="H522" s="8">
        <v>1</v>
      </c>
      <c r="I522" s="8" t="s">
        <v>765</v>
      </c>
    </row>
    <row r="523" spans="1:9">
      <c r="A523" s="7" t="s">
        <v>1095</v>
      </c>
      <c r="B523" s="5" t="s">
        <v>9</v>
      </c>
      <c r="C523" s="6" t="s">
        <v>315</v>
      </c>
      <c r="D523" s="6" t="s">
        <v>316</v>
      </c>
      <c r="E523" s="5" t="s">
        <v>12</v>
      </c>
      <c r="F523" s="5" t="s">
        <v>13</v>
      </c>
      <c r="G523" s="5"/>
      <c r="H523" s="8">
        <v>1</v>
      </c>
      <c r="I523" s="8" t="s">
        <v>765</v>
      </c>
    </row>
    <row r="524" spans="1:9">
      <c r="A524" s="7" t="s">
        <v>1096</v>
      </c>
      <c r="B524" s="5" t="s">
        <v>9</v>
      </c>
      <c r="C524" s="6" t="s">
        <v>328</v>
      </c>
      <c r="D524" s="6" t="s">
        <v>1097</v>
      </c>
      <c r="E524" s="5" t="s">
        <v>39</v>
      </c>
      <c r="F524" s="5" t="s">
        <v>13</v>
      </c>
      <c r="G524" s="5"/>
      <c r="H524" s="8">
        <v>1</v>
      </c>
      <c r="I524" s="8" t="s">
        <v>765</v>
      </c>
    </row>
    <row r="525" spans="1:9">
      <c r="A525" s="7" t="s">
        <v>1098</v>
      </c>
      <c r="B525" s="5" t="s">
        <v>9</v>
      </c>
      <c r="C525" s="6" t="s">
        <v>328</v>
      </c>
      <c r="D525" s="6" t="s">
        <v>1099</v>
      </c>
      <c r="E525" s="5" t="s">
        <v>39</v>
      </c>
      <c r="F525" s="5" t="s">
        <v>13</v>
      </c>
      <c r="G525" s="5"/>
      <c r="H525" s="8">
        <v>1</v>
      </c>
      <c r="I525" s="8" t="s">
        <v>765</v>
      </c>
    </row>
    <row r="526" spans="1:9">
      <c r="A526" s="7" t="s">
        <v>1100</v>
      </c>
      <c r="B526" s="5" t="s">
        <v>9</v>
      </c>
      <c r="C526" s="6" t="s">
        <v>84</v>
      </c>
      <c r="D526" s="6" t="s">
        <v>1101</v>
      </c>
      <c r="E526" s="5" t="s">
        <v>18</v>
      </c>
      <c r="F526" s="5" t="s">
        <v>13</v>
      </c>
      <c r="G526" s="5"/>
      <c r="H526" s="8">
        <v>1</v>
      </c>
      <c r="I526" s="8" t="s">
        <v>765</v>
      </c>
    </row>
    <row r="527" spans="1:9">
      <c r="A527" s="7" t="s">
        <v>1102</v>
      </c>
      <c r="B527" s="5" t="s">
        <v>9</v>
      </c>
      <c r="C527" s="6" t="s">
        <v>958</v>
      </c>
      <c r="D527" s="6" t="s">
        <v>1103</v>
      </c>
      <c r="E527" s="5" t="s">
        <v>308</v>
      </c>
      <c r="F527" s="5" t="s">
        <v>13</v>
      </c>
      <c r="G527" s="5"/>
      <c r="H527" s="8">
        <v>1</v>
      </c>
      <c r="I527" s="8" t="s">
        <v>765</v>
      </c>
    </row>
    <row r="528" spans="1:9">
      <c r="A528" s="7" t="s">
        <v>1104</v>
      </c>
      <c r="B528" s="5" t="s">
        <v>9</v>
      </c>
      <c r="C528" s="6" t="s">
        <v>958</v>
      </c>
      <c r="D528" s="6" t="s">
        <v>1103</v>
      </c>
      <c r="E528" s="5" t="s">
        <v>308</v>
      </c>
      <c r="F528" s="5" t="s">
        <v>13</v>
      </c>
      <c r="G528" s="5"/>
      <c r="H528" s="8">
        <v>1</v>
      </c>
      <c r="I528" s="8" t="s">
        <v>765</v>
      </c>
    </row>
    <row r="529" spans="1:9">
      <c r="A529" s="7" t="s">
        <v>1105</v>
      </c>
      <c r="B529" s="5" t="s">
        <v>9</v>
      </c>
      <c r="C529" s="6" t="s">
        <v>1106</v>
      </c>
      <c r="D529" s="6" t="s">
        <v>1107</v>
      </c>
      <c r="E529" s="5" t="s">
        <v>308</v>
      </c>
      <c r="F529" s="5" t="s">
        <v>13</v>
      </c>
      <c r="G529" s="5"/>
      <c r="H529" s="8">
        <v>1</v>
      </c>
      <c r="I529" s="8" t="s">
        <v>765</v>
      </c>
    </row>
    <row r="530" spans="1:9">
      <c r="A530" s="7" t="s">
        <v>1108</v>
      </c>
      <c r="B530" s="5" t="s">
        <v>9</v>
      </c>
      <c r="C530" s="6" t="s">
        <v>960</v>
      </c>
      <c r="D530" s="6" t="s">
        <v>963</v>
      </c>
      <c r="E530" s="5" t="s">
        <v>308</v>
      </c>
      <c r="F530" s="5" t="s">
        <v>13</v>
      </c>
      <c r="G530" s="5"/>
      <c r="H530" s="8">
        <v>1</v>
      </c>
      <c r="I530" s="8" t="s">
        <v>765</v>
      </c>
    </row>
    <row r="531" spans="1:9">
      <c r="A531" s="7" t="s">
        <v>1109</v>
      </c>
      <c r="B531" s="5" t="s">
        <v>9</v>
      </c>
      <c r="C531" s="6" t="s">
        <v>179</v>
      </c>
      <c r="D531" s="6" t="s">
        <v>179</v>
      </c>
      <c r="E531" s="5" t="s">
        <v>18</v>
      </c>
      <c r="F531" s="5" t="s">
        <v>13</v>
      </c>
      <c r="G531" s="5"/>
      <c r="H531" s="8">
        <v>1</v>
      </c>
      <c r="I531" s="8" t="s">
        <v>765</v>
      </c>
    </row>
    <row r="532" spans="1:9">
      <c r="A532" s="7" t="s">
        <v>1110</v>
      </c>
      <c r="B532" s="5" t="s">
        <v>9</v>
      </c>
      <c r="C532" s="6" t="s">
        <v>179</v>
      </c>
      <c r="D532" s="6" t="s">
        <v>179</v>
      </c>
      <c r="E532" s="5" t="s">
        <v>18</v>
      </c>
      <c r="F532" s="5" t="s">
        <v>13</v>
      </c>
      <c r="G532" s="5"/>
      <c r="H532" s="8">
        <v>1</v>
      </c>
      <c r="I532" s="8" t="s">
        <v>765</v>
      </c>
    </row>
    <row r="533" spans="1:9">
      <c r="A533" s="7" t="s">
        <v>1111</v>
      </c>
      <c r="B533" s="5" t="s">
        <v>9</v>
      </c>
      <c r="C533" s="6" t="s">
        <v>1112</v>
      </c>
      <c r="D533" s="6" t="s">
        <v>1113</v>
      </c>
      <c r="E533" s="5" t="s">
        <v>22</v>
      </c>
      <c r="F533" s="5" t="s">
        <v>13</v>
      </c>
      <c r="G533" s="5"/>
      <c r="H533" s="8">
        <v>2</v>
      </c>
      <c r="I533" s="8" t="s">
        <v>765</v>
      </c>
    </row>
    <row r="534" spans="1:9">
      <c r="A534" s="7" t="s">
        <v>1114</v>
      </c>
      <c r="B534" s="5" t="s">
        <v>9</v>
      </c>
      <c r="C534" s="6" t="s">
        <v>1115</v>
      </c>
      <c r="D534" s="6" t="s">
        <v>1116</v>
      </c>
      <c r="E534" s="5" t="s">
        <v>18</v>
      </c>
      <c r="F534" s="5" t="s">
        <v>13</v>
      </c>
      <c r="G534" s="5"/>
      <c r="H534" s="8">
        <v>1</v>
      </c>
      <c r="I534" s="8" t="s">
        <v>765</v>
      </c>
    </row>
    <row r="535" spans="1:9">
      <c r="A535" s="7" t="s">
        <v>530</v>
      </c>
      <c r="B535" s="5" t="s">
        <v>9</v>
      </c>
      <c r="C535" s="6" t="s">
        <v>531</v>
      </c>
      <c r="D535" s="6" t="s">
        <v>532</v>
      </c>
      <c r="E535" s="5" t="s">
        <v>18</v>
      </c>
      <c r="F535" s="5" t="s">
        <v>13</v>
      </c>
      <c r="G535" s="5"/>
      <c r="H535" s="8">
        <v>1</v>
      </c>
      <c r="I535" s="8" t="s">
        <v>765</v>
      </c>
    </row>
    <row r="536" spans="1:9">
      <c r="A536" s="7" t="s">
        <v>533</v>
      </c>
      <c r="B536" s="5" t="s">
        <v>9</v>
      </c>
      <c r="C536" s="6" t="s">
        <v>299</v>
      </c>
      <c r="D536" s="6" t="s">
        <v>534</v>
      </c>
      <c r="E536" s="5" t="s">
        <v>22</v>
      </c>
      <c r="F536" s="5" t="s">
        <v>13</v>
      </c>
      <c r="G536" s="5"/>
      <c r="H536" s="8">
        <v>12</v>
      </c>
      <c r="I536" s="8" t="s">
        <v>765</v>
      </c>
    </row>
    <row r="537" spans="1:9">
      <c r="A537" s="7" t="s">
        <v>538</v>
      </c>
      <c r="B537" s="5" t="s">
        <v>9</v>
      </c>
      <c r="C537" s="6" t="s">
        <v>539</v>
      </c>
      <c r="D537" s="6" t="s">
        <v>540</v>
      </c>
      <c r="E537" s="5" t="s">
        <v>22</v>
      </c>
      <c r="F537" s="5" t="s">
        <v>13</v>
      </c>
      <c r="G537" s="5"/>
      <c r="H537" s="8">
        <v>3</v>
      </c>
      <c r="I537" s="8" t="s">
        <v>765</v>
      </c>
    </row>
    <row r="538" spans="1:9">
      <c r="A538" s="7" t="s">
        <v>1117</v>
      </c>
      <c r="B538" s="5" t="s">
        <v>9</v>
      </c>
      <c r="C538" s="6" t="s">
        <v>174</v>
      </c>
      <c r="D538" s="6" t="s">
        <v>21</v>
      </c>
      <c r="E538" s="5" t="s">
        <v>22</v>
      </c>
      <c r="F538" s="5" t="s">
        <v>13</v>
      </c>
      <c r="G538" s="5"/>
      <c r="H538" s="8">
        <v>3</v>
      </c>
      <c r="I538" s="8" t="s">
        <v>765</v>
      </c>
    </row>
    <row r="539" spans="1:9">
      <c r="A539" s="7" t="s">
        <v>1118</v>
      </c>
      <c r="B539" s="5" t="s">
        <v>9</v>
      </c>
      <c r="C539" s="6" t="s">
        <v>84</v>
      </c>
      <c r="D539" s="6" t="s">
        <v>41</v>
      </c>
      <c r="E539" s="5" t="s">
        <v>39</v>
      </c>
      <c r="F539" s="5" t="s">
        <v>13</v>
      </c>
      <c r="G539" s="5"/>
      <c r="H539" s="8">
        <v>1</v>
      </c>
      <c r="I539" s="8" t="s">
        <v>765</v>
      </c>
    </row>
    <row r="540" spans="1:9">
      <c r="A540" s="7" t="s">
        <v>1119</v>
      </c>
      <c r="B540" s="5" t="s">
        <v>9</v>
      </c>
      <c r="C540" s="6" t="s">
        <v>84</v>
      </c>
      <c r="D540" s="6" t="s">
        <v>41</v>
      </c>
      <c r="E540" s="5" t="s">
        <v>39</v>
      </c>
      <c r="F540" s="5" t="s">
        <v>13</v>
      </c>
      <c r="G540" s="5"/>
      <c r="H540" s="8">
        <v>1</v>
      </c>
      <c r="I540" s="8" t="s">
        <v>765</v>
      </c>
    </row>
    <row r="541" spans="1:9">
      <c r="A541" s="7" t="s">
        <v>544</v>
      </c>
      <c r="B541" s="5" t="s">
        <v>9</v>
      </c>
      <c r="C541" s="6" t="s">
        <v>545</v>
      </c>
      <c r="D541" s="6" t="s">
        <v>116</v>
      </c>
      <c r="E541" s="5" t="s">
        <v>12</v>
      </c>
      <c r="F541" s="5" t="s">
        <v>13</v>
      </c>
      <c r="G541" s="5"/>
      <c r="H541" s="8">
        <v>1</v>
      </c>
      <c r="I541" s="8" t="s">
        <v>765</v>
      </c>
    </row>
    <row r="542" spans="1:9">
      <c r="A542" s="7" t="s">
        <v>1120</v>
      </c>
      <c r="B542" s="5" t="s">
        <v>9</v>
      </c>
      <c r="C542" s="6" t="s">
        <v>363</v>
      </c>
      <c r="D542" s="6" t="s">
        <v>1121</v>
      </c>
      <c r="E542" s="5" t="s">
        <v>308</v>
      </c>
      <c r="F542" s="5" t="s">
        <v>13</v>
      </c>
      <c r="G542" s="5"/>
      <c r="H542" s="8">
        <v>2</v>
      </c>
      <c r="I542" s="8" t="s">
        <v>765</v>
      </c>
    </row>
    <row r="543" spans="1:9">
      <c r="A543" s="7" t="s">
        <v>1122</v>
      </c>
      <c r="B543" s="5" t="s">
        <v>9</v>
      </c>
      <c r="C543" s="6" t="s">
        <v>1123</v>
      </c>
      <c r="D543" s="6" t="s">
        <v>1124</v>
      </c>
      <c r="E543" s="5" t="s">
        <v>12</v>
      </c>
      <c r="F543" s="5" t="s">
        <v>13</v>
      </c>
      <c r="G543" s="5"/>
      <c r="H543" s="8">
        <v>1</v>
      </c>
      <c r="I543" s="8" t="s">
        <v>765</v>
      </c>
    </row>
    <row r="544" spans="1:9">
      <c r="A544" s="7" t="s">
        <v>1125</v>
      </c>
      <c r="B544" s="5" t="s">
        <v>9</v>
      </c>
      <c r="C544" s="6" t="s">
        <v>84</v>
      </c>
      <c r="D544" s="6" t="s">
        <v>1126</v>
      </c>
      <c r="E544" s="5" t="s">
        <v>12</v>
      </c>
      <c r="F544" s="5" t="s">
        <v>13</v>
      </c>
      <c r="G544" s="5"/>
      <c r="H544" s="8">
        <v>1</v>
      </c>
      <c r="I544" s="8" t="s">
        <v>765</v>
      </c>
    </row>
    <row r="545" spans="1:9">
      <c r="A545" s="7" t="s">
        <v>1127</v>
      </c>
      <c r="B545" s="5" t="s">
        <v>9</v>
      </c>
      <c r="C545" s="6" t="s">
        <v>41</v>
      </c>
      <c r="D545" s="6" t="s">
        <v>41</v>
      </c>
      <c r="E545" s="5" t="s">
        <v>18</v>
      </c>
      <c r="F545" s="5" t="s">
        <v>13</v>
      </c>
      <c r="G545" s="5"/>
      <c r="H545" s="8">
        <v>1</v>
      </c>
      <c r="I545" s="8" t="s">
        <v>765</v>
      </c>
    </row>
    <row r="546" spans="1:9">
      <c r="A546" s="7" t="s">
        <v>1128</v>
      </c>
      <c r="B546" s="5" t="s">
        <v>9</v>
      </c>
      <c r="C546" s="6" t="s">
        <v>1129</v>
      </c>
      <c r="D546" s="6" t="s">
        <v>1130</v>
      </c>
      <c r="E546" s="5" t="s">
        <v>790</v>
      </c>
      <c r="F546" s="5" t="s">
        <v>13</v>
      </c>
      <c r="G546" s="5"/>
      <c r="H546" s="8">
        <v>1</v>
      </c>
      <c r="I546" s="8" t="s">
        <v>765</v>
      </c>
    </row>
    <row r="547" spans="1:9">
      <c r="A547" s="7" t="s">
        <v>1131</v>
      </c>
      <c r="B547" s="5" t="s">
        <v>9</v>
      </c>
      <c r="C547" s="6" t="s">
        <v>84</v>
      </c>
      <c r="D547" s="6" t="s">
        <v>41</v>
      </c>
      <c r="E547" s="5" t="s">
        <v>39</v>
      </c>
      <c r="F547" s="5" t="s">
        <v>13</v>
      </c>
      <c r="G547" s="5"/>
      <c r="H547" s="8">
        <v>3</v>
      </c>
      <c r="I547" s="8" t="s">
        <v>765</v>
      </c>
    </row>
    <row r="548" spans="1:9">
      <c r="A548" s="7" t="s">
        <v>1132</v>
      </c>
      <c r="B548" s="5" t="s">
        <v>9</v>
      </c>
      <c r="C548" s="6" t="s">
        <v>179</v>
      </c>
      <c r="D548" s="6" t="s">
        <v>179</v>
      </c>
      <c r="E548" s="5" t="s">
        <v>18</v>
      </c>
      <c r="F548" s="5" t="s">
        <v>13</v>
      </c>
      <c r="G548" s="5"/>
      <c r="H548" s="8">
        <v>1</v>
      </c>
      <c r="I548" s="8" t="s">
        <v>765</v>
      </c>
    </row>
    <row r="549" spans="1:9">
      <c r="A549" s="7" t="s">
        <v>547</v>
      </c>
      <c r="B549" s="5" t="s">
        <v>9</v>
      </c>
      <c r="C549" s="6" t="s">
        <v>312</v>
      </c>
      <c r="D549" s="6" t="s">
        <v>548</v>
      </c>
      <c r="E549" s="5" t="s">
        <v>22</v>
      </c>
      <c r="F549" s="5" t="s">
        <v>13</v>
      </c>
      <c r="G549" s="5"/>
      <c r="H549" s="8">
        <v>8</v>
      </c>
      <c r="I549" s="8" t="s">
        <v>765</v>
      </c>
    </row>
    <row r="550" spans="1:9">
      <c r="A550" s="7" t="s">
        <v>1133</v>
      </c>
      <c r="B550" s="5" t="s">
        <v>9</v>
      </c>
      <c r="C550" s="6" t="s">
        <v>1134</v>
      </c>
      <c r="D550" s="6" t="s">
        <v>1134</v>
      </c>
      <c r="E550" s="5" t="s">
        <v>22</v>
      </c>
      <c r="F550" s="5" t="s">
        <v>13</v>
      </c>
      <c r="G550" s="5"/>
      <c r="H550" s="8">
        <v>2</v>
      </c>
      <c r="I550" s="8" t="s">
        <v>765</v>
      </c>
    </row>
    <row r="551" spans="1:9">
      <c r="A551" s="7" t="s">
        <v>1135</v>
      </c>
      <c r="B551" s="5" t="s">
        <v>9</v>
      </c>
      <c r="C551" s="6" t="s">
        <v>905</v>
      </c>
      <c r="D551" s="6" t="s">
        <v>905</v>
      </c>
      <c r="E551" s="5" t="s">
        <v>22</v>
      </c>
      <c r="F551" s="5" t="s">
        <v>13</v>
      </c>
      <c r="G551" s="5"/>
      <c r="H551" s="8">
        <v>2</v>
      </c>
      <c r="I551" s="8" t="s">
        <v>765</v>
      </c>
    </row>
    <row r="552" spans="1:9">
      <c r="A552" s="7" t="s">
        <v>1136</v>
      </c>
      <c r="B552" s="5" t="s">
        <v>9</v>
      </c>
      <c r="C552" s="6" t="s">
        <v>753</v>
      </c>
      <c r="D552" s="6" t="s">
        <v>902</v>
      </c>
      <c r="E552" s="5" t="s">
        <v>22</v>
      </c>
      <c r="F552" s="5" t="s">
        <v>13</v>
      </c>
      <c r="G552" s="5"/>
      <c r="H552" s="8">
        <v>2</v>
      </c>
      <c r="I552" s="8" t="s">
        <v>765</v>
      </c>
    </row>
    <row r="553" spans="1:9">
      <c r="A553" s="7" t="s">
        <v>1137</v>
      </c>
      <c r="B553" s="5" t="s">
        <v>9</v>
      </c>
      <c r="C553" s="6" t="s">
        <v>1138</v>
      </c>
      <c r="D553" s="6" t="s">
        <v>1139</v>
      </c>
      <c r="E553" s="5" t="s">
        <v>12</v>
      </c>
      <c r="F553" s="5" t="s">
        <v>13</v>
      </c>
      <c r="G553" s="5"/>
      <c r="H553" s="8">
        <v>1</v>
      </c>
      <c r="I553" s="8" t="s">
        <v>765</v>
      </c>
    </row>
    <row r="554" spans="1:9">
      <c r="A554" s="7" t="s">
        <v>1140</v>
      </c>
      <c r="B554" s="5" t="s">
        <v>9</v>
      </c>
      <c r="C554" s="6" t="s">
        <v>1141</v>
      </c>
      <c r="D554" s="6" t="s">
        <v>1141</v>
      </c>
      <c r="E554" s="5" t="s">
        <v>308</v>
      </c>
      <c r="F554" s="5" t="s">
        <v>13</v>
      </c>
      <c r="G554" s="5"/>
      <c r="H554" s="8">
        <v>1</v>
      </c>
      <c r="I554" s="8" t="s">
        <v>765</v>
      </c>
    </row>
    <row r="555" spans="1:9">
      <c r="A555" s="7" t="s">
        <v>1142</v>
      </c>
      <c r="B555" s="5" t="s">
        <v>9</v>
      </c>
      <c r="C555" s="6" t="s">
        <v>241</v>
      </c>
      <c r="D555" s="6" t="s">
        <v>1049</v>
      </c>
      <c r="E555" s="5" t="s">
        <v>22</v>
      </c>
      <c r="F555" s="5" t="s">
        <v>13</v>
      </c>
      <c r="G555" s="5"/>
      <c r="H555" s="8">
        <v>1</v>
      </c>
      <c r="I555" s="8" t="s">
        <v>765</v>
      </c>
    </row>
    <row r="556" spans="1:9">
      <c r="A556" s="7" t="s">
        <v>1143</v>
      </c>
      <c r="B556" s="5" t="s">
        <v>9</v>
      </c>
      <c r="C556" s="6" t="s">
        <v>139</v>
      </c>
      <c r="D556" s="6" t="s">
        <v>1144</v>
      </c>
      <c r="E556" s="5" t="s">
        <v>39</v>
      </c>
      <c r="F556" s="5" t="s">
        <v>13</v>
      </c>
      <c r="G556" s="5"/>
      <c r="H556" s="8">
        <v>4</v>
      </c>
      <c r="I556" s="8" t="s">
        <v>765</v>
      </c>
    </row>
    <row r="557" spans="1:9">
      <c r="A557" s="7" t="s">
        <v>552</v>
      </c>
      <c r="B557" s="5" t="s">
        <v>9</v>
      </c>
      <c r="C557" s="6" t="s">
        <v>174</v>
      </c>
      <c r="D557" s="6" t="s">
        <v>21</v>
      </c>
      <c r="E557" s="5" t="s">
        <v>22</v>
      </c>
      <c r="F557" s="5" t="s">
        <v>13</v>
      </c>
      <c r="G557" s="5"/>
      <c r="H557" s="8">
        <v>1</v>
      </c>
      <c r="I557" s="8" t="s">
        <v>765</v>
      </c>
    </row>
    <row r="558" spans="1:9">
      <c r="A558" s="7" t="s">
        <v>1145</v>
      </c>
      <c r="B558" s="5" t="s">
        <v>9</v>
      </c>
      <c r="C558" s="6" t="s">
        <v>1134</v>
      </c>
      <c r="D558" s="6" t="s">
        <v>1134</v>
      </c>
      <c r="E558" s="5" t="s">
        <v>22</v>
      </c>
      <c r="F558" s="5" t="s">
        <v>13</v>
      </c>
      <c r="G558" s="5"/>
      <c r="H558" s="8">
        <v>2</v>
      </c>
      <c r="I558" s="8" t="s">
        <v>765</v>
      </c>
    </row>
    <row r="559" spans="1:9">
      <c r="A559" s="7" t="s">
        <v>1146</v>
      </c>
      <c r="B559" s="5" t="s">
        <v>9</v>
      </c>
      <c r="C559" s="6" t="s">
        <v>16</v>
      </c>
      <c r="D559" s="6" t="s">
        <v>984</v>
      </c>
      <c r="E559" s="5" t="s">
        <v>18</v>
      </c>
      <c r="F559" s="5" t="s">
        <v>13</v>
      </c>
      <c r="G559" s="5"/>
      <c r="H559" s="8">
        <v>1</v>
      </c>
      <c r="I559" s="8" t="s">
        <v>765</v>
      </c>
    </row>
    <row r="560" spans="1:9">
      <c r="A560" s="7" t="s">
        <v>1147</v>
      </c>
      <c r="B560" s="5" t="s">
        <v>9</v>
      </c>
      <c r="C560" s="6" t="s">
        <v>1148</v>
      </c>
      <c r="D560" s="6" t="s">
        <v>1148</v>
      </c>
      <c r="E560" s="5" t="s">
        <v>22</v>
      </c>
      <c r="F560" s="5" t="s">
        <v>13</v>
      </c>
      <c r="G560" s="5"/>
      <c r="H560" s="8">
        <v>1</v>
      </c>
      <c r="I560" s="8" t="s">
        <v>765</v>
      </c>
    </row>
    <row r="561" spans="1:9">
      <c r="A561" s="7" t="s">
        <v>1149</v>
      </c>
      <c r="B561" s="5" t="s">
        <v>9</v>
      </c>
      <c r="C561" s="6" t="s">
        <v>557</v>
      </c>
      <c r="D561" s="6" t="s">
        <v>558</v>
      </c>
      <c r="E561" s="5" t="s">
        <v>22</v>
      </c>
      <c r="F561" s="5" t="s">
        <v>13</v>
      </c>
      <c r="G561" s="5"/>
      <c r="H561" s="8">
        <v>8</v>
      </c>
      <c r="I561" s="8" t="s">
        <v>765</v>
      </c>
    </row>
    <row r="562" spans="1:9">
      <c r="A562" s="7" t="s">
        <v>1150</v>
      </c>
      <c r="B562" s="5" t="s">
        <v>9</v>
      </c>
      <c r="C562" s="6" t="s">
        <v>558</v>
      </c>
      <c r="D562" s="6" t="s">
        <v>558</v>
      </c>
      <c r="E562" s="5" t="s">
        <v>22</v>
      </c>
      <c r="F562" s="5" t="s">
        <v>13</v>
      </c>
      <c r="G562" s="5"/>
      <c r="H562" s="8">
        <v>5</v>
      </c>
      <c r="I562" s="8" t="s">
        <v>765</v>
      </c>
    </row>
    <row r="563" spans="1:9">
      <c r="A563" s="7" t="s">
        <v>1151</v>
      </c>
      <c r="B563" s="5" t="s">
        <v>9</v>
      </c>
      <c r="C563" s="6" t="s">
        <v>557</v>
      </c>
      <c r="D563" s="6" t="s">
        <v>558</v>
      </c>
      <c r="E563" s="5" t="s">
        <v>22</v>
      </c>
      <c r="F563" s="5" t="s">
        <v>13</v>
      </c>
      <c r="G563" s="5"/>
      <c r="H563" s="8">
        <v>1</v>
      </c>
      <c r="I563" s="8" t="s">
        <v>765</v>
      </c>
    </row>
    <row r="564" spans="1:9">
      <c r="A564" s="7" t="s">
        <v>1152</v>
      </c>
      <c r="B564" s="5" t="s">
        <v>9</v>
      </c>
      <c r="C564" s="6" t="s">
        <v>557</v>
      </c>
      <c r="D564" s="6" t="s">
        <v>558</v>
      </c>
      <c r="E564" s="5" t="s">
        <v>22</v>
      </c>
      <c r="F564" s="5" t="s">
        <v>13</v>
      </c>
      <c r="G564" s="5"/>
      <c r="H564" s="8">
        <v>12</v>
      </c>
      <c r="I564" s="8" t="s">
        <v>765</v>
      </c>
    </row>
    <row r="565" spans="1:9">
      <c r="A565" s="7" t="s">
        <v>556</v>
      </c>
      <c r="B565" s="5" t="s">
        <v>9</v>
      </c>
      <c r="C565" s="6" t="s">
        <v>557</v>
      </c>
      <c r="D565" s="6" t="s">
        <v>558</v>
      </c>
      <c r="E565" s="5" t="s">
        <v>22</v>
      </c>
      <c r="F565" s="5" t="s">
        <v>13</v>
      </c>
      <c r="G565" s="5"/>
      <c r="H565" s="8">
        <v>20</v>
      </c>
      <c r="I565" s="8" t="s">
        <v>765</v>
      </c>
    </row>
    <row r="566" spans="1:9">
      <c r="A566" s="7" t="s">
        <v>1153</v>
      </c>
      <c r="B566" s="5" t="s">
        <v>9</v>
      </c>
      <c r="C566" s="6" t="s">
        <v>557</v>
      </c>
      <c r="D566" s="6" t="s">
        <v>558</v>
      </c>
      <c r="E566" s="5" t="s">
        <v>22</v>
      </c>
      <c r="F566" s="5" t="s">
        <v>13</v>
      </c>
      <c r="G566" s="5"/>
      <c r="H566" s="8">
        <v>48</v>
      </c>
      <c r="I566" s="8" t="s">
        <v>765</v>
      </c>
    </row>
    <row r="567" spans="1:9">
      <c r="A567" s="7" t="s">
        <v>1154</v>
      </c>
      <c r="B567" s="5" t="s">
        <v>9</v>
      </c>
      <c r="C567" s="6" t="s">
        <v>557</v>
      </c>
      <c r="D567" s="6" t="s">
        <v>558</v>
      </c>
      <c r="E567" s="5" t="s">
        <v>22</v>
      </c>
      <c r="F567" s="5" t="s">
        <v>13</v>
      </c>
      <c r="G567" s="5"/>
      <c r="H567" s="8">
        <v>8</v>
      </c>
      <c r="I567" s="8" t="s">
        <v>765</v>
      </c>
    </row>
    <row r="568" spans="1:9">
      <c r="A568" s="7" t="s">
        <v>1155</v>
      </c>
      <c r="B568" s="5" t="s">
        <v>9</v>
      </c>
      <c r="C568" s="6" t="s">
        <v>557</v>
      </c>
      <c r="D568" s="6" t="s">
        <v>558</v>
      </c>
      <c r="E568" s="5" t="s">
        <v>22</v>
      </c>
      <c r="F568" s="5" t="s">
        <v>13</v>
      </c>
      <c r="G568" s="5"/>
      <c r="H568" s="8">
        <v>8</v>
      </c>
      <c r="I568" s="8" t="s">
        <v>765</v>
      </c>
    </row>
    <row r="569" spans="1:9">
      <c r="A569" s="7" t="s">
        <v>1156</v>
      </c>
      <c r="B569" s="5" t="s">
        <v>9</v>
      </c>
      <c r="C569" s="6" t="s">
        <v>557</v>
      </c>
      <c r="D569" s="6" t="s">
        <v>558</v>
      </c>
      <c r="E569" s="5" t="s">
        <v>22</v>
      </c>
      <c r="F569" s="5" t="s">
        <v>13</v>
      </c>
      <c r="G569" s="5"/>
      <c r="H569" s="8">
        <v>8</v>
      </c>
      <c r="I569" s="8" t="s">
        <v>765</v>
      </c>
    </row>
    <row r="570" spans="1:9">
      <c r="A570" s="7" t="s">
        <v>1157</v>
      </c>
      <c r="B570" s="5" t="s">
        <v>9</v>
      </c>
      <c r="C570" s="6" t="s">
        <v>557</v>
      </c>
      <c r="D570" s="6" t="s">
        <v>558</v>
      </c>
      <c r="E570" s="5" t="s">
        <v>22</v>
      </c>
      <c r="F570" s="5" t="s">
        <v>13</v>
      </c>
      <c r="G570" s="5"/>
      <c r="H570" s="8">
        <v>16</v>
      </c>
      <c r="I570" s="8" t="s">
        <v>765</v>
      </c>
    </row>
    <row r="571" spans="1:9">
      <c r="A571" s="7" t="s">
        <v>559</v>
      </c>
      <c r="B571" s="5" t="s">
        <v>9</v>
      </c>
      <c r="C571" s="6" t="s">
        <v>121</v>
      </c>
      <c r="D571" s="6" t="s">
        <v>560</v>
      </c>
      <c r="E571" s="5" t="s">
        <v>22</v>
      </c>
      <c r="F571" s="5" t="s">
        <v>13</v>
      </c>
      <c r="G571" s="5"/>
      <c r="H571" s="8">
        <v>86</v>
      </c>
      <c r="I571" s="8" t="s">
        <v>765</v>
      </c>
    </row>
    <row r="572" spans="1:9">
      <c r="A572" s="7" t="s">
        <v>1158</v>
      </c>
      <c r="B572" s="5" t="s">
        <v>9</v>
      </c>
      <c r="C572" s="6" t="s">
        <v>121</v>
      </c>
      <c r="D572" s="6" t="s">
        <v>560</v>
      </c>
      <c r="E572" s="5" t="s">
        <v>22</v>
      </c>
      <c r="F572" s="5" t="s">
        <v>13</v>
      </c>
      <c r="G572" s="5"/>
      <c r="H572" s="8">
        <v>3</v>
      </c>
      <c r="I572" s="8" t="s">
        <v>765</v>
      </c>
    </row>
    <row r="573" spans="1:9">
      <c r="A573" s="7" t="s">
        <v>561</v>
      </c>
      <c r="B573" s="5" t="s">
        <v>9</v>
      </c>
      <c r="C573" s="6" t="s">
        <v>56</v>
      </c>
      <c r="D573" s="6" t="s">
        <v>521</v>
      </c>
      <c r="E573" s="5" t="s">
        <v>22</v>
      </c>
      <c r="F573" s="5" t="s">
        <v>13</v>
      </c>
      <c r="G573" s="5"/>
      <c r="H573" s="8">
        <v>1</v>
      </c>
      <c r="I573" s="8" t="s">
        <v>765</v>
      </c>
    </row>
    <row r="574" spans="1:9">
      <c r="A574" s="7" t="s">
        <v>1159</v>
      </c>
      <c r="B574" s="5" t="s">
        <v>9</v>
      </c>
      <c r="C574" s="6" t="s">
        <v>21</v>
      </c>
      <c r="D574" s="6" t="s">
        <v>21</v>
      </c>
      <c r="E574" s="5" t="s">
        <v>12</v>
      </c>
      <c r="F574" s="5" t="s">
        <v>13</v>
      </c>
      <c r="G574" s="5"/>
      <c r="H574" s="8">
        <v>1</v>
      </c>
      <c r="I574" s="8" t="s">
        <v>765</v>
      </c>
    </row>
    <row r="575" spans="1:9">
      <c r="A575" s="7" t="s">
        <v>1160</v>
      </c>
      <c r="B575" s="5" t="s">
        <v>9</v>
      </c>
      <c r="C575" s="6" t="s">
        <v>312</v>
      </c>
      <c r="D575" s="6" t="s">
        <v>739</v>
      </c>
      <c r="E575" s="5" t="s">
        <v>22</v>
      </c>
      <c r="F575" s="5" t="s">
        <v>13</v>
      </c>
      <c r="G575" s="5"/>
      <c r="H575" s="8">
        <v>3</v>
      </c>
      <c r="I575" s="8" t="s">
        <v>765</v>
      </c>
    </row>
    <row r="576" spans="1:9">
      <c r="A576" s="7" t="s">
        <v>565</v>
      </c>
      <c r="B576" s="5" t="s">
        <v>9</v>
      </c>
      <c r="C576" s="6" t="s">
        <v>566</v>
      </c>
      <c r="D576" s="6" t="s">
        <v>17</v>
      </c>
      <c r="E576" s="5" t="s">
        <v>18</v>
      </c>
      <c r="F576" s="5" t="s">
        <v>13</v>
      </c>
      <c r="G576" s="5"/>
      <c r="H576" s="8">
        <v>4</v>
      </c>
      <c r="I576" s="8" t="s">
        <v>765</v>
      </c>
    </row>
    <row r="577" spans="1:9">
      <c r="A577" s="7" t="s">
        <v>1161</v>
      </c>
      <c r="B577" s="5" t="s">
        <v>9</v>
      </c>
      <c r="C577" s="6" t="s">
        <v>974</v>
      </c>
      <c r="D577" s="6" t="s">
        <v>1162</v>
      </c>
      <c r="E577" s="5" t="s">
        <v>18</v>
      </c>
      <c r="F577" s="5" t="s">
        <v>13</v>
      </c>
      <c r="G577" s="5"/>
      <c r="H577" s="8">
        <v>1</v>
      </c>
      <c r="I577" s="8" t="s">
        <v>765</v>
      </c>
    </row>
    <row r="578" spans="1:9">
      <c r="A578" s="7" t="s">
        <v>1163</v>
      </c>
      <c r="B578" s="5" t="s">
        <v>9</v>
      </c>
      <c r="C578" s="6" t="s">
        <v>1164</v>
      </c>
      <c r="D578" s="6" t="s">
        <v>1164</v>
      </c>
      <c r="E578" s="5" t="s">
        <v>22</v>
      </c>
      <c r="F578" s="5" t="s">
        <v>13</v>
      </c>
      <c r="G578" s="5"/>
      <c r="H578" s="8">
        <v>2</v>
      </c>
      <c r="I578" s="8" t="s">
        <v>765</v>
      </c>
    </row>
    <row r="579" spans="1:9">
      <c r="A579" s="7" t="s">
        <v>573</v>
      </c>
      <c r="B579" s="5" t="s">
        <v>9</v>
      </c>
      <c r="C579" s="6" t="s">
        <v>574</v>
      </c>
      <c r="D579" s="6" t="s">
        <v>575</v>
      </c>
      <c r="E579" s="5" t="s">
        <v>22</v>
      </c>
      <c r="F579" s="5" t="s">
        <v>13</v>
      </c>
      <c r="G579" s="5"/>
      <c r="H579" s="8">
        <v>1</v>
      </c>
      <c r="I579" s="8" t="s">
        <v>765</v>
      </c>
    </row>
    <row r="580" spans="1:9">
      <c r="A580" s="7" t="s">
        <v>1165</v>
      </c>
      <c r="B580" s="5" t="s">
        <v>9</v>
      </c>
      <c r="C580" s="6" t="s">
        <v>613</v>
      </c>
      <c r="D580" s="6" t="s">
        <v>630</v>
      </c>
      <c r="E580" s="5" t="s">
        <v>22</v>
      </c>
      <c r="F580" s="5" t="s">
        <v>13</v>
      </c>
      <c r="G580" s="5"/>
      <c r="H580" s="8">
        <v>4</v>
      </c>
      <c r="I580" s="8" t="s">
        <v>765</v>
      </c>
    </row>
    <row r="581" spans="1:9">
      <c r="A581" s="7" t="s">
        <v>1166</v>
      </c>
      <c r="B581" s="5" t="s">
        <v>9</v>
      </c>
      <c r="C581" s="6" t="s">
        <v>577</v>
      </c>
      <c r="D581" s="6" t="s">
        <v>630</v>
      </c>
      <c r="E581" s="5" t="s">
        <v>22</v>
      </c>
      <c r="F581" s="5" t="s">
        <v>13</v>
      </c>
      <c r="G581" s="5"/>
      <c r="H581" s="8">
        <v>6</v>
      </c>
      <c r="I581" s="8" t="s">
        <v>765</v>
      </c>
    </row>
    <row r="582" spans="1:9">
      <c r="A582" s="7" t="s">
        <v>1167</v>
      </c>
      <c r="B582" s="5" t="s">
        <v>9</v>
      </c>
      <c r="C582" s="6" t="s">
        <v>630</v>
      </c>
      <c r="D582" s="6" t="s">
        <v>630</v>
      </c>
      <c r="E582" s="5" t="s">
        <v>22</v>
      </c>
      <c r="F582" s="5" t="s">
        <v>13</v>
      </c>
      <c r="G582" s="5"/>
      <c r="H582" s="8">
        <v>6</v>
      </c>
      <c r="I582" s="8" t="s">
        <v>765</v>
      </c>
    </row>
    <row r="583" spans="1:9">
      <c r="A583" s="7" t="s">
        <v>1168</v>
      </c>
      <c r="B583" s="5" t="s">
        <v>9</v>
      </c>
      <c r="C583" s="6" t="s">
        <v>630</v>
      </c>
      <c r="D583" s="6" t="s">
        <v>630</v>
      </c>
      <c r="E583" s="5" t="s">
        <v>22</v>
      </c>
      <c r="F583" s="5" t="s">
        <v>13</v>
      </c>
      <c r="G583" s="5"/>
      <c r="H583" s="8">
        <v>2</v>
      </c>
      <c r="I583" s="8" t="s">
        <v>765</v>
      </c>
    </row>
    <row r="584" spans="1:9">
      <c r="A584" s="7" t="s">
        <v>1169</v>
      </c>
      <c r="B584" s="5" t="s">
        <v>9</v>
      </c>
      <c r="C584" s="6" t="s">
        <v>577</v>
      </c>
      <c r="D584" s="6" t="s">
        <v>630</v>
      </c>
      <c r="E584" s="5" t="s">
        <v>22</v>
      </c>
      <c r="F584" s="5" t="s">
        <v>13</v>
      </c>
      <c r="G584" s="5"/>
      <c r="H584" s="8">
        <v>1</v>
      </c>
      <c r="I584" s="8" t="s">
        <v>765</v>
      </c>
    </row>
    <row r="585" spans="1:9">
      <c r="A585" s="7" t="s">
        <v>1170</v>
      </c>
      <c r="B585" s="5" t="s">
        <v>9</v>
      </c>
      <c r="C585" s="6" t="s">
        <v>577</v>
      </c>
      <c r="D585" s="6" t="s">
        <v>630</v>
      </c>
      <c r="E585" s="5" t="s">
        <v>22</v>
      </c>
      <c r="F585" s="5" t="s">
        <v>13</v>
      </c>
      <c r="G585" s="5"/>
      <c r="H585" s="8">
        <v>38</v>
      </c>
      <c r="I585" s="8" t="s">
        <v>765</v>
      </c>
    </row>
    <row r="586" spans="1:9">
      <c r="A586" s="7" t="s">
        <v>1171</v>
      </c>
      <c r="B586" s="5" t="s">
        <v>9</v>
      </c>
      <c r="C586" s="6" t="s">
        <v>630</v>
      </c>
      <c r="D586" s="6" t="s">
        <v>630</v>
      </c>
      <c r="E586" s="5" t="s">
        <v>22</v>
      </c>
      <c r="F586" s="5" t="s">
        <v>13</v>
      </c>
      <c r="G586" s="5"/>
      <c r="H586" s="8">
        <v>1</v>
      </c>
      <c r="I586" s="8" t="s">
        <v>765</v>
      </c>
    </row>
    <row r="587" spans="1:9">
      <c r="A587" s="7" t="s">
        <v>1172</v>
      </c>
      <c r="B587" s="5" t="s">
        <v>9</v>
      </c>
      <c r="C587" s="6" t="s">
        <v>577</v>
      </c>
      <c r="D587" s="6" t="s">
        <v>630</v>
      </c>
      <c r="E587" s="5" t="s">
        <v>22</v>
      </c>
      <c r="F587" s="5" t="s">
        <v>13</v>
      </c>
      <c r="G587" s="5"/>
      <c r="H587" s="8">
        <v>6</v>
      </c>
      <c r="I587" s="8" t="s">
        <v>765</v>
      </c>
    </row>
    <row r="588" spans="1:9">
      <c r="A588" s="7" t="s">
        <v>1173</v>
      </c>
      <c r="B588" s="5" t="s">
        <v>9</v>
      </c>
      <c r="C588" s="6" t="s">
        <v>634</v>
      </c>
      <c r="D588" s="6" t="s">
        <v>634</v>
      </c>
      <c r="E588" s="5" t="s">
        <v>22</v>
      </c>
      <c r="F588" s="5" t="s">
        <v>13</v>
      </c>
      <c r="G588" s="5"/>
      <c r="H588" s="8">
        <v>1</v>
      </c>
      <c r="I588" s="8" t="s">
        <v>765</v>
      </c>
    </row>
    <row r="589" spans="1:9">
      <c r="A589" s="7" t="s">
        <v>579</v>
      </c>
      <c r="B589" s="5" t="s">
        <v>9</v>
      </c>
      <c r="C589" s="6" t="s">
        <v>580</v>
      </c>
      <c r="D589" s="6" t="s">
        <v>489</v>
      </c>
      <c r="E589" s="5" t="s">
        <v>22</v>
      </c>
      <c r="F589" s="5" t="s">
        <v>13</v>
      </c>
      <c r="G589" s="5"/>
      <c r="H589" s="8">
        <v>15</v>
      </c>
      <c r="I589" s="8" t="s">
        <v>765</v>
      </c>
    </row>
    <row r="590" spans="1:9">
      <c r="A590" s="7" t="s">
        <v>583</v>
      </c>
      <c r="B590" s="5" t="s">
        <v>9</v>
      </c>
      <c r="C590" s="6" t="s">
        <v>580</v>
      </c>
      <c r="D590" s="6" t="s">
        <v>584</v>
      </c>
      <c r="E590" s="5" t="s">
        <v>22</v>
      </c>
      <c r="F590" s="5" t="s">
        <v>13</v>
      </c>
      <c r="G590" s="5"/>
      <c r="H590" s="8">
        <v>24</v>
      </c>
      <c r="I590" s="8" t="s">
        <v>765</v>
      </c>
    </row>
    <row r="591" spans="1:9">
      <c r="A591" s="7" t="s">
        <v>1174</v>
      </c>
      <c r="B591" s="5" t="s">
        <v>9</v>
      </c>
      <c r="C591" s="6" t="s">
        <v>682</v>
      </c>
      <c r="D591" s="6" t="s">
        <v>582</v>
      </c>
      <c r="E591" s="5" t="s">
        <v>22</v>
      </c>
      <c r="F591" s="5" t="s">
        <v>13</v>
      </c>
      <c r="G591" s="5"/>
      <c r="H591" s="8">
        <v>8</v>
      </c>
      <c r="I591" s="8" t="s">
        <v>765</v>
      </c>
    </row>
    <row r="592" spans="1:9">
      <c r="A592" s="7" t="s">
        <v>1175</v>
      </c>
      <c r="B592" s="5" t="s">
        <v>9</v>
      </c>
      <c r="C592" s="6" t="s">
        <v>587</v>
      </c>
      <c r="D592" s="6" t="s">
        <v>587</v>
      </c>
      <c r="E592" s="5" t="s">
        <v>22</v>
      </c>
      <c r="F592" s="5" t="s">
        <v>13</v>
      </c>
      <c r="G592" s="5"/>
      <c r="H592" s="8">
        <v>2</v>
      </c>
      <c r="I592" s="8" t="s">
        <v>765</v>
      </c>
    </row>
    <row r="593" spans="1:9">
      <c r="A593" s="7" t="s">
        <v>1176</v>
      </c>
      <c r="B593" s="5" t="s">
        <v>9</v>
      </c>
      <c r="C593" s="6" t="s">
        <v>587</v>
      </c>
      <c r="D593" s="6" t="s">
        <v>1177</v>
      </c>
      <c r="E593" s="5" t="s">
        <v>22</v>
      </c>
      <c r="F593" s="5" t="s">
        <v>13</v>
      </c>
      <c r="G593" s="5"/>
      <c r="H593" s="8">
        <v>14</v>
      </c>
      <c r="I593" s="8" t="s">
        <v>765</v>
      </c>
    </row>
    <row r="594" spans="1:9">
      <c r="A594" s="7" t="s">
        <v>585</v>
      </c>
      <c r="B594" s="5" t="s">
        <v>9</v>
      </c>
      <c r="C594" s="6" t="s">
        <v>586</v>
      </c>
      <c r="D594" s="6" t="s">
        <v>587</v>
      </c>
      <c r="E594" s="5" t="s">
        <v>22</v>
      </c>
      <c r="F594" s="5" t="s">
        <v>13</v>
      </c>
      <c r="G594" s="5"/>
      <c r="H594" s="8">
        <v>8</v>
      </c>
      <c r="I594" s="8" t="s">
        <v>765</v>
      </c>
    </row>
    <row r="595" spans="1:9">
      <c r="A595" s="7" t="s">
        <v>1178</v>
      </c>
      <c r="B595" s="5" t="s">
        <v>9</v>
      </c>
      <c r="C595" s="6" t="s">
        <v>586</v>
      </c>
      <c r="D595" s="6" t="s">
        <v>587</v>
      </c>
      <c r="E595" s="5" t="s">
        <v>22</v>
      </c>
      <c r="F595" s="5" t="s">
        <v>13</v>
      </c>
      <c r="G595" s="5"/>
      <c r="H595" s="8">
        <v>5</v>
      </c>
      <c r="I595" s="8" t="s">
        <v>765</v>
      </c>
    </row>
    <row r="596" spans="1:9">
      <c r="A596" s="7" t="s">
        <v>1179</v>
      </c>
      <c r="B596" s="5" t="s">
        <v>9</v>
      </c>
      <c r="C596" s="6" t="s">
        <v>586</v>
      </c>
      <c r="D596" s="6" t="s">
        <v>587</v>
      </c>
      <c r="E596" s="5" t="s">
        <v>22</v>
      </c>
      <c r="F596" s="5" t="s">
        <v>13</v>
      </c>
      <c r="G596" s="5"/>
      <c r="H596" s="8">
        <v>4</v>
      </c>
      <c r="I596" s="8" t="s">
        <v>765</v>
      </c>
    </row>
    <row r="597" spans="1:9">
      <c r="A597" s="7" t="s">
        <v>1180</v>
      </c>
      <c r="B597" s="5" t="s">
        <v>9</v>
      </c>
      <c r="C597" s="6" t="s">
        <v>586</v>
      </c>
      <c r="D597" s="6" t="s">
        <v>587</v>
      </c>
      <c r="E597" s="5" t="s">
        <v>22</v>
      </c>
      <c r="F597" s="5" t="s">
        <v>13</v>
      </c>
      <c r="G597" s="5"/>
      <c r="H597" s="8">
        <v>4</v>
      </c>
      <c r="I597" s="8" t="s">
        <v>765</v>
      </c>
    </row>
    <row r="598" spans="1:9">
      <c r="A598" s="7" t="s">
        <v>590</v>
      </c>
      <c r="B598" s="5" t="s">
        <v>9</v>
      </c>
      <c r="C598" s="6" t="s">
        <v>586</v>
      </c>
      <c r="D598" s="6" t="s">
        <v>591</v>
      </c>
      <c r="E598" s="5" t="s">
        <v>22</v>
      </c>
      <c r="F598" s="5" t="s">
        <v>13</v>
      </c>
      <c r="G598" s="5"/>
      <c r="H598" s="8">
        <v>8</v>
      </c>
      <c r="I598" s="8" t="s">
        <v>765</v>
      </c>
    </row>
    <row r="599" spans="1:9">
      <c r="A599" s="7" t="s">
        <v>1181</v>
      </c>
      <c r="B599" s="5" t="s">
        <v>9</v>
      </c>
      <c r="C599" s="6" t="s">
        <v>586</v>
      </c>
      <c r="D599" s="6" t="s">
        <v>587</v>
      </c>
      <c r="E599" s="5" t="s">
        <v>22</v>
      </c>
      <c r="F599" s="5" t="s">
        <v>13</v>
      </c>
      <c r="G599" s="5"/>
      <c r="H599" s="8">
        <v>7</v>
      </c>
      <c r="I599" s="8" t="s">
        <v>765</v>
      </c>
    </row>
    <row r="600" spans="1:9">
      <c r="A600" s="7" t="s">
        <v>592</v>
      </c>
      <c r="B600" s="5" t="s">
        <v>9</v>
      </c>
      <c r="C600" s="6" t="s">
        <v>586</v>
      </c>
      <c r="D600" s="6" t="s">
        <v>593</v>
      </c>
      <c r="E600" s="5" t="s">
        <v>22</v>
      </c>
      <c r="F600" s="5" t="s">
        <v>13</v>
      </c>
      <c r="G600" s="5"/>
      <c r="H600" s="8">
        <v>58</v>
      </c>
      <c r="I600" s="8" t="s">
        <v>765</v>
      </c>
    </row>
    <row r="601" spans="1:9">
      <c r="A601" s="7" t="s">
        <v>1182</v>
      </c>
      <c r="B601" s="5" t="s">
        <v>9</v>
      </c>
      <c r="C601" s="6" t="s">
        <v>586</v>
      </c>
      <c r="D601" s="6" t="s">
        <v>587</v>
      </c>
      <c r="E601" s="5" t="s">
        <v>22</v>
      </c>
      <c r="F601" s="5" t="s">
        <v>13</v>
      </c>
      <c r="G601" s="5"/>
      <c r="H601" s="8">
        <v>18</v>
      </c>
      <c r="I601" s="8" t="s">
        <v>765</v>
      </c>
    </row>
    <row r="602" spans="1:9">
      <c r="A602" s="7" t="s">
        <v>605</v>
      </c>
      <c r="B602" s="5" t="s">
        <v>9</v>
      </c>
      <c r="C602" s="6" t="s">
        <v>606</v>
      </c>
      <c r="D602" s="6" t="s">
        <v>607</v>
      </c>
      <c r="E602" s="5" t="s">
        <v>22</v>
      </c>
      <c r="F602" s="5" t="s">
        <v>13</v>
      </c>
      <c r="G602" s="5"/>
      <c r="H602" s="8">
        <v>4</v>
      </c>
      <c r="I602" s="8" t="s">
        <v>765</v>
      </c>
    </row>
    <row r="603" spans="1:9">
      <c r="A603" s="7" t="s">
        <v>608</v>
      </c>
      <c r="B603" s="5" t="s">
        <v>9</v>
      </c>
      <c r="C603" s="6" t="s">
        <v>606</v>
      </c>
      <c r="D603" s="6" t="s">
        <v>609</v>
      </c>
      <c r="E603" s="5" t="s">
        <v>22</v>
      </c>
      <c r="F603" s="5" t="s">
        <v>13</v>
      </c>
      <c r="G603" s="5"/>
      <c r="H603" s="8">
        <v>5</v>
      </c>
      <c r="I603" s="8" t="s">
        <v>765</v>
      </c>
    </row>
    <row r="604" spans="1:9">
      <c r="A604" s="7" t="s">
        <v>612</v>
      </c>
      <c r="B604" s="5" t="s">
        <v>9</v>
      </c>
      <c r="C604" s="6" t="s">
        <v>613</v>
      </c>
      <c r="D604" s="6" t="s">
        <v>614</v>
      </c>
      <c r="E604" s="5" t="s">
        <v>22</v>
      </c>
      <c r="F604" s="5" t="s">
        <v>13</v>
      </c>
      <c r="G604" s="5"/>
      <c r="H604" s="8">
        <v>114</v>
      </c>
      <c r="I604" s="8" t="s">
        <v>765</v>
      </c>
    </row>
    <row r="605" spans="1:9">
      <c r="A605" s="7" t="s">
        <v>1183</v>
      </c>
      <c r="B605" s="5" t="s">
        <v>9</v>
      </c>
      <c r="C605" s="6" t="s">
        <v>1184</v>
      </c>
      <c r="D605" s="6" t="s">
        <v>1185</v>
      </c>
      <c r="E605" s="5" t="s">
        <v>22</v>
      </c>
      <c r="F605" s="5" t="s">
        <v>13</v>
      </c>
      <c r="G605" s="5"/>
      <c r="H605" s="8">
        <v>4</v>
      </c>
      <c r="I605" s="8" t="s">
        <v>765</v>
      </c>
    </row>
    <row r="606" spans="1:9">
      <c r="A606" s="7" t="s">
        <v>1186</v>
      </c>
      <c r="B606" s="5" t="s">
        <v>9</v>
      </c>
      <c r="C606" s="6" t="s">
        <v>682</v>
      </c>
      <c r="D606" s="6" t="s">
        <v>582</v>
      </c>
      <c r="E606" s="5" t="s">
        <v>22</v>
      </c>
      <c r="F606" s="5" t="s">
        <v>13</v>
      </c>
      <c r="G606" s="5"/>
      <c r="H606" s="8">
        <v>1</v>
      </c>
      <c r="I606" s="8" t="s">
        <v>765</v>
      </c>
    </row>
    <row r="607" spans="1:9">
      <c r="A607" s="7" t="s">
        <v>1187</v>
      </c>
      <c r="B607" s="5" t="s">
        <v>9</v>
      </c>
      <c r="C607" s="6" t="s">
        <v>580</v>
      </c>
      <c r="D607" s="6" t="s">
        <v>1188</v>
      </c>
      <c r="E607" s="5" t="s">
        <v>22</v>
      </c>
      <c r="F607" s="5" t="s">
        <v>13</v>
      </c>
      <c r="G607" s="5"/>
      <c r="H607" s="8">
        <v>16</v>
      </c>
      <c r="I607" s="8" t="s">
        <v>765</v>
      </c>
    </row>
    <row r="608" spans="1:9">
      <c r="A608" s="7" t="s">
        <v>615</v>
      </c>
      <c r="B608" s="5" t="s">
        <v>9</v>
      </c>
      <c r="C608" s="6" t="s">
        <v>580</v>
      </c>
      <c r="D608" s="6" t="s">
        <v>616</v>
      </c>
      <c r="E608" s="5" t="s">
        <v>22</v>
      </c>
      <c r="F608" s="5" t="s">
        <v>13</v>
      </c>
      <c r="G608" s="5"/>
      <c r="H608" s="8">
        <v>6</v>
      </c>
      <c r="I608" s="8" t="s">
        <v>765</v>
      </c>
    </row>
    <row r="609" spans="1:9">
      <c r="A609" s="7" t="s">
        <v>1189</v>
      </c>
      <c r="B609" s="5" t="s">
        <v>9</v>
      </c>
      <c r="C609" s="6" t="s">
        <v>613</v>
      </c>
      <c r="D609" s="6" t="s">
        <v>492</v>
      </c>
      <c r="E609" s="5" t="s">
        <v>22</v>
      </c>
      <c r="F609" s="5" t="s">
        <v>13</v>
      </c>
      <c r="G609" s="5"/>
      <c r="H609" s="8">
        <v>6</v>
      </c>
      <c r="I609" s="8" t="s">
        <v>765</v>
      </c>
    </row>
    <row r="610" spans="1:9">
      <c r="A610" s="7" t="s">
        <v>1190</v>
      </c>
      <c r="B610" s="5" t="s">
        <v>9</v>
      </c>
      <c r="C610" s="6" t="s">
        <v>577</v>
      </c>
      <c r="D610" s="6" t="s">
        <v>630</v>
      </c>
      <c r="E610" s="5" t="s">
        <v>22</v>
      </c>
      <c r="F610" s="5" t="s">
        <v>13</v>
      </c>
      <c r="G610" s="5"/>
      <c r="H610" s="8">
        <v>1</v>
      </c>
      <c r="I610" s="8" t="s">
        <v>765</v>
      </c>
    </row>
    <row r="611" spans="1:9">
      <c r="A611" s="7" t="s">
        <v>1191</v>
      </c>
      <c r="B611" s="5" t="s">
        <v>9</v>
      </c>
      <c r="C611" s="6" t="s">
        <v>1192</v>
      </c>
      <c r="D611" s="6" t="s">
        <v>1193</v>
      </c>
      <c r="E611" s="5" t="s">
        <v>22</v>
      </c>
      <c r="F611" s="5" t="s">
        <v>13</v>
      </c>
      <c r="G611" s="5"/>
      <c r="H611" s="8">
        <v>4</v>
      </c>
      <c r="I611" s="8" t="s">
        <v>765</v>
      </c>
    </row>
    <row r="612" spans="1:9">
      <c r="A612" s="7" t="s">
        <v>621</v>
      </c>
      <c r="B612" s="5" t="s">
        <v>9</v>
      </c>
      <c r="C612" s="6" t="s">
        <v>580</v>
      </c>
      <c r="D612" s="6" t="s">
        <v>622</v>
      </c>
      <c r="E612" s="5" t="s">
        <v>22</v>
      </c>
      <c r="F612" s="5" t="s">
        <v>13</v>
      </c>
      <c r="G612" s="5"/>
      <c r="H612" s="8">
        <v>8</v>
      </c>
      <c r="I612" s="8" t="s">
        <v>765</v>
      </c>
    </row>
    <row r="613" spans="1:9">
      <c r="A613" s="7" t="s">
        <v>1194</v>
      </c>
      <c r="B613" s="5" t="s">
        <v>9</v>
      </c>
      <c r="C613" s="6" t="s">
        <v>606</v>
      </c>
      <c r="D613" s="6" t="s">
        <v>630</v>
      </c>
      <c r="E613" s="5" t="s">
        <v>22</v>
      </c>
      <c r="F613" s="5" t="s">
        <v>13</v>
      </c>
      <c r="G613" s="5"/>
      <c r="H613" s="8">
        <v>2</v>
      </c>
      <c r="I613" s="8" t="s">
        <v>765</v>
      </c>
    </row>
    <row r="614" spans="1:9">
      <c r="A614" s="7" t="s">
        <v>1195</v>
      </c>
      <c r="B614" s="5" t="s">
        <v>9</v>
      </c>
      <c r="C614" s="6" t="s">
        <v>714</v>
      </c>
      <c r="D614" s="6" t="s">
        <v>1196</v>
      </c>
      <c r="E614" s="5" t="s">
        <v>22</v>
      </c>
      <c r="F614" s="5" t="s">
        <v>13</v>
      </c>
      <c r="G614" s="5"/>
      <c r="H614" s="8">
        <v>8</v>
      </c>
      <c r="I614" s="8" t="s">
        <v>765</v>
      </c>
    </row>
    <row r="615" spans="1:9">
      <c r="A615" s="7" t="s">
        <v>624</v>
      </c>
      <c r="B615" s="5" t="s">
        <v>9</v>
      </c>
      <c r="C615" s="6" t="s">
        <v>606</v>
      </c>
      <c r="D615" s="6" t="s">
        <v>625</v>
      </c>
      <c r="E615" s="5" t="s">
        <v>22</v>
      </c>
      <c r="F615" s="5" t="s">
        <v>13</v>
      </c>
      <c r="G615" s="5"/>
      <c r="H615" s="8">
        <v>15</v>
      </c>
      <c r="I615" s="8" t="s">
        <v>765</v>
      </c>
    </row>
    <row r="616" spans="1:9">
      <c r="A616" s="7" t="s">
        <v>1197</v>
      </c>
      <c r="B616" s="5" t="s">
        <v>9</v>
      </c>
      <c r="C616" s="6" t="s">
        <v>630</v>
      </c>
      <c r="D616" s="6" t="s">
        <v>611</v>
      </c>
      <c r="E616" s="5" t="s">
        <v>22</v>
      </c>
      <c r="F616" s="5" t="s">
        <v>13</v>
      </c>
      <c r="G616" s="5"/>
      <c r="H616" s="8">
        <v>1</v>
      </c>
      <c r="I616" s="8" t="s">
        <v>765</v>
      </c>
    </row>
    <row r="617" spans="1:9">
      <c r="A617" s="7" t="s">
        <v>626</v>
      </c>
      <c r="B617" s="5" t="s">
        <v>9</v>
      </c>
      <c r="C617" s="6" t="s">
        <v>606</v>
      </c>
      <c r="D617" s="6" t="s">
        <v>627</v>
      </c>
      <c r="E617" s="5" t="s">
        <v>22</v>
      </c>
      <c r="F617" s="5" t="s">
        <v>13</v>
      </c>
      <c r="G617" s="5"/>
      <c r="H617" s="8">
        <v>1</v>
      </c>
      <c r="I617" s="8" t="s">
        <v>765</v>
      </c>
    </row>
    <row r="618" spans="1:9">
      <c r="A618" s="7" t="s">
        <v>629</v>
      </c>
      <c r="B618" s="5" t="s">
        <v>9</v>
      </c>
      <c r="C618" s="6" t="s">
        <v>577</v>
      </c>
      <c r="D618" s="6" t="s">
        <v>630</v>
      </c>
      <c r="E618" s="5" t="s">
        <v>22</v>
      </c>
      <c r="F618" s="5" t="s">
        <v>13</v>
      </c>
      <c r="G618" s="5"/>
      <c r="H618" s="8">
        <v>14</v>
      </c>
      <c r="I618" s="8" t="s">
        <v>765</v>
      </c>
    </row>
    <row r="619" spans="1:9">
      <c r="A619" s="7" t="s">
        <v>633</v>
      </c>
      <c r="B619" s="5" t="s">
        <v>9</v>
      </c>
      <c r="C619" s="6" t="s">
        <v>599</v>
      </c>
      <c r="D619" s="6" t="s">
        <v>634</v>
      </c>
      <c r="E619" s="5" t="s">
        <v>22</v>
      </c>
      <c r="F619" s="5" t="s">
        <v>13</v>
      </c>
      <c r="G619" s="5"/>
      <c r="H619" s="8">
        <v>4</v>
      </c>
      <c r="I619" s="8" t="s">
        <v>765</v>
      </c>
    </row>
    <row r="620" spans="1:9">
      <c r="A620" s="7" t="s">
        <v>637</v>
      </c>
      <c r="B620" s="5" t="s">
        <v>9</v>
      </c>
      <c r="C620" s="6" t="s">
        <v>580</v>
      </c>
      <c r="D620" s="6" t="s">
        <v>638</v>
      </c>
      <c r="E620" s="5" t="s">
        <v>22</v>
      </c>
      <c r="F620" s="5" t="s">
        <v>13</v>
      </c>
      <c r="G620" s="5"/>
      <c r="H620" s="8">
        <v>21</v>
      </c>
      <c r="I620" s="8" t="s">
        <v>765</v>
      </c>
    </row>
    <row r="621" spans="1:9">
      <c r="A621" s="7" t="s">
        <v>1198</v>
      </c>
      <c r="B621" s="5" t="s">
        <v>9</v>
      </c>
      <c r="C621" s="6" t="s">
        <v>630</v>
      </c>
      <c r="D621" s="6" t="s">
        <v>627</v>
      </c>
      <c r="E621" s="5" t="s">
        <v>22</v>
      </c>
      <c r="F621" s="5" t="s">
        <v>13</v>
      </c>
      <c r="G621" s="5"/>
      <c r="H621" s="8">
        <v>3</v>
      </c>
      <c r="I621" s="8" t="s">
        <v>765</v>
      </c>
    </row>
    <row r="622" spans="1:9">
      <c r="A622" s="7" t="s">
        <v>641</v>
      </c>
      <c r="B622" s="5" t="s">
        <v>9</v>
      </c>
      <c r="C622" s="6" t="s">
        <v>606</v>
      </c>
      <c r="D622" s="6" t="s">
        <v>611</v>
      </c>
      <c r="E622" s="5" t="s">
        <v>22</v>
      </c>
      <c r="F622" s="5" t="s">
        <v>13</v>
      </c>
      <c r="G622" s="5"/>
      <c r="H622" s="8">
        <v>6</v>
      </c>
      <c r="I622" s="8" t="s">
        <v>765</v>
      </c>
    </row>
    <row r="623" spans="1:9">
      <c r="A623" s="7" t="s">
        <v>644</v>
      </c>
      <c r="B623" s="5" t="s">
        <v>9</v>
      </c>
      <c r="C623" s="6" t="s">
        <v>606</v>
      </c>
      <c r="D623" s="6" t="s">
        <v>645</v>
      </c>
      <c r="E623" s="5" t="s">
        <v>22</v>
      </c>
      <c r="F623" s="5" t="s">
        <v>13</v>
      </c>
      <c r="G623" s="5"/>
      <c r="H623" s="8">
        <v>3</v>
      </c>
      <c r="I623" s="8" t="s">
        <v>765</v>
      </c>
    </row>
    <row r="624" spans="1:9">
      <c r="A624" s="7" t="s">
        <v>646</v>
      </c>
      <c r="B624" s="5" t="s">
        <v>9</v>
      </c>
      <c r="C624" s="6" t="s">
        <v>606</v>
      </c>
      <c r="D624" s="6" t="s">
        <v>647</v>
      </c>
      <c r="E624" s="5" t="s">
        <v>22</v>
      </c>
      <c r="F624" s="5" t="s">
        <v>13</v>
      </c>
      <c r="G624" s="5"/>
      <c r="H624" s="8">
        <v>6</v>
      </c>
      <c r="I624" s="8" t="s">
        <v>765</v>
      </c>
    </row>
    <row r="625" spans="1:9">
      <c r="A625" s="7" t="s">
        <v>1199</v>
      </c>
      <c r="B625" s="5" t="s">
        <v>9</v>
      </c>
      <c r="C625" s="6" t="s">
        <v>577</v>
      </c>
      <c r="D625" s="6" t="s">
        <v>1200</v>
      </c>
      <c r="E625" s="5" t="s">
        <v>22</v>
      </c>
      <c r="F625" s="5" t="s">
        <v>13</v>
      </c>
      <c r="G625" s="5"/>
      <c r="H625" s="8">
        <v>2</v>
      </c>
      <c r="I625" s="8" t="s">
        <v>765</v>
      </c>
    </row>
    <row r="626" spans="1:9">
      <c r="A626" s="7" t="s">
        <v>1201</v>
      </c>
      <c r="B626" s="5" t="s">
        <v>9</v>
      </c>
      <c r="C626" s="6" t="s">
        <v>586</v>
      </c>
      <c r="D626" s="6" t="s">
        <v>587</v>
      </c>
      <c r="E626" s="5" t="s">
        <v>22</v>
      </c>
      <c r="F626" s="5" t="s">
        <v>13</v>
      </c>
      <c r="G626" s="5"/>
      <c r="H626" s="8">
        <v>1</v>
      </c>
      <c r="I626" s="8" t="s">
        <v>765</v>
      </c>
    </row>
    <row r="627" spans="1:9">
      <c r="A627" s="7" t="s">
        <v>1202</v>
      </c>
      <c r="B627" s="5" t="s">
        <v>9</v>
      </c>
      <c r="C627" s="6" t="s">
        <v>714</v>
      </c>
      <c r="D627" s="6" t="s">
        <v>715</v>
      </c>
      <c r="E627" s="5" t="s">
        <v>22</v>
      </c>
      <c r="F627" s="5" t="s">
        <v>13</v>
      </c>
      <c r="G627" s="5"/>
      <c r="H627" s="8">
        <v>8</v>
      </c>
      <c r="I627" s="8" t="s">
        <v>765</v>
      </c>
    </row>
    <row r="628" spans="1:9">
      <c r="A628" s="7" t="s">
        <v>1203</v>
      </c>
      <c r="B628" s="5" t="s">
        <v>9</v>
      </c>
      <c r="C628" s="6" t="s">
        <v>714</v>
      </c>
      <c r="D628" s="6" t="s">
        <v>1204</v>
      </c>
      <c r="E628" s="5" t="s">
        <v>22</v>
      </c>
      <c r="F628" s="5" t="s">
        <v>13</v>
      </c>
      <c r="G628" s="5"/>
      <c r="H628" s="8">
        <v>1</v>
      </c>
      <c r="I628" s="8" t="s">
        <v>765</v>
      </c>
    </row>
    <row r="629" spans="1:9">
      <c r="A629" s="7" t="s">
        <v>1205</v>
      </c>
      <c r="B629" s="5" t="s">
        <v>9</v>
      </c>
      <c r="C629" s="6" t="s">
        <v>586</v>
      </c>
      <c r="D629" s="6" t="s">
        <v>587</v>
      </c>
      <c r="E629" s="5" t="s">
        <v>22</v>
      </c>
      <c r="F629" s="5" t="s">
        <v>13</v>
      </c>
      <c r="G629" s="5"/>
      <c r="H629" s="8">
        <v>21</v>
      </c>
      <c r="I629" s="8" t="s">
        <v>765</v>
      </c>
    </row>
    <row r="630" spans="1:9">
      <c r="A630" s="7" t="s">
        <v>692</v>
      </c>
      <c r="B630" s="5" t="s">
        <v>9</v>
      </c>
      <c r="C630" s="6" t="s">
        <v>580</v>
      </c>
      <c r="D630" s="6" t="s">
        <v>693</v>
      </c>
      <c r="E630" s="5" t="s">
        <v>22</v>
      </c>
      <c r="F630" s="5" t="s">
        <v>13</v>
      </c>
      <c r="G630" s="5"/>
      <c r="H630" s="8">
        <v>27</v>
      </c>
      <c r="I630" s="8" t="s">
        <v>765</v>
      </c>
    </row>
    <row r="631" spans="1:9">
      <c r="A631" s="7" t="s">
        <v>694</v>
      </c>
      <c r="B631" s="5" t="s">
        <v>9</v>
      </c>
      <c r="C631" s="6" t="s">
        <v>580</v>
      </c>
      <c r="D631" s="6" t="s">
        <v>695</v>
      </c>
      <c r="E631" s="5" t="s">
        <v>22</v>
      </c>
      <c r="F631" s="5" t="s">
        <v>13</v>
      </c>
      <c r="G631" s="5"/>
      <c r="H631" s="8">
        <v>4</v>
      </c>
      <c r="I631" s="8" t="s">
        <v>765</v>
      </c>
    </row>
    <row r="632" spans="1:9">
      <c r="A632" s="7" t="s">
        <v>1206</v>
      </c>
      <c r="B632" s="5" t="s">
        <v>9</v>
      </c>
      <c r="C632" s="6" t="s">
        <v>653</v>
      </c>
      <c r="D632" s="6" t="s">
        <v>627</v>
      </c>
      <c r="E632" s="5" t="s">
        <v>22</v>
      </c>
      <c r="F632" s="5" t="s">
        <v>13</v>
      </c>
      <c r="G632" s="5"/>
      <c r="H632" s="8">
        <v>4</v>
      </c>
      <c r="I632" s="8" t="s">
        <v>765</v>
      </c>
    </row>
    <row r="633" spans="1:9">
      <c r="A633" s="7" t="s">
        <v>706</v>
      </c>
      <c r="B633" s="5" t="s">
        <v>9</v>
      </c>
      <c r="C633" s="6" t="s">
        <v>580</v>
      </c>
      <c r="D633" s="6" t="s">
        <v>695</v>
      </c>
      <c r="E633" s="5" t="s">
        <v>22</v>
      </c>
      <c r="F633" s="5" t="s">
        <v>13</v>
      </c>
      <c r="G633" s="5"/>
      <c r="H633" s="8">
        <v>5</v>
      </c>
      <c r="I633" s="8" t="s">
        <v>765</v>
      </c>
    </row>
    <row r="634" spans="1:9">
      <c r="A634" s="7" t="s">
        <v>711</v>
      </c>
      <c r="B634" s="5" t="s">
        <v>9</v>
      </c>
      <c r="C634" s="6" t="s">
        <v>599</v>
      </c>
      <c r="D634" s="6" t="s">
        <v>712</v>
      </c>
      <c r="E634" s="5" t="s">
        <v>22</v>
      </c>
      <c r="F634" s="5" t="s">
        <v>13</v>
      </c>
      <c r="G634" s="5"/>
      <c r="H634" s="8">
        <v>2</v>
      </c>
      <c r="I634" s="8" t="s">
        <v>765</v>
      </c>
    </row>
    <row r="635" spans="1:9">
      <c r="A635" s="7" t="s">
        <v>1207</v>
      </c>
      <c r="B635" s="5" t="s">
        <v>9</v>
      </c>
      <c r="C635" s="6" t="s">
        <v>755</v>
      </c>
      <c r="D635" s="6" t="s">
        <v>1208</v>
      </c>
      <c r="E635" s="5" t="s">
        <v>22</v>
      </c>
      <c r="F635" s="5" t="s">
        <v>13</v>
      </c>
      <c r="G635" s="5"/>
      <c r="H635" s="8">
        <v>3</v>
      </c>
      <c r="I635" s="8" t="s">
        <v>765</v>
      </c>
    </row>
    <row r="636" spans="1:9">
      <c r="A636" s="7" t="s">
        <v>1209</v>
      </c>
      <c r="B636" s="5" t="s">
        <v>9</v>
      </c>
      <c r="C636" s="6" t="s">
        <v>755</v>
      </c>
      <c r="D636" s="6" t="s">
        <v>492</v>
      </c>
      <c r="E636" s="5" t="s">
        <v>22</v>
      </c>
      <c r="F636" s="5" t="s">
        <v>13</v>
      </c>
      <c r="G636" s="5"/>
      <c r="H636" s="8">
        <v>16</v>
      </c>
      <c r="I636" s="8" t="s">
        <v>765</v>
      </c>
    </row>
    <row r="637" spans="1:9">
      <c r="A637" s="7" t="s">
        <v>1210</v>
      </c>
      <c r="B637" s="5" t="s">
        <v>9</v>
      </c>
      <c r="C637" s="6" t="s">
        <v>653</v>
      </c>
      <c r="D637" s="6" t="s">
        <v>611</v>
      </c>
      <c r="E637" s="5" t="s">
        <v>22</v>
      </c>
      <c r="F637" s="5" t="s">
        <v>13</v>
      </c>
      <c r="G637" s="5"/>
      <c r="H637" s="8">
        <v>3</v>
      </c>
      <c r="I637" s="8" t="s">
        <v>765</v>
      </c>
    </row>
    <row r="638" spans="1:9">
      <c r="A638" s="7" t="s">
        <v>713</v>
      </c>
      <c r="B638" s="5" t="s">
        <v>9</v>
      </c>
      <c r="C638" s="6" t="s">
        <v>714</v>
      </c>
      <c r="D638" s="6" t="s">
        <v>715</v>
      </c>
      <c r="E638" s="5" t="s">
        <v>22</v>
      </c>
      <c r="F638" s="5" t="s">
        <v>13</v>
      </c>
      <c r="G638" s="5"/>
      <c r="H638" s="8">
        <v>1</v>
      </c>
      <c r="I638" s="8" t="s">
        <v>765</v>
      </c>
    </row>
    <row r="639" spans="1:9">
      <c r="A639" s="7" t="s">
        <v>718</v>
      </c>
      <c r="B639" s="5" t="s">
        <v>9</v>
      </c>
      <c r="C639" s="6" t="s">
        <v>606</v>
      </c>
      <c r="D639" s="6" t="s">
        <v>611</v>
      </c>
      <c r="E639" s="5" t="s">
        <v>22</v>
      </c>
      <c r="F639" s="5" t="s">
        <v>13</v>
      </c>
      <c r="G639" s="5"/>
      <c r="H639" s="8">
        <v>4</v>
      </c>
      <c r="I639" s="8" t="s">
        <v>765</v>
      </c>
    </row>
    <row r="640" spans="1:9">
      <c r="A640" s="7" t="s">
        <v>738</v>
      </c>
      <c r="B640" s="5" t="s">
        <v>9</v>
      </c>
      <c r="C640" s="6" t="s">
        <v>312</v>
      </c>
      <c r="D640" s="6" t="s">
        <v>739</v>
      </c>
      <c r="E640" s="5" t="s">
        <v>22</v>
      </c>
      <c r="F640" s="5" t="s">
        <v>13</v>
      </c>
      <c r="G640" s="5"/>
      <c r="H640" s="8">
        <v>4</v>
      </c>
      <c r="I640" s="8" t="s">
        <v>765</v>
      </c>
    </row>
    <row r="641" spans="1:9">
      <c r="A641" s="7" t="s">
        <v>740</v>
      </c>
      <c r="B641" s="5" t="s">
        <v>9</v>
      </c>
      <c r="C641" s="6" t="s">
        <v>84</v>
      </c>
      <c r="D641" s="6" t="s">
        <v>41</v>
      </c>
      <c r="E641" s="5" t="s">
        <v>308</v>
      </c>
      <c r="F641" s="5" t="s">
        <v>13</v>
      </c>
      <c r="G641" s="5"/>
      <c r="H641" s="8">
        <v>1</v>
      </c>
      <c r="I641" s="8" t="s">
        <v>765</v>
      </c>
    </row>
    <row r="642" spans="1:9">
      <c r="A642" s="7" t="s">
        <v>1211</v>
      </c>
      <c r="B642" s="5" t="s">
        <v>9</v>
      </c>
      <c r="C642" s="6" t="s">
        <v>139</v>
      </c>
      <c r="D642" s="6" t="s">
        <v>1144</v>
      </c>
      <c r="E642" s="5" t="s">
        <v>39</v>
      </c>
      <c r="F642" s="5" t="s">
        <v>13</v>
      </c>
      <c r="G642" s="5"/>
      <c r="H642" s="8">
        <v>4</v>
      </c>
      <c r="I642" s="8" t="s">
        <v>765</v>
      </c>
    </row>
    <row r="643" spans="1:9">
      <c r="A643" s="7" t="s">
        <v>741</v>
      </c>
      <c r="B643" s="5" t="s">
        <v>9</v>
      </c>
      <c r="C643" s="6" t="s">
        <v>174</v>
      </c>
      <c r="D643" s="6" t="s">
        <v>41</v>
      </c>
      <c r="E643" s="5" t="s">
        <v>18</v>
      </c>
      <c r="F643" s="5" t="s">
        <v>13</v>
      </c>
      <c r="G643" s="5"/>
      <c r="H643" s="8">
        <v>1</v>
      </c>
      <c r="I643" s="8" t="s">
        <v>765</v>
      </c>
    </row>
    <row r="644" spans="1:9">
      <c r="A644" s="7" t="s">
        <v>742</v>
      </c>
      <c r="B644" s="5" t="s">
        <v>9</v>
      </c>
      <c r="C644" s="6" t="s">
        <v>586</v>
      </c>
      <c r="D644" s="6" t="s">
        <v>587</v>
      </c>
      <c r="E644" s="5" t="s">
        <v>22</v>
      </c>
      <c r="F644" s="5" t="s">
        <v>13</v>
      </c>
      <c r="G644" s="5"/>
      <c r="H644" s="8">
        <v>8</v>
      </c>
      <c r="I644" s="8" t="s">
        <v>765</v>
      </c>
    </row>
    <row r="645" spans="1:9">
      <c r="A645" s="7" t="s">
        <v>1212</v>
      </c>
      <c r="B645" s="5" t="s">
        <v>9</v>
      </c>
      <c r="C645" s="6" t="s">
        <v>174</v>
      </c>
      <c r="D645" s="6" t="s">
        <v>1213</v>
      </c>
      <c r="E645" s="5" t="s">
        <v>39</v>
      </c>
      <c r="F645" s="5" t="s">
        <v>13</v>
      </c>
      <c r="G645" s="5"/>
      <c r="H645" s="8">
        <v>2</v>
      </c>
      <c r="I645" s="8" t="s">
        <v>765</v>
      </c>
    </row>
    <row r="646" spans="1:9">
      <c r="A646" s="7" t="s">
        <v>1214</v>
      </c>
      <c r="B646" s="5" t="s">
        <v>9</v>
      </c>
      <c r="C646" s="6" t="s">
        <v>1215</v>
      </c>
      <c r="D646" s="6" t="s">
        <v>1216</v>
      </c>
      <c r="E646" s="5" t="s">
        <v>39</v>
      </c>
      <c r="F646" s="5" t="s">
        <v>13</v>
      </c>
      <c r="G646" s="5"/>
      <c r="H646" s="8">
        <v>2</v>
      </c>
      <c r="I646" s="8" t="s">
        <v>765</v>
      </c>
    </row>
    <row r="647" spans="1:9">
      <c r="A647" s="7" t="s">
        <v>1217</v>
      </c>
      <c r="B647" s="5" t="s">
        <v>9</v>
      </c>
      <c r="C647" s="6" t="s">
        <v>1215</v>
      </c>
      <c r="D647" s="6" t="s">
        <v>1216</v>
      </c>
      <c r="E647" s="5" t="s">
        <v>39</v>
      </c>
      <c r="F647" s="5" t="s">
        <v>13</v>
      </c>
      <c r="G647" s="5"/>
      <c r="H647" s="8">
        <v>2</v>
      </c>
      <c r="I647" s="8" t="s">
        <v>765</v>
      </c>
    </row>
    <row r="648" spans="1:9">
      <c r="A648" s="7" t="s">
        <v>1218</v>
      </c>
      <c r="B648" s="5" t="s">
        <v>9</v>
      </c>
      <c r="C648" s="6" t="s">
        <v>586</v>
      </c>
      <c r="D648" s="6" t="s">
        <v>587</v>
      </c>
      <c r="E648" s="5" t="s">
        <v>22</v>
      </c>
      <c r="F648" s="5" t="s">
        <v>13</v>
      </c>
      <c r="G648" s="5"/>
      <c r="H648" s="8">
        <v>2</v>
      </c>
      <c r="I648" s="8" t="s">
        <v>765</v>
      </c>
    </row>
    <row r="649" spans="1:9">
      <c r="A649" s="7" t="s">
        <v>1219</v>
      </c>
      <c r="B649" s="5" t="s">
        <v>9</v>
      </c>
      <c r="C649" s="6" t="s">
        <v>136</v>
      </c>
      <c r="D649" s="6" t="s">
        <v>1220</v>
      </c>
      <c r="E649" s="5" t="s">
        <v>39</v>
      </c>
      <c r="F649" s="5" t="s">
        <v>13</v>
      </c>
      <c r="G649" s="5"/>
      <c r="H649" s="8">
        <v>2</v>
      </c>
      <c r="I649" s="8" t="s">
        <v>765</v>
      </c>
    </row>
    <row r="650" spans="1:9">
      <c r="A650" s="7" t="s">
        <v>1221</v>
      </c>
      <c r="B650" s="5" t="s">
        <v>9</v>
      </c>
      <c r="C650" s="6" t="s">
        <v>753</v>
      </c>
      <c r="D650" s="6" t="s">
        <v>489</v>
      </c>
      <c r="E650" s="5" t="s">
        <v>22</v>
      </c>
      <c r="F650" s="5" t="s">
        <v>13</v>
      </c>
      <c r="G650" s="5"/>
      <c r="H650" s="8">
        <v>32</v>
      </c>
      <c r="I650" s="8" t="s">
        <v>765</v>
      </c>
    </row>
    <row r="651" spans="1:9">
      <c r="A651" s="7" t="s">
        <v>1222</v>
      </c>
      <c r="B651" s="5" t="s">
        <v>9</v>
      </c>
      <c r="C651" s="6" t="s">
        <v>312</v>
      </c>
      <c r="D651" s="6" t="s">
        <v>739</v>
      </c>
      <c r="E651" s="5" t="s">
        <v>22</v>
      </c>
      <c r="F651" s="5" t="s">
        <v>13</v>
      </c>
      <c r="G651" s="5"/>
      <c r="H651" s="8">
        <v>3</v>
      </c>
      <c r="I651" s="8" t="s">
        <v>765</v>
      </c>
    </row>
    <row r="652" spans="1:9">
      <c r="A652" s="7" t="s">
        <v>1223</v>
      </c>
      <c r="B652" s="5" t="s">
        <v>9</v>
      </c>
      <c r="C652" s="6" t="s">
        <v>1224</v>
      </c>
      <c r="D652" s="6" t="s">
        <v>1225</v>
      </c>
      <c r="E652" s="5" t="s">
        <v>22</v>
      </c>
      <c r="F652" s="5" t="s">
        <v>13</v>
      </c>
      <c r="G652" s="5"/>
      <c r="H652" s="8">
        <v>2</v>
      </c>
      <c r="I652" s="8" t="s">
        <v>765</v>
      </c>
    </row>
    <row r="653" spans="1:9">
      <c r="A653" s="7" t="s">
        <v>1226</v>
      </c>
      <c r="B653" s="5" t="s">
        <v>9</v>
      </c>
      <c r="C653" s="6" t="s">
        <v>1227</v>
      </c>
      <c r="D653" s="6" t="s">
        <v>1228</v>
      </c>
      <c r="E653" s="5" t="s">
        <v>22</v>
      </c>
      <c r="F653" s="5" t="s">
        <v>13</v>
      </c>
      <c r="G653" s="5"/>
      <c r="H653" s="8">
        <v>8</v>
      </c>
      <c r="I653" s="8" t="s">
        <v>765</v>
      </c>
    </row>
    <row r="654" spans="1:9">
      <c r="A654" s="7" t="s">
        <v>1229</v>
      </c>
      <c r="B654" s="5" t="s">
        <v>9</v>
      </c>
      <c r="C654" s="6" t="s">
        <v>1230</v>
      </c>
      <c r="D654" s="6" t="s">
        <v>506</v>
      </c>
      <c r="E654" s="5" t="s">
        <v>22</v>
      </c>
      <c r="F654" s="5" t="s">
        <v>13</v>
      </c>
      <c r="G654" s="5"/>
      <c r="H654" s="8">
        <v>4</v>
      </c>
      <c r="I654" s="8" t="s">
        <v>765</v>
      </c>
    </row>
    <row r="655" spans="1:9">
      <c r="A655" s="7" t="s">
        <v>1231</v>
      </c>
      <c r="B655" s="5" t="s">
        <v>9</v>
      </c>
      <c r="C655" s="6" t="s">
        <v>557</v>
      </c>
      <c r="D655" s="6" t="s">
        <v>558</v>
      </c>
      <c r="E655" s="5" t="s">
        <v>22</v>
      </c>
      <c r="F655" s="5" t="s">
        <v>13</v>
      </c>
      <c r="G655" s="5"/>
      <c r="H655" s="8">
        <v>4</v>
      </c>
      <c r="I655" s="8" t="s">
        <v>765</v>
      </c>
    </row>
    <row r="656" spans="1:9">
      <c r="A656" s="7" t="s">
        <v>1232</v>
      </c>
      <c r="B656" s="5" t="s">
        <v>9</v>
      </c>
      <c r="C656" s="6" t="s">
        <v>95</v>
      </c>
      <c r="D656" s="6" t="s">
        <v>560</v>
      </c>
      <c r="E656" s="5" t="s">
        <v>12</v>
      </c>
      <c r="F656" s="5" t="s">
        <v>13</v>
      </c>
      <c r="G656" s="5"/>
      <c r="H656" s="8">
        <v>4</v>
      </c>
      <c r="I656" s="8" t="s">
        <v>765</v>
      </c>
    </row>
    <row r="657" spans="1:9">
      <c r="A657" s="7" t="s">
        <v>1233</v>
      </c>
      <c r="B657" s="5" t="s">
        <v>9</v>
      </c>
      <c r="C657" s="6" t="s">
        <v>197</v>
      </c>
      <c r="D657" s="6" t="s">
        <v>1234</v>
      </c>
      <c r="E657" s="5" t="s">
        <v>39</v>
      </c>
      <c r="F657" s="5" t="s">
        <v>13</v>
      </c>
      <c r="G657" s="5"/>
      <c r="H657" s="8">
        <v>2</v>
      </c>
      <c r="I657" s="8" t="s">
        <v>765</v>
      </c>
    </row>
    <row r="658" spans="1:9">
      <c r="A658" s="7" t="s">
        <v>1235</v>
      </c>
      <c r="B658" s="5" t="s">
        <v>9</v>
      </c>
      <c r="C658" s="6" t="s">
        <v>492</v>
      </c>
      <c r="D658" s="6" t="s">
        <v>1236</v>
      </c>
      <c r="E658" s="5" t="s">
        <v>22</v>
      </c>
      <c r="F658" s="5" t="s">
        <v>13</v>
      </c>
      <c r="G658" s="5"/>
      <c r="H658" s="8">
        <v>12</v>
      </c>
      <c r="I658" s="8" t="s">
        <v>765</v>
      </c>
    </row>
    <row r="659" spans="1:9">
      <c r="A659" s="7" t="s">
        <v>746</v>
      </c>
      <c r="B659" s="5" t="s">
        <v>9</v>
      </c>
      <c r="C659" s="6" t="s">
        <v>84</v>
      </c>
      <c r="D659" s="6" t="s">
        <v>41</v>
      </c>
      <c r="E659" s="5" t="s">
        <v>12</v>
      </c>
      <c r="F659" s="5" t="s">
        <v>13</v>
      </c>
      <c r="G659" s="5"/>
      <c r="H659" s="8">
        <v>1</v>
      </c>
      <c r="I659" s="8" t="s">
        <v>765</v>
      </c>
    </row>
    <row r="660" spans="1:9">
      <c r="A660" s="7" t="s">
        <v>1237</v>
      </c>
      <c r="B660" s="5" t="s">
        <v>9</v>
      </c>
      <c r="C660" s="6" t="s">
        <v>587</v>
      </c>
      <c r="D660" s="6" t="s">
        <v>587</v>
      </c>
      <c r="E660" s="5" t="s">
        <v>22</v>
      </c>
      <c r="F660" s="5" t="s">
        <v>13</v>
      </c>
      <c r="G660" s="5"/>
      <c r="H660" s="8">
        <v>8</v>
      </c>
      <c r="I660" s="8" t="s">
        <v>765</v>
      </c>
    </row>
    <row r="661" spans="1:9">
      <c r="A661" s="7" t="s">
        <v>1238</v>
      </c>
      <c r="B661" s="5" t="s">
        <v>9</v>
      </c>
      <c r="C661" s="6" t="s">
        <v>557</v>
      </c>
      <c r="D661" s="6" t="s">
        <v>558</v>
      </c>
      <c r="E661" s="5" t="s">
        <v>22</v>
      </c>
      <c r="F661" s="5" t="s">
        <v>13</v>
      </c>
      <c r="G661" s="5"/>
      <c r="H661" s="8">
        <v>2</v>
      </c>
      <c r="I661" s="8" t="s">
        <v>765</v>
      </c>
    </row>
    <row r="662" spans="1:9">
      <c r="A662" s="7" t="s">
        <v>1239</v>
      </c>
      <c r="B662" s="5" t="s">
        <v>9</v>
      </c>
      <c r="C662" s="6" t="s">
        <v>116</v>
      </c>
      <c r="D662" s="6" t="s">
        <v>116</v>
      </c>
      <c r="E662" s="5" t="s">
        <v>12</v>
      </c>
      <c r="F662" s="5" t="s">
        <v>13</v>
      </c>
      <c r="G662" s="5"/>
      <c r="H662" s="8">
        <v>1</v>
      </c>
      <c r="I662" s="8" t="s">
        <v>765</v>
      </c>
    </row>
    <row r="663" spans="1:9">
      <c r="A663" s="7" t="s">
        <v>1240</v>
      </c>
      <c r="B663" s="5" t="s">
        <v>9</v>
      </c>
      <c r="C663" s="6" t="s">
        <v>187</v>
      </c>
      <c r="D663" s="6" t="s">
        <v>265</v>
      </c>
      <c r="E663" s="5" t="s">
        <v>18</v>
      </c>
      <c r="F663" s="5" t="s">
        <v>13</v>
      </c>
      <c r="G663" s="5"/>
      <c r="H663" s="8">
        <v>2</v>
      </c>
      <c r="I663" s="8" t="s">
        <v>765</v>
      </c>
    </row>
    <row r="664" spans="1:9">
      <c r="A664" s="7" t="s">
        <v>1241</v>
      </c>
      <c r="B664" s="5" t="s">
        <v>9</v>
      </c>
      <c r="C664" s="6" t="s">
        <v>1242</v>
      </c>
      <c r="D664" s="6" t="s">
        <v>1243</v>
      </c>
      <c r="E664" s="5" t="s">
        <v>22</v>
      </c>
      <c r="F664" s="5" t="s">
        <v>13</v>
      </c>
      <c r="G664" s="5"/>
      <c r="H664" s="8">
        <v>3</v>
      </c>
      <c r="I664" s="8" t="s">
        <v>765</v>
      </c>
    </row>
    <row r="665" spans="1:9">
      <c r="A665" s="7" t="s">
        <v>1244</v>
      </c>
      <c r="B665" s="5" t="s">
        <v>9</v>
      </c>
      <c r="C665" s="6" t="s">
        <v>136</v>
      </c>
      <c r="D665" s="6" t="s">
        <v>1220</v>
      </c>
      <c r="E665" s="5" t="s">
        <v>39</v>
      </c>
      <c r="F665" s="5" t="s">
        <v>13</v>
      </c>
      <c r="G665" s="5"/>
      <c r="H665" s="8">
        <v>2</v>
      </c>
      <c r="I665" s="8" t="s">
        <v>765</v>
      </c>
    </row>
    <row r="666" spans="1:9">
      <c r="A666" s="7" t="s">
        <v>1245</v>
      </c>
      <c r="B666" s="5" t="s">
        <v>9</v>
      </c>
      <c r="C666" s="6" t="s">
        <v>1230</v>
      </c>
      <c r="D666" s="6" t="s">
        <v>506</v>
      </c>
      <c r="E666" s="5" t="s">
        <v>22</v>
      </c>
      <c r="F666" s="5" t="s">
        <v>13</v>
      </c>
      <c r="G666" s="5"/>
      <c r="H666" s="8">
        <v>4</v>
      </c>
      <c r="I666" s="8" t="s">
        <v>765</v>
      </c>
    </row>
    <row r="667" spans="1:9">
      <c r="A667" s="7" t="s">
        <v>1246</v>
      </c>
      <c r="B667" s="5" t="s">
        <v>9</v>
      </c>
      <c r="C667" s="6" t="s">
        <v>1230</v>
      </c>
      <c r="D667" s="6" t="s">
        <v>506</v>
      </c>
      <c r="E667" s="5" t="s">
        <v>22</v>
      </c>
      <c r="F667" s="5" t="s">
        <v>13</v>
      </c>
      <c r="G667" s="5"/>
      <c r="H667" s="8">
        <v>2</v>
      </c>
      <c r="I667" s="8" t="s">
        <v>765</v>
      </c>
    </row>
    <row r="668" spans="1:9">
      <c r="A668" s="7" t="s">
        <v>1247</v>
      </c>
      <c r="B668" s="5" t="s">
        <v>9</v>
      </c>
      <c r="C668" s="6" t="s">
        <v>144</v>
      </c>
      <c r="D668" s="6" t="s">
        <v>1248</v>
      </c>
      <c r="E668" s="5" t="s">
        <v>18</v>
      </c>
      <c r="F668" s="5" t="s">
        <v>13</v>
      </c>
      <c r="G668" s="5"/>
      <c r="H668" s="8">
        <v>2</v>
      </c>
      <c r="I668" s="8" t="s">
        <v>765</v>
      </c>
    </row>
    <row r="669" spans="1:9">
      <c r="A669" s="7" t="s">
        <v>1249</v>
      </c>
      <c r="B669" s="5" t="s">
        <v>9</v>
      </c>
      <c r="C669" s="6" t="s">
        <v>161</v>
      </c>
      <c r="D669" s="6" t="s">
        <v>1250</v>
      </c>
      <c r="E669" s="5" t="s">
        <v>39</v>
      </c>
      <c r="F669" s="5" t="s">
        <v>13</v>
      </c>
      <c r="G669" s="5"/>
      <c r="H669" s="8">
        <v>1</v>
      </c>
      <c r="I669" s="8" t="s">
        <v>765</v>
      </c>
    </row>
    <row r="670" spans="1:9">
      <c r="A670" s="7" t="s">
        <v>1251</v>
      </c>
      <c r="B670" s="5" t="s">
        <v>9</v>
      </c>
      <c r="C670" s="6" t="s">
        <v>161</v>
      </c>
      <c r="D670" s="6" t="s">
        <v>1250</v>
      </c>
      <c r="E670" s="5" t="s">
        <v>39</v>
      </c>
      <c r="F670" s="5" t="s">
        <v>13</v>
      </c>
      <c r="G670" s="5"/>
      <c r="H670" s="8">
        <v>1</v>
      </c>
      <c r="I670" s="8" t="s">
        <v>765</v>
      </c>
    </row>
    <row r="671" spans="1:9">
      <c r="A671" s="7" t="s">
        <v>1252</v>
      </c>
      <c r="B671" s="5" t="s">
        <v>9</v>
      </c>
      <c r="C671" s="6" t="s">
        <v>1230</v>
      </c>
      <c r="D671" s="6" t="s">
        <v>506</v>
      </c>
      <c r="E671" s="5" t="s">
        <v>18</v>
      </c>
      <c r="F671" s="5" t="s">
        <v>13</v>
      </c>
      <c r="G671" s="5"/>
      <c r="H671" s="8">
        <v>2</v>
      </c>
      <c r="I671" s="8" t="s">
        <v>765</v>
      </c>
    </row>
    <row r="672" spans="1:9">
      <c r="A672" s="7" t="s">
        <v>1253</v>
      </c>
      <c r="B672" s="5" t="s">
        <v>9</v>
      </c>
      <c r="C672" s="6" t="s">
        <v>1254</v>
      </c>
      <c r="D672" s="6" t="s">
        <v>1255</v>
      </c>
      <c r="E672" s="5" t="s">
        <v>39</v>
      </c>
      <c r="F672" s="5" t="s">
        <v>13</v>
      </c>
      <c r="G672" s="5"/>
      <c r="H672" s="8">
        <v>2</v>
      </c>
      <c r="I672" s="8" t="s">
        <v>765</v>
      </c>
    </row>
    <row r="673" spans="1:9">
      <c r="A673" s="7" t="s">
        <v>1256</v>
      </c>
      <c r="B673" s="5" t="s">
        <v>9</v>
      </c>
      <c r="C673" s="6" t="s">
        <v>153</v>
      </c>
      <c r="D673" s="6" t="s">
        <v>1257</v>
      </c>
      <c r="E673" s="5" t="s">
        <v>39</v>
      </c>
      <c r="F673" s="5" t="s">
        <v>13</v>
      </c>
      <c r="G673" s="5"/>
      <c r="H673" s="8">
        <v>2</v>
      </c>
      <c r="I673" s="8" t="s">
        <v>765</v>
      </c>
    </row>
    <row r="674" spans="1:9">
      <c r="A674" s="7" t="s">
        <v>1258</v>
      </c>
      <c r="B674" s="5" t="s">
        <v>9</v>
      </c>
      <c r="C674" s="6" t="s">
        <v>144</v>
      </c>
      <c r="D674" s="6" t="s">
        <v>1248</v>
      </c>
      <c r="E674" s="5" t="s">
        <v>39</v>
      </c>
      <c r="F674" s="5" t="s">
        <v>13</v>
      </c>
      <c r="G674" s="5"/>
      <c r="H674" s="8">
        <v>2</v>
      </c>
      <c r="I674" s="8" t="s">
        <v>765</v>
      </c>
    </row>
    <row r="675" spans="1:9">
      <c r="A675" s="7" t="s">
        <v>1259</v>
      </c>
      <c r="B675" s="5" t="s">
        <v>9</v>
      </c>
      <c r="C675" s="6" t="s">
        <v>1260</v>
      </c>
      <c r="D675" s="6" t="s">
        <v>1260</v>
      </c>
      <c r="E675" s="5" t="s">
        <v>22</v>
      </c>
      <c r="F675" s="5" t="s">
        <v>13</v>
      </c>
      <c r="G675" s="5"/>
      <c r="H675" s="8">
        <v>6</v>
      </c>
      <c r="I675" s="8" t="s">
        <v>765</v>
      </c>
    </row>
    <row r="676" spans="1:9">
      <c r="A676" s="7" t="s">
        <v>1261</v>
      </c>
      <c r="B676" s="5" t="s">
        <v>9</v>
      </c>
      <c r="C676" s="6" t="s">
        <v>95</v>
      </c>
      <c r="D676" s="6" t="s">
        <v>1262</v>
      </c>
      <c r="E676" s="5" t="s">
        <v>12</v>
      </c>
      <c r="F676" s="5" t="s">
        <v>13</v>
      </c>
      <c r="G676" s="5"/>
      <c r="H676" s="8">
        <v>1</v>
      </c>
      <c r="I676" s="8" t="s">
        <v>765</v>
      </c>
    </row>
    <row r="677" spans="1:9">
      <c r="A677" s="7" t="s">
        <v>1263</v>
      </c>
      <c r="B677" s="5" t="s">
        <v>9</v>
      </c>
      <c r="C677" s="6" t="s">
        <v>1264</v>
      </c>
      <c r="D677" s="6" t="s">
        <v>1265</v>
      </c>
      <c r="E677" s="5" t="s">
        <v>39</v>
      </c>
      <c r="F677" s="5" t="s">
        <v>13</v>
      </c>
      <c r="G677" s="5"/>
      <c r="H677" s="8">
        <v>2</v>
      </c>
      <c r="I677" s="8" t="s">
        <v>765</v>
      </c>
    </row>
    <row r="678" spans="1:9">
      <c r="A678" s="7" t="s">
        <v>1266</v>
      </c>
      <c r="B678" s="5" t="s">
        <v>9</v>
      </c>
      <c r="C678" s="6" t="s">
        <v>174</v>
      </c>
      <c r="D678" s="6" t="s">
        <v>1267</v>
      </c>
      <c r="E678" s="5" t="s">
        <v>18</v>
      </c>
      <c r="F678" s="5" t="s">
        <v>13</v>
      </c>
      <c r="G678" s="5"/>
      <c r="H678" s="8">
        <v>1</v>
      </c>
      <c r="I678" s="8" t="s">
        <v>765</v>
      </c>
    </row>
    <row r="679" spans="1:9">
      <c r="A679" s="7" t="s">
        <v>1268</v>
      </c>
      <c r="B679" s="5" t="s">
        <v>9</v>
      </c>
      <c r="C679" s="6" t="s">
        <v>174</v>
      </c>
      <c r="D679" s="6" t="s">
        <v>1267</v>
      </c>
      <c r="E679" s="5" t="s">
        <v>18</v>
      </c>
      <c r="F679" s="5" t="s">
        <v>13</v>
      </c>
      <c r="G679" s="5"/>
      <c r="H679" s="8">
        <v>1</v>
      </c>
      <c r="I679" s="8" t="s">
        <v>765</v>
      </c>
    </row>
    <row r="680" spans="1:9">
      <c r="A680" s="7" t="s">
        <v>1269</v>
      </c>
      <c r="B680" s="5" t="s">
        <v>9</v>
      </c>
      <c r="C680" s="6" t="s">
        <v>557</v>
      </c>
      <c r="D680" s="6" t="s">
        <v>558</v>
      </c>
      <c r="E680" s="5" t="s">
        <v>39</v>
      </c>
      <c r="F680" s="5" t="s">
        <v>13</v>
      </c>
      <c r="G680" s="5"/>
      <c r="H680" s="8">
        <v>2</v>
      </c>
      <c r="I680" s="8" t="s">
        <v>765</v>
      </c>
    </row>
    <row r="681" spans="1:9">
      <c r="A681" s="7" t="s">
        <v>1270</v>
      </c>
      <c r="B681" s="5" t="s">
        <v>9</v>
      </c>
      <c r="C681" s="6" t="s">
        <v>545</v>
      </c>
      <c r="D681" s="6" t="s">
        <v>116</v>
      </c>
      <c r="E681" s="5" t="s">
        <v>12</v>
      </c>
      <c r="F681" s="5" t="s">
        <v>13</v>
      </c>
      <c r="G681" s="5"/>
      <c r="H681" s="8">
        <v>1</v>
      </c>
      <c r="I681" s="8" t="s">
        <v>765</v>
      </c>
    </row>
    <row r="682" spans="1:9">
      <c r="A682" s="7" t="s">
        <v>1271</v>
      </c>
      <c r="B682" s="5" t="s">
        <v>9</v>
      </c>
      <c r="C682" s="6" t="s">
        <v>577</v>
      </c>
      <c r="D682" s="6" t="s">
        <v>630</v>
      </c>
      <c r="E682" s="5" t="s">
        <v>22</v>
      </c>
      <c r="F682" s="5" t="s">
        <v>13</v>
      </c>
      <c r="G682" s="5"/>
      <c r="H682" s="8">
        <v>20</v>
      </c>
      <c r="I682" s="8" t="s">
        <v>765</v>
      </c>
    </row>
    <row r="683" spans="1:9">
      <c r="A683" s="7" t="s">
        <v>1272</v>
      </c>
      <c r="B683" s="5" t="s">
        <v>9</v>
      </c>
      <c r="C683" s="6" t="s">
        <v>492</v>
      </c>
      <c r="D683" s="6" t="s">
        <v>492</v>
      </c>
      <c r="E683" s="5" t="s">
        <v>22</v>
      </c>
      <c r="F683" s="5" t="s">
        <v>13</v>
      </c>
      <c r="G683" s="5"/>
      <c r="H683" s="8">
        <v>2</v>
      </c>
      <c r="I683" s="8" t="s">
        <v>765</v>
      </c>
    </row>
    <row r="684" spans="1:9">
      <c r="A684" s="7" t="s">
        <v>752</v>
      </c>
      <c r="B684" s="5" t="s">
        <v>9</v>
      </c>
      <c r="C684" s="6" t="s">
        <v>753</v>
      </c>
      <c r="D684" s="6" t="s">
        <v>489</v>
      </c>
      <c r="E684" s="5" t="s">
        <v>22</v>
      </c>
      <c r="F684" s="5" t="s">
        <v>13</v>
      </c>
      <c r="G684" s="5"/>
      <c r="H684" s="8">
        <v>18</v>
      </c>
      <c r="I684" s="8" t="s">
        <v>765</v>
      </c>
    </row>
    <row r="685" spans="1:9">
      <c r="A685" s="7" t="s">
        <v>1273</v>
      </c>
      <c r="B685" s="5" t="s">
        <v>9</v>
      </c>
      <c r="C685" s="6" t="s">
        <v>753</v>
      </c>
      <c r="D685" s="6" t="s">
        <v>489</v>
      </c>
      <c r="E685" s="5" t="s">
        <v>22</v>
      </c>
      <c r="F685" s="5" t="s">
        <v>13</v>
      </c>
      <c r="G685" s="5"/>
      <c r="H685" s="8">
        <v>4</v>
      </c>
      <c r="I685" s="8" t="s">
        <v>765</v>
      </c>
    </row>
    <row r="686" spans="1:9">
      <c r="A686" s="7" t="s">
        <v>1274</v>
      </c>
      <c r="B686" s="5" t="s">
        <v>9</v>
      </c>
      <c r="C686" s="6" t="s">
        <v>753</v>
      </c>
      <c r="D686" s="6" t="s">
        <v>489</v>
      </c>
      <c r="E686" s="5" t="s">
        <v>22</v>
      </c>
      <c r="F686" s="5" t="s">
        <v>13</v>
      </c>
      <c r="G686" s="5"/>
      <c r="H686" s="8">
        <v>28</v>
      </c>
      <c r="I686" s="8" t="s">
        <v>765</v>
      </c>
    </row>
    <row r="687" spans="1:9">
      <c r="A687" s="7" t="s">
        <v>1275</v>
      </c>
      <c r="B687" s="5" t="s">
        <v>9</v>
      </c>
      <c r="C687" s="6" t="s">
        <v>753</v>
      </c>
      <c r="D687" s="6" t="s">
        <v>489</v>
      </c>
      <c r="E687" s="5" t="s">
        <v>22</v>
      </c>
      <c r="F687" s="5" t="s">
        <v>13</v>
      </c>
      <c r="G687" s="5"/>
      <c r="H687" s="8">
        <v>8</v>
      </c>
      <c r="I687" s="8" t="s">
        <v>765</v>
      </c>
    </row>
    <row r="688" spans="1:9">
      <c r="A688" s="7" t="s">
        <v>754</v>
      </c>
      <c r="B688" s="5" t="s">
        <v>9</v>
      </c>
      <c r="C688" s="6" t="s">
        <v>755</v>
      </c>
      <c r="D688" s="6" t="s">
        <v>492</v>
      </c>
      <c r="E688" s="5" t="s">
        <v>22</v>
      </c>
      <c r="F688" s="5" t="s">
        <v>13</v>
      </c>
      <c r="G688" s="5"/>
      <c r="H688" s="8">
        <v>2</v>
      </c>
      <c r="I688" s="8" t="s">
        <v>765</v>
      </c>
    </row>
    <row r="689" spans="1:9">
      <c r="A689" s="7" t="s">
        <v>1276</v>
      </c>
      <c r="B689" s="5" t="s">
        <v>9</v>
      </c>
      <c r="C689" s="6" t="s">
        <v>755</v>
      </c>
      <c r="D689" s="6" t="s">
        <v>492</v>
      </c>
      <c r="E689" s="5" t="s">
        <v>22</v>
      </c>
      <c r="F689" s="5" t="s">
        <v>13</v>
      </c>
      <c r="G689" s="5"/>
      <c r="H689" s="8">
        <v>9</v>
      </c>
      <c r="I689" s="8" t="s">
        <v>765</v>
      </c>
    </row>
    <row r="690" spans="1:9">
      <c r="A690" s="7" t="s">
        <v>1277</v>
      </c>
      <c r="B690" s="5" t="s">
        <v>9</v>
      </c>
      <c r="C690" s="6" t="s">
        <v>755</v>
      </c>
      <c r="D690" s="6" t="s">
        <v>492</v>
      </c>
      <c r="E690" s="5" t="s">
        <v>22</v>
      </c>
      <c r="F690" s="5" t="s">
        <v>13</v>
      </c>
      <c r="G690" s="5"/>
      <c r="H690" s="8">
        <v>8</v>
      </c>
      <c r="I690" s="8" t="s">
        <v>765</v>
      </c>
    </row>
    <row r="691" spans="1:9">
      <c r="A691" s="7" t="s">
        <v>1278</v>
      </c>
      <c r="B691" s="5" t="s">
        <v>9</v>
      </c>
      <c r="C691" s="6" t="s">
        <v>755</v>
      </c>
      <c r="D691" s="6" t="s">
        <v>492</v>
      </c>
      <c r="E691" s="5" t="s">
        <v>22</v>
      </c>
      <c r="F691" s="5" t="s">
        <v>13</v>
      </c>
      <c r="G691" s="5"/>
      <c r="H691" s="8">
        <v>4</v>
      </c>
      <c r="I691" s="8" t="s">
        <v>765</v>
      </c>
    </row>
    <row r="692" spans="1:9">
      <c r="A692" s="7" t="s">
        <v>1279</v>
      </c>
      <c r="B692" s="5" t="s">
        <v>9</v>
      </c>
      <c r="C692" s="6" t="s">
        <v>755</v>
      </c>
      <c r="D692" s="6" t="s">
        <v>492</v>
      </c>
      <c r="E692" s="5" t="s">
        <v>22</v>
      </c>
      <c r="F692" s="5" t="s">
        <v>13</v>
      </c>
      <c r="G692" s="5"/>
      <c r="H692" s="8">
        <v>2</v>
      </c>
      <c r="I692" s="8" t="s">
        <v>765</v>
      </c>
    </row>
    <row r="693" spans="1:9">
      <c r="A693" s="7" t="s">
        <v>1280</v>
      </c>
      <c r="B693" s="5" t="s">
        <v>9</v>
      </c>
      <c r="C693" s="6" t="s">
        <v>755</v>
      </c>
      <c r="D693" s="6" t="s">
        <v>492</v>
      </c>
      <c r="E693" s="5" t="s">
        <v>22</v>
      </c>
      <c r="F693" s="5" t="s">
        <v>13</v>
      </c>
      <c r="G693" s="5"/>
      <c r="H693" s="8">
        <v>14</v>
      </c>
      <c r="I693" s="8" t="s">
        <v>765</v>
      </c>
    </row>
    <row r="694" spans="1:9">
      <c r="A694" s="7" t="s">
        <v>1281</v>
      </c>
      <c r="B694" s="5" t="s">
        <v>9</v>
      </c>
      <c r="C694" s="6" t="s">
        <v>755</v>
      </c>
      <c r="D694" s="6" t="s">
        <v>492</v>
      </c>
      <c r="E694" s="5" t="s">
        <v>22</v>
      </c>
      <c r="F694" s="5" t="s">
        <v>13</v>
      </c>
      <c r="G694" s="5"/>
      <c r="H694" s="8">
        <v>8</v>
      </c>
      <c r="I694" s="8" t="s">
        <v>765</v>
      </c>
    </row>
    <row r="695" spans="1:9">
      <c r="A695" s="7" t="s">
        <v>1282</v>
      </c>
      <c r="B695" s="5" t="s">
        <v>9</v>
      </c>
      <c r="C695" s="6" t="s">
        <v>492</v>
      </c>
      <c r="D695" s="6" t="s">
        <v>492</v>
      </c>
      <c r="E695" s="5" t="s">
        <v>22</v>
      </c>
      <c r="F695" s="5" t="s">
        <v>13</v>
      </c>
      <c r="G695" s="5"/>
      <c r="H695" s="8">
        <v>4</v>
      </c>
      <c r="I695" s="8" t="s">
        <v>765</v>
      </c>
    </row>
    <row r="696" spans="1:9">
      <c r="A696" s="7" t="s">
        <v>1283</v>
      </c>
      <c r="B696" s="5" t="s">
        <v>9</v>
      </c>
      <c r="C696" s="6" t="s">
        <v>1284</v>
      </c>
      <c r="D696" s="6" t="s">
        <v>1285</v>
      </c>
      <c r="E696" s="5" t="s">
        <v>22</v>
      </c>
      <c r="F696" s="5" t="s">
        <v>13</v>
      </c>
      <c r="G696" s="5"/>
      <c r="H696" s="8">
        <v>6</v>
      </c>
      <c r="I696" s="8" t="s">
        <v>765</v>
      </c>
    </row>
    <row r="697" spans="1:9">
      <c r="A697" s="7" t="s">
        <v>1286</v>
      </c>
      <c r="B697" s="5" t="s">
        <v>9</v>
      </c>
      <c r="C697" s="6" t="s">
        <v>1284</v>
      </c>
      <c r="D697" s="6" t="s">
        <v>1285</v>
      </c>
      <c r="E697" s="5" t="s">
        <v>22</v>
      </c>
      <c r="F697" s="5" t="s">
        <v>13</v>
      </c>
      <c r="G697" s="5"/>
      <c r="H697" s="8">
        <v>4</v>
      </c>
      <c r="I697" s="8" t="s">
        <v>765</v>
      </c>
    </row>
    <row r="698" spans="1:9">
      <c r="A698" s="7" t="s">
        <v>1287</v>
      </c>
      <c r="B698" s="5" t="s">
        <v>9</v>
      </c>
      <c r="C698" s="6" t="s">
        <v>753</v>
      </c>
      <c r="D698" s="6" t="s">
        <v>489</v>
      </c>
      <c r="E698" s="5" t="s">
        <v>22</v>
      </c>
      <c r="F698" s="5" t="s">
        <v>13</v>
      </c>
      <c r="G698" s="5"/>
      <c r="H698" s="8">
        <v>2</v>
      </c>
      <c r="I698" s="8" t="s">
        <v>765</v>
      </c>
    </row>
    <row r="699" spans="1:9">
      <c r="A699" s="7" t="s">
        <v>1288</v>
      </c>
      <c r="B699" s="5" t="s">
        <v>9</v>
      </c>
      <c r="C699" s="6" t="s">
        <v>753</v>
      </c>
      <c r="D699" s="6" t="s">
        <v>489</v>
      </c>
      <c r="E699" s="5" t="s">
        <v>22</v>
      </c>
      <c r="F699" s="5" t="s">
        <v>13</v>
      </c>
      <c r="G699" s="5"/>
      <c r="H699" s="8">
        <v>8</v>
      </c>
      <c r="I699" s="8" t="s">
        <v>765</v>
      </c>
    </row>
    <row r="700" spans="1:9">
      <c r="A700" s="7" t="s">
        <v>1289</v>
      </c>
      <c r="B700" s="5" t="s">
        <v>9</v>
      </c>
      <c r="C700" s="6" t="s">
        <v>753</v>
      </c>
      <c r="D700" s="6" t="s">
        <v>489</v>
      </c>
      <c r="E700" s="5" t="s">
        <v>22</v>
      </c>
      <c r="F700" s="5" t="s">
        <v>13</v>
      </c>
      <c r="G700" s="5"/>
      <c r="H700" s="8">
        <v>8</v>
      </c>
      <c r="I700" s="8" t="s">
        <v>765</v>
      </c>
    </row>
    <row r="701" spans="1:9">
      <c r="A701" s="7" t="s">
        <v>1290</v>
      </c>
      <c r="B701" s="5" t="s">
        <v>9</v>
      </c>
      <c r="C701" s="6" t="s">
        <v>1291</v>
      </c>
      <c r="D701" s="6" t="s">
        <v>489</v>
      </c>
      <c r="E701" s="5" t="s">
        <v>22</v>
      </c>
      <c r="F701" s="5" t="s">
        <v>13</v>
      </c>
      <c r="G701" s="5"/>
      <c r="H701" s="8">
        <v>2</v>
      </c>
      <c r="I701" s="8" t="s">
        <v>765</v>
      </c>
    </row>
    <row r="702" spans="1:9">
      <c r="A702" s="7" t="s">
        <v>1292</v>
      </c>
      <c r="B702" s="5" t="s">
        <v>9</v>
      </c>
      <c r="C702" s="6" t="s">
        <v>755</v>
      </c>
      <c r="D702" s="6" t="s">
        <v>492</v>
      </c>
      <c r="E702" s="5" t="s">
        <v>22</v>
      </c>
      <c r="F702" s="5" t="s">
        <v>13</v>
      </c>
      <c r="G702" s="5"/>
      <c r="H702" s="8">
        <v>2</v>
      </c>
      <c r="I702" s="8" t="s">
        <v>765</v>
      </c>
    </row>
    <row r="703" spans="1:9">
      <c r="A703" s="7" t="s">
        <v>757</v>
      </c>
      <c r="B703" s="5" t="s">
        <v>9</v>
      </c>
      <c r="C703" s="6" t="s">
        <v>753</v>
      </c>
      <c r="D703" s="6" t="s">
        <v>489</v>
      </c>
      <c r="E703" s="5" t="s">
        <v>22</v>
      </c>
      <c r="F703" s="5" t="s">
        <v>13</v>
      </c>
      <c r="G703" s="5"/>
      <c r="H703" s="8">
        <v>1</v>
      </c>
      <c r="I703" s="8" t="s">
        <v>765</v>
      </c>
    </row>
    <row r="704" spans="1:9">
      <c r="A704" s="7" t="s">
        <v>1293</v>
      </c>
      <c r="B704" s="5" t="s">
        <v>9</v>
      </c>
      <c r="C704" s="6" t="s">
        <v>1291</v>
      </c>
      <c r="D704" s="6" t="s">
        <v>489</v>
      </c>
      <c r="E704" s="5" t="s">
        <v>22</v>
      </c>
      <c r="F704" s="5" t="s">
        <v>13</v>
      </c>
      <c r="G704" s="5"/>
      <c r="H704" s="8">
        <v>3</v>
      </c>
      <c r="I704" s="8" t="s">
        <v>765</v>
      </c>
    </row>
    <row r="705" spans="1:9">
      <c r="A705" s="7" t="s">
        <v>1294</v>
      </c>
      <c r="B705" s="5" t="s">
        <v>9</v>
      </c>
      <c r="C705" s="6" t="s">
        <v>755</v>
      </c>
      <c r="D705" s="6" t="s">
        <v>492</v>
      </c>
      <c r="E705" s="5" t="s">
        <v>22</v>
      </c>
      <c r="F705" s="5" t="s">
        <v>13</v>
      </c>
      <c r="G705" s="5"/>
      <c r="H705" s="8">
        <v>2</v>
      </c>
      <c r="I705" s="8" t="s">
        <v>765</v>
      </c>
    </row>
    <row r="706" spans="1:9">
      <c r="A706" s="7" t="s">
        <v>1295</v>
      </c>
      <c r="B706" s="5" t="s">
        <v>9</v>
      </c>
      <c r="C706" s="6" t="s">
        <v>1296</v>
      </c>
      <c r="D706" s="6" t="s">
        <v>1297</v>
      </c>
      <c r="E706" s="5" t="s">
        <v>22</v>
      </c>
      <c r="F706" s="5" t="s">
        <v>13</v>
      </c>
      <c r="G706" s="5"/>
      <c r="H706" s="8">
        <v>4</v>
      </c>
      <c r="I706" s="8" t="s">
        <v>765</v>
      </c>
    </row>
    <row r="707" spans="1:9">
      <c r="A707" s="7" t="s">
        <v>1298</v>
      </c>
      <c r="B707" s="5" t="s">
        <v>9</v>
      </c>
      <c r="C707" s="6" t="s">
        <v>1134</v>
      </c>
      <c r="D707" s="6" t="s">
        <v>1134</v>
      </c>
      <c r="E707" s="5" t="s">
        <v>22</v>
      </c>
      <c r="F707" s="5" t="s">
        <v>13</v>
      </c>
      <c r="G707" s="5"/>
      <c r="H707" s="8">
        <v>4</v>
      </c>
      <c r="I707" s="8" t="s">
        <v>765</v>
      </c>
    </row>
    <row r="708" spans="1:9">
      <c r="A708" s="7" t="s">
        <v>1299</v>
      </c>
      <c r="B708" s="5" t="s">
        <v>9</v>
      </c>
      <c r="C708" s="6" t="s">
        <v>1300</v>
      </c>
      <c r="D708" s="6" t="s">
        <v>1301</v>
      </c>
      <c r="E708" s="5" t="s">
        <v>12</v>
      </c>
      <c r="F708" s="5" t="s">
        <v>13</v>
      </c>
      <c r="G708" s="5"/>
      <c r="H708" s="8">
        <v>2</v>
      </c>
      <c r="I708" s="8" t="s">
        <v>765</v>
      </c>
    </row>
    <row r="709" spans="1:9">
      <c r="A709" s="7" t="s">
        <v>1302</v>
      </c>
      <c r="B709" s="5" t="s">
        <v>850</v>
      </c>
      <c r="C709" s="6" t="s">
        <v>1303</v>
      </c>
      <c r="D709" s="6" t="s">
        <v>179</v>
      </c>
      <c r="E709" s="5" t="s">
        <v>22</v>
      </c>
      <c r="F709" s="5" t="s">
        <v>13</v>
      </c>
      <c r="G709" s="5"/>
      <c r="H709" s="8">
        <v>1.76</v>
      </c>
      <c r="I709" s="8" t="s">
        <v>765</v>
      </c>
    </row>
    <row r="710" spans="1:9">
      <c r="A710" s="7" t="s">
        <v>1304</v>
      </c>
      <c r="B710" s="5" t="s">
        <v>9</v>
      </c>
      <c r="C710" s="6" t="s">
        <v>1305</v>
      </c>
      <c r="D710" s="6" t="s">
        <v>1306</v>
      </c>
      <c r="E710" s="5" t="s">
        <v>18</v>
      </c>
      <c r="F710" s="5" t="s">
        <v>13</v>
      </c>
      <c r="G710" s="5"/>
      <c r="H710" s="8">
        <v>1</v>
      </c>
      <c r="I710" s="8" t="s">
        <v>765</v>
      </c>
    </row>
    <row r="711" spans="1:9">
      <c r="A711" s="7" t="s">
        <v>1307</v>
      </c>
      <c r="B711" s="5" t="s">
        <v>9</v>
      </c>
      <c r="C711" s="6" t="s">
        <v>402</v>
      </c>
      <c r="D711" s="6" t="s">
        <v>403</v>
      </c>
      <c r="E711" s="5" t="s">
        <v>18</v>
      </c>
      <c r="F711" s="5" t="s">
        <v>13</v>
      </c>
      <c r="G711" s="5"/>
      <c r="H711" s="8">
        <v>1</v>
      </c>
      <c r="I711" s="8" t="s">
        <v>765</v>
      </c>
    </row>
    <row r="712" spans="1:9">
      <c r="A712" s="7" t="s">
        <v>1308</v>
      </c>
      <c r="B712" s="5" t="s">
        <v>9</v>
      </c>
      <c r="C712" s="6" t="s">
        <v>545</v>
      </c>
      <c r="D712" s="6" t="s">
        <v>1309</v>
      </c>
      <c r="E712" s="5" t="s">
        <v>22</v>
      </c>
      <c r="F712" s="5" t="s">
        <v>13</v>
      </c>
      <c r="G712" s="5"/>
      <c r="H712" s="8">
        <v>1</v>
      </c>
      <c r="I712" s="8" t="s">
        <v>765</v>
      </c>
    </row>
    <row r="713" spans="1:9">
      <c r="A713" s="7" t="s">
        <v>1310</v>
      </c>
      <c r="B713" s="5" t="s">
        <v>9</v>
      </c>
      <c r="C713" s="6" t="s">
        <v>1311</v>
      </c>
      <c r="D713" s="6" t="s">
        <v>1312</v>
      </c>
      <c r="E713" s="5" t="s">
        <v>18</v>
      </c>
      <c r="F713" s="5" t="s">
        <v>13</v>
      </c>
      <c r="G713" s="5"/>
      <c r="H713" s="8">
        <v>1</v>
      </c>
      <c r="I713" s="8" t="s">
        <v>765</v>
      </c>
    </row>
    <row r="714" spans="1:9">
      <c r="A714" s="7" t="s">
        <v>1313</v>
      </c>
      <c r="B714" s="5" t="s">
        <v>9</v>
      </c>
      <c r="C714" s="6" t="s">
        <v>1314</v>
      </c>
      <c r="D714" s="6" t="s">
        <v>1315</v>
      </c>
      <c r="E714" s="5" t="s">
        <v>39</v>
      </c>
      <c r="F714" s="5" t="s">
        <v>13</v>
      </c>
      <c r="G714" s="5"/>
      <c r="H714" s="8">
        <v>1</v>
      </c>
      <c r="I714" s="8" t="s">
        <v>765</v>
      </c>
    </row>
    <row r="715" spans="1:9">
      <c r="A715" s="7" t="s">
        <v>1316</v>
      </c>
      <c r="B715" s="5" t="s">
        <v>9</v>
      </c>
      <c r="C715" s="6" t="s">
        <v>1317</v>
      </c>
      <c r="D715" s="6" t="s">
        <v>1318</v>
      </c>
      <c r="E715" s="5" t="s">
        <v>22</v>
      </c>
      <c r="F715" s="5" t="s">
        <v>13</v>
      </c>
      <c r="G715" s="5"/>
      <c r="H715" s="8">
        <v>1</v>
      </c>
      <c r="I715" s="8" t="s">
        <v>765</v>
      </c>
    </row>
    <row r="716" spans="1:9">
      <c r="A716" s="7" t="s">
        <v>109</v>
      </c>
      <c r="B716" s="5" t="s">
        <v>9</v>
      </c>
      <c r="C716" s="6" t="s">
        <v>110</v>
      </c>
      <c r="D716" s="6" t="s">
        <v>111</v>
      </c>
      <c r="E716" s="5" t="s">
        <v>22</v>
      </c>
      <c r="F716" s="5" t="s">
        <v>13</v>
      </c>
      <c r="G716" s="5"/>
      <c r="H716" s="8">
        <v>1</v>
      </c>
      <c r="I716" s="8" t="s">
        <v>765</v>
      </c>
    </row>
    <row r="717" spans="1:9">
      <c r="A717" s="7" t="s">
        <v>1319</v>
      </c>
      <c r="B717" s="5" t="s">
        <v>9</v>
      </c>
      <c r="C717" s="6" t="s">
        <v>1320</v>
      </c>
      <c r="D717" s="6" t="s">
        <v>1321</v>
      </c>
      <c r="E717" s="5" t="s">
        <v>22</v>
      </c>
      <c r="F717" s="5" t="s">
        <v>13</v>
      </c>
      <c r="G717" s="5"/>
      <c r="H717" s="8">
        <v>3</v>
      </c>
      <c r="I717" s="8" t="s">
        <v>765</v>
      </c>
    </row>
    <row r="718" spans="1:9">
      <c r="A718" s="7" t="s">
        <v>1322</v>
      </c>
      <c r="B718" s="5" t="s">
        <v>9</v>
      </c>
      <c r="C718" s="6" t="s">
        <v>1323</v>
      </c>
      <c r="D718" s="6" t="s">
        <v>1321</v>
      </c>
      <c r="E718" s="5" t="s">
        <v>22</v>
      </c>
      <c r="F718" s="5" t="s">
        <v>13</v>
      </c>
      <c r="G718" s="5"/>
      <c r="H718" s="8">
        <v>3</v>
      </c>
      <c r="I718" s="8" t="s">
        <v>765</v>
      </c>
    </row>
    <row r="719" spans="1:9">
      <c r="A719" s="7" t="s">
        <v>1324</v>
      </c>
      <c r="B719" s="5" t="s">
        <v>9</v>
      </c>
      <c r="C719" s="6" t="s">
        <v>1325</v>
      </c>
      <c r="D719" s="6" t="s">
        <v>1326</v>
      </c>
      <c r="E719" s="5" t="s">
        <v>22</v>
      </c>
      <c r="F719" s="5" t="s">
        <v>13</v>
      </c>
      <c r="G719" s="5"/>
      <c r="H719" s="8">
        <v>1</v>
      </c>
      <c r="I719" s="8" t="s">
        <v>765</v>
      </c>
    </row>
    <row r="720" spans="1:9">
      <c r="A720" s="7" t="s">
        <v>1327</v>
      </c>
      <c r="B720" s="5" t="s">
        <v>9</v>
      </c>
      <c r="C720" s="6" t="s">
        <v>1328</v>
      </c>
      <c r="D720" s="6" t="s">
        <v>1329</v>
      </c>
      <c r="E720" s="5" t="s">
        <v>12</v>
      </c>
      <c r="F720" s="5" t="s">
        <v>13</v>
      </c>
      <c r="G720" s="5"/>
      <c r="H720" s="8">
        <v>1</v>
      </c>
      <c r="I720" s="8" t="s">
        <v>765</v>
      </c>
    </row>
    <row r="721" spans="1:9">
      <c r="A721" s="7" t="s">
        <v>510</v>
      </c>
      <c r="B721" s="5" t="s">
        <v>9</v>
      </c>
      <c r="C721" s="6" t="s">
        <v>511</v>
      </c>
      <c r="D721" s="6" t="s">
        <v>512</v>
      </c>
      <c r="E721" s="5" t="s">
        <v>39</v>
      </c>
      <c r="F721" s="5" t="s">
        <v>13</v>
      </c>
      <c r="G721" s="5"/>
      <c r="H721" s="8">
        <v>1</v>
      </c>
      <c r="I721" s="8" t="s">
        <v>765</v>
      </c>
    </row>
    <row r="722" spans="1:9">
      <c r="A722" s="7" t="s">
        <v>1330</v>
      </c>
      <c r="B722" s="5" t="s">
        <v>9</v>
      </c>
      <c r="C722" s="6" t="s">
        <v>1331</v>
      </c>
      <c r="D722" s="6" t="s">
        <v>564</v>
      </c>
      <c r="E722" s="5" t="s">
        <v>12</v>
      </c>
      <c r="F722" s="5" t="s">
        <v>13</v>
      </c>
      <c r="G722" s="5"/>
      <c r="H722" s="8">
        <v>1</v>
      </c>
      <c r="I722" s="8" t="s">
        <v>765</v>
      </c>
    </row>
    <row r="723" spans="1:9">
      <c r="A723" s="7" t="s">
        <v>1332</v>
      </c>
      <c r="B723" s="5" t="s">
        <v>9</v>
      </c>
      <c r="C723" s="6" t="s">
        <v>1333</v>
      </c>
      <c r="D723" s="6" t="s">
        <v>17</v>
      </c>
      <c r="E723" s="5" t="s">
        <v>18</v>
      </c>
      <c r="F723" s="5" t="s">
        <v>13</v>
      </c>
      <c r="G723" s="5"/>
      <c r="H723" s="8">
        <v>1</v>
      </c>
      <c r="I723" s="8" t="s">
        <v>765</v>
      </c>
    </row>
    <row r="724" spans="1:9">
      <c r="A724" s="9" t="s">
        <v>1334</v>
      </c>
      <c r="B724" s="5" t="s">
        <v>9</v>
      </c>
      <c r="C724" s="6" t="s">
        <v>1335</v>
      </c>
      <c r="D724" s="6" t="s">
        <v>1336</v>
      </c>
      <c r="E724" s="5" t="s">
        <v>51</v>
      </c>
      <c r="F724" s="5" t="s">
        <v>13</v>
      </c>
      <c r="G724" s="5"/>
      <c r="H724" s="8">
        <v>1</v>
      </c>
      <c r="I724" s="8" t="s">
        <v>765</v>
      </c>
    </row>
    <row r="725" spans="1:9">
      <c r="A725" s="7" t="s">
        <v>1337</v>
      </c>
      <c r="B725" s="5" t="s">
        <v>9</v>
      </c>
      <c r="C725" s="6" t="s">
        <v>1338</v>
      </c>
      <c r="D725" s="6" t="s">
        <v>1339</v>
      </c>
      <c r="E725" s="5" t="s">
        <v>1340</v>
      </c>
      <c r="F725" s="5" t="s">
        <v>13</v>
      </c>
      <c r="G725" s="5"/>
      <c r="H725" s="8">
        <v>1</v>
      </c>
      <c r="I725" s="8" t="s">
        <v>765</v>
      </c>
    </row>
    <row r="726" spans="1:9">
      <c r="A726" s="7" t="s">
        <v>1341</v>
      </c>
      <c r="B726" s="5" t="s">
        <v>9</v>
      </c>
      <c r="C726" s="6" t="s">
        <v>1342</v>
      </c>
      <c r="D726" s="6" t="s">
        <v>1343</v>
      </c>
      <c r="E726" s="5" t="s">
        <v>308</v>
      </c>
      <c r="F726" s="5" t="s">
        <v>13</v>
      </c>
      <c r="G726" s="5"/>
      <c r="H726" s="8">
        <v>2</v>
      </c>
      <c r="I726" s="8" t="s">
        <v>765</v>
      </c>
    </row>
    <row r="727" spans="1:9">
      <c r="A727" s="7" t="s">
        <v>1344</v>
      </c>
      <c r="B727" s="5" t="s">
        <v>9</v>
      </c>
      <c r="C727" s="6" t="s">
        <v>1345</v>
      </c>
      <c r="D727" s="6" t="s">
        <v>1346</v>
      </c>
      <c r="E727" s="5" t="s">
        <v>39</v>
      </c>
      <c r="F727" s="5" t="s">
        <v>13</v>
      </c>
      <c r="G727" s="5"/>
      <c r="H727" s="8">
        <v>1</v>
      </c>
      <c r="I727" s="8" t="s">
        <v>765</v>
      </c>
    </row>
    <row r="728" spans="1:9">
      <c r="A728" s="7" t="s">
        <v>1347</v>
      </c>
      <c r="B728" s="5" t="s">
        <v>9</v>
      </c>
      <c r="C728" s="6" t="s">
        <v>1348</v>
      </c>
      <c r="D728" s="6" t="s">
        <v>1346</v>
      </c>
      <c r="E728" s="5" t="s">
        <v>39</v>
      </c>
      <c r="F728" s="5" t="s">
        <v>13</v>
      </c>
      <c r="G728" s="5"/>
      <c r="H728" s="8">
        <v>1</v>
      </c>
      <c r="I728" s="8" t="s">
        <v>765</v>
      </c>
    </row>
    <row r="729" spans="1:9">
      <c r="A729" s="7" t="s">
        <v>1349</v>
      </c>
      <c r="B729" s="5" t="s">
        <v>9</v>
      </c>
      <c r="C729" s="6" t="s">
        <v>1350</v>
      </c>
      <c r="D729" s="6" t="s">
        <v>1351</v>
      </c>
      <c r="E729" s="5" t="s">
        <v>230</v>
      </c>
      <c r="F729" s="5" t="s">
        <v>13</v>
      </c>
      <c r="G729" s="5"/>
      <c r="H729" s="8">
        <v>3</v>
      </c>
      <c r="I729" s="8" t="s">
        <v>765</v>
      </c>
    </row>
    <row r="730" spans="1:9">
      <c r="A730" s="7" t="s">
        <v>1352</v>
      </c>
      <c r="B730" s="5" t="s">
        <v>9</v>
      </c>
      <c r="C730" s="6" t="s">
        <v>1350</v>
      </c>
      <c r="D730" s="6" t="s">
        <v>1351</v>
      </c>
      <c r="E730" s="5" t="s">
        <v>230</v>
      </c>
      <c r="F730" s="5" t="s">
        <v>13</v>
      </c>
      <c r="G730" s="5"/>
      <c r="H730" s="8">
        <v>4</v>
      </c>
      <c r="I730" s="8" t="s">
        <v>765</v>
      </c>
    </row>
    <row r="731" spans="1:9">
      <c r="A731" s="7" t="s">
        <v>1353</v>
      </c>
      <c r="B731" s="5" t="s">
        <v>9</v>
      </c>
      <c r="C731" s="6" t="s">
        <v>1354</v>
      </c>
      <c r="D731" s="6" t="s">
        <v>41</v>
      </c>
      <c r="E731" s="5" t="s">
        <v>18</v>
      </c>
      <c r="F731" s="5" t="s">
        <v>13</v>
      </c>
      <c r="G731" s="5"/>
      <c r="H731" s="8">
        <v>1</v>
      </c>
      <c r="I731" s="8" t="s">
        <v>765</v>
      </c>
    </row>
    <row r="732" spans="1:9">
      <c r="A732" s="7" t="s">
        <v>1355</v>
      </c>
      <c r="B732" s="5" t="s">
        <v>9</v>
      </c>
      <c r="C732" s="6" t="s">
        <v>1356</v>
      </c>
      <c r="D732" s="6" t="s">
        <v>1357</v>
      </c>
      <c r="E732" s="5" t="s">
        <v>18</v>
      </c>
      <c r="F732" s="5" t="s">
        <v>13</v>
      </c>
      <c r="G732" s="5"/>
      <c r="H732" s="8">
        <v>1</v>
      </c>
      <c r="I732" s="8" t="s">
        <v>765</v>
      </c>
    </row>
    <row r="733" spans="1:9">
      <c r="A733" s="7" t="s">
        <v>1358</v>
      </c>
      <c r="B733" s="5" t="s">
        <v>9</v>
      </c>
      <c r="C733" s="6" t="s">
        <v>1359</v>
      </c>
      <c r="D733" s="6" t="s">
        <v>1360</v>
      </c>
      <c r="E733" s="5" t="s">
        <v>289</v>
      </c>
      <c r="F733" s="5" t="s">
        <v>13</v>
      </c>
      <c r="G733" s="5"/>
      <c r="H733" s="8">
        <v>1</v>
      </c>
      <c r="I733" s="8" t="s">
        <v>765</v>
      </c>
    </row>
    <row r="734" spans="1:9">
      <c r="A734" s="7" t="s">
        <v>1361</v>
      </c>
      <c r="B734" s="5" t="s">
        <v>9</v>
      </c>
      <c r="C734" s="6" t="s">
        <v>1362</v>
      </c>
      <c r="D734" s="6" t="s">
        <v>1363</v>
      </c>
      <c r="E734" s="5" t="s">
        <v>18</v>
      </c>
      <c r="F734" s="5" t="s">
        <v>13</v>
      </c>
      <c r="G734" s="5"/>
      <c r="H734" s="8">
        <v>1</v>
      </c>
      <c r="I734" s="8" t="s">
        <v>765</v>
      </c>
    </row>
    <row r="735" spans="1:9">
      <c r="A735" s="7" t="s">
        <v>1364</v>
      </c>
      <c r="B735" s="5" t="s">
        <v>9</v>
      </c>
      <c r="C735" s="6" t="s">
        <v>41</v>
      </c>
      <c r="D735" s="6" t="s">
        <v>41</v>
      </c>
      <c r="E735" s="5" t="s">
        <v>12</v>
      </c>
      <c r="F735" s="5" t="s">
        <v>13</v>
      </c>
      <c r="G735" s="5"/>
      <c r="H735" s="8">
        <v>1</v>
      </c>
      <c r="I735" s="8" t="s">
        <v>765</v>
      </c>
    </row>
    <row r="736" spans="1:9">
      <c r="A736" s="7" t="s">
        <v>1365</v>
      </c>
      <c r="B736" s="5" t="s">
        <v>9</v>
      </c>
      <c r="C736" s="6" t="s">
        <v>17</v>
      </c>
      <c r="D736" s="6" t="s">
        <v>1366</v>
      </c>
      <c r="E736" s="5" t="s">
        <v>22</v>
      </c>
      <c r="F736" s="5" t="s">
        <v>13</v>
      </c>
      <c r="G736" s="5"/>
      <c r="H736" s="8">
        <v>1</v>
      </c>
      <c r="I736" s="8" t="s">
        <v>765</v>
      </c>
    </row>
    <row r="737" spans="1:9">
      <c r="A737" s="7" t="s">
        <v>1367</v>
      </c>
      <c r="B737" s="5" t="s">
        <v>9</v>
      </c>
      <c r="C737" s="6" t="s">
        <v>979</v>
      </c>
      <c r="D737" s="6" t="s">
        <v>528</v>
      </c>
      <c r="E737" s="5" t="s">
        <v>22</v>
      </c>
      <c r="F737" s="5" t="s">
        <v>13</v>
      </c>
      <c r="G737" s="5"/>
      <c r="H737" s="8">
        <v>1</v>
      </c>
      <c r="I737" s="8" t="s">
        <v>765</v>
      </c>
    </row>
    <row r="738" spans="1:9">
      <c r="A738" s="7" t="s">
        <v>1368</v>
      </c>
      <c r="B738" s="5" t="s">
        <v>9</v>
      </c>
      <c r="C738" s="6" t="s">
        <v>1369</v>
      </c>
      <c r="D738" s="6" t="s">
        <v>984</v>
      </c>
      <c r="E738" s="5" t="s">
        <v>18</v>
      </c>
      <c r="F738" s="5" t="s">
        <v>13</v>
      </c>
      <c r="G738" s="5"/>
      <c r="H738" s="8">
        <v>1</v>
      </c>
      <c r="I738" s="8" t="s">
        <v>765</v>
      </c>
    </row>
    <row r="739" spans="1:9">
      <c r="A739" s="7" t="s">
        <v>1370</v>
      </c>
      <c r="B739" s="5" t="s">
        <v>9</v>
      </c>
      <c r="C739" s="6" t="s">
        <v>1371</v>
      </c>
      <c r="D739" s="6" t="s">
        <v>630</v>
      </c>
      <c r="E739" s="5" t="s">
        <v>22</v>
      </c>
      <c r="F739" s="5" t="s">
        <v>13</v>
      </c>
      <c r="G739" s="5"/>
      <c r="H739" s="8">
        <v>2</v>
      </c>
      <c r="I739" s="8" t="s">
        <v>765</v>
      </c>
    </row>
    <row r="740" spans="1:9">
      <c r="A740" s="7" t="s">
        <v>1372</v>
      </c>
      <c r="B740" s="5" t="s">
        <v>9</v>
      </c>
      <c r="C740" s="6" t="s">
        <v>1373</v>
      </c>
      <c r="D740" s="6" t="s">
        <v>1374</v>
      </c>
      <c r="E740" s="5" t="s">
        <v>22</v>
      </c>
      <c r="F740" s="5" t="s">
        <v>13</v>
      </c>
      <c r="G740" s="5"/>
      <c r="H740" s="8">
        <v>2</v>
      </c>
      <c r="I740" s="8" t="s">
        <v>765</v>
      </c>
    </row>
    <row r="741" spans="1:9">
      <c r="A741" s="7" t="s">
        <v>1375</v>
      </c>
      <c r="B741" s="5" t="s">
        <v>9</v>
      </c>
      <c r="C741" s="6" t="s">
        <v>1376</v>
      </c>
      <c r="D741" s="6" t="s">
        <v>587</v>
      </c>
      <c r="E741" s="5" t="s">
        <v>1377</v>
      </c>
      <c r="F741" s="5" t="s">
        <v>13</v>
      </c>
      <c r="G741" s="5"/>
      <c r="H741" s="8">
        <v>2</v>
      </c>
      <c r="I741" s="8" t="s">
        <v>765</v>
      </c>
    </row>
    <row r="742" spans="1:9">
      <c r="A742" s="7" t="s">
        <v>1378</v>
      </c>
      <c r="B742" s="5" t="s">
        <v>9</v>
      </c>
      <c r="C742" s="6" t="s">
        <v>1379</v>
      </c>
      <c r="D742" s="6" t="s">
        <v>1379</v>
      </c>
      <c r="E742" s="5" t="s">
        <v>22</v>
      </c>
      <c r="F742" s="5" t="s">
        <v>13</v>
      </c>
      <c r="G742" s="5"/>
      <c r="H742" s="8">
        <v>1</v>
      </c>
      <c r="I742" s="8" t="s">
        <v>765</v>
      </c>
    </row>
    <row r="743" spans="1:9">
      <c r="A743" s="7" t="s">
        <v>1380</v>
      </c>
      <c r="B743" s="5" t="s">
        <v>9</v>
      </c>
      <c r="C743" s="6" t="s">
        <v>1379</v>
      </c>
      <c r="D743" s="6" t="s">
        <v>1379</v>
      </c>
      <c r="E743" s="5" t="s">
        <v>22</v>
      </c>
      <c r="F743" s="5" t="s">
        <v>13</v>
      </c>
      <c r="G743" s="5"/>
      <c r="H743" s="8">
        <v>1</v>
      </c>
      <c r="I743" s="8" t="s">
        <v>765</v>
      </c>
    </row>
    <row r="744" spans="1:9">
      <c r="A744" s="7" t="s">
        <v>1381</v>
      </c>
      <c r="B744" s="5" t="s">
        <v>9</v>
      </c>
      <c r="C744" s="6" t="s">
        <v>41</v>
      </c>
      <c r="D744" s="6" t="s">
        <v>41</v>
      </c>
      <c r="E744" s="5" t="s">
        <v>308</v>
      </c>
      <c r="F744" s="5" t="s">
        <v>13</v>
      </c>
      <c r="G744" s="5"/>
      <c r="H744" s="8">
        <v>2</v>
      </c>
      <c r="I744" s="8" t="s">
        <v>765</v>
      </c>
    </row>
    <row r="745" spans="1:9">
      <c r="A745" s="7" t="s">
        <v>1382</v>
      </c>
      <c r="B745" s="5" t="s">
        <v>9</v>
      </c>
      <c r="C745" s="6" t="s">
        <v>1383</v>
      </c>
      <c r="D745" s="6" t="s">
        <v>1384</v>
      </c>
      <c r="E745" s="5" t="s">
        <v>39</v>
      </c>
      <c r="F745" s="5" t="s">
        <v>13</v>
      </c>
      <c r="G745" s="5"/>
      <c r="H745" s="8">
        <v>2</v>
      </c>
      <c r="I745" s="8" t="s">
        <v>765</v>
      </c>
    </row>
    <row r="746" spans="1:9">
      <c r="A746" s="7" t="s">
        <v>1385</v>
      </c>
      <c r="B746" s="5" t="s">
        <v>9</v>
      </c>
      <c r="C746" s="6" t="s">
        <v>1386</v>
      </c>
      <c r="D746" s="6" t="s">
        <v>1387</v>
      </c>
      <c r="E746" s="5" t="s">
        <v>39</v>
      </c>
      <c r="F746" s="5" t="s">
        <v>13</v>
      </c>
      <c r="G746" s="5"/>
      <c r="H746" s="8">
        <v>1</v>
      </c>
      <c r="I746" s="8" t="s">
        <v>765</v>
      </c>
    </row>
    <row r="747" spans="1:9">
      <c r="A747" s="7" t="s">
        <v>1388</v>
      </c>
      <c r="B747" s="5" t="s">
        <v>9</v>
      </c>
      <c r="C747" s="6" t="s">
        <v>1389</v>
      </c>
      <c r="D747" s="6" t="s">
        <v>1389</v>
      </c>
      <c r="E747" s="5" t="s">
        <v>308</v>
      </c>
      <c r="F747" s="5" t="s">
        <v>13</v>
      </c>
      <c r="G747" s="5"/>
      <c r="H747" s="8">
        <v>1</v>
      </c>
      <c r="I747" s="8" t="s">
        <v>765</v>
      </c>
    </row>
    <row r="748" spans="1:9">
      <c r="A748" s="7" t="s">
        <v>1390</v>
      </c>
      <c r="B748" s="5" t="s">
        <v>9</v>
      </c>
      <c r="C748" s="6" t="s">
        <v>1391</v>
      </c>
      <c r="D748" s="6" t="s">
        <v>1392</v>
      </c>
      <c r="E748" s="5" t="s">
        <v>22</v>
      </c>
      <c r="F748" s="5" t="s">
        <v>13</v>
      </c>
      <c r="G748" s="5"/>
      <c r="H748" s="8">
        <v>2</v>
      </c>
      <c r="I748" s="8" t="s">
        <v>765</v>
      </c>
    </row>
  </sheetData>
  <autoFilter ref="A1:I748" xr:uid="{00000000-0009-0000-0000-000000000000}"/>
  <conditionalFormatting sqref="A330:A714">
    <cfRule type="duplicateValues" dxfId="813" priority="2"/>
  </conditionalFormatting>
  <conditionalFormatting sqref="A715:A748">
    <cfRule type="duplicateValues" dxfId="812" priority="1"/>
  </conditionalFormatting>
  <pageMargins left="0.7" right="0.7" top="0.75" bottom="0.75" header="0.3" footer="0.3"/>
  <pageSetup paperSize="9" orientation="portrait" verticalDpi="0" r:id="rId1"/>
  <headerFooter>
    <oddHeader>&amp;L&amp;"Arial"&amp;8&amp;K000000INTERNAL&amp;1#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5"/>
  <sheetViews>
    <sheetView workbookViewId="0">
      <pane ySplit="1" topLeftCell="A2" activePane="bottomLeft" state="frozen"/>
      <selection pane="bottomLeft" activeCell="G3" sqref="G3"/>
    </sheetView>
  </sheetViews>
  <sheetFormatPr defaultColWidth="11.42578125" defaultRowHeight="14.45"/>
  <cols>
    <col min="1" max="1" width="17.85546875" style="4" bestFit="1" customWidth="1"/>
    <col min="2" max="2" width="8.5703125" style="4" customWidth="1"/>
    <col min="3" max="3" width="37.28515625" style="4" bestFit="1" customWidth="1"/>
    <col min="4" max="4" width="9.28515625" style="4" bestFit="1" customWidth="1"/>
    <col min="5" max="5" width="12.7109375" style="4" customWidth="1"/>
    <col min="6" max="6" width="9.28515625" style="4" customWidth="1"/>
    <col min="7" max="7" width="11" style="4" bestFit="1" customWidth="1"/>
    <col min="8" max="8" width="25.7109375" style="4" bestFit="1" customWidth="1"/>
    <col min="9" max="16384" width="11.42578125" style="4"/>
  </cols>
  <sheetData>
    <row r="1" spans="1:8" ht="15" thickBot="1">
      <c r="A1" s="95" t="s">
        <v>0</v>
      </c>
      <c r="B1" s="96" t="s">
        <v>1</v>
      </c>
      <c r="C1" s="95" t="s">
        <v>2</v>
      </c>
      <c r="D1" s="95" t="s">
        <v>3</v>
      </c>
      <c r="E1" s="96" t="s">
        <v>4</v>
      </c>
      <c r="F1" s="96" t="s">
        <v>1393</v>
      </c>
      <c r="G1" s="95" t="s">
        <v>1394</v>
      </c>
      <c r="H1" s="95" t="s">
        <v>1395</v>
      </c>
    </row>
    <row r="2" spans="1:8">
      <c r="A2" s="97">
        <v>377860250</v>
      </c>
      <c r="B2" s="97" t="s">
        <v>9</v>
      </c>
      <c r="C2" s="97" t="s">
        <v>1396</v>
      </c>
      <c r="D2" s="97" t="s">
        <v>18</v>
      </c>
      <c r="E2" s="97" t="s">
        <v>13</v>
      </c>
      <c r="F2" s="97">
        <v>2116001</v>
      </c>
      <c r="G2" s="97">
        <v>1</v>
      </c>
      <c r="H2" s="98">
        <v>6</v>
      </c>
    </row>
    <row r="3" spans="1:8">
      <c r="A3" s="99">
        <v>551999616</v>
      </c>
      <c r="B3" s="99" t="s">
        <v>9</v>
      </c>
      <c r="C3" s="99" t="s">
        <v>187</v>
      </c>
      <c r="D3" s="99" t="s">
        <v>22</v>
      </c>
      <c r="E3" s="99" t="s">
        <v>13</v>
      </c>
      <c r="F3" s="99">
        <v>2116001</v>
      </c>
      <c r="G3" s="99">
        <v>2</v>
      </c>
      <c r="H3" s="100">
        <v>5</v>
      </c>
    </row>
    <row r="4" spans="1:8">
      <c r="A4" s="99" t="s">
        <v>1397</v>
      </c>
      <c r="B4" s="99" t="s">
        <v>9</v>
      </c>
      <c r="C4" s="99" t="s">
        <v>1398</v>
      </c>
      <c r="D4" s="99" t="s">
        <v>12</v>
      </c>
      <c r="E4" s="99" t="s">
        <v>13</v>
      </c>
      <c r="F4" s="99">
        <v>2116001</v>
      </c>
      <c r="G4" s="99">
        <v>1</v>
      </c>
      <c r="H4" s="100">
        <v>6</v>
      </c>
    </row>
    <row r="5" spans="1:8">
      <c r="A5" s="99" t="s">
        <v>109</v>
      </c>
      <c r="B5" s="99" t="s">
        <v>9</v>
      </c>
      <c r="C5" s="99" t="s">
        <v>110</v>
      </c>
      <c r="D5" s="99" t="s">
        <v>22</v>
      </c>
      <c r="E5" s="99" t="s">
        <v>13</v>
      </c>
      <c r="F5" s="99">
        <v>2116001</v>
      </c>
      <c r="G5" s="99">
        <v>1</v>
      </c>
      <c r="H5" s="100" t="s">
        <v>1399</v>
      </c>
    </row>
    <row r="6" spans="1:8">
      <c r="A6" s="99" t="s">
        <v>240</v>
      </c>
      <c r="B6" s="99" t="s">
        <v>9</v>
      </c>
      <c r="C6" s="99" t="s">
        <v>241</v>
      </c>
      <c r="D6" s="99" t="s">
        <v>22</v>
      </c>
      <c r="E6" s="99" t="s">
        <v>13</v>
      </c>
      <c r="F6" s="99">
        <v>2116001</v>
      </c>
      <c r="G6" s="99">
        <v>16</v>
      </c>
      <c r="H6" s="100" t="s">
        <v>1400</v>
      </c>
    </row>
    <row r="7" spans="1:8">
      <c r="A7" s="99" t="s">
        <v>1401</v>
      </c>
      <c r="B7" s="99" t="s">
        <v>9</v>
      </c>
      <c r="C7" s="99" t="s">
        <v>241</v>
      </c>
      <c r="D7" s="99" t="s">
        <v>22</v>
      </c>
      <c r="E7" s="99" t="s">
        <v>13</v>
      </c>
      <c r="F7" s="99">
        <v>2116001</v>
      </c>
      <c r="G7" s="99">
        <v>1</v>
      </c>
      <c r="H7" s="100" t="s">
        <v>1402</v>
      </c>
    </row>
    <row r="8" spans="1:8">
      <c r="A8" s="99" t="s">
        <v>1403</v>
      </c>
      <c r="B8" s="99" t="s">
        <v>9</v>
      </c>
      <c r="C8" s="99" t="s">
        <v>241</v>
      </c>
      <c r="D8" s="99" t="s">
        <v>22</v>
      </c>
      <c r="E8" s="99" t="s">
        <v>13</v>
      </c>
      <c r="F8" s="99">
        <v>2116001</v>
      </c>
      <c r="G8" s="99">
        <v>1</v>
      </c>
      <c r="H8" s="100" t="s">
        <v>1402</v>
      </c>
    </row>
    <row r="9" spans="1:8">
      <c r="A9" s="99" t="s">
        <v>243</v>
      </c>
      <c r="B9" s="99" t="s">
        <v>9</v>
      </c>
      <c r="C9" s="99" t="s">
        <v>241</v>
      </c>
      <c r="D9" s="99" t="s">
        <v>22</v>
      </c>
      <c r="E9" s="99" t="s">
        <v>13</v>
      </c>
      <c r="F9" s="99">
        <v>2116001</v>
      </c>
      <c r="G9" s="99">
        <v>3</v>
      </c>
      <c r="H9" s="100" t="s">
        <v>1404</v>
      </c>
    </row>
    <row r="10" spans="1:8">
      <c r="A10" s="99" t="s">
        <v>246</v>
      </c>
      <c r="B10" s="99" t="s">
        <v>9</v>
      </c>
      <c r="C10" s="99" t="s">
        <v>241</v>
      </c>
      <c r="D10" s="99" t="s">
        <v>22</v>
      </c>
      <c r="E10" s="99" t="s">
        <v>13</v>
      </c>
      <c r="F10" s="99">
        <v>2116001</v>
      </c>
      <c r="G10" s="99">
        <v>3</v>
      </c>
      <c r="H10" s="100" t="s">
        <v>1402</v>
      </c>
    </row>
    <row r="11" spans="1:8">
      <c r="A11" s="99" t="s">
        <v>248</v>
      </c>
      <c r="B11" s="99" t="s">
        <v>9</v>
      </c>
      <c r="C11" s="99" t="s">
        <v>241</v>
      </c>
      <c r="D11" s="99" t="s">
        <v>22</v>
      </c>
      <c r="E11" s="99" t="s">
        <v>13</v>
      </c>
      <c r="F11" s="99">
        <v>2116001</v>
      </c>
      <c r="G11" s="99">
        <v>2</v>
      </c>
      <c r="H11" s="100">
        <v>0</v>
      </c>
    </row>
    <row r="12" spans="1:8">
      <c r="A12" s="99" t="s">
        <v>250</v>
      </c>
      <c r="B12" s="99" t="s">
        <v>9</v>
      </c>
      <c r="C12" s="99" t="s">
        <v>241</v>
      </c>
      <c r="D12" s="99" t="s">
        <v>22</v>
      </c>
      <c r="E12" s="99" t="s">
        <v>13</v>
      </c>
      <c r="F12" s="99">
        <v>2116001</v>
      </c>
      <c r="G12" s="99">
        <v>6</v>
      </c>
      <c r="H12" s="100" t="s">
        <v>1405</v>
      </c>
    </row>
    <row r="13" spans="1:8">
      <c r="A13" s="99" t="s">
        <v>251</v>
      </c>
      <c r="B13" s="99" t="s">
        <v>9</v>
      </c>
      <c r="C13" s="99" t="s">
        <v>241</v>
      </c>
      <c r="D13" s="99" t="s">
        <v>22</v>
      </c>
      <c r="E13" s="99" t="s">
        <v>13</v>
      </c>
      <c r="F13" s="99">
        <v>2116001</v>
      </c>
      <c r="G13" s="99">
        <v>1</v>
      </c>
      <c r="H13" s="100">
        <v>5</v>
      </c>
    </row>
    <row r="14" spans="1:8">
      <c r="A14" s="99" t="s">
        <v>252</v>
      </c>
      <c r="B14" s="99" t="s">
        <v>9</v>
      </c>
      <c r="C14" s="99" t="s">
        <v>241</v>
      </c>
      <c r="D14" s="99" t="s">
        <v>22</v>
      </c>
      <c r="E14" s="99" t="s">
        <v>13</v>
      </c>
      <c r="F14" s="99">
        <v>2116001</v>
      </c>
      <c r="G14" s="99">
        <v>4</v>
      </c>
      <c r="H14" s="100" t="s">
        <v>1406</v>
      </c>
    </row>
    <row r="15" spans="1:8">
      <c r="A15" s="99" t="s">
        <v>269</v>
      </c>
      <c r="B15" s="99" t="s">
        <v>9</v>
      </c>
      <c r="C15" s="99" t="s">
        <v>121</v>
      </c>
      <c r="D15" s="99" t="s">
        <v>22</v>
      </c>
      <c r="E15" s="99" t="s">
        <v>13</v>
      </c>
      <c r="F15" s="99">
        <v>2116001</v>
      </c>
      <c r="G15" s="99">
        <v>8</v>
      </c>
      <c r="H15" s="100">
        <v>4</v>
      </c>
    </row>
    <row r="16" spans="1:8">
      <c r="A16" s="99" t="s">
        <v>1407</v>
      </c>
      <c r="B16" s="99" t="s">
        <v>9</v>
      </c>
      <c r="C16" s="99" t="s">
        <v>241</v>
      </c>
      <c r="D16" s="99" t="s">
        <v>22</v>
      </c>
      <c r="E16" s="99" t="s">
        <v>13</v>
      </c>
      <c r="F16" s="99">
        <v>2116001</v>
      </c>
      <c r="G16" s="99">
        <v>2</v>
      </c>
      <c r="H16" s="100" t="s">
        <v>1402</v>
      </c>
    </row>
    <row r="17" spans="1:8">
      <c r="A17" s="99" t="s">
        <v>1408</v>
      </c>
      <c r="B17" s="99" t="s">
        <v>9</v>
      </c>
      <c r="C17" s="99" t="s">
        <v>312</v>
      </c>
      <c r="D17" s="99" t="s">
        <v>22</v>
      </c>
      <c r="E17" s="99" t="s">
        <v>13</v>
      </c>
      <c r="F17" s="99">
        <v>2116001</v>
      </c>
      <c r="G17" s="99">
        <v>1</v>
      </c>
      <c r="H17" s="100">
        <v>0</v>
      </c>
    </row>
    <row r="18" spans="1:8">
      <c r="A18" s="99" t="s">
        <v>1409</v>
      </c>
      <c r="B18" s="99" t="s">
        <v>9</v>
      </c>
      <c r="C18" s="99" t="s">
        <v>10</v>
      </c>
      <c r="D18" s="99" t="s">
        <v>39</v>
      </c>
      <c r="E18" s="99" t="s">
        <v>13</v>
      </c>
      <c r="F18" s="99">
        <v>2116001</v>
      </c>
      <c r="G18" s="99">
        <v>1</v>
      </c>
      <c r="H18" s="100">
        <v>6</v>
      </c>
    </row>
    <row r="19" spans="1:8">
      <c r="A19" s="99" t="s">
        <v>1410</v>
      </c>
      <c r="B19" s="99" t="s">
        <v>9</v>
      </c>
      <c r="C19" s="99" t="s">
        <v>1411</v>
      </c>
      <c r="D19" s="99" t="s">
        <v>18</v>
      </c>
      <c r="E19" s="99" t="s">
        <v>13</v>
      </c>
      <c r="F19" s="99">
        <v>2116001</v>
      </c>
      <c r="G19" s="99">
        <v>1</v>
      </c>
      <c r="H19" s="100">
        <v>6</v>
      </c>
    </row>
    <row r="20" spans="1:8">
      <c r="A20" s="99" t="s">
        <v>1412</v>
      </c>
      <c r="B20" s="99" t="s">
        <v>9</v>
      </c>
      <c r="C20" s="99" t="s">
        <v>1413</v>
      </c>
      <c r="D20" s="99" t="s">
        <v>12</v>
      </c>
      <c r="E20" s="99" t="s">
        <v>13</v>
      </c>
      <c r="F20" s="99">
        <v>2116001</v>
      </c>
      <c r="G20" s="99">
        <v>2</v>
      </c>
      <c r="H20" s="100">
        <v>6</v>
      </c>
    </row>
    <row r="21" spans="1:8">
      <c r="A21" s="99" t="s">
        <v>773</v>
      </c>
      <c r="B21" s="99" t="s">
        <v>9</v>
      </c>
      <c r="C21" s="99" t="s">
        <v>774</v>
      </c>
      <c r="D21" s="99" t="s">
        <v>12</v>
      </c>
      <c r="E21" s="99" t="s">
        <v>13</v>
      </c>
      <c r="F21" s="99">
        <v>2116001</v>
      </c>
      <c r="G21" s="99">
        <v>1</v>
      </c>
      <c r="H21" s="100">
        <v>6</v>
      </c>
    </row>
    <row r="22" spans="1:8">
      <c r="A22" s="99" t="s">
        <v>466</v>
      </c>
      <c r="B22" s="99" t="s">
        <v>9</v>
      </c>
      <c r="C22" s="99" t="s">
        <v>467</v>
      </c>
      <c r="D22" s="99" t="s">
        <v>22</v>
      </c>
      <c r="E22" s="99" t="s">
        <v>13</v>
      </c>
      <c r="F22" s="99">
        <v>2116001</v>
      </c>
      <c r="G22" s="99">
        <v>1</v>
      </c>
      <c r="H22" s="100">
        <v>6</v>
      </c>
    </row>
    <row r="23" spans="1:8">
      <c r="A23" s="99" t="s">
        <v>1414</v>
      </c>
      <c r="B23" s="99" t="s">
        <v>9</v>
      </c>
      <c r="C23" s="99" t="s">
        <v>312</v>
      </c>
      <c r="D23" s="99" t="s">
        <v>22</v>
      </c>
      <c r="E23" s="99" t="s">
        <v>13</v>
      </c>
      <c r="F23" s="99">
        <v>2116001</v>
      </c>
      <c r="G23" s="99">
        <v>1</v>
      </c>
      <c r="H23" s="100">
        <v>5</v>
      </c>
    </row>
    <row r="24" spans="1:8">
      <c r="A24" s="99" t="s">
        <v>780</v>
      </c>
      <c r="B24" s="99" t="s">
        <v>9</v>
      </c>
      <c r="C24" s="99" t="s">
        <v>265</v>
      </c>
      <c r="D24" s="99" t="s">
        <v>22</v>
      </c>
      <c r="E24" s="99" t="s">
        <v>13</v>
      </c>
      <c r="F24" s="99">
        <v>2116001</v>
      </c>
      <c r="G24" s="99">
        <v>1</v>
      </c>
      <c r="H24" s="100">
        <v>1</v>
      </c>
    </row>
    <row r="25" spans="1:8">
      <c r="A25" s="99" t="s">
        <v>469</v>
      </c>
      <c r="B25" s="99" t="s">
        <v>9</v>
      </c>
      <c r="C25" s="99" t="s">
        <v>470</v>
      </c>
      <c r="D25" s="99" t="s">
        <v>22</v>
      </c>
      <c r="E25" s="99" t="s">
        <v>13</v>
      </c>
      <c r="F25" s="99">
        <v>2116001</v>
      </c>
      <c r="G25" s="99">
        <v>2</v>
      </c>
      <c r="H25" s="100" t="s">
        <v>1402</v>
      </c>
    </row>
    <row r="26" spans="1:8">
      <c r="A26" s="99" t="s">
        <v>1415</v>
      </c>
      <c r="B26" s="99" t="s">
        <v>9</v>
      </c>
      <c r="C26" s="99" t="s">
        <v>312</v>
      </c>
      <c r="D26" s="99" t="s">
        <v>22</v>
      </c>
      <c r="E26" s="99" t="s">
        <v>13</v>
      </c>
      <c r="F26" s="99">
        <v>2116001</v>
      </c>
      <c r="G26" s="99">
        <v>2</v>
      </c>
      <c r="H26" s="100">
        <v>6</v>
      </c>
    </row>
    <row r="27" spans="1:8">
      <c r="A27" s="99" t="s">
        <v>484</v>
      </c>
      <c r="B27" s="99" t="s">
        <v>9</v>
      </c>
      <c r="C27" s="99" t="s">
        <v>259</v>
      </c>
      <c r="D27" s="99" t="s">
        <v>22</v>
      </c>
      <c r="E27" s="99" t="s">
        <v>13</v>
      </c>
      <c r="F27" s="99">
        <v>2116001</v>
      </c>
      <c r="G27" s="99">
        <v>5</v>
      </c>
      <c r="H27" s="100" t="s">
        <v>1416</v>
      </c>
    </row>
    <row r="28" spans="1:8">
      <c r="A28" s="99" t="s">
        <v>486</v>
      </c>
      <c r="B28" s="99" t="s">
        <v>9</v>
      </c>
      <c r="C28" s="99" t="s">
        <v>259</v>
      </c>
      <c r="D28" s="99" t="s">
        <v>22</v>
      </c>
      <c r="E28" s="99" t="s">
        <v>13</v>
      </c>
      <c r="F28" s="99">
        <v>2116001</v>
      </c>
      <c r="G28" s="99">
        <v>10</v>
      </c>
      <c r="H28" s="100">
        <v>0</v>
      </c>
    </row>
    <row r="29" spans="1:8">
      <c r="A29" s="99" t="s">
        <v>490</v>
      </c>
      <c r="B29" s="99" t="s">
        <v>9</v>
      </c>
      <c r="C29" s="99" t="s">
        <v>259</v>
      </c>
      <c r="D29" s="99" t="s">
        <v>22</v>
      </c>
      <c r="E29" s="99" t="s">
        <v>13</v>
      </c>
      <c r="F29" s="99">
        <v>2116001</v>
      </c>
      <c r="G29" s="99">
        <v>6</v>
      </c>
      <c r="H29" s="100" t="s">
        <v>1417</v>
      </c>
    </row>
    <row r="30" spans="1:8">
      <c r="A30" s="99" t="s">
        <v>795</v>
      </c>
      <c r="B30" s="99" t="s">
        <v>9</v>
      </c>
      <c r="C30" s="99" t="s">
        <v>259</v>
      </c>
      <c r="D30" s="99" t="s">
        <v>22</v>
      </c>
      <c r="E30" s="99" t="s">
        <v>13</v>
      </c>
      <c r="F30" s="99">
        <v>2116001</v>
      </c>
      <c r="G30" s="99">
        <v>8</v>
      </c>
      <c r="H30" s="100">
        <v>0</v>
      </c>
    </row>
    <row r="31" spans="1:8">
      <c r="A31" s="99" t="s">
        <v>796</v>
      </c>
      <c r="B31" s="99" t="s">
        <v>9</v>
      </c>
      <c r="C31" s="99" t="s">
        <v>259</v>
      </c>
      <c r="D31" s="99" t="s">
        <v>22</v>
      </c>
      <c r="E31" s="99" t="s">
        <v>13</v>
      </c>
      <c r="F31" s="99">
        <v>2116001</v>
      </c>
      <c r="G31" s="99">
        <v>1</v>
      </c>
      <c r="H31" s="100">
        <v>3</v>
      </c>
    </row>
    <row r="32" spans="1:8">
      <c r="A32" s="99" t="s">
        <v>1418</v>
      </c>
      <c r="B32" s="99" t="s">
        <v>9</v>
      </c>
      <c r="C32" s="99" t="s">
        <v>259</v>
      </c>
      <c r="D32" s="99" t="s">
        <v>22</v>
      </c>
      <c r="E32" s="99" t="s">
        <v>13</v>
      </c>
      <c r="F32" s="99">
        <v>2116001</v>
      </c>
      <c r="G32" s="99">
        <v>2</v>
      </c>
      <c r="H32" s="100">
        <v>1</v>
      </c>
    </row>
    <row r="33" spans="1:8">
      <c r="A33" s="99" t="s">
        <v>801</v>
      </c>
      <c r="B33" s="99" t="s">
        <v>9</v>
      </c>
      <c r="C33" s="99" t="s">
        <v>259</v>
      </c>
      <c r="D33" s="99" t="s">
        <v>22</v>
      </c>
      <c r="E33" s="99" t="s">
        <v>13</v>
      </c>
      <c r="F33" s="99">
        <v>2116001</v>
      </c>
      <c r="G33" s="99">
        <v>2</v>
      </c>
      <c r="H33" s="100">
        <v>5</v>
      </c>
    </row>
    <row r="34" spans="1:8">
      <c r="A34" s="99" t="s">
        <v>803</v>
      </c>
      <c r="B34" s="99" t="s">
        <v>9</v>
      </c>
      <c r="C34" s="99" t="s">
        <v>485</v>
      </c>
      <c r="D34" s="99" t="s">
        <v>22</v>
      </c>
      <c r="E34" s="99" t="s">
        <v>13</v>
      </c>
      <c r="F34" s="99">
        <v>2116001</v>
      </c>
      <c r="G34" s="99">
        <v>6</v>
      </c>
      <c r="H34" s="100">
        <v>0</v>
      </c>
    </row>
    <row r="35" spans="1:8">
      <c r="A35" s="99" t="s">
        <v>805</v>
      </c>
      <c r="B35" s="99" t="s">
        <v>9</v>
      </c>
      <c r="C35" s="99" t="s">
        <v>259</v>
      </c>
      <c r="D35" s="99" t="s">
        <v>22</v>
      </c>
      <c r="E35" s="99" t="s">
        <v>13</v>
      </c>
      <c r="F35" s="99">
        <v>2116001</v>
      </c>
      <c r="G35" s="99">
        <v>2</v>
      </c>
      <c r="H35" s="100">
        <v>0</v>
      </c>
    </row>
    <row r="36" spans="1:8">
      <c r="A36" s="99" t="s">
        <v>493</v>
      </c>
      <c r="B36" s="99" t="s">
        <v>9</v>
      </c>
      <c r="C36" s="99" t="s">
        <v>494</v>
      </c>
      <c r="D36" s="99" t="s">
        <v>22</v>
      </c>
      <c r="E36" s="99" t="s">
        <v>13</v>
      </c>
      <c r="F36" s="99">
        <v>2116001</v>
      </c>
      <c r="G36" s="99">
        <v>2</v>
      </c>
      <c r="H36" s="100">
        <v>7</v>
      </c>
    </row>
    <row r="37" spans="1:8">
      <c r="A37" s="99" t="s">
        <v>840</v>
      </c>
      <c r="B37" s="99" t="s">
        <v>9</v>
      </c>
      <c r="C37" s="99" t="s">
        <v>841</v>
      </c>
      <c r="D37" s="99" t="s">
        <v>22</v>
      </c>
      <c r="E37" s="99" t="s">
        <v>13</v>
      </c>
      <c r="F37" s="99">
        <v>2116001</v>
      </c>
      <c r="G37" s="99">
        <v>2</v>
      </c>
      <c r="H37" s="100" t="s">
        <v>1402</v>
      </c>
    </row>
    <row r="38" spans="1:8">
      <c r="A38" s="99" t="s">
        <v>496</v>
      </c>
      <c r="B38" s="99" t="s">
        <v>9</v>
      </c>
      <c r="C38" s="99" t="s">
        <v>497</v>
      </c>
      <c r="D38" s="99" t="s">
        <v>22</v>
      </c>
      <c r="E38" s="99" t="s">
        <v>13</v>
      </c>
      <c r="F38" s="99">
        <v>2116001</v>
      </c>
      <c r="G38" s="99">
        <v>4</v>
      </c>
      <c r="H38" s="100">
        <v>4</v>
      </c>
    </row>
    <row r="39" spans="1:8">
      <c r="A39" s="99" t="s">
        <v>849</v>
      </c>
      <c r="B39" s="99" t="s">
        <v>1419</v>
      </c>
      <c r="C39" s="99" t="s">
        <v>851</v>
      </c>
      <c r="D39" s="99" t="s">
        <v>853</v>
      </c>
      <c r="E39" s="99" t="s">
        <v>13</v>
      </c>
      <c r="F39" s="99">
        <v>2116001</v>
      </c>
      <c r="G39" s="99">
        <v>9.49</v>
      </c>
      <c r="H39" s="99" t="s">
        <v>1420</v>
      </c>
    </row>
    <row r="40" spans="1:8">
      <c r="A40" s="99" t="s">
        <v>501</v>
      </c>
      <c r="B40" s="99" t="s">
        <v>9</v>
      </c>
      <c r="C40" s="99" t="s">
        <v>502</v>
      </c>
      <c r="D40" s="99" t="s">
        <v>22</v>
      </c>
      <c r="E40" s="99" t="s">
        <v>13</v>
      </c>
      <c r="F40" s="99">
        <v>2116001</v>
      </c>
      <c r="G40" s="99">
        <v>1</v>
      </c>
      <c r="H40" s="100" t="s">
        <v>1421</v>
      </c>
    </row>
    <row r="41" spans="1:8">
      <c r="A41" s="99" t="s">
        <v>857</v>
      </c>
      <c r="B41" s="99" t="s">
        <v>9</v>
      </c>
      <c r="C41" s="99" t="s">
        <v>753</v>
      </c>
      <c r="D41" s="99" t="s">
        <v>22</v>
      </c>
      <c r="E41" s="99" t="s">
        <v>13</v>
      </c>
      <c r="F41" s="99">
        <v>2116001</v>
      </c>
      <c r="G41" s="99">
        <v>6</v>
      </c>
      <c r="H41" s="100">
        <v>3</v>
      </c>
    </row>
    <row r="42" spans="1:8">
      <c r="A42" s="99" t="s">
        <v>860</v>
      </c>
      <c r="B42" s="99" t="s">
        <v>9</v>
      </c>
      <c r="C42" s="99" t="s">
        <v>861</v>
      </c>
      <c r="D42" s="99" t="s">
        <v>22</v>
      </c>
      <c r="E42" s="99" t="s">
        <v>13</v>
      </c>
      <c r="F42" s="99">
        <v>2116001</v>
      </c>
      <c r="G42" s="99">
        <v>2</v>
      </c>
      <c r="H42" s="100" t="s">
        <v>1402</v>
      </c>
    </row>
    <row r="43" spans="1:8">
      <c r="A43" s="99" t="s">
        <v>1422</v>
      </c>
      <c r="B43" s="99" t="s">
        <v>9</v>
      </c>
      <c r="C43" s="99" t="s">
        <v>1423</v>
      </c>
      <c r="D43" s="99" t="s">
        <v>22</v>
      </c>
      <c r="E43" s="99" t="s">
        <v>13</v>
      </c>
      <c r="F43" s="99">
        <v>2116001</v>
      </c>
      <c r="G43" s="99">
        <v>4</v>
      </c>
      <c r="H43" s="100">
        <v>6</v>
      </c>
    </row>
    <row r="44" spans="1:8">
      <c r="A44" s="99" t="s">
        <v>863</v>
      </c>
      <c r="B44" s="99" t="s">
        <v>9</v>
      </c>
      <c r="C44" s="99" t="s">
        <v>864</v>
      </c>
      <c r="D44" s="99" t="s">
        <v>22</v>
      </c>
      <c r="E44" s="99" t="s">
        <v>13</v>
      </c>
      <c r="F44" s="99">
        <v>2116001</v>
      </c>
      <c r="G44" s="99">
        <v>1</v>
      </c>
      <c r="H44" s="100">
        <v>6</v>
      </c>
    </row>
    <row r="45" spans="1:8">
      <c r="A45" s="99" t="s">
        <v>867</v>
      </c>
      <c r="B45" s="99" t="s">
        <v>9</v>
      </c>
      <c r="C45" s="99" t="s">
        <v>868</v>
      </c>
      <c r="D45" s="99" t="s">
        <v>22</v>
      </c>
      <c r="E45" s="99" t="s">
        <v>13</v>
      </c>
      <c r="F45" s="99">
        <v>2116001</v>
      </c>
      <c r="G45" s="99">
        <v>1</v>
      </c>
      <c r="H45" s="100">
        <v>6</v>
      </c>
    </row>
    <row r="46" spans="1:8">
      <c r="A46" s="99" t="s">
        <v>509</v>
      </c>
      <c r="B46" s="99" t="s">
        <v>9</v>
      </c>
      <c r="C46" s="99" t="s">
        <v>174</v>
      </c>
      <c r="D46" s="99" t="s">
        <v>22</v>
      </c>
      <c r="E46" s="99" t="s">
        <v>13</v>
      </c>
      <c r="F46" s="99">
        <v>2116001</v>
      </c>
      <c r="G46" s="99">
        <v>1</v>
      </c>
      <c r="H46" s="100">
        <v>5</v>
      </c>
    </row>
    <row r="47" spans="1:8">
      <c r="A47" s="99" t="s">
        <v>870</v>
      </c>
      <c r="B47" s="99" t="s">
        <v>9</v>
      </c>
      <c r="C47" s="99" t="s">
        <v>174</v>
      </c>
      <c r="D47" s="99" t="s">
        <v>22</v>
      </c>
      <c r="E47" s="99" t="s">
        <v>13</v>
      </c>
      <c r="F47" s="99">
        <v>2116001</v>
      </c>
      <c r="G47" s="99">
        <v>1</v>
      </c>
      <c r="H47" s="100" t="s">
        <v>1399</v>
      </c>
    </row>
    <row r="48" spans="1:8">
      <c r="A48" s="99" t="s">
        <v>1424</v>
      </c>
      <c r="B48" s="99" t="s">
        <v>9</v>
      </c>
      <c r="C48" s="99" t="s">
        <v>1425</v>
      </c>
      <c r="D48" s="99" t="s">
        <v>12</v>
      </c>
      <c r="E48" s="99" t="s">
        <v>13</v>
      </c>
      <c r="F48" s="99">
        <v>2116001</v>
      </c>
      <c r="G48" s="99">
        <v>1</v>
      </c>
      <c r="H48" s="100">
        <v>0</v>
      </c>
    </row>
    <row r="49" spans="1:8">
      <c r="A49" s="99" t="s">
        <v>872</v>
      </c>
      <c r="B49" s="99" t="s">
        <v>9</v>
      </c>
      <c r="C49" s="99" t="s">
        <v>873</v>
      </c>
      <c r="D49" s="99" t="s">
        <v>39</v>
      </c>
      <c r="E49" s="99" t="s">
        <v>13</v>
      </c>
      <c r="F49" s="99">
        <v>2116001</v>
      </c>
      <c r="G49" s="99">
        <v>2</v>
      </c>
      <c r="H49" s="100" t="s">
        <v>1399</v>
      </c>
    </row>
    <row r="50" spans="1:8">
      <c r="A50" s="99" t="s">
        <v>875</v>
      </c>
      <c r="B50" s="99" t="s">
        <v>9</v>
      </c>
      <c r="C50" s="99" t="s">
        <v>753</v>
      </c>
      <c r="D50" s="99" t="s">
        <v>22</v>
      </c>
      <c r="E50" s="99" t="s">
        <v>13</v>
      </c>
      <c r="F50" s="99">
        <v>2116001</v>
      </c>
      <c r="G50" s="99">
        <v>4</v>
      </c>
      <c r="H50" s="100">
        <v>3</v>
      </c>
    </row>
    <row r="51" spans="1:8">
      <c r="A51" s="99" t="s">
        <v>1426</v>
      </c>
      <c r="B51" s="99" t="s">
        <v>9</v>
      </c>
      <c r="C51" s="99" t="s">
        <v>864</v>
      </c>
      <c r="D51" s="99" t="s">
        <v>22</v>
      </c>
      <c r="E51" s="99" t="s">
        <v>13</v>
      </c>
      <c r="F51" s="99">
        <v>2116001</v>
      </c>
      <c r="G51" s="99">
        <v>2</v>
      </c>
      <c r="H51" s="99" t="s">
        <v>1427</v>
      </c>
    </row>
    <row r="52" spans="1:8">
      <c r="A52" s="99" t="s">
        <v>1428</v>
      </c>
      <c r="B52" s="99" t="s">
        <v>9</v>
      </c>
      <c r="C52" s="99" t="s">
        <v>864</v>
      </c>
      <c r="D52" s="99" t="s">
        <v>22</v>
      </c>
      <c r="E52" s="99" t="s">
        <v>13</v>
      </c>
      <c r="F52" s="99">
        <v>2116001</v>
      </c>
      <c r="G52" s="99">
        <v>1</v>
      </c>
      <c r="H52" s="100">
        <v>3</v>
      </c>
    </row>
    <row r="53" spans="1:8">
      <c r="A53" s="99" t="s">
        <v>1429</v>
      </c>
      <c r="B53" s="99" t="s">
        <v>9</v>
      </c>
      <c r="C53" s="99" t="s">
        <v>1430</v>
      </c>
      <c r="D53" s="99" t="s">
        <v>39</v>
      </c>
      <c r="E53" s="99" t="s">
        <v>13</v>
      </c>
      <c r="F53" s="99">
        <v>2116001</v>
      </c>
      <c r="G53" s="99">
        <v>1</v>
      </c>
      <c r="H53" s="100" t="s">
        <v>1421</v>
      </c>
    </row>
    <row r="54" spans="1:8">
      <c r="A54" s="99" t="s">
        <v>1431</v>
      </c>
      <c r="B54" s="99" t="s">
        <v>9</v>
      </c>
      <c r="C54" s="99" t="s">
        <v>755</v>
      </c>
      <c r="D54" s="99" t="s">
        <v>22</v>
      </c>
      <c r="E54" s="99" t="s">
        <v>13</v>
      </c>
      <c r="F54" s="99">
        <v>2116001</v>
      </c>
      <c r="G54" s="99">
        <v>1</v>
      </c>
      <c r="H54" s="100">
        <v>6</v>
      </c>
    </row>
    <row r="55" spans="1:8">
      <c r="A55" s="99" t="s">
        <v>1432</v>
      </c>
      <c r="B55" s="99" t="s">
        <v>9</v>
      </c>
      <c r="C55" s="99" t="s">
        <v>1433</v>
      </c>
      <c r="D55" s="99" t="s">
        <v>12</v>
      </c>
      <c r="E55" s="99" t="s">
        <v>13</v>
      </c>
      <c r="F55" s="99">
        <v>2116001</v>
      </c>
      <c r="G55" s="99">
        <v>1</v>
      </c>
      <c r="H55" s="100" t="s">
        <v>1399</v>
      </c>
    </row>
    <row r="56" spans="1:8">
      <c r="A56" s="99" t="s">
        <v>1434</v>
      </c>
      <c r="B56" s="99" t="s">
        <v>9</v>
      </c>
      <c r="C56" s="99" t="s">
        <v>880</v>
      </c>
      <c r="D56" s="99" t="s">
        <v>12</v>
      </c>
      <c r="E56" s="99" t="s">
        <v>13</v>
      </c>
      <c r="F56" s="99">
        <v>2116001</v>
      </c>
      <c r="G56" s="99">
        <v>1</v>
      </c>
      <c r="H56" s="100" t="s">
        <v>1399</v>
      </c>
    </row>
    <row r="57" spans="1:8">
      <c r="A57" s="99" t="s">
        <v>1435</v>
      </c>
      <c r="B57" s="99" t="s">
        <v>9</v>
      </c>
      <c r="C57" s="99" t="s">
        <v>511</v>
      </c>
      <c r="D57" s="99" t="s">
        <v>39</v>
      </c>
      <c r="E57" s="99" t="s">
        <v>13</v>
      </c>
      <c r="F57" s="99">
        <v>2116001</v>
      </c>
      <c r="G57" s="99">
        <v>1</v>
      </c>
      <c r="H57" s="100">
        <v>7</v>
      </c>
    </row>
    <row r="58" spans="1:8">
      <c r="A58" s="99" t="s">
        <v>513</v>
      </c>
      <c r="B58" s="99" t="s">
        <v>9</v>
      </c>
      <c r="C58" s="99" t="s">
        <v>174</v>
      </c>
      <c r="D58" s="99" t="s">
        <v>22</v>
      </c>
      <c r="E58" s="99" t="s">
        <v>13</v>
      </c>
      <c r="F58" s="99">
        <v>2116001</v>
      </c>
      <c r="G58" s="99">
        <v>1</v>
      </c>
      <c r="H58" s="100">
        <v>6</v>
      </c>
    </row>
    <row r="59" spans="1:8">
      <c r="A59" s="99" t="s">
        <v>1436</v>
      </c>
      <c r="B59" s="99" t="s">
        <v>9</v>
      </c>
      <c r="C59" s="99" t="s">
        <v>20</v>
      </c>
      <c r="D59" s="99" t="s">
        <v>22</v>
      </c>
      <c r="E59" s="99" t="s">
        <v>13</v>
      </c>
      <c r="F59" s="99">
        <v>2116001</v>
      </c>
      <c r="G59" s="99">
        <v>1</v>
      </c>
      <c r="H59" s="100">
        <v>5</v>
      </c>
    </row>
    <row r="60" spans="1:8">
      <c r="A60" s="99" t="s">
        <v>1437</v>
      </c>
      <c r="B60" s="99" t="s">
        <v>9</v>
      </c>
      <c r="C60" s="99" t="s">
        <v>1438</v>
      </c>
      <c r="D60" s="99" t="s">
        <v>39</v>
      </c>
      <c r="E60" s="99" t="s">
        <v>13</v>
      </c>
      <c r="F60" s="99">
        <v>2116001</v>
      </c>
      <c r="G60" s="99">
        <v>1</v>
      </c>
      <c r="H60" s="100" t="s">
        <v>1399</v>
      </c>
    </row>
    <row r="61" spans="1:8">
      <c r="A61" s="99" t="s">
        <v>1307</v>
      </c>
      <c r="B61" s="99" t="s">
        <v>9</v>
      </c>
      <c r="C61" s="99" t="s">
        <v>402</v>
      </c>
      <c r="D61" s="99" t="s">
        <v>18</v>
      </c>
      <c r="E61" s="99" t="s">
        <v>13</v>
      </c>
      <c r="F61" s="99">
        <v>2116001</v>
      </c>
      <c r="G61" s="99">
        <v>1</v>
      </c>
      <c r="H61" s="100" t="s">
        <v>1402</v>
      </c>
    </row>
    <row r="62" spans="1:8">
      <c r="A62" s="99" t="s">
        <v>1439</v>
      </c>
      <c r="B62" s="99" t="s">
        <v>9</v>
      </c>
      <c r="C62" s="99" t="s">
        <v>1440</v>
      </c>
      <c r="D62" s="99" t="s">
        <v>12</v>
      </c>
      <c r="E62" s="99" t="s">
        <v>13</v>
      </c>
      <c r="F62" s="99">
        <v>2116001</v>
      </c>
      <c r="G62" s="99">
        <v>1</v>
      </c>
      <c r="H62" s="100">
        <v>6</v>
      </c>
    </row>
    <row r="63" spans="1:8">
      <c r="A63" s="99" t="s">
        <v>1441</v>
      </c>
      <c r="B63" s="99" t="s">
        <v>9</v>
      </c>
      <c r="C63" s="99" t="s">
        <v>1442</v>
      </c>
      <c r="D63" s="99" t="s">
        <v>18</v>
      </c>
      <c r="E63" s="99" t="s">
        <v>13</v>
      </c>
      <c r="F63" s="99">
        <v>2116001</v>
      </c>
      <c r="G63" s="99">
        <v>2</v>
      </c>
      <c r="H63" s="100" t="s">
        <v>1402</v>
      </c>
    </row>
    <row r="64" spans="1:8">
      <c r="A64" s="99" t="s">
        <v>978</v>
      </c>
      <c r="B64" s="99" t="s">
        <v>9</v>
      </c>
      <c r="C64" s="99" t="s">
        <v>979</v>
      </c>
      <c r="D64" s="99" t="s">
        <v>22</v>
      </c>
      <c r="E64" s="99" t="s">
        <v>13</v>
      </c>
      <c r="F64" s="99">
        <v>2116001</v>
      </c>
      <c r="G64" s="99">
        <v>1</v>
      </c>
      <c r="H64" s="100" t="s">
        <v>1402</v>
      </c>
    </row>
    <row r="65" spans="1:8">
      <c r="A65" s="99" t="s">
        <v>980</v>
      </c>
      <c r="B65" s="99" t="s">
        <v>9</v>
      </c>
      <c r="C65" s="99" t="s">
        <v>187</v>
      </c>
      <c r="D65" s="99" t="s">
        <v>22</v>
      </c>
      <c r="E65" s="99" t="s">
        <v>13</v>
      </c>
      <c r="F65" s="99">
        <v>2116001</v>
      </c>
      <c r="G65" s="99">
        <v>1</v>
      </c>
      <c r="H65" s="100" t="s">
        <v>1402</v>
      </c>
    </row>
    <row r="66" spans="1:8">
      <c r="A66" s="99" t="s">
        <v>981</v>
      </c>
      <c r="B66" s="99" t="s">
        <v>9</v>
      </c>
      <c r="C66" s="99" t="s">
        <v>16</v>
      </c>
      <c r="D66" s="99" t="s">
        <v>12</v>
      </c>
      <c r="E66" s="99" t="s">
        <v>13</v>
      </c>
      <c r="F66" s="99">
        <v>2116001</v>
      </c>
      <c r="G66" s="99">
        <v>1</v>
      </c>
      <c r="H66" s="100" t="s">
        <v>1402</v>
      </c>
    </row>
    <row r="67" spans="1:8">
      <c r="A67" s="99" t="s">
        <v>983</v>
      </c>
      <c r="B67" s="99" t="s">
        <v>9</v>
      </c>
      <c r="C67" s="99" t="s">
        <v>16</v>
      </c>
      <c r="D67" s="99" t="s">
        <v>18</v>
      </c>
      <c r="E67" s="99" t="s">
        <v>13</v>
      </c>
      <c r="F67" s="99">
        <v>2116001</v>
      </c>
      <c r="G67" s="99">
        <v>1</v>
      </c>
      <c r="H67" s="100" t="s">
        <v>1402</v>
      </c>
    </row>
    <row r="68" spans="1:8">
      <c r="A68" s="99" t="s">
        <v>991</v>
      </c>
      <c r="B68" s="99" t="s">
        <v>9</v>
      </c>
      <c r="C68" s="99" t="s">
        <v>586</v>
      </c>
      <c r="D68" s="99" t="s">
        <v>22</v>
      </c>
      <c r="E68" s="99" t="s">
        <v>13</v>
      </c>
      <c r="F68" s="99">
        <v>2116001</v>
      </c>
      <c r="G68" s="99">
        <v>4</v>
      </c>
      <c r="H68" s="100">
        <v>5</v>
      </c>
    </row>
    <row r="69" spans="1:8">
      <c r="A69" s="99" t="s">
        <v>1443</v>
      </c>
      <c r="B69" s="99" t="s">
        <v>9</v>
      </c>
      <c r="C69" s="99" t="s">
        <v>1444</v>
      </c>
      <c r="D69" s="99" t="s">
        <v>12</v>
      </c>
      <c r="E69" s="99" t="s">
        <v>13</v>
      </c>
      <c r="F69" s="99">
        <v>2116001</v>
      </c>
      <c r="G69" s="99">
        <v>1</v>
      </c>
      <c r="H69" s="100">
        <v>5</v>
      </c>
    </row>
    <row r="70" spans="1:8">
      <c r="A70" s="99" t="s">
        <v>992</v>
      </c>
      <c r="B70" s="99" t="s">
        <v>9</v>
      </c>
      <c r="C70" s="99" t="s">
        <v>993</v>
      </c>
      <c r="D70" s="99" t="s">
        <v>12</v>
      </c>
      <c r="E70" s="99" t="s">
        <v>13</v>
      </c>
      <c r="F70" s="99">
        <v>2116001</v>
      </c>
      <c r="G70" s="99">
        <v>1</v>
      </c>
      <c r="H70" s="100">
        <v>6</v>
      </c>
    </row>
    <row r="71" spans="1:8">
      <c r="A71" s="99" t="s">
        <v>1445</v>
      </c>
      <c r="B71" s="99" t="s">
        <v>9</v>
      </c>
      <c r="C71" s="99" t="s">
        <v>20</v>
      </c>
      <c r="D71" s="99" t="s">
        <v>22</v>
      </c>
      <c r="E71" s="99" t="s">
        <v>13</v>
      </c>
      <c r="F71" s="99">
        <v>2116001</v>
      </c>
      <c r="G71" s="99">
        <v>2</v>
      </c>
      <c r="H71" s="100">
        <v>6</v>
      </c>
    </row>
    <row r="72" spans="1:8">
      <c r="A72" s="99" t="s">
        <v>1033</v>
      </c>
      <c r="B72" s="99" t="s">
        <v>9</v>
      </c>
      <c r="C72" s="99" t="s">
        <v>84</v>
      </c>
      <c r="D72" s="99" t="s">
        <v>39</v>
      </c>
      <c r="E72" s="99" t="s">
        <v>13</v>
      </c>
      <c r="F72" s="99">
        <v>2116001</v>
      </c>
      <c r="G72" s="99">
        <v>2</v>
      </c>
      <c r="H72" s="100">
        <v>0</v>
      </c>
    </row>
    <row r="73" spans="1:8">
      <c r="A73" s="99" t="s">
        <v>1446</v>
      </c>
      <c r="B73" s="99" t="s">
        <v>9</v>
      </c>
      <c r="C73" s="99" t="s">
        <v>20</v>
      </c>
      <c r="D73" s="99" t="s">
        <v>22</v>
      </c>
      <c r="E73" s="99" t="s">
        <v>13</v>
      </c>
      <c r="F73" s="99">
        <v>2116001</v>
      </c>
      <c r="G73" s="99">
        <v>1</v>
      </c>
      <c r="H73" s="100">
        <v>3</v>
      </c>
    </row>
    <row r="74" spans="1:8">
      <c r="A74" s="99" t="s">
        <v>1052</v>
      </c>
      <c r="B74" s="99" t="s">
        <v>9</v>
      </c>
      <c r="C74" s="99" t="s">
        <v>84</v>
      </c>
      <c r="D74" s="99" t="s">
        <v>39</v>
      </c>
      <c r="E74" s="99" t="s">
        <v>13</v>
      </c>
      <c r="F74" s="99">
        <v>2116001</v>
      </c>
      <c r="G74" s="99">
        <v>2</v>
      </c>
      <c r="H74" s="100" t="s">
        <v>1447</v>
      </c>
    </row>
    <row r="75" spans="1:8">
      <c r="A75" s="99" t="s">
        <v>1062</v>
      </c>
      <c r="B75" s="99" t="s">
        <v>9</v>
      </c>
      <c r="C75" s="99" t="s">
        <v>1063</v>
      </c>
      <c r="D75" s="99" t="s">
        <v>22</v>
      </c>
      <c r="E75" s="99" t="s">
        <v>13</v>
      </c>
      <c r="F75" s="99">
        <v>2116001</v>
      </c>
      <c r="G75" s="99">
        <v>20</v>
      </c>
      <c r="H75" s="100">
        <v>4</v>
      </c>
    </row>
    <row r="76" spans="1:8">
      <c r="A76" s="99" t="s">
        <v>524</v>
      </c>
      <c r="B76" s="99" t="s">
        <v>9</v>
      </c>
      <c r="C76" s="99" t="s">
        <v>525</v>
      </c>
      <c r="D76" s="99" t="s">
        <v>22</v>
      </c>
      <c r="E76" s="99" t="s">
        <v>13</v>
      </c>
      <c r="F76" s="99">
        <v>2116001</v>
      </c>
      <c r="G76" s="99">
        <v>2</v>
      </c>
      <c r="H76" s="100">
        <v>3</v>
      </c>
    </row>
    <row r="77" spans="1:8">
      <c r="A77" s="99" t="s">
        <v>527</v>
      </c>
      <c r="B77" s="99" t="s">
        <v>9</v>
      </c>
      <c r="C77" s="99" t="s">
        <v>528</v>
      </c>
      <c r="D77" s="99" t="s">
        <v>22</v>
      </c>
      <c r="E77" s="99" t="s">
        <v>13</v>
      </c>
      <c r="F77" s="99">
        <v>2116001</v>
      </c>
      <c r="G77" s="99">
        <v>1</v>
      </c>
      <c r="H77" s="100" t="s">
        <v>1447</v>
      </c>
    </row>
    <row r="78" spans="1:8">
      <c r="A78" s="99" t="s">
        <v>1077</v>
      </c>
      <c r="B78" s="99" t="s">
        <v>9</v>
      </c>
      <c r="C78" s="99" t="s">
        <v>84</v>
      </c>
      <c r="D78" s="99" t="s">
        <v>18</v>
      </c>
      <c r="E78" s="99" t="s">
        <v>13</v>
      </c>
      <c r="F78" s="99">
        <v>2116001</v>
      </c>
      <c r="G78" s="99">
        <v>1</v>
      </c>
      <c r="H78" s="100" t="s">
        <v>1402</v>
      </c>
    </row>
    <row r="79" spans="1:8">
      <c r="A79" s="99" t="s">
        <v>1078</v>
      </c>
      <c r="B79" s="99" t="s">
        <v>9</v>
      </c>
      <c r="C79" s="99" t="s">
        <v>267</v>
      </c>
      <c r="D79" s="99" t="s">
        <v>18</v>
      </c>
      <c r="E79" s="99" t="s">
        <v>13</v>
      </c>
      <c r="F79" s="99">
        <v>2116001</v>
      </c>
      <c r="G79" s="99">
        <v>1</v>
      </c>
      <c r="H79" s="100" t="s">
        <v>1402</v>
      </c>
    </row>
    <row r="80" spans="1:8">
      <c r="A80" s="99" t="s">
        <v>1448</v>
      </c>
      <c r="B80" s="99" t="s">
        <v>9</v>
      </c>
      <c r="C80" s="99" t="s">
        <v>1449</v>
      </c>
      <c r="D80" s="99" t="s">
        <v>12</v>
      </c>
      <c r="E80" s="99" t="s">
        <v>13</v>
      </c>
      <c r="F80" s="99">
        <v>2116001</v>
      </c>
      <c r="G80" s="99">
        <v>1</v>
      </c>
      <c r="H80" s="100" t="s">
        <v>1399</v>
      </c>
    </row>
    <row r="81" spans="1:8">
      <c r="A81" s="99" t="s">
        <v>533</v>
      </c>
      <c r="B81" s="99" t="s">
        <v>9</v>
      </c>
      <c r="C81" s="99" t="s">
        <v>299</v>
      </c>
      <c r="D81" s="99" t="s">
        <v>22</v>
      </c>
      <c r="E81" s="99" t="s">
        <v>13</v>
      </c>
      <c r="F81" s="99">
        <v>2116001</v>
      </c>
      <c r="G81" s="99">
        <v>3</v>
      </c>
      <c r="H81" s="100" t="s">
        <v>1450</v>
      </c>
    </row>
    <row r="82" spans="1:8">
      <c r="A82" s="99" t="s">
        <v>1451</v>
      </c>
      <c r="B82" s="99" t="s">
        <v>9</v>
      </c>
      <c r="C82" s="99" t="s">
        <v>1442</v>
      </c>
      <c r="D82" s="99" t="s">
        <v>18</v>
      </c>
      <c r="E82" s="99" t="s">
        <v>13</v>
      </c>
      <c r="F82" s="99">
        <v>2116001</v>
      </c>
      <c r="G82" s="99">
        <v>1</v>
      </c>
      <c r="H82" s="100" t="s">
        <v>1402</v>
      </c>
    </row>
    <row r="83" spans="1:8">
      <c r="A83" s="99" t="s">
        <v>538</v>
      </c>
      <c r="B83" s="99" t="s">
        <v>9</v>
      </c>
      <c r="C83" s="99" t="s">
        <v>539</v>
      </c>
      <c r="D83" s="99" t="s">
        <v>22</v>
      </c>
      <c r="E83" s="99" t="s">
        <v>13</v>
      </c>
      <c r="F83" s="99">
        <v>2116001</v>
      </c>
      <c r="G83" s="99">
        <v>3</v>
      </c>
      <c r="H83" s="100" t="s">
        <v>1402</v>
      </c>
    </row>
    <row r="84" spans="1:8">
      <c r="A84" s="99" t="s">
        <v>1452</v>
      </c>
      <c r="B84" s="99" t="s">
        <v>9</v>
      </c>
      <c r="C84" s="99" t="s">
        <v>1453</v>
      </c>
      <c r="D84" s="99" t="s">
        <v>22</v>
      </c>
      <c r="E84" s="99" t="s">
        <v>13</v>
      </c>
      <c r="F84" s="99">
        <v>2116001</v>
      </c>
      <c r="G84" s="99">
        <v>1</v>
      </c>
      <c r="H84" s="100">
        <v>1</v>
      </c>
    </row>
    <row r="85" spans="1:8">
      <c r="A85" s="99" t="s">
        <v>1454</v>
      </c>
      <c r="B85" s="99" t="s">
        <v>9</v>
      </c>
      <c r="C85" s="99" t="s">
        <v>1455</v>
      </c>
      <c r="D85" s="99" t="s">
        <v>22</v>
      </c>
      <c r="E85" s="99" t="s">
        <v>13</v>
      </c>
      <c r="F85" s="99">
        <v>2116001</v>
      </c>
      <c r="G85" s="99">
        <v>2</v>
      </c>
      <c r="H85" s="100">
        <v>5</v>
      </c>
    </row>
    <row r="86" spans="1:8">
      <c r="A86" s="99" t="s">
        <v>1117</v>
      </c>
      <c r="B86" s="99" t="s">
        <v>9</v>
      </c>
      <c r="C86" s="99" t="s">
        <v>174</v>
      </c>
      <c r="D86" s="99" t="s">
        <v>22</v>
      </c>
      <c r="E86" s="99" t="s">
        <v>13</v>
      </c>
      <c r="F86" s="99">
        <v>2116001</v>
      </c>
      <c r="G86" s="99">
        <v>2</v>
      </c>
      <c r="H86" s="100">
        <v>5</v>
      </c>
    </row>
    <row r="87" spans="1:8">
      <c r="A87" s="99" t="s">
        <v>1456</v>
      </c>
      <c r="B87" s="99" t="s">
        <v>9</v>
      </c>
      <c r="C87" s="99" t="s">
        <v>1457</v>
      </c>
      <c r="D87" s="99" t="s">
        <v>22</v>
      </c>
      <c r="E87" s="99" t="s">
        <v>13</v>
      </c>
      <c r="F87" s="99">
        <v>2116001</v>
      </c>
      <c r="G87" s="99">
        <v>8</v>
      </c>
      <c r="H87" s="99" t="s">
        <v>1458</v>
      </c>
    </row>
    <row r="88" spans="1:8">
      <c r="A88" s="99" t="s">
        <v>1459</v>
      </c>
      <c r="B88" s="99" t="s">
        <v>9</v>
      </c>
      <c r="C88" s="99" t="s">
        <v>1460</v>
      </c>
      <c r="D88" s="99" t="s">
        <v>39</v>
      </c>
      <c r="E88" s="99" t="s">
        <v>13</v>
      </c>
      <c r="F88" s="99">
        <v>2116001</v>
      </c>
      <c r="G88" s="99">
        <v>1</v>
      </c>
      <c r="H88" s="100" t="s">
        <v>1421</v>
      </c>
    </row>
    <row r="89" spans="1:8">
      <c r="A89" s="99" t="s">
        <v>1461</v>
      </c>
      <c r="B89" s="99" t="s">
        <v>9</v>
      </c>
      <c r="C89" s="99" t="s">
        <v>1460</v>
      </c>
      <c r="D89" s="99" t="s">
        <v>39</v>
      </c>
      <c r="E89" s="99" t="s">
        <v>13</v>
      </c>
      <c r="F89" s="99">
        <v>2116001</v>
      </c>
      <c r="G89" s="99">
        <v>1</v>
      </c>
      <c r="H89" s="100" t="s">
        <v>1421</v>
      </c>
    </row>
    <row r="90" spans="1:8">
      <c r="A90" s="99" t="s">
        <v>1118</v>
      </c>
      <c r="B90" s="99" t="s">
        <v>9</v>
      </c>
      <c r="C90" s="99" t="s">
        <v>84</v>
      </c>
      <c r="D90" s="99" t="s">
        <v>39</v>
      </c>
      <c r="E90" s="99" t="s">
        <v>13</v>
      </c>
      <c r="F90" s="99">
        <v>2116001</v>
      </c>
      <c r="G90" s="99">
        <v>1</v>
      </c>
      <c r="H90" s="100" t="s">
        <v>1421</v>
      </c>
    </row>
    <row r="91" spans="1:8">
      <c r="A91" s="99" t="s">
        <v>1119</v>
      </c>
      <c r="B91" s="99" t="s">
        <v>9</v>
      </c>
      <c r="C91" s="99" t="s">
        <v>84</v>
      </c>
      <c r="D91" s="99" t="s">
        <v>39</v>
      </c>
      <c r="E91" s="99" t="s">
        <v>13</v>
      </c>
      <c r="F91" s="99">
        <v>2116001</v>
      </c>
      <c r="G91" s="99">
        <v>1</v>
      </c>
      <c r="H91" s="100" t="s">
        <v>1421</v>
      </c>
    </row>
    <row r="92" spans="1:8">
      <c r="A92" s="99" t="s">
        <v>544</v>
      </c>
      <c r="B92" s="99" t="s">
        <v>9</v>
      </c>
      <c r="C92" s="99" t="s">
        <v>545</v>
      </c>
      <c r="D92" s="99" t="s">
        <v>12</v>
      </c>
      <c r="E92" s="99" t="s">
        <v>13</v>
      </c>
      <c r="F92" s="99">
        <v>2116001</v>
      </c>
      <c r="G92" s="99">
        <v>1</v>
      </c>
      <c r="H92" s="100" t="s">
        <v>1421</v>
      </c>
    </row>
    <row r="93" spans="1:8">
      <c r="A93" s="99" t="s">
        <v>1122</v>
      </c>
      <c r="B93" s="99" t="s">
        <v>9</v>
      </c>
      <c r="C93" s="99" t="s">
        <v>1123</v>
      </c>
      <c r="D93" s="99" t="s">
        <v>12</v>
      </c>
      <c r="E93" s="99" t="s">
        <v>13</v>
      </c>
      <c r="F93" s="99">
        <v>2116001</v>
      </c>
      <c r="G93" s="99">
        <v>1</v>
      </c>
      <c r="H93" s="100" t="s">
        <v>1402</v>
      </c>
    </row>
    <row r="94" spans="1:8">
      <c r="A94" s="99" t="s">
        <v>1125</v>
      </c>
      <c r="B94" s="99" t="s">
        <v>9</v>
      </c>
      <c r="C94" s="99" t="s">
        <v>84</v>
      </c>
      <c r="D94" s="99" t="s">
        <v>12</v>
      </c>
      <c r="E94" s="99" t="s">
        <v>13</v>
      </c>
      <c r="F94" s="99">
        <v>2116001</v>
      </c>
      <c r="G94" s="99">
        <v>1</v>
      </c>
      <c r="H94" s="100" t="s">
        <v>1402</v>
      </c>
    </row>
    <row r="95" spans="1:8">
      <c r="A95" s="99" t="s">
        <v>1127</v>
      </c>
      <c r="B95" s="99" t="s">
        <v>9</v>
      </c>
      <c r="C95" s="99" t="s">
        <v>41</v>
      </c>
      <c r="D95" s="99" t="s">
        <v>18</v>
      </c>
      <c r="E95" s="99" t="s">
        <v>13</v>
      </c>
      <c r="F95" s="99">
        <v>2116001</v>
      </c>
      <c r="G95" s="99">
        <v>1</v>
      </c>
      <c r="H95" s="100">
        <v>0</v>
      </c>
    </row>
    <row r="96" spans="1:8">
      <c r="A96" s="99" t="s">
        <v>1462</v>
      </c>
      <c r="B96" s="99" t="s">
        <v>9</v>
      </c>
      <c r="C96" s="99" t="s">
        <v>1463</v>
      </c>
      <c r="D96" s="99" t="s">
        <v>18</v>
      </c>
      <c r="E96" s="99" t="s">
        <v>13</v>
      </c>
      <c r="F96" s="99">
        <v>2116001</v>
      </c>
      <c r="G96" s="99">
        <v>3</v>
      </c>
      <c r="H96" s="100">
        <v>0</v>
      </c>
    </row>
    <row r="97" spans="1:8">
      <c r="A97" s="99" t="s">
        <v>547</v>
      </c>
      <c r="B97" s="99" t="s">
        <v>9</v>
      </c>
      <c r="C97" s="99" t="s">
        <v>312</v>
      </c>
      <c r="D97" s="99" t="s">
        <v>22</v>
      </c>
      <c r="E97" s="99" t="s">
        <v>13</v>
      </c>
      <c r="F97" s="99">
        <v>2116001</v>
      </c>
      <c r="G97" s="99">
        <v>10</v>
      </c>
      <c r="H97" s="100" t="s">
        <v>1464</v>
      </c>
    </row>
    <row r="98" spans="1:8">
      <c r="A98" s="99" t="s">
        <v>1465</v>
      </c>
      <c r="B98" s="99" t="s">
        <v>9</v>
      </c>
      <c r="C98" s="99" t="s">
        <v>1466</v>
      </c>
      <c r="D98" s="99" t="s">
        <v>22</v>
      </c>
      <c r="E98" s="99" t="s">
        <v>13</v>
      </c>
      <c r="F98" s="99">
        <v>2116001</v>
      </c>
      <c r="G98" s="99">
        <v>4</v>
      </c>
      <c r="H98" s="100">
        <v>6</v>
      </c>
    </row>
    <row r="99" spans="1:8">
      <c r="A99" s="99" t="s">
        <v>1133</v>
      </c>
      <c r="B99" s="99" t="s">
        <v>9</v>
      </c>
      <c r="C99" s="99" t="s">
        <v>1134</v>
      </c>
      <c r="D99" s="99" t="s">
        <v>22</v>
      </c>
      <c r="E99" s="99" t="s">
        <v>13</v>
      </c>
      <c r="F99" s="99">
        <v>2116001</v>
      </c>
      <c r="G99" s="99">
        <v>2</v>
      </c>
      <c r="H99" s="100" t="s">
        <v>1402</v>
      </c>
    </row>
    <row r="100" spans="1:8">
      <c r="A100" s="99" t="s">
        <v>1135</v>
      </c>
      <c r="B100" s="99" t="s">
        <v>9</v>
      </c>
      <c r="C100" s="99" t="s">
        <v>905</v>
      </c>
      <c r="D100" s="99" t="s">
        <v>22</v>
      </c>
      <c r="E100" s="99" t="s">
        <v>13</v>
      </c>
      <c r="F100" s="99">
        <v>2116001</v>
      </c>
      <c r="G100" s="99">
        <v>2</v>
      </c>
      <c r="H100" s="100" t="s">
        <v>1402</v>
      </c>
    </row>
    <row r="101" spans="1:8">
      <c r="A101" s="99" t="s">
        <v>1467</v>
      </c>
      <c r="B101" s="99" t="s">
        <v>9</v>
      </c>
      <c r="C101" s="99" t="s">
        <v>1455</v>
      </c>
      <c r="D101" s="99" t="s">
        <v>22</v>
      </c>
      <c r="E101" s="99" t="s">
        <v>13</v>
      </c>
      <c r="F101" s="99">
        <v>2116001</v>
      </c>
      <c r="G101" s="99">
        <v>2</v>
      </c>
      <c r="H101" s="100">
        <v>6</v>
      </c>
    </row>
    <row r="102" spans="1:8">
      <c r="A102" s="99" t="s">
        <v>1468</v>
      </c>
      <c r="B102" s="99" t="s">
        <v>9</v>
      </c>
      <c r="C102" s="99" t="s">
        <v>1469</v>
      </c>
      <c r="D102" s="99" t="s">
        <v>1340</v>
      </c>
      <c r="E102" s="99" t="s">
        <v>13</v>
      </c>
      <c r="F102" s="99">
        <v>2116001</v>
      </c>
      <c r="G102" s="99">
        <v>1</v>
      </c>
      <c r="H102" s="100">
        <v>5</v>
      </c>
    </row>
    <row r="103" spans="1:8">
      <c r="A103" s="99" t="s">
        <v>1470</v>
      </c>
      <c r="B103" s="99" t="s">
        <v>9</v>
      </c>
      <c r="C103" s="99" t="s">
        <v>1471</v>
      </c>
      <c r="D103" s="99" t="s">
        <v>12</v>
      </c>
      <c r="E103" s="99" t="s">
        <v>13</v>
      </c>
      <c r="F103" s="99">
        <v>2116001</v>
      </c>
      <c r="G103" s="99">
        <v>1</v>
      </c>
      <c r="H103" s="100" t="s">
        <v>1399</v>
      </c>
    </row>
    <row r="104" spans="1:8">
      <c r="A104" s="99" t="s">
        <v>1472</v>
      </c>
      <c r="B104" s="99" t="s">
        <v>9</v>
      </c>
      <c r="C104" s="99" t="s">
        <v>1007</v>
      </c>
      <c r="D104" s="99" t="s">
        <v>70</v>
      </c>
      <c r="E104" s="99" t="s">
        <v>13</v>
      </c>
      <c r="F104" s="99">
        <v>2116001</v>
      </c>
      <c r="G104" s="99">
        <v>1</v>
      </c>
      <c r="H104" s="100" t="s">
        <v>1399</v>
      </c>
    </row>
    <row r="105" spans="1:8">
      <c r="A105" s="99" t="s">
        <v>1473</v>
      </c>
      <c r="B105" s="99" t="s">
        <v>9</v>
      </c>
      <c r="C105" s="99" t="s">
        <v>1264</v>
      </c>
      <c r="D105" s="99" t="s">
        <v>39</v>
      </c>
      <c r="E105" s="99" t="s">
        <v>13</v>
      </c>
      <c r="F105" s="99">
        <v>2116001</v>
      </c>
      <c r="G105" s="99">
        <v>3</v>
      </c>
      <c r="H105" s="100">
        <v>5</v>
      </c>
    </row>
    <row r="106" spans="1:8">
      <c r="A106" s="99" t="s">
        <v>1474</v>
      </c>
      <c r="B106" s="99" t="s">
        <v>9</v>
      </c>
      <c r="C106" s="99" t="s">
        <v>1264</v>
      </c>
      <c r="D106" s="99" t="s">
        <v>39</v>
      </c>
      <c r="E106" s="99" t="s">
        <v>13</v>
      </c>
      <c r="F106" s="99">
        <v>2116001</v>
      </c>
      <c r="G106" s="99">
        <v>1</v>
      </c>
      <c r="H106" s="100">
        <v>5</v>
      </c>
    </row>
    <row r="107" spans="1:8">
      <c r="A107" s="99" t="s">
        <v>1475</v>
      </c>
      <c r="B107" s="99" t="s">
        <v>9</v>
      </c>
      <c r="C107" s="99" t="s">
        <v>1476</v>
      </c>
      <c r="D107" s="99" t="s">
        <v>39</v>
      </c>
      <c r="E107" s="99" t="s">
        <v>13</v>
      </c>
      <c r="F107" s="99">
        <v>2116001</v>
      </c>
      <c r="G107" s="99">
        <v>1</v>
      </c>
      <c r="H107" s="100">
        <v>6</v>
      </c>
    </row>
    <row r="108" spans="1:8">
      <c r="A108" s="99" t="s">
        <v>1477</v>
      </c>
      <c r="B108" s="99" t="s">
        <v>9</v>
      </c>
      <c r="C108" s="99" t="s">
        <v>1478</v>
      </c>
      <c r="D108" s="99" t="s">
        <v>39</v>
      </c>
      <c r="E108" s="99" t="s">
        <v>13</v>
      </c>
      <c r="F108" s="99">
        <v>2116001</v>
      </c>
      <c r="G108" s="99">
        <v>1</v>
      </c>
      <c r="H108" s="100">
        <v>6</v>
      </c>
    </row>
    <row r="109" spans="1:8">
      <c r="A109" s="99" t="s">
        <v>1479</v>
      </c>
      <c r="B109" s="99" t="s">
        <v>9</v>
      </c>
      <c r="C109" s="99" t="s">
        <v>1480</v>
      </c>
      <c r="D109" s="99" t="s">
        <v>18</v>
      </c>
      <c r="E109" s="99" t="s">
        <v>13</v>
      </c>
      <c r="F109" s="99">
        <v>2116001</v>
      </c>
      <c r="G109" s="99">
        <v>1</v>
      </c>
      <c r="H109" s="100">
        <v>5</v>
      </c>
    </row>
    <row r="110" spans="1:8">
      <c r="A110" s="99" t="s">
        <v>1481</v>
      </c>
      <c r="B110" s="99" t="s">
        <v>9</v>
      </c>
      <c r="C110" s="99" t="s">
        <v>1482</v>
      </c>
      <c r="D110" s="99" t="s">
        <v>18</v>
      </c>
      <c r="E110" s="99" t="s">
        <v>13</v>
      </c>
      <c r="F110" s="99">
        <v>2116001</v>
      </c>
      <c r="G110" s="99">
        <v>1</v>
      </c>
      <c r="H110" s="100">
        <v>2</v>
      </c>
    </row>
    <row r="111" spans="1:8">
      <c r="A111" s="99" t="s">
        <v>1483</v>
      </c>
      <c r="B111" s="99" t="s">
        <v>9</v>
      </c>
      <c r="C111" s="99" t="s">
        <v>1482</v>
      </c>
      <c r="D111" s="99" t="s">
        <v>18</v>
      </c>
      <c r="E111" s="99" t="s">
        <v>13</v>
      </c>
      <c r="F111" s="99">
        <v>2116001</v>
      </c>
      <c r="G111" s="99">
        <v>1</v>
      </c>
      <c r="H111" s="100">
        <v>2</v>
      </c>
    </row>
    <row r="112" spans="1:8">
      <c r="A112" s="99" t="s">
        <v>1484</v>
      </c>
      <c r="B112" s="99" t="s">
        <v>9</v>
      </c>
      <c r="C112" s="99" t="s">
        <v>1485</v>
      </c>
      <c r="D112" s="99" t="s">
        <v>39</v>
      </c>
      <c r="E112" s="99" t="s">
        <v>13</v>
      </c>
      <c r="F112" s="99">
        <v>2116001</v>
      </c>
      <c r="G112" s="99">
        <v>1</v>
      </c>
      <c r="H112" s="100">
        <v>0</v>
      </c>
    </row>
    <row r="113" spans="1:8">
      <c r="A113" s="99" t="s">
        <v>1486</v>
      </c>
      <c r="B113" s="99" t="s">
        <v>9</v>
      </c>
      <c r="C113" s="99" t="s">
        <v>1455</v>
      </c>
      <c r="D113" s="99" t="s">
        <v>12</v>
      </c>
      <c r="E113" s="99" t="s">
        <v>13</v>
      </c>
      <c r="F113" s="99">
        <v>2116001</v>
      </c>
      <c r="G113" s="99">
        <v>1</v>
      </c>
      <c r="H113" s="100">
        <v>3</v>
      </c>
    </row>
    <row r="114" spans="1:8">
      <c r="A114" s="99" t="s">
        <v>1487</v>
      </c>
      <c r="B114" s="99" t="s">
        <v>9</v>
      </c>
      <c r="C114" s="99" t="s">
        <v>1488</v>
      </c>
      <c r="D114" s="99" t="s">
        <v>12</v>
      </c>
      <c r="E114" s="99" t="s">
        <v>13</v>
      </c>
      <c r="F114" s="99">
        <v>2116001</v>
      </c>
      <c r="G114" s="99">
        <v>1</v>
      </c>
      <c r="H114" s="100">
        <v>3</v>
      </c>
    </row>
    <row r="115" spans="1:8">
      <c r="A115" s="99" t="s">
        <v>1489</v>
      </c>
      <c r="B115" s="99" t="s">
        <v>9</v>
      </c>
      <c r="C115" s="99" t="s">
        <v>1488</v>
      </c>
      <c r="D115" s="99" t="s">
        <v>12</v>
      </c>
      <c r="E115" s="99" t="s">
        <v>13</v>
      </c>
      <c r="F115" s="99">
        <v>2116001</v>
      </c>
      <c r="G115" s="99">
        <v>1</v>
      </c>
      <c r="H115" s="100">
        <v>3</v>
      </c>
    </row>
    <row r="116" spans="1:8">
      <c r="A116" s="99" t="s">
        <v>1490</v>
      </c>
      <c r="B116" s="99" t="s">
        <v>9</v>
      </c>
      <c r="C116" s="99" t="s">
        <v>1463</v>
      </c>
      <c r="D116" s="99" t="s">
        <v>18</v>
      </c>
      <c r="E116" s="99" t="s">
        <v>13</v>
      </c>
      <c r="F116" s="99">
        <v>2116001</v>
      </c>
      <c r="G116" s="99">
        <v>1</v>
      </c>
      <c r="H116" s="100">
        <v>0</v>
      </c>
    </row>
    <row r="117" spans="1:8">
      <c r="A117" s="99" t="s">
        <v>1491</v>
      </c>
      <c r="B117" s="99" t="s">
        <v>9</v>
      </c>
      <c r="C117" s="99" t="s">
        <v>1463</v>
      </c>
      <c r="D117" s="99" t="s">
        <v>18</v>
      </c>
      <c r="E117" s="99" t="s">
        <v>13</v>
      </c>
      <c r="F117" s="99">
        <v>2116001</v>
      </c>
      <c r="G117" s="99">
        <v>2</v>
      </c>
      <c r="H117" s="100">
        <v>0</v>
      </c>
    </row>
    <row r="118" spans="1:8">
      <c r="A118" s="99" t="s">
        <v>1492</v>
      </c>
      <c r="B118" s="99" t="s">
        <v>9</v>
      </c>
      <c r="C118" s="99" t="s">
        <v>1463</v>
      </c>
      <c r="D118" s="99" t="s">
        <v>18</v>
      </c>
      <c r="E118" s="99" t="s">
        <v>13</v>
      </c>
      <c r="F118" s="99">
        <v>2116001</v>
      </c>
      <c r="G118" s="99">
        <v>2</v>
      </c>
      <c r="H118" s="100">
        <v>0</v>
      </c>
    </row>
    <row r="119" spans="1:8">
      <c r="A119" s="99" t="s">
        <v>1493</v>
      </c>
      <c r="B119" s="99" t="s">
        <v>9</v>
      </c>
      <c r="C119" s="99" t="s">
        <v>892</v>
      </c>
      <c r="D119" s="99" t="s">
        <v>1494</v>
      </c>
      <c r="E119" s="99" t="s">
        <v>13</v>
      </c>
      <c r="F119" s="99">
        <v>2116001</v>
      </c>
      <c r="G119" s="99">
        <v>1</v>
      </c>
      <c r="H119" s="100">
        <v>3</v>
      </c>
    </row>
    <row r="120" spans="1:8">
      <c r="A120" s="99" t="s">
        <v>1495</v>
      </c>
      <c r="B120" s="99" t="s">
        <v>9</v>
      </c>
      <c r="C120" s="99" t="s">
        <v>58</v>
      </c>
      <c r="D120" s="99" t="s">
        <v>1047</v>
      </c>
      <c r="E120" s="99" t="s">
        <v>13</v>
      </c>
      <c r="F120" s="99">
        <v>2116001</v>
      </c>
      <c r="G120" s="99">
        <v>1</v>
      </c>
      <c r="H120" s="100" t="s">
        <v>1447</v>
      </c>
    </row>
    <row r="121" spans="1:8">
      <c r="A121" s="99" t="s">
        <v>1142</v>
      </c>
      <c r="B121" s="99" t="s">
        <v>9</v>
      </c>
      <c r="C121" s="99" t="s">
        <v>241</v>
      </c>
      <c r="D121" s="99" t="s">
        <v>22</v>
      </c>
      <c r="E121" s="99" t="s">
        <v>13</v>
      </c>
      <c r="F121" s="99">
        <v>2116001</v>
      </c>
      <c r="G121" s="99">
        <v>8</v>
      </c>
      <c r="H121" s="100">
        <v>3</v>
      </c>
    </row>
    <row r="122" spans="1:8">
      <c r="A122" s="99" t="s">
        <v>1496</v>
      </c>
      <c r="B122" s="99" t="s">
        <v>9</v>
      </c>
      <c r="C122" s="99" t="s">
        <v>150</v>
      </c>
      <c r="D122" s="99" t="s">
        <v>39</v>
      </c>
      <c r="E122" s="99" t="s">
        <v>13</v>
      </c>
      <c r="F122" s="99">
        <v>2116001</v>
      </c>
      <c r="G122" s="99">
        <v>1</v>
      </c>
      <c r="H122" s="100" t="s">
        <v>1447</v>
      </c>
    </row>
    <row r="123" spans="1:8">
      <c r="A123" s="99" t="s">
        <v>1497</v>
      </c>
      <c r="B123" s="99" t="s">
        <v>9</v>
      </c>
      <c r="C123" s="99" t="s">
        <v>131</v>
      </c>
      <c r="D123" s="99" t="s">
        <v>39</v>
      </c>
      <c r="E123" s="99" t="s">
        <v>13</v>
      </c>
      <c r="F123" s="99">
        <v>2116001</v>
      </c>
      <c r="G123" s="99">
        <v>2</v>
      </c>
      <c r="H123" s="100" t="s">
        <v>1447</v>
      </c>
    </row>
    <row r="124" spans="1:8">
      <c r="A124" s="99" t="s">
        <v>1143</v>
      </c>
      <c r="B124" s="99" t="s">
        <v>9</v>
      </c>
      <c r="C124" s="99" t="s">
        <v>139</v>
      </c>
      <c r="D124" s="99" t="s">
        <v>39</v>
      </c>
      <c r="E124" s="99" t="s">
        <v>13</v>
      </c>
      <c r="F124" s="99">
        <v>2116001</v>
      </c>
      <c r="G124" s="99">
        <v>4</v>
      </c>
      <c r="H124" s="100" t="s">
        <v>1447</v>
      </c>
    </row>
    <row r="125" spans="1:8">
      <c r="A125" s="99" t="s">
        <v>1498</v>
      </c>
      <c r="B125" s="99" t="s">
        <v>9</v>
      </c>
      <c r="C125" s="99" t="s">
        <v>1430</v>
      </c>
      <c r="D125" s="99" t="s">
        <v>39</v>
      </c>
      <c r="E125" s="99" t="s">
        <v>13</v>
      </c>
      <c r="F125" s="99">
        <v>2116001</v>
      </c>
      <c r="G125" s="99">
        <v>1</v>
      </c>
      <c r="H125" s="100">
        <v>3</v>
      </c>
    </row>
    <row r="126" spans="1:8">
      <c r="A126" s="99" t="s">
        <v>1499</v>
      </c>
      <c r="B126" s="99" t="s">
        <v>9</v>
      </c>
      <c r="C126" s="99" t="s">
        <v>1430</v>
      </c>
      <c r="D126" s="99" t="s">
        <v>39</v>
      </c>
      <c r="E126" s="99" t="s">
        <v>13</v>
      </c>
      <c r="F126" s="99">
        <v>2116001</v>
      </c>
      <c r="G126" s="99">
        <v>1</v>
      </c>
      <c r="H126" s="100">
        <v>3</v>
      </c>
    </row>
    <row r="127" spans="1:8">
      <c r="A127" s="99" t="s">
        <v>1500</v>
      </c>
      <c r="B127" s="99" t="s">
        <v>9</v>
      </c>
      <c r="C127" s="99" t="s">
        <v>1480</v>
      </c>
      <c r="D127" s="99" t="s">
        <v>18</v>
      </c>
      <c r="E127" s="99" t="s">
        <v>13</v>
      </c>
      <c r="F127" s="99">
        <v>2116001</v>
      </c>
      <c r="G127" s="99">
        <v>1</v>
      </c>
      <c r="H127" s="100">
        <v>1</v>
      </c>
    </row>
    <row r="128" spans="1:8">
      <c r="A128" s="99" t="s">
        <v>1501</v>
      </c>
      <c r="B128" s="99" t="s">
        <v>9</v>
      </c>
      <c r="C128" s="99" t="s">
        <v>1502</v>
      </c>
      <c r="D128" s="99" t="s">
        <v>195</v>
      </c>
      <c r="E128" s="99" t="s">
        <v>13</v>
      </c>
      <c r="F128" s="99">
        <v>2116001</v>
      </c>
      <c r="G128" s="99">
        <v>1</v>
      </c>
      <c r="H128" s="100" t="s">
        <v>1421</v>
      </c>
    </row>
    <row r="129" spans="1:8">
      <c r="A129" s="99" t="s">
        <v>552</v>
      </c>
      <c r="B129" s="99" t="s">
        <v>9</v>
      </c>
      <c r="C129" s="99" t="s">
        <v>174</v>
      </c>
      <c r="D129" s="99" t="s">
        <v>22</v>
      </c>
      <c r="E129" s="99" t="s">
        <v>13</v>
      </c>
      <c r="F129" s="99">
        <v>2116001</v>
      </c>
      <c r="G129" s="99">
        <v>1</v>
      </c>
      <c r="H129" s="100" t="s">
        <v>1421</v>
      </c>
    </row>
    <row r="130" spans="1:8">
      <c r="A130" s="99" t="s">
        <v>1503</v>
      </c>
      <c r="B130" s="99" t="s">
        <v>9</v>
      </c>
      <c r="C130" s="99" t="s">
        <v>1504</v>
      </c>
      <c r="D130" s="99" t="s">
        <v>39</v>
      </c>
      <c r="E130" s="99" t="s">
        <v>13</v>
      </c>
      <c r="F130" s="99">
        <v>2116001</v>
      </c>
      <c r="G130" s="99">
        <v>1</v>
      </c>
      <c r="H130" s="100" t="s">
        <v>1399</v>
      </c>
    </row>
    <row r="131" spans="1:8">
      <c r="A131" s="99" t="s">
        <v>1505</v>
      </c>
      <c r="B131" s="99" t="s">
        <v>9</v>
      </c>
      <c r="C131" s="99" t="s">
        <v>1438</v>
      </c>
      <c r="D131" s="99" t="s">
        <v>39</v>
      </c>
      <c r="E131" s="99" t="s">
        <v>13</v>
      </c>
      <c r="F131" s="99">
        <v>2116001</v>
      </c>
      <c r="G131" s="99">
        <v>1</v>
      </c>
      <c r="H131" s="100" t="s">
        <v>1399</v>
      </c>
    </row>
    <row r="132" spans="1:8">
      <c r="A132" s="99" t="s">
        <v>553</v>
      </c>
      <c r="B132" s="99" t="s">
        <v>9</v>
      </c>
      <c r="C132" s="99" t="s">
        <v>554</v>
      </c>
      <c r="D132" s="99" t="s">
        <v>22</v>
      </c>
      <c r="E132" s="99" t="s">
        <v>13</v>
      </c>
      <c r="F132" s="99">
        <v>2116001</v>
      </c>
      <c r="G132" s="99">
        <v>2</v>
      </c>
      <c r="H132" s="99" t="s">
        <v>1427</v>
      </c>
    </row>
    <row r="133" spans="1:8">
      <c r="A133" s="99" t="s">
        <v>1506</v>
      </c>
      <c r="B133" s="99" t="s">
        <v>9</v>
      </c>
      <c r="C133" s="99" t="s">
        <v>1507</v>
      </c>
      <c r="D133" s="99" t="s">
        <v>230</v>
      </c>
      <c r="E133" s="99" t="s">
        <v>13</v>
      </c>
      <c r="F133" s="99">
        <v>2116001</v>
      </c>
      <c r="G133" s="99">
        <v>7</v>
      </c>
      <c r="H133" s="100">
        <v>3</v>
      </c>
    </row>
    <row r="134" spans="1:8">
      <c r="A134" s="99" t="s">
        <v>1145</v>
      </c>
      <c r="B134" s="99" t="s">
        <v>9</v>
      </c>
      <c r="C134" s="99" t="s">
        <v>1134</v>
      </c>
      <c r="D134" s="99" t="s">
        <v>22</v>
      </c>
      <c r="E134" s="99" t="s">
        <v>13</v>
      </c>
      <c r="F134" s="99">
        <v>2116001</v>
      </c>
      <c r="G134" s="99">
        <v>2</v>
      </c>
      <c r="H134" s="100" t="s">
        <v>1399</v>
      </c>
    </row>
    <row r="135" spans="1:8">
      <c r="A135" s="99" t="s">
        <v>1508</v>
      </c>
      <c r="B135" s="99" t="s">
        <v>9</v>
      </c>
      <c r="C135" s="99" t="s">
        <v>241</v>
      </c>
      <c r="D135" s="99" t="s">
        <v>22</v>
      </c>
      <c r="E135" s="99" t="s">
        <v>13</v>
      </c>
      <c r="F135" s="99">
        <v>2116001</v>
      </c>
      <c r="G135" s="99">
        <v>1</v>
      </c>
      <c r="H135" s="100">
        <v>0</v>
      </c>
    </row>
    <row r="136" spans="1:8">
      <c r="A136" s="99" t="s">
        <v>1509</v>
      </c>
      <c r="B136" s="99" t="s">
        <v>9</v>
      </c>
      <c r="C136" s="99" t="s">
        <v>241</v>
      </c>
      <c r="D136" s="99" t="s">
        <v>22</v>
      </c>
      <c r="E136" s="99" t="s">
        <v>13</v>
      </c>
      <c r="F136" s="99">
        <v>2116001</v>
      </c>
      <c r="G136" s="99">
        <v>1</v>
      </c>
      <c r="H136" s="100" t="s">
        <v>1402</v>
      </c>
    </row>
    <row r="137" spans="1:8">
      <c r="A137" s="99" t="s">
        <v>1510</v>
      </c>
      <c r="B137" s="99" t="s">
        <v>9</v>
      </c>
      <c r="C137" s="99" t="s">
        <v>241</v>
      </c>
      <c r="D137" s="99" t="s">
        <v>22</v>
      </c>
      <c r="E137" s="99" t="s">
        <v>13</v>
      </c>
      <c r="F137" s="99">
        <v>2116001</v>
      </c>
      <c r="G137" s="99">
        <v>2</v>
      </c>
      <c r="H137" s="100" t="s">
        <v>1447</v>
      </c>
    </row>
    <row r="138" spans="1:8">
      <c r="A138" s="99" t="s">
        <v>1511</v>
      </c>
      <c r="B138" s="99" t="s">
        <v>9</v>
      </c>
      <c r="C138" s="99" t="s">
        <v>241</v>
      </c>
      <c r="D138" s="99" t="s">
        <v>22</v>
      </c>
      <c r="E138" s="99" t="s">
        <v>13</v>
      </c>
      <c r="F138" s="99">
        <v>2116001</v>
      </c>
      <c r="G138" s="99">
        <v>2</v>
      </c>
      <c r="H138" s="100" t="s">
        <v>1402</v>
      </c>
    </row>
    <row r="139" spans="1:8">
      <c r="A139" s="99" t="s">
        <v>1512</v>
      </c>
      <c r="B139" s="99" t="s">
        <v>9</v>
      </c>
      <c r="C139" s="99" t="s">
        <v>272</v>
      </c>
      <c r="D139" s="99" t="s">
        <v>39</v>
      </c>
      <c r="E139" s="99" t="s">
        <v>13</v>
      </c>
      <c r="F139" s="99">
        <v>2116001</v>
      </c>
      <c r="G139" s="99">
        <v>1</v>
      </c>
      <c r="H139" s="100">
        <v>4</v>
      </c>
    </row>
    <row r="140" spans="1:8">
      <c r="A140" s="99" t="s">
        <v>1146</v>
      </c>
      <c r="B140" s="99" t="s">
        <v>9</v>
      </c>
      <c r="C140" s="99" t="s">
        <v>16</v>
      </c>
      <c r="D140" s="99" t="s">
        <v>18</v>
      </c>
      <c r="E140" s="99" t="s">
        <v>13</v>
      </c>
      <c r="F140" s="99">
        <v>2116001</v>
      </c>
      <c r="G140" s="99">
        <v>1</v>
      </c>
      <c r="H140" s="100" t="s">
        <v>1402</v>
      </c>
    </row>
    <row r="141" spans="1:8">
      <c r="A141" s="99" t="s">
        <v>1513</v>
      </c>
      <c r="B141" s="99" t="s">
        <v>9</v>
      </c>
      <c r="C141" s="99" t="s">
        <v>1453</v>
      </c>
      <c r="D141" s="99" t="s">
        <v>22</v>
      </c>
      <c r="E141" s="99" t="s">
        <v>13</v>
      </c>
      <c r="F141" s="99">
        <v>2116001</v>
      </c>
      <c r="G141" s="99">
        <v>1</v>
      </c>
      <c r="H141" s="100" t="s">
        <v>1402</v>
      </c>
    </row>
    <row r="142" spans="1:8">
      <c r="A142" s="99" t="s">
        <v>1514</v>
      </c>
      <c r="B142" s="99" t="s">
        <v>9</v>
      </c>
      <c r="C142" s="99" t="s">
        <v>1515</v>
      </c>
      <c r="D142" s="99" t="s">
        <v>39</v>
      </c>
      <c r="E142" s="99" t="s">
        <v>13</v>
      </c>
      <c r="F142" s="99">
        <v>2116001</v>
      </c>
      <c r="G142" s="99">
        <v>1</v>
      </c>
      <c r="H142" s="100">
        <v>4</v>
      </c>
    </row>
    <row r="143" spans="1:8">
      <c r="A143" s="99" t="s">
        <v>1516</v>
      </c>
      <c r="B143" s="99" t="s">
        <v>9</v>
      </c>
      <c r="C143" s="99" t="s">
        <v>281</v>
      </c>
      <c r="D143" s="99" t="s">
        <v>18</v>
      </c>
      <c r="E143" s="99" t="s">
        <v>13</v>
      </c>
      <c r="F143" s="99">
        <v>2116001</v>
      </c>
      <c r="G143" s="99">
        <v>2</v>
      </c>
      <c r="H143" s="100">
        <v>2</v>
      </c>
    </row>
    <row r="144" spans="1:8">
      <c r="A144" s="99" t="s">
        <v>1147</v>
      </c>
      <c r="B144" s="99" t="s">
        <v>9</v>
      </c>
      <c r="C144" s="99" t="s">
        <v>1148</v>
      </c>
      <c r="D144" s="99" t="s">
        <v>22</v>
      </c>
      <c r="E144" s="99" t="s">
        <v>13</v>
      </c>
      <c r="F144" s="99">
        <v>2116001</v>
      </c>
      <c r="G144" s="99">
        <v>1</v>
      </c>
      <c r="H144" s="100" t="s">
        <v>1402</v>
      </c>
    </row>
    <row r="145" spans="1:8">
      <c r="A145" s="99" t="s">
        <v>1517</v>
      </c>
      <c r="B145" s="99" t="s">
        <v>9</v>
      </c>
      <c r="C145" s="99" t="s">
        <v>262</v>
      </c>
      <c r="D145" s="99" t="s">
        <v>18</v>
      </c>
      <c r="E145" s="99" t="s">
        <v>13</v>
      </c>
      <c r="F145" s="99">
        <v>2116001</v>
      </c>
      <c r="G145" s="99">
        <v>1</v>
      </c>
      <c r="H145" s="100">
        <v>2</v>
      </c>
    </row>
    <row r="146" spans="1:8">
      <c r="A146" s="99" t="s">
        <v>1518</v>
      </c>
      <c r="B146" s="99" t="s">
        <v>9</v>
      </c>
      <c r="C146" s="99" t="s">
        <v>1519</v>
      </c>
      <c r="D146" s="99" t="s">
        <v>22</v>
      </c>
      <c r="E146" s="99" t="s">
        <v>13</v>
      </c>
      <c r="F146" s="99">
        <v>2116001</v>
      </c>
      <c r="G146" s="99">
        <v>1</v>
      </c>
      <c r="H146" s="100">
        <v>4</v>
      </c>
    </row>
    <row r="147" spans="1:8">
      <c r="A147" s="99" t="s">
        <v>1149</v>
      </c>
      <c r="B147" s="99" t="s">
        <v>9</v>
      </c>
      <c r="C147" s="99" t="s">
        <v>557</v>
      </c>
      <c r="D147" s="99" t="s">
        <v>22</v>
      </c>
      <c r="E147" s="99" t="s">
        <v>13</v>
      </c>
      <c r="F147" s="99">
        <v>2116001</v>
      </c>
      <c r="G147" s="99">
        <v>9</v>
      </c>
      <c r="H147" s="100">
        <v>5</v>
      </c>
    </row>
    <row r="148" spans="1:8">
      <c r="A148" s="99" t="s">
        <v>1150</v>
      </c>
      <c r="B148" s="99" t="s">
        <v>9</v>
      </c>
      <c r="C148" s="99" t="s">
        <v>558</v>
      </c>
      <c r="D148" s="99" t="s">
        <v>22</v>
      </c>
      <c r="E148" s="99" t="s">
        <v>13</v>
      </c>
      <c r="F148" s="99">
        <v>2116001</v>
      </c>
      <c r="G148" s="99">
        <v>5</v>
      </c>
      <c r="H148" s="100">
        <v>1</v>
      </c>
    </row>
    <row r="149" spans="1:8">
      <c r="A149" s="99" t="s">
        <v>1151</v>
      </c>
      <c r="B149" s="99" t="s">
        <v>9</v>
      </c>
      <c r="C149" s="99" t="s">
        <v>557</v>
      </c>
      <c r="D149" s="99" t="s">
        <v>22</v>
      </c>
      <c r="E149" s="99" t="s">
        <v>13</v>
      </c>
      <c r="F149" s="99">
        <v>2116001</v>
      </c>
      <c r="G149" s="99">
        <v>1</v>
      </c>
      <c r="H149" s="100">
        <v>4</v>
      </c>
    </row>
    <row r="150" spans="1:8">
      <c r="A150" s="99" t="s">
        <v>1520</v>
      </c>
      <c r="B150" s="99" t="s">
        <v>9</v>
      </c>
      <c r="C150" s="99" t="s">
        <v>1519</v>
      </c>
      <c r="D150" s="99" t="s">
        <v>22</v>
      </c>
      <c r="E150" s="99" t="s">
        <v>13</v>
      </c>
      <c r="F150" s="99">
        <v>2116001</v>
      </c>
      <c r="G150" s="99">
        <v>5</v>
      </c>
      <c r="H150" s="100">
        <v>0</v>
      </c>
    </row>
    <row r="151" spans="1:8">
      <c r="A151" s="99" t="s">
        <v>1152</v>
      </c>
      <c r="B151" s="99" t="s">
        <v>9</v>
      </c>
      <c r="C151" s="99" t="s">
        <v>557</v>
      </c>
      <c r="D151" s="99" t="s">
        <v>22</v>
      </c>
      <c r="E151" s="99" t="s">
        <v>13</v>
      </c>
      <c r="F151" s="99">
        <v>2116001</v>
      </c>
      <c r="G151" s="99">
        <v>12</v>
      </c>
      <c r="H151" s="100">
        <v>3</v>
      </c>
    </row>
    <row r="152" spans="1:8">
      <c r="A152" s="99" t="s">
        <v>556</v>
      </c>
      <c r="B152" s="99" t="s">
        <v>9</v>
      </c>
      <c r="C152" s="99" t="s">
        <v>557</v>
      </c>
      <c r="D152" s="99" t="s">
        <v>22</v>
      </c>
      <c r="E152" s="99" t="s">
        <v>13</v>
      </c>
      <c r="F152" s="99">
        <v>2116001</v>
      </c>
      <c r="G152" s="99">
        <v>20</v>
      </c>
      <c r="H152" s="100" t="s">
        <v>1521</v>
      </c>
    </row>
    <row r="153" spans="1:8">
      <c r="A153" s="99" t="s">
        <v>1522</v>
      </c>
      <c r="B153" s="99" t="s">
        <v>9</v>
      </c>
      <c r="C153" s="99" t="s">
        <v>1519</v>
      </c>
      <c r="D153" s="99" t="s">
        <v>22</v>
      </c>
      <c r="E153" s="99" t="s">
        <v>13</v>
      </c>
      <c r="F153" s="99">
        <v>2116001</v>
      </c>
      <c r="G153" s="99">
        <v>4</v>
      </c>
      <c r="H153" s="99" t="s">
        <v>1523</v>
      </c>
    </row>
    <row r="154" spans="1:8">
      <c r="A154" s="99" t="s">
        <v>1153</v>
      </c>
      <c r="B154" s="99" t="s">
        <v>9</v>
      </c>
      <c r="C154" s="99" t="s">
        <v>557</v>
      </c>
      <c r="D154" s="99" t="s">
        <v>22</v>
      </c>
      <c r="E154" s="99" t="s">
        <v>13</v>
      </c>
      <c r="F154" s="99">
        <v>2116001</v>
      </c>
      <c r="G154" s="99">
        <v>36</v>
      </c>
      <c r="H154" s="99" t="s">
        <v>1524</v>
      </c>
    </row>
    <row r="155" spans="1:8">
      <c r="A155" s="99" t="s">
        <v>1525</v>
      </c>
      <c r="B155" s="99" t="s">
        <v>9</v>
      </c>
      <c r="C155" s="99" t="s">
        <v>1519</v>
      </c>
      <c r="D155" s="99" t="s">
        <v>22</v>
      </c>
      <c r="E155" s="99" t="s">
        <v>13</v>
      </c>
      <c r="F155" s="99">
        <v>2116001</v>
      </c>
      <c r="G155" s="99">
        <v>32</v>
      </c>
      <c r="H155" s="100">
        <v>0</v>
      </c>
    </row>
    <row r="156" spans="1:8">
      <c r="A156" s="99" t="s">
        <v>1154</v>
      </c>
      <c r="B156" s="99" t="s">
        <v>9</v>
      </c>
      <c r="C156" s="99" t="s">
        <v>557</v>
      </c>
      <c r="D156" s="99" t="s">
        <v>22</v>
      </c>
      <c r="E156" s="99" t="s">
        <v>13</v>
      </c>
      <c r="F156" s="99">
        <v>2116001</v>
      </c>
      <c r="G156" s="99">
        <v>12</v>
      </c>
      <c r="H156" s="100" t="s">
        <v>1526</v>
      </c>
    </row>
    <row r="157" spans="1:8">
      <c r="A157" s="99" t="s">
        <v>1155</v>
      </c>
      <c r="B157" s="99" t="s">
        <v>9</v>
      </c>
      <c r="C157" s="99" t="s">
        <v>557</v>
      </c>
      <c r="D157" s="99" t="s">
        <v>22</v>
      </c>
      <c r="E157" s="99" t="s">
        <v>13</v>
      </c>
      <c r="F157" s="99">
        <v>2116001</v>
      </c>
      <c r="G157" s="99">
        <v>8</v>
      </c>
      <c r="H157" s="100" t="s">
        <v>1421</v>
      </c>
    </row>
    <row r="158" spans="1:8">
      <c r="A158" s="99" t="s">
        <v>1156</v>
      </c>
      <c r="B158" s="99" t="s">
        <v>9</v>
      </c>
      <c r="C158" s="99" t="s">
        <v>557</v>
      </c>
      <c r="D158" s="99" t="s">
        <v>22</v>
      </c>
      <c r="E158" s="99" t="s">
        <v>13</v>
      </c>
      <c r="F158" s="99">
        <v>2116001</v>
      </c>
      <c r="G158" s="99">
        <v>8</v>
      </c>
      <c r="H158" s="100">
        <v>3</v>
      </c>
    </row>
    <row r="159" spans="1:8">
      <c r="A159" s="99" t="s">
        <v>1527</v>
      </c>
      <c r="B159" s="99" t="s">
        <v>9</v>
      </c>
      <c r="C159" s="99" t="s">
        <v>1519</v>
      </c>
      <c r="D159" s="99" t="s">
        <v>22</v>
      </c>
      <c r="E159" s="99" t="s">
        <v>13</v>
      </c>
      <c r="F159" s="99">
        <v>2116001</v>
      </c>
      <c r="G159" s="99">
        <v>4</v>
      </c>
      <c r="H159" s="100">
        <v>3</v>
      </c>
    </row>
    <row r="160" spans="1:8">
      <c r="A160" s="99" t="s">
        <v>1528</v>
      </c>
      <c r="B160" s="99" t="s">
        <v>9</v>
      </c>
      <c r="C160" s="99" t="s">
        <v>1463</v>
      </c>
      <c r="D160" s="99" t="s">
        <v>18</v>
      </c>
      <c r="E160" s="99" t="s">
        <v>13</v>
      </c>
      <c r="F160" s="99">
        <v>2116001</v>
      </c>
      <c r="G160" s="99">
        <v>1</v>
      </c>
      <c r="H160" s="100">
        <v>5</v>
      </c>
    </row>
    <row r="161" spans="1:8">
      <c r="A161" s="99" t="s">
        <v>1529</v>
      </c>
      <c r="B161" s="99" t="s">
        <v>9</v>
      </c>
      <c r="C161" s="99" t="s">
        <v>1530</v>
      </c>
      <c r="D161" s="99" t="s">
        <v>18</v>
      </c>
      <c r="E161" s="99" t="s">
        <v>13</v>
      </c>
      <c r="F161" s="99">
        <v>2116001</v>
      </c>
      <c r="G161" s="99">
        <v>1</v>
      </c>
      <c r="H161" s="100">
        <v>2</v>
      </c>
    </row>
    <row r="162" spans="1:8">
      <c r="A162" s="99" t="s">
        <v>1531</v>
      </c>
      <c r="B162" s="99" t="s">
        <v>9</v>
      </c>
      <c r="C162" s="99" t="s">
        <v>1463</v>
      </c>
      <c r="D162" s="99" t="s">
        <v>18</v>
      </c>
      <c r="E162" s="99" t="s">
        <v>13</v>
      </c>
      <c r="F162" s="99">
        <v>2116001</v>
      </c>
      <c r="G162" s="99">
        <v>1</v>
      </c>
      <c r="H162" s="100">
        <v>6</v>
      </c>
    </row>
    <row r="163" spans="1:8">
      <c r="A163" s="99" t="s">
        <v>1532</v>
      </c>
      <c r="B163" s="99" t="s">
        <v>9</v>
      </c>
      <c r="C163" s="99" t="s">
        <v>1533</v>
      </c>
      <c r="D163" s="99" t="s">
        <v>12</v>
      </c>
      <c r="E163" s="99" t="s">
        <v>13</v>
      </c>
      <c r="F163" s="99">
        <v>2116001</v>
      </c>
      <c r="G163" s="99">
        <v>1</v>
      </c>
      <c r="H163" s="100">
        <v>6</v>
      </c>
    </row>
    <row r="164" spans="1:8">
      <c r="A164" s="99" t="s">
        <v>1534</v>
      </c>
      <c r="B164" s="99" t="s">
        <v>9</v>
      </c>
      <c r="C164" s="99" t="s">
        <v>156</v>
      </c>
      <c r="D164" s="99" t="s">
        <v>12</v>
      </c>
      <c r="E164" s="99" t="s">
        <v>13</v>
      </c>
      <c r="F164" s="99">
        <v>2116001</v>
      </c>
      <c r="G164" s="99">
        <v>1</v>
      </c>
      <c r="H164" s="100">
        <v>0</v>
      </c>
    </row>
    <row r="165" spans="1:8">
      <c r="A165" s="99" t="s">
        <v>1535</v>
      </c>
      <c r="B165" s="99" t="s">
        <v>9</v>
      </c>
      <c r="C165" s="99" t="s">
        <v>1519</v>
      </c>
      <c r="D165" s="99" t="s">
        <v>12</v>
      </c>
      <c r="E165" s="99" t="s">
        <v>13</v>
      </c>
      <c r="F165" s="99">
        <v>2116001</v>
      </c>
      <c r="G165" s="99">
        <v>1</v>
      </c>
      <c r="H165" s="100">
        <v>6</v>
      </c>
    </row>
    <row r="166" spans="1:8">
      <c r="A166" s="99" t="s">
        <v>1536</v>
      </c>
      <c r="B166" s="99" t="s">
        <v>9</v>
      </c>
      <c r="C166" s="99" t="s">
        <v>1537</v>
      </c>
      <c r="D166" s="99" t="s">
        <v>1538</v>
      </c>
      <c r="E166" s="99" t="s">
        <v>13</v>
      </c>
      <c r="F166" s="99">
        <v>2116001</v>
      </c>
      <c r="G166" s="99">
        <v>1</v>
      </c>
      <c r="H166" s="100">
        <v>6</v>
      </c>
    </row>
    <row r="167" spans="1:8">
      <c r="A167" s="99" t="s">
        <v>559</v>
      </c>
      <c r="B167" s="99" t="s">
        <v>9</v>
      </c>
      <c r="C167" s="99" t="s">
        <v>121</v>
      </c>
      <c r="D167" s="99" t="s">
        <v>22</v>
      </c>
      <c r="E167" s="99" t="s">
        <v>13</v>
      </c>
      <c r="F167" s="99">
        <v>2116001</v>
      </c>
      <c r="G167" s="99">
        <v>120</v>
      </c>
      <c r="H167" s="99" t="s">
        <v>1539</v>
      </c>
    </row>
    <row r="168" spans="1:8">
      <c r="A168" s="99" t="s">
        <v>1158</v>
      </c>
      <c r="B168" s="99" t="s">
        <v>9</v>
      </c>
      <c r="C168" s="99" t="s">
        <v>121</v>
      </c>
      <c r="D168" s="99" t="s">
        <v>22</v>
      </c>
      <c r="E168" s="99" t="s">
        <v>13</v>
      </c>
      <c r="F168" s="99">
        <v>2116001</v>
      </c>
      <c r="G168" s="99">
        <v>1</v>
      </c>
      <c r="H168" s="100">
        <v>5</v>
      </c>
    </row>
    <row r="169" spans="1:8">
      <c r="A169" s="99" t="s">
        <v>1540</v>
      </c>
      <c r="B169" s="99" t="s">
        <v>9</v>
      </c>
      <c r="C169" s="99" t="s">
        <v>1541</v>
      </c>
      <c r="D169" s="99" t="s">
        <v>39</v>
      </c>
      <c r="E169" s="99" t="s">
        <v>13</v>
      </c>
      <c r="F169" s="99">
        <v>2116001</v>
      </c>
      <c r="G169" s="99">
        <v>1</v>
      </c>
      <c r="H169" s="100" t="s">
        <v>1399</v>
      </c>
    </row>
    <row r="170" spans="1:8">
      <c r="A170" s="99" t="s">
        <v>1542</v>
      </c>
      <c r="B170" s="99" t="s">
        <v>9</v>
      </c>
      <c r="C170" s="99" t="s">
        <v>1543</v>
      </c>
      <c r="D170" s="99" t="s">
        <v>18</v>
      </c>
      <c r="E170" s="99" t="s">
        <v>13</v>
      </c>
      <c r="F170" s="99">
        <v>2116001</v>
      </c>
      <c r="G170" s="99">
        <v>1</v>
      </c>
      <c r="H170" s="100">
        <v>2</v>
      </c>
    </row>
    <row r="171" spans="1:8">
      <c r="A171" s="99" t="s">
        <v>1544</v>
      </c>
      <c r="B171" s="99" t="s">
        <v>9</v>
      </c>
      <c r="C171" s="99" t="s">
        <v>1545</v>
      </c>
      <c r="D171" s="99" t="s">
        <v>12</v>
      </c>
      <c r="E171" s="99" t="s">
        <v>13</v>
      </c>
      <c r="F171" s="99">
        <v>2116001</v>
      </c>
      <c r="G171" s="99">
        <v>1</v>
      </c>
      <c r="H171" s="100">
        <v>6</v>
      </c>
    </row>
    <row r="172" spans="1:8">
      <c r="A172" s="99" t="s">
        <v>1546</v>
      </c>
      <c r="B172" s="99" t="s">
        <v>9</v>
      </c>
      <c r="C172" s="99" t="s">
        <v>1545</v>
      </c>
      <c r="D172" s="99" t="s">
        <v>12</v>
      </c>
      <c r="E172" s="99" t="s">
        <v>13</v>
      </c>
      <c r="F172" s="99">
        <v>2116001</v>
      </c>
      <c r="G172" s="99">
        <v>2</v>
      </c>
      <c r="H172" s="100">
        <v>6</v>
      </c>
    </row>
    <row r="173" spans="1:8">
      <c r="A173" s="99" t="s">
        <v>1160</v>
      </c>
      <c r="B173" s="99" t="s">
        <v>9</v>
      </c>
      <c r="C173" s="99" t="s">
        <v>312</v>
      </c>
      <c r="D173" s="99" t="s">
        <v>22</v>
      </c>
      <c r="E173" s="99" t="s">
        <v>13</v>
      </c>
      <c r="F173" s="99">
        <v>2116001</v>
      </c>
      <c r="G173" s="99">
        <v>2</v>
      </c>
      <c r="H173" s="99" t="s">
        <v>1547</v>
      </c>
    </row>
    <row r="174" spans="1:8">
      <c r="A174" s="99" t="s">
        <v>565</v>
      </c>
      <c r="B174" s="99" t="s">
        <v>9</v>
      </c>
      <c r="C174" s="99" t="s">
        <v>566</v>
      </c>
      <c r="D174" s="99" t="s">
        <v>18</v>
      </c>
      <c r="E174" s="99" t="s">
        <v>13</v>
      </c>
      <c r="F174" s="99">
        <v>2116001</v>
      </c>
      <c r="G174" s="99">
        <v>4</v>
      </c>
      <c r="H174" s="100" t="s">
        <v>1402</v>
      </c>
    </row>
    <row r="175" spans="1:8">
      <c r="A175" s="99" t="s">
        <v>1548</v>
      </c>
      <c r="B175" s="99" t="s">
        <v>9</v>
      </c>
      <c r="C175" s="99" t="s">
        <v>16</v>
      </c>
      <c r="D175" s="99" t="s">
        <v>18</v>
      </c>
      <c r="E175" s="99" t="s">
        <v>13</v>
      </c>
      <c r="F175" s="99">
        <v>2116001</v>
      </c>
      <c r="G175" s="99">
        <v>1</v>
      </c>
      <c r="H175" s="100" t="s">
        <v>1402</v>
      </c>
    </row>
    <row r="176" spans="1:8">
      <c r="A176" s="99" t="s">
        <v>1161</v>
      </c>
      <c r="B176" s="99" t="s">
        <v>9</v>
      </c>
      <c r="C176" s="99" t="s">
        <v>974</v>
      </c>
      <c r="D176" s="99" t="s">
        <v>18</v>
      </c>
      <c r="E176" s="99" t="s">
        <v>13</v>
      </c>
      <c r="F176" s="99">
        <v>2116001</v>
      </c>
      <c r="G176" s="99">
        <v>1</v>
      </c>
      <c r="H176" s="100">
        <v>0</v>
      </c>
    </row>
    <row r="177" spans="1:8">
      <c r="A177" s="99" t="s">
        <v>1549</v>
      </c>
      <c r="B177" s="99" t="s">
        <v>9</v>
      </c>
      <c r="C177" s="99" t="s">
        <v>56</v>
      </c>
      <c r="D177" s="99" t="s">
        <v>39</v>
      </c>
      <c r="E177" s="99" t="s">
        <v>13</v>
      </c>
      <c r="F177" s="99">
        <v>2116001</v>
      </c>
      <c r="G177" s="99">
        <v>1</v>
      </c>
      <c r="H177" s="100">
        <v>6</v>
      </c>
    </row>
    <row r="178" spans="1:8">
      <c r="A178" s="99" t="s">
        <v>1550</v>
      </c>
      <c r="B178" s="99" t="s">
        <v>9</v>
      </c>
      <c r="C178" s="99" t="s">
        <v>1551</v>
      </c>
      <c r="D178" s="99" t="s">
        <v>12</v>
      </c>
      <c r="E178" s="99" t="s">
        <v>13</v>
      </c>
      <c r="F178" s="99">
        <v>2116001</v>
      </c>
      <c r="G178" s="99">
        <v>1</v>
      </c>
      <c r="H178" s="100">
        <v>0</v>
      </c>
    </row>
    <row r="179" spans="1:8">
      <c r="A179" s="99" t="s">
        <v>1552</v>
      </c>
      <c r="B179" s="99" t="s">
        <v>9</v>
      </c>
      <c r="C179" s="99" t="s">
        <v>1553</v>
      </c>
      <c r="D179" s="99" t="s">
        <v>22</v>
      </c>
      <c r="E179" s="99" t="s">
        <v>13</v>
      </c>
      <c r="F179" s="99">
        <v>2116001</v>
      </c>
      <c r="G179" s="99">
        <v>1</v>
      </c>
      <c r="H179" s="100">
        <v>6</v>
      </c>
    </row>
    <row r="180" spans="1:8">
      <c r="A180" s="99" t="s">
        <v>573</v>
      </c>
      <c r="B180" s="99" t="s">
        <v>9</v>
      </c>
      <c r="C180" s="99" t="s">
        <v>574</v>
      </c>
      <c r="D180" s="99" t="s">
        <v>22</v>
      </c>
      <c r="E180" s="99" t="s">
        <v>13</v>
      </c>
      <c r="F180" s="99">
        <v>2116001</v>
      </c>
      <c r="G180" s="99">
        <v>1</v>
      </c>
      <c r="H180" s="100">
        <v>6</v>
      </c>
    </row>
    <row r="181" spans="1:8">
      <c r="A181" s="99" t="s">
        <v>1554</v>
      </c>
      <c r="B181" s="99" t="s">
        <v>9</v>
      </c>
      <c r="C181" s="99" t="s">
        <v>1555</v>
      </c>
      <c r="D181" s="99" t="s">
        <v>289</v>
      </c>
      <c r="E181" s="99" t="s">
        <v>13</v>
      </c>
      <c r="F181" s="99">
        <v>2116001</v>
      </c>
      <c r="G181" s="99">
        <v>1</v>
      </c>
      <c r="H181" s="100">
        <v>0</v>
      </c>
    </row>
    <row r="182" spans="1:8">
      <c r="A182" s="99" t="s">
        <v>1165</v>
      </c>
      <c r="B182" s="99" t="s">
        <v>9</v>
      </c>
      <c r="C182" s="99" t="s">
        <v>613</v>
      </c>
      <c r="D182" s="99" t="s">
        <v>22</v>
      </c>
      <c r="E182" s="99" t="s">
        <v>13</v>
      </c>
      <c r="F182" s="99">
        <v>2116001</v>
      </c>
      <c r="G182" s="99">
        <v>4</v>
      </c>
      <c r="H182" s="100">
        <v>5</v>
      </c>
    </row>
    <row r="183" spans="1:8">
      <c r="A183" s="99" t="s">
        <v>1166</v>
      </c>
      <c r="B183" s="99" t="s">
        <v>9</v>
      </c>
      <c r="C183" s="99" t="s">
        <v>577</v>
      </c>
      <c r="D183" s="99" t="s">
        <v>22</v>
      </c>
      <c r="E183" s="99" t="s">
        <v>13</v>
      </c>
      <c r="F183" s="99">
        <v>2116001</v>
      </c>
      <c r="G183" s="99">
        <v>7</v>
      </c>
      <c r="H183" s="99" t="s">
        <v>1556</v>
      </c>
    </row>
    <row r="184" spans="1:8">
      <c r="A184" s="99" t="s">
        <v>1557</v>
      </c>
      <c r="B184" s="99" t="s">
        <v>9</v>
      </c>
      <c r="C184" s="99" t="s">
        <v>1558</v>
      </c>
      <c r="D184" s="99" t="s">
        <v>22</v>
      </c>
      <c r="E184" s="99" t="s">
        <v>13</v>
      </c>
      <c r="F184" s="99">
        <v>2116001</v>
      </c>
      <c r="G184" s="99">
        <v>2</v>
      </c>
      <c r="H184" s="100">
        <v>0</v>
      </c>
    </row>
    <row r="185" spans="1:8">
      <c r="A185" s="99" t="s">
        <v>1559</v>
      </c>
      <c r="B185" s="99" t="s">
        <v>9</v>
      </c>
      <c r="C185" s="99" t="s">
        <v>1558</v>
      </c>
      <c r="D185" s="99" t="s">
        <v>22</v>
      </c>
      <c r="E185" s="99" t="s">
        <v>13</v>
      </c>
      <c r="F185" s="99">
        <v>2116001</v>
      </c>
      <c r="G185" s="99">
        <v>4</v>
      </c>
      <c r="H185" s="99" t="s">
        <v>1560</v>
      </c>
    </row>
    <row r="186" spans="1:8">
      <c r="A186" s="99" t="s">
        <v>1561</v>
      </c>
      <c r="B186" s="99" t="s">
        <v>9</v>
      </c>
      <c r="C186" s="99" t="s">
        <v>1558</v>
      </c>
      <c r="D186" s="99" t="s">
        <v>22</v>
      </c>
      <c r="E186" s="99" t="s">
        <v>13</v>
      </c>
      <c r="F186" s="99">
        <v>2116001</v>
      </c>
      <c r="G186" s="99">
        <v>1</v>
      </c>
      <c r="H186" s="100">
        <v>0</v>
      </c>
    </row>
    <row r="187" spans="1:8">
      <c r="A187" s="99" t="s">
        <v>1171</v>
      </c>
      <c r="B187" s="99" t="s">
        <v>9</v>
      </c>
      <c r="C187" s="99" t="s">
        <v>630</v>
      </c>
      <c r="D187" s="99" t="s">
        <v>22</v>
      </c>
      <c r="E187" s="99" t="s">
        <v>13</v>
      </c>
      <c r="F187" s="99">
        <v>2116001</v>
      </c>
      <c r="G187" s="99">
        <v>1</v>
      </c>
      <c r="H187" s="100">
        <v>5</v>
      </c>
    </row>
    <row r="188" spans="1:8">
      <c r="A188" s="99" t="s">
        <v>1172</v>
      </c>
      <c r="B188" s="99" t="s">
        <v>9</v>
      </c>
      <c r="C188" s="99" t="s">
        <v>577</v>
      </c>
      <c r="D188" s="99" t="s">
        <v>22</v>
      </c>
      <c r="E188" s="99" t="s">
        <v>13</v>
      </c>
      <c r="F188" s="99">
        <v>2116001</v>
      </c>
      <c r="G188" s="99">
        <v>4</v>
      </c>
      <c r="H188" s="100">
        <v>5</v>
      </c>
    </row>
    <row r="189" spans="1:8">
      <c r="A189" s="99" t="s">
        <v>1562</v>
      </c>
      <c r="B189" s="99" t="s">
        <v>9</v>
      </c>
      <c r="C189" s="99" t="s">
        <v>1558</v>
      </c>
      <c r="D189" s="99" t="s">
        <v>22</v>
      </c>
      <c r="E189" s="99" t="s">
        <v>13</v>
      </c>
      <c r="F189" s="99">
        <v>2116001</v>
      </c>
      <c r="G189" s="99">
        <v>4</v>
      </c>
      <c r="H189" s="100">
        <v>6</v>
      </c>
    </row>
    <row r="190" spans="1:8">
      <c r="A190" s="99" t="s">
        <v>1563</v>
      </c>
      <c r="B190" s="99" t="s">
        <v>9</v>
      </c>
      <c r="C190" s="99" t="s">
        <v>1564</v>
      </c>
      <c r="D190" s="99" t="s">
        <v>22</v>
      </c>
      <c r="E190" s="99" t="s">
        <v>13</v>
      </c>
      <c r="F190" s="99">
        <v>2116001</v>
      </c>
      <c r="G190" s="99">
        <v>1</v>
      </c>
      <c r="H190" s="100">
        <v>6</v>
      </c>
    </row>
    <row r="191" spans="1:8">
      <c r="A191" s="99" t="s">
        <v>1174</v>
      </c>
      <c r="B191" s="99" t="s">
        <v>9</v>
      </c>
      <c r="C191" s="99" t="s">
        <v>682</v>
      </c>
      <c r="D191" s="99" t="s">
        <v>22</v>
      </c>
      <c r="E191" s="99" t="s">
        <v>13</v>
      </c>
      <c r="F191" s="99">
        <v>2116001</v>
      </c>
      <c r="G191" s="99">
        <v>5</v>
      </c>
      <c r="H191" s="100" t="s">
        <v>1565</v>
      </c>
    </row>
    <row r="192" spans="1:8">
      <c r="A192" s="99" t="s">
        <v>1566</v>
      </c>
      <c r="B192" s="99" t="s">
        <v>9</v>
      </c>
      <c r="C192" s="99" t="s">
        <v>1567</v>
      </c>
      <c r="D192" s="99" t="s">
        <v>22</v>
      </c>
      <c r="E192" s="99" t="s">
        <v>13</v>
      </c>
      <c r="F192" s="99">
        <v>2116001</v>
      </c>
      <c r="G192" s="99">
        <v>4</v>
      </c>
      <c r="H192" s="99" t="s">
        <v>1560</v>
      </c>
    </row>
    <row r="193" spans="1:8">
      <c r="A193" s="99" t="s">
        <v>1175</v>
      </c>
      <c r="B193" s="99" t="s">
        <v>9</v>
      </c>
      <c r="C193" s="99" t="s">
        <v>587</v>
      </c>
      <c r="D193" s="99" t="s">
        <v>22</v>
      </c>
      <c r="E193" s="99" t="s">
        <v>13</v>
      </c>
      <c r="F193" s="99">
        <v>2116001</v>
      </c>
      <c r="G193" s="99">
        <v>2</v>
      </c>
      <c r="H193" s="100">
        <v>5</v>
      </c>
    </row>
    <row r="194" spans="1:8">
      <c r="A194" s="99" t="s">
        <v>585</v>
      </c>
      <c r="B194" s="99" t="s">
        <v>9</v>
      </c>
      <c r="C194" s="99" t="s">
        <v>586</v>
      </c>
      <c r="D194" s="99" t="s">
        <v>22</v>
      </c>
      <c r="E194" s="99" t="s">
        <v>13</v>
      </c>
      <c r="F194" s="99">
        <v>2116001</v>
      </c>
      <c r="G194" s="99">
        <v>1</v>
      </c>
      <c r="H194" s="100">
        <v>6</v>
      </c>
    </row>
    <row r="195" spans="1:8">
      <c r="A195" s="99" t="s">
        <v>1178</v>
      </c>
      <c r="B195" s="99" t="s">
        <v>9</v>
      </c>
      <c r="C195" s="99" t="s">
        <v>586</v>
      </c>
      <c r="D195" s="99" t="s">
        <v>22</v>
      </c>
      <c r="E195" s="99" t="s">
        <v>13</v>
      </c>
      <c r="F195" s="99">
        <v>2116001</v>
      </c>
      <c r="G195" s="99">
        <v>4</v>
      </c>
      <c r="H195" s="100">
        <v>6</v>
      </c>
    </row>
    <row r="196" spans="1:8">
      <c r="A196" s="99" t="s">
        <v>1179</v>
      </c>
      <c r="B196" s="99" t="s">
        <v>9</v>
      </c>
      <c r="C196" s="99" t="s">
        <v>586</v>
      </c>
      <c r="D196" s="99" t="s">
        <v>22</v>
      </c>
      <c r="E196" s="99" t="s">
        <v>13</v>
      </c>
      <c r="F196" s="99">
        <v>2116001</v>
      </c>
      <c r="G196" s="99">
        <v>8</v>
      </c>
      <c r="H196" s="99" t="s">
        <v>1568</v>
      </c>
    </row>
    <row r="197" spans="1:8">
      <c r="A197" s="99" t="s">
        <v>1180</v>
      </c>
      <c r="B197" s="99" t="s">
        <v>9</v>
      </c>
      <c r="C197" s="99" t="s">
        <v>586</v>
      </c>
      <c r="D197" s="99" t="s">
        <v>22</v>
      </c>
      <c r="E197" s="99" t="s">
        <v>13</v>
      </c>
      <c r="F197" s="99">
        <v>2116001</v>
      </c>
      <c r="G197" s="99">
        <v>3</v>
      </c>
      <c r="H197" s="100" t="s">
        <v>1569</v>
      </c>
    </row>
    <row r="198" spans="1:8">
      <c r="A198" s="99" t="s">
        <v>1570</v>
      </c>
      <c r="B198" s="99" t="s">
        <v>9</v>
      </c>
      <c r="C198" s="99" t="s">
        <v>586</v>
      </c>
      <c r="D198" s="99" t="s">
        <v>22</v>
      </c>
      <c r="E198" s="99" t="s">
        <v>13</v>
      </c>
      <c r="F198" s="99">
        <v>2116001</v>
      </c>
      <c r="G198" s="99">
        <v>1</v>
      </c>
      <c r="H198" s="100">
        <v>5</v>
      </c>
    </row>
    <row r="199" spans="1:8">
      <c r="A199" s="99" t="s">
        <v>1570</v>
      </c>
      <c r="B199" s="99" t="s">
        <v>9</v>
      </c>
      <c r="C199" s="99" t="s">
        <v>586</v>
      </c>
      <c r="D199" s="99" t="s">
        <v>22</v>
      </c>
      <c r="E199" s="99" t="s">
        <v>13</v>
      </c>
      <c r="F199" s="99">
        <v>2116001</v>
      </c>
      <c r="G199" s="99">
        <v>1</v>
      </c>
      <c r="H199" s="100">
        <v>5</v>
      </c>
    </row>
    <row r="200" spans="1:8">
      <c r="A200" s="99" t="s">
        <v>1181</v>
      </c>
      <c r="B200" s="99" t="s">
        <v>9</v>
      </c>
      <c r="C200" s="99" t="s">
        <v>586</v>
      </c>
      <c r="D200" s="99" t="s">
        <v>22</v>
      </c>
      <c r="E200" s="99" t="s">
        <v>13</v>
      </c>
      <c r="F200" s="99">
        <v>2116001</v>
      </c>
      <c r="G200" s="99">
        <v>6</v>
      </c>
      <c r="H200" s="100" t="s">
        <v>1399</v>
      </c>
    </row>
    <row r="201" spans="1:8">
      <c r="A201" s="99" t="s">
        <v>1182</v>
      </c>
      <c r="B201" s="99" t="s">
        <v>9</v>
      </c>
      <c r="C201" s="99" t="s">
        <v>586</v>
      </c>
      <c r="D201" s="99" t="s">
        <v>22</v>
      </c>
      <c r="E201" s="99" t="s">
        <v>13</v>
      </c>
      <c r="F201" s="99">
        <v>2116001</v>
      </c>
      <c r="G201" s="99">
        <v>10</v>
      </c>
      <c r="H201" s="100" t="s">
        <v>1571</v>
      </c>
    </row>
    <row r="202" spans="1:8">
      <c r="A202" s="99" t="s">
        <v>1572</v>
      </c>
      <c r="B202" s="99" t="s">
        <v>9</v>
      </c>
      <c r="C202" s="99" t="s">
        <v>1573</v>
      </c>
      <c r="D202" s="99" t="s">
        <v>22</v>
      </c>
      <c r="E202" s="99" t="s">
        <v>13</v>
      </c>
      <c r="F202" s="99">
        <v>2116001</v>
      </c>
      <c r="G202" s="99">
        <v>2</v>
      </c>
      <c r="H202" s="100">
        <v>0</v>
      </c>
    </row>
    <row r="203" spans="1:8">
      <c r="A203" s="99" t="s">
        <v>1574</v>
      </c>
      <c r="B203" s="99" t="s">
        <v>9</v>
      </c>
      <c r="C203" s="99" t="s">
        <v>861</v>
      </c>
      <c r="D203" s="99" t="s">
        <v>22</v>
      </c>
      <c r="E203" s="99" t="s">
        <v>13</v>
      </c>
      <c r="F203" s="99">
        <v>2116001</v>
      </c>
      <c r="G203" s="99">
        <v>2</v>
      </c>
      <c r="H203" s="100">
        <v>6</v>
      </c>
    </row>
    <row r="204" spans="1:8">
      <c r="A204" s="99" t="s">
        <v>608</v>
      </c>
      <c r="B204" s="99" t="s">
        <v>9</v>
      </c>
      <c r="C204" s="99" t="s">
        <v>606</v>
      </c>
      <c r="D204" s="99" t="s">
        <v>22</v>
      </c>
      <c r="E204" s="99" t="s">
        <v>13</v>
      </c>
      <c r="F204" s="99">
        <v>2116001</v>
      </c>
      <c r="G204" s="99">
        <v>2</v>
      </c>
      <c r="H204" s="100">
        <v>6</v>
      </c>
    </row>
    <row r="205" spans="1:8">
      <c r="A205" s="99" t="s">
        <v>612</v>
      </c>
      <c r="B205" s="99" t="s">
        <v>9</v>
      </c>
      <c r="C205" s="99" t="s">
        <v>613</v>
      </c>
      <c r="D205" s="99" t="s">
        <v>22</v>
      </c>
      <c r="E205" s="99" t="s">
        <v>13</v>
      </c>
      <c r="F205" s="99">
        <v>2116001</v>
      </c>
      <c r="G205" s="99">
        <v>134</v>
      </c>
      <c r="H205" s="99" t="s">
        <v>1575</v>
      </c>
    </row>
    <row r="206" spans="1:8">
      <c r="A206" s="99" t="s">
        <v>1576</v>
      </c>
      <c r="B206" s="99" t="s">
        <v>9</v>
      </c>
      <c r="C206" s="99" t="s">
        <v>1577</v>
      </c>
      <c r="D206" s="99" t="s">
        <v>22</v>
      </c>
      <c r="E206" s="99" t="s">
        <v>13</v>
      </c>
      <c r="F206" s="99">
        <v>2116001</v>
      </c>
      <c r="G206" s="99">
        <v>1</v>
      </c>
      <c r="H206" s="100">
        <v>5</v>
      </c>
    </row>
    <row r="207" spans="1:8">
      <c r="A207" s="99" t="s">
        <v>1183</v>
      </c>
      <c r="B207" s="99" t="s">
        <v>9</v>
      </c>
      <c r="C207" s="99" t="s">
        <v>1184</v>
      </c>
      <c r="D207" s="99" t="s">
        <v>22</v>
      </c>
      <c r="E207" s="99" t="s">
        <v>13</v>
      </c>
      <c r="F207" s="99">
        <v>2116001</v>
      </c>
      <c r="G207" s="99">
        <v>2</v>
      </c>
      <c r="H207" s="100">
        <v>5</v>
      </c>
    </row>
    <row r="208" spans="1:8">
      <c r="A208" s="99" t="s">
        <v>1578</v>
      </c>
      <c r="B208" s="99" t="s">
        <v>9</v>
      </c>
      <c r="C208" s="99" t="s">
        <v>1567</v>
      </c>
      <c r="D208" s="99" t="s">
        <v>22</v>
      </c>
      <c r="E208" s="99" t="s">
        <v>13</v>
      </c>
      <c r="F208" s="99">
        <v>2116001</v>
      </c>
      <c r="G208" s="99">
        <v>2</v>
      </c>
      <c r="H208" s="100">
        <v>6</v>
      </c>
    </row>
    <row r="209" spans="1:8">
      <c r="A209" s="99" t="s">
        <v>1579</v>
      </c>
      <c r="B209" s="99" t="s">
        <v>9</v>
      </c>
      <c r="C209" s="99" t="s">
        <v>1580</v>
      </c>
      <c r="D209" s="99" t="s">
        <v>22</v>
      </c>
      <c r="E209" s="99" t="s">
        <v>13</v>
      </c>
      <c r="F209" s="99">
        <v>2116001</v>
      </c>
      <c r="G209" s="99">
        <v>1</v>
      </c>
      <c r="H209" s="100">
        <v>6</v>
      </c>
    </row>
    <row r="210" spans="1:8">
      <c r="A210" s="99" t="s">
        <v>1187</v>
      </c>
      <c r="B210" s="99" t="s">
        <v>9</v>
      </c>
      <c r="C210" s="99" t="s">
        <v>580</v>
      </c>
      <c r="D210" s="99" t="s">
        <v>22</v>
      </c>
      <c r="E210" s="99" t="s">
        <v>13</v>
      </c>
      <c r="F210" s="99">
        <v>2116001</v>
      </c>
      <c r="G210" s="99">
        <v>11</v>
      </c>
      <c r="H210" s="100" t="s">
        <v>1581</v>
      </c>
    </row>
    <row r="211" spans="1:8">
      <c r="A211" s="99" t="s">
        <v>615</v>
      </c>
      <c r="B211" s="99" t="s">
        <v>9</v>
      </c>
      <c r="C211" s="99" t="s">
        <v>580</v>
      </c>
      <c r="D211" s="99" t="s">
        <v>22</v>
      </c>
      <c r="E211" s="99" t="s">
        <v>13</v>
      </c>
      <c r="F211" s="99">
        <v>2116001</v>
      </c>
      <c r="G211" s="99">
        <v>2</v>
      </c>
      <c r="H211" s="100">
        <v>0</v>
      </c>
    </row>
    <row r="212" spans="1:8">
      <c r="A212" s="99" t="s">
        <v>1189</v>
      </c>
      <c r="B212" s="99" t="s">
        <v>9</v>
      </c>
      <c r="C212" s="99" t="s">
        <v>613</v>
      </c>
      <c r="D212" s="99" t="s">
        <v>22</v>
      </c>
      <c r="E212" s="99" t="s">
        <v>13</v>
      </c>
      <c r="F212" s="99">
        <v>2116001</v>
      </c>
      <c r="G212" s="99">
        <v>6</v>
      </c>
      <c r="H212" s="100">
        <v>3</v>
      </c>
    </row>
    <row r="213" spans="1:8">
      <c r="A213" s="99" t="s">
        <v>1582</v>
      </c>
      <c r="B213" s="99" t="s">
        <v>9</v>
      </c>
      <c r="C213" s="99" t="s">
        <v>1558</v>
      </c>
      <c r="D213" s="99" t="s">
        <v>22</v>
      </c>
      <c r="E213" s="99" t="s">
        <v>13</v>
      </c>
      <c r="F213" s="99">
        <v>2116001</v>
      </c>
      <c r="G213" s="99">
        <v>1</v>
      </c>
      <c r="H213" s="100">
        <v>5</v>
      </c>
    </row>
    <row r="214" spans="1:8">
      <c r="A214" s="99" t="s">
        <v>624</v>
      </c>
      <c r="B214" s="99" t="s">
        <v>9</v>
      </c>
      <c r="C214" s="99" t="s">
        <v>606</v>
      </c>
      <c r="D214" s="99" t="s">
        <v>22</v>
      </c>
      <c r="E214" s="99" t="s">
        <v>13</v>
      </c>
      <c r="F214" s="99">
        <v>2116001</v>
      </c>
      <c r="G214" s="99">
        <v>9</v>
      </c>
      <c r="H214" s="100" t="s">
        <v>1583</v>
      </c>
    </row>
    <row r="215" spans="1:8">
      <c r="A215" s="99" t="s">
        <v>637</v>
      </c>
      <c r="B215" s="99" t="s">
        <v>9</v>
      </c>
      <c r="C215" s="99" t="s">
        <v>580</v>
      </c>
      <c r="D215" s="99" t="s">
        <v>22</v>
      </c>
      <c r="E215" s="99" t="s">
        <v>13</v>
      </c>
      <c r="F215" s="99">
        <v>2116001</v>
      </c>
      <c r="G215" s="99">
        <v>30</v>
      </c>
      <c r="H215" s="99" t="s">
        <v>1584</v>
      </c>
    </row>
    <row r="216" spans="1:8">
      <c r="A216" s="99" t="s">
        <v>1198</v>
      </c>
      <c r="B216" s="99" t="s">
        <v>9</v>
      </c>
      <c r="C216" s="99" t="s">
        <v>630</v>
      </c>
      <c r="D216" s="99" t="s">
        <v>22</v>
      </c>
      <c r="E216" s="99" t="s">
        <v>13</v>
      </c>
      <c r="F216" s="99">
        <v>2116001</v>
      </c>
      <c r="G216" s="99">
        <v>2</v>
      </c>
      <c r="H216" s="100">
        <v>4</v>
      </c>
    </row>
    <row r="217" spans="1:8">
      <c r="A217" s="99" t="s">
        <v>644</v>
      </c>
      <c r="B217" s="99" t="s">
        <v>9</v>
      </c>
      <c r="C217" s="99" t="s">
        <v>606</v>
      </c>
      <c r="D217" s="99" t="s">
        <v>22</v>
      </c>
      <c r="E217" s="99" t="s">
        <v>13</v>
      </c>
      <c r="F217" s="99">
        <v>2116001</v>
      </c>
      <c r="G217" s="99">
        <v>1</v>
      </c>
      <c r="H217" s="100">
        <v>0</v>
      </c>
    </row>
    <row r="218" spans="1:8">
      <c r="A218" s="99" t="s">
        <v>646</v>
      </c>
      <c r="B218" s="99" t="s">
        <v>9</v>
      </c>
      <c r="C218" s="99" t="s">
        <v>606</v>
      </c>
      <c r="D218" s="99" t="s">
        <v>22</v>
      </c>
      <c r="E218" s="99" t="s">
        <v>13</v>
      </c>
      <c r="F218" s="99">
        <v>2116001</v>
      </c>
      <c r="G218" s="99">
        <v>13</v>
      </c>
      <c r="H218" s="99" t="s">
        <v>1585</v>
      </c>
    </row>
    <row r="219" spans="1:8">
      <c r="A219" s="99" t="s">
        <v>692</v>
      </c>
      <c r="B219" s="99" t="s">
        <v>9</v>
      </c>
      <c r="C219" s="99" t="s">
        <v>580</v>
      </c>
      <c r="D219" s="99" t="s">
        <v>22</v>
      </c>
      <c r="E219" s="99" t="s">
        <v>13</v>
      </c>
      <c r="F219" s="99">
        <v>2116001</v>
      </c>
      <c r="G219" s="99">
        <v>20</v>
      </c>
      <c r="H219" s="100" t="s">
        <v>1586</v>
      </c>
    </row>
    <row r="220" spans="1:8">
      <c r="A220" s="99" t="s">
        <v>694</v>
      </c>
      <c r="B220" s="99" t="s">
        <v>9</v>
      </c>
      <c r="C220" s="99" t="s">
        <v>580</v>
      </c>
      <c r="D220" s="99" t="s">
        <v>22</v>
      </c>
      <c r="E220" s="99" t="s">
        <v>13</v>
      </c>
      <c r="F220" s="99">
        <v>2116001</v>
      </c>
      <c r="G220" s="99">
        <v>4</v>
      </c>
      <c r="H220" s="100">
        <v>0</v>
      </c>
    </row>
    <row r="221" spans="1:8">
      <c r="A221" s="99" t="s">
        <v>1210</v>
      </c>
      <c r="B221" s="99" t="s">
        <v>9</v>
      </c>
      <c r="C221" s="99" t="s">
        <v>653</v>
      </c>
      <c r="D221" s="99" t="s">
        <v>22</v>
      </c>
      <c r="E221" s="99" t="s">
        <v>13</v>
      </c>
      <c r="F221" s="99">
        <v>2116001</v>
      </c>
      <c r="G221" s="99">
        <v>3</v>
      </c>
      <c r="H221" s="100" t="s">
        <v>1402</v>
      </c>
    </row>
    <row r="222" spans="1:8">
      <c r="A222" s="99" t="s">
        <v>718</v>
      </c>
      <c r="B222" s="99" t="s">
        <v>9</v>
      </c>
      <c r="C222" s="99" t="s">
        <v>606</v>
      </c>
      <c r="D222" s="99" t="s">
        <v>22</v>
      </c>
      <c r="E222" s="99" t="s">
        <v>13</v>
      </c>
      <c r="F222" s="99">
        <v>2116001</v>
      </c>
      <c r="G222" s="99">
        <v>4</v>
      </c>
      <c r="H222" s="100">
        <v>0</v>
      </c>
    </row>
    <row r="223" spans="1:8">
      <c r="A223" s="99" t="s">
        <v>738</v>
      </c>
      <c r="B223" s="99" t="s">
        <v>9</v>
      </c>
      <c r="C223" s="99" t="s">
        <v>312</v>
      </c>
      <c r="D223" s="99" t="s">
        <v>22</v>
      </c>
      <c r="E223" s="99" t="s">
        <v>13</v>
      </c>
      <c r="F223" s="99">
        <v>2116001</v>
      </c>
      <c r="G223" s="99">
        <v>3</v>
      </c>
      <c r="H223" s="100">
        <v>0</v>
      </c>
    </row>
    <row r="224" spans="1:8">
      <c r="A224" s="99" t="s">
        <v>741</v>
      </c>
      <c r="B224" s="99" t="s">
        <v>9</v>
      </c>
      <c r="C224" s="99" t="s">
        <v>174</v>
      </c>
      <c r="D224" s="99" t="s">
        <v>18</v>
      </c>
      <c r="E224" s="99" t="s">
        <v>13</v>
      </c>
      <c r="F224" s="99">
        <v>2116001</v>
      </c>
      <c r="G224" s="99">
        <v>1</v>
      </c>
      <c r="H224" s="100">
        <v>4</v>
      </c>
    </row>
    <row r="225" spans="1:8">
      <c r="A225" s="99" t="s">
        <v>742</v>
      </c>
      <c r="B225" s="99" t="s">
        <v>9</v>
      </c>
      <c r="C225" s="99" t="s">
        <v>586</v>
      </c>
      <c r="D225" s="99" t="s">
        <v>22</v>
      </c>
      <c r="E225" s="99" t="s">
        <v>13</v>
      </c>
      <c r="F225" s="99">
        <v>2116001</v>
      </c>
      <c r="G225" s="99">
        <v>8</v>
      </c>
      <c r="H225" s="100">
        <v>3</v>
      </c>
    </row>
    <row r="226" spans="1:8">
      <c r="A226" s="99" t="s">
        <v>1212</v>
      </c>
      <c r="B226" s="99" t="s">
        <v>9</v>
      </c>
      <c r="C226" s="99" t="s">
        <v>174</v>
      </c>
      <c r="D226" s="99" t="s">
        <v>39</v>
      </c>
      <c r="E226" s="99" t="s">
        <v>13</v>
      </c>
      <c r="F226" s="99">
        <v>2116001</v>
      </c>
      <c r="G226" s="99">
        <v>2</v>
      </c>
      <c r="H226" s="100" t="s">
        <v>1421</v>
      </c>
    </row>
    <row r="227" spans="1:8">
      <c r="A227" s="99" t="s">
        <v>1218</v>
      </c>
      <c r="B227" s="99" t="s">
        <v>9</v>
      </c>
      <c r="C227" s="99" t="s">
        <v>586</v>
      </c>
      <c r="D227" s="99" t="s">
        <v>22</v>
      </c>
      <c r="E227" s="99" t="s">
        <v>13</v>
      </c>
      <c r="F227" s="99">
        <v>2116001</v>
      </c>
      <c r="G227" s="99">
        <v>2</v>
      </c>
      <c r="H227" s="100">
        <v>3</v>
      </c>
    </row>
    <row r="228" spans="1:8">
      <c r="A228" s="99" t="s">
        <v>1221</v>
      </c>
      <c r="B228" s="99" t="s">
        <v>9</v>
      </c>
      <c r="C228" s="99" t="s">
        <v>753</v>
      </c>
      <c r="D228" s="99" t="s">
        <v>22</v>
      </c>
      <c r="E228" s="99" t="s">
        <v>13</v>
      </c>
      <c r="F228" s="99">
        <v>2116001</v>
      </c>
      <c r="G228" s="99">
        <v>32</v>
      </c>
      <c r="H228" s="100">
        <v>3</v>
      </c>
    </row>
    <row r="229" spans="1:8">
      <c r="A229" s="99" t="s">
        <v>1229</v>
      </c>
      <c r="B229" s="99" t="s">
        <v>9</v>
      </c>
      <c r="C229" s="99" t="s">
        <v>1230</v>
      </c>
      <c r="D229" s="99" t="s">
        <v>22</v>
      </c>
      <c r="E229" s="99" t="s">
        <v>13</v>
      </c>
      <c r="F229" s="99">
        <v>2116001</v>
      </c>
      <c r="G229" s="99">
        <v>4</v>
      </c>
      <c r="H229" s="100">
        <v>3</v>
      </c>
    </row>
    <row r="230" spans="1:8">
      <c r="A230" s="99" t="s">
        <v>1232</v>
      </c>
      <c r="B230" s="99" t="s">
        <v>9</v>
      </c>
      <c r="C230" s="99" t="s">
        <v>95</v>
      </c>
      <c r="D230" s="99" t="s">
        <v>12</v>
      </c>
      <c r="E230" s="99" t="s">
        <v>13</v>
      </c>
      <c r="F230" s="99">
        <v>2116001</v>
      </c>
      <c r="G230" s="99">
        <v>2</v>
      </c>
      <c r="H230" s="100" t="s">
        <v>1399</v>
      </c>
    </row>
    <row r="231" spans="1:8">
      <c r="A231" s="99" t="s">
        <v>1587</v>
      </c>
      <c r="B231" s="99" t="s">
        <v>9</v>
      </c>
      <c r="C231" s="99" t="s">
        <v>1588</v>
      </c>
      <c r="D231" s="99" t="s">
        <v>39</v>
      </c>
      <c r="E231" s="99" t="s">
        <v>13</v>
      </c>
      <c r="F231" s="99">
        <v>2116001</v>
      </c>
      <c r="G231" s="99">
        <v>2</v>
      </c>
      <c r="H231" s="100" t="s">
        <v>1447</v>
      </c>
    </row>
    <row r="232" spans="1:8">
      <c r="A232" s="99" t="s">
        <v>1589</v>
      </c>
      <c r="B232" s="99" t="s">
        <v>9</v>
      </c>
      <c r="C232" s="99" t="s">
        <v>1590</v>
      </c>
      <c r="D232" s="99" t="s">
        <v>12</v>
      </c>
      <c r="E232" s="99" t="s">
        <v>13</v>
      </c>
      <c r="F232" s="99">
        <v>2116001</v>
      </c>
      <c r="G232" s="99">
        <v>2</v>
      </c>
      <c r="H232" s="100">
        <v>3</v>
      </c>
    </row>
    <row r="233" spans="1:8">
      <c r="A233" s="99" t="s">
        <v>1591</v>
      </c>
      <c r="B233" s="99" t="s">
        <v>9</v>
      </c>
      <c r="C233" s="99" t="s">
        <v>1455</v>
      </c>
      <c r="D233" s="99" t="s">
        <v>39</v>
      </c>
      <c r="E233" s="99" t="s">
        <v>13</v>
      </c>
      <c r="F233" s="99">
        <v>2116001</v>
      </c>
      <c r="G233" s="99">
        <v>1</v>
      </c>
      <c r="H233" s="100" t="s">
        <v>1447</v>
      </c>
    </row>
    <row r="234" spans="1:8">
      <c r="A234" s="99" t="s">
        <v>1592</v>
      </c>
      <c r="B234" s="99" t="s">
        <v>9</v>
      </c>
      <c r="C234" s="99" t="s">
        <v>1455</v>
      </c>
      <c r="D234" s="99" t="s">
        <v>39</v>
      </c>
      <c r="E234" s="99" t="s">
        <v>13</v>
      </c>
      <c r="F234" s="99">
        <v>2116001</v>
      </c>
      <c r="G234" s="99">
        <v>1</v>
      </c>
      <c r="H234" s="100" t="s">
        <v>1447</v>
      </c>
    </row>
    <row r="235" spans="1:8">
      <c r="A235" s="99" t="s">
        <v>1593</v>
      </c>
      <c r="B235" s="99" t="s">
        <v>9</v>
      </c>
      <c r="C235" s="99" t="s">
        <v>1594</v>
      </c>
      <c r="D235" s="99" t="s">
        <v>39</v>
      </c>
      <c r="E235" s="99" t="s">
        <v>13</v>
      </c>
      <c r="F235" s="99">
        <v>2116001</v>
      </c>
      <c r="G235" s="99">
        <v>1</v>
      </c>
      <c r="H235" s="100">
        <v>1</v>
      </c>
    </row>
    <row r="236" spans="1:8">
      <c r="A236" s="99" t="s">
        <v>1595</v>
      </c>
      <c r="B236" s="99" t="s">
        <v>9</v>
      </c>
      <c r="C236" s="99" t="s">
        <v>1596</v>
      </c>
      <c r="D236" s="99" t="s">
        <v>18</v>
      </c>
      <c r="E236" s="99" t="s">
        <v>13</v>
      </c>
      <c r="F236" s="99">
        <v>2116001</v>
      </c>
      <c r="G236" s="99">
        <v>1</v>
      </c>
      <c r="H236" s="100">
        <v>0</v>
      </c>
    </row>
    <row r="237" spans="1:8">
      <c r="A237" s="99" t="s">
        <v>1597</v>
      </c>
      <c r="B237" s="99" t="s">
        <v>9</v>
      </c>
      <c r="C237" s="99" t="s">
        <v>1590</v>
      </c>
      <c r="D237" s="99" t="s">
        <v>39</v>
      </c>
      <c r="E237" s="99" t="s">
        <v>13</v>
      </c>
      <c r="F237" s="99">
        <v>2116001</v>
      </c>
      <c r="G237" s="99">
        <v>2</v>
      </c>
      <c r="H237" s="100">
        <v>3</v>
      </c>
    </row>
    <row r="238" spans="1:8">
      <c r="A238" s="99" t="s">
        <v>1238</v>
      </c>
      <c r="B238" s="99" t="s">
        <v>9</v>
      </c>
      <c r="C238" s="99" t="s">
        <v>557</v>
      </c>
      <c r="D238" s="99" t="s">
        <v>22</v>
      </c>
      <c r="E238" s="99" t="s">
        <v>13</v>
      </c>
      <c r="F238" s="99">
        <v>2116001</v>
      </c>
      <c r="G238" s="99">
        <v>2</v>
      </c>
      <c r="H238" s="100">
        <v>3</v>
      </c>
    </row>
    <row r="239" spans="1:8">
      <c r="A239" s="99" t="s">
        <v>1598</v>
      </c>
      <c r="B239" s="99" t="s">
        <v>9</v>
      </c>
      <c r="C239" s="99" t="s">
        <v>1599</v>
      </c>
      <c r="D239" s="99" t="s">
        <v>12</v>
      </c>
      <c r="E239" s="99" t="s">
        <v>13</v>
      </c>
      <c r="F239" s="99">
        <v>2116001</v>
      </c>
      <c r="G239" s="99">
        <v>4</v>
      </c>
      <c r="H239" s="100" t="s">
        <v>1421</v>
      </c>
    </row>
    <row r="240" spans="1:8">
      <c r="A240" s="99" t="s">
        <v>1600</v>
      </c>
      <c r="B240" s="99" t="s">
        <v>9</v>
      </c>
      <c r="C240" s="99" t="s">
        <v>1601</v>
      </c>
      <c r="D240" s="99" t="s">
        <v>39</v>
      </c>
      <c r="E240" s="99" t="s">
        <v>13</v>
      </c>
      <c r="F240" s="99">
        <v>2116001</v>
      </c>
      <c r="G240" s="99">
        <v>2</v>
      </c>
      <c r="H240" s="100" t="s">
        <v>1421</v>
      </c>
    </row>
    <row r="241" spans="1:8">
      <c r="A241" s="99" t="s">
        <v>1602</v>
      </c>
      <c r="B241" s="99" t="s">
        <v>9</v>
      </c>
      <c r="C241" s="99" t="s">
        <v>1603</v>
      </c>
      <c r="D241" s="99" t="s">
        <v>39</v>
      </c>
      <c r="E241" s="99" t="s">
        <v>13</v>
      </c>
      <c r="F241" s="99">
        <v>2116001</v>
      </c>
      <c r="G241" s="99">
        <v>1</v>
      </c>
      <c r="H241" s="100" t="s">
        <v>1421</v>
      </c>
    </row>
    <row r="242" spans="1:8">
      <c r="A242" s="99" t="s">
        <v>1604</v>
      </c>
      <c r="B242" s="99" t="s">
        <v>9</v>
      </c>
      <c r="C242" s="99" t="s">
        <v>1603</v>
      </c>
      <c r="D242" s="99" t="s">
        <v>39</v>
      </c>
      <c r="E242" s="99" t="s">
        <v>13</v>
      </c>
      <c r="F242" s="99">
        <v>2116001</v>
      </c>
      <c r="G242" s="99">
        <v>1</v>
      </c>
      <c r="H242" s="100" t="s">
        <v>1421</v>
      </c>
    </row>
    <row r="243" spans="1:8">
      <c r="A243" s="99" t="s">
        <v>1605</v>
      </c>
      <c r="B243" s="99" t="s">
        <v>9</v>
      </c>
      <c r="C243" s="99" t="s">
        <v>1601</v>
      </c>
      <c r="D243" s="99" t="s">
        <v>12</v>
      </c>
      <c r="E243" s="99" t="s">
        <v>13</v>
      </c>
      <c r="F243" s="99">
        <v>2116001</v>
      </c>
      <c r="G243" s="99">
        <v>4</v>
      </c>
      <c r="H243" s="100">
        <v>6</v>
      </c>
    </row>
    <row r="244" spans="1:8">
      <c r="A244" s="99" t="s">
        <v>1241</v>
      </c>
      <c r="B244" s="99" t="s">
        <v>9</v>
      </c>
      <c r="C244" s="99" t="s">
        <v>1242</v>
      </c>
      <c r="D244" s="99" t="s">
        <v>22</v>
      </c>
      <c r="E244" s="99" t="s">
        <v>13</v>
      </c>
      <c r="F244" s="99">
        <v>2116001</v>
      </c>
      <c r="G244" s="99">
        <v>1</v>
      </c>
      <c r="H244" s="100">
        <v>6</v>
      </c>
    </row>
    <row r="245" spans="1:8">
      <c r="A245" s="99" t="s">
        <v>1606</v>
      </c>
      <c r="B245" s="99" t="s">
        <v>9</v>
      </c>
      <c r="C245" s="99" t="s">
        <v>1460</v>
      </c>
      <c r="D245" s="99" t="s">
        <v>22</v>
      </c>
      <c r="E245" s="99" t="s">
        <v>13</v>
      </c>
      <c r="F245" s="99">
        <v>2116001</v>
      </c>
      <c r="G245" s="99">
        <v>4</v>
      </c>
      <c r="H245" s="99" t="s">
        <v>1607</v>
      </c>
    </row>
    <row r="246" spans="1:8">
      <c r="A246" s="99" t="s">
        <v>1608</v>
      </c>
      <c r="B246" s="99" t="s">
        <v>9</v>
      </c>
      <c r="C246" s="99" t="s">
        <v>1455</v>
      </c>
      <c r="D246" s="99" t="s">
        <v>22</v>
      </c>
      <c r="E246" s="99" t="s">
        <v>13</v>
      </c>
      <c r="F246" s="99">
        <v>2116001</v>
      </c>
      <c r="G246" s="99">
        <v>2</v>
      </c>
      <c r="H246" s="99" t="s">
        <v>1609</v>
      </c>
    </row>
    <row r="247" spans="1:8">
      <c r="A247" s="99" t="s">
        <v>1244</v>
      </c>
      <c r="B247" s="99" t="s">
        <v>9</v>
      </c>
      <c r="C247" s="99" t="s">
        <v>136</v>
      </c>
      <c r="D247" s="99" t="s">
        <v>39</v>
      </c>
      <c r="E247" s="99" t="s">
        <v>13</v>
      </c>
      <c r="F247" s="99">
        <v>2116001</v>
      </c>
      <c r="G247" s="99">
        <v>2</v>
      </c>
      <c r="H247" s="100" t="s">
        <v>1447</v>
      </c>
    </row>
    <row r="248" spans="1:8">
      <c r="A248" s="99" t="s">
        <v>1245</v>
      </c>
      <c r="B248" s="99" t="s">
        <v>9</v>
      </c>
      <c r="C248" s="99" t="s">
        <v>1230</v>
      </c>
      <c r="D248" s="99" t="s">
        <v>22</v>
      </c>
      <c r="E248" s="99" t="s">
        <v>13</v>
      </c>
      <c r="F248" s="99">
        <v>2116001</v>
      </c>
      <c r="G248" s="99">
        <v>4</v>
      </c>
      <c r="H248" s="100" t="s">
        <v>1610</v>
      </c>
    </row>
    <row r="249" spans="1:8">
      <c r="A249" s="99" t="s">
        <v>1246</v>
      </c>
      <c r="B249" s="99" t="s">
        <v>9</v>
      </c>
      <c r="C249" s="99" t="s">
        <v>1230</v>
      </c>
      <c r="D249" s="99" t="s">
        <v>22</v>
      </c>
      <c r="E249" s="99" t="s">
        <v>13</v>
      </c>
      <c r="F249" s="99">
        <v>2116001</v>
      </c>
      <c r="G249" s="99">
        <v>2</v>
      </c>
      <c r="H249" s="100">
        <v>3</v>
      </c>
    </row>
    <row r="250" spans="1:8">
      <c r="A250" s="99" t="s">
        <v>1247</v>
      </c>
      <c r="B250" s="99" t="s">
        <v>9</v>
      </c>
      <c r="C250" s="99" t="s">
        <v>144</v>
      </c>
      <c r="D250" s="99" t="s">
        <v>18</v>
      </c>
      <c r="E250" s="99" t="s">
        <v>13</v>
      </c>
      <c r="F250" s="99">
        <v>2116001</v>
      </c>
      <c r="G250" s="99">
        <v>2</v>
      </c>
      <c r="H250" s="100" t="s">
        <v>1447</v>
      </c>
    </row>
    <row r="251" spans="1:8">
      <c r="A251" s="99" t="s">
        <v>1252</v>
      </c>
      <c r="B251" s="99" t="s">
        <v>9</v>
      </c>
      <c r="C251" s="99" t="s">
        <v>1230</v>
      </c>
      <c r="D251" s="99" t="s">
        <v>18</v>
      </c>
      <c r="E251" s="99" t="s">
        <v>13</v>
      </c>
      <c r="F251" s="99">
        <v>2116001</v>
      </c>
      <c r="G251" s="99">
        <v>2</v>
      </c>
      <c r="H251" s="100">
        <v>3</v>
      </c>
    </row>
    <row r="252" spans="1:8">
      <c r="A252" s="99" t="s">
        <v>1611</v>
      </c>
      <c r="B252" s="99" t="s">
        <v>9</v>
      </c>
      <c r="C252" s="99" t="s">
        <v>1601</v>
      </c>
      <c r="D252" s="99" t="s">
        <v>39</v>
      </c>
      <c r="E252" s="99" t="s">
        <v>13</v>
      </c>
      <c r="F252" s="99">
        <v>2116001</v>
      </c>
      <c r="G252" s="99">
        <v>4</v>
      </c>
      <c r="H252" s="100">
        <v>3</v>
      </c>
    </row>
    <row r="253" spans="1:8">
      <c r="A253" s="99" t="s">
        <v>1253</v>
      </c>
      <c r="B253" s="99" t="s">
        <v>9</v>
      </c>
      <c r="C253" s="99" t="s">
        <v>1254</v>
      </c>
      <c r="D253" s="99" t="s">
        <v>39</v>
      </c>
      <c r="E253" s="99" t="s">
        <v>13</v>
      </c>
      <c r="F253" s="99">
        <v>2116001</v>
      </c>
      <c r="G253" s="99">
        <v>2</v>
      </c>
      <c r="H253" s="100">
        <v>3</v>
      </c>
    </row>
    <row r="254" spans="1:8">
      <c r="A254" s="99" t="s">
        <v>1256</v>
      </c>
      <c r="B254" s="99" t="s">
        <v>9</v>
      </c>
      <c r="C254" s="99" t="s">
        <v>153</v>
      </c>
      <c r="D254" s="99" t="s">
        <v>39</v>
      </c>
      <c r="E254" s="99" t="s">
        <v>13</v>
      </c>
      <c r="F254" s="99">
        <v>2116001</v>
      </c>
      <c r="G254" s="99">
        <v>2</v>
      </c>
      <c r="H254" s="100" t="s">
        <v>1421</v>
      </c>
    </row>
    <row r="255" spans="1:8">
      <c r="A255" s="99" t="s">
        <v>750</v>
      </c>
      <c r="B255" s="99" t="s">
        <v>9</v>
      </c>
      <c r="C255" s="99" t="s">
        <v>751</v>
      </c>
      <c r="D255" s="99" t="s">
        <v>22</v>
      </c>
      <c r="E255" s="99" t="s">
        <v>13</v>
      </c>
      <c r="F255" s="99">
        <v>2116001</v>
      </c>
      <c r="G255" s="99">
        <v>16</v>
      </c>
      <c r="H255" s="99" t="s">
        <v>1612</v>
      </c>
    </row>
    <row r="256" spans="1:8">
      <c r="A256" s="99" t="s">
        <v>1261</v>
      </c>
      <c r="B256" s="99" t="s">
        <v>9</v>
      </c>
      <c r="C256" s="99" t="s">
        <v>95</v>
      </c>
      <c r="D256" s="99" t="s">
        <v>12</v>
      </c>
      <c r="E256" s="99" t="s">
        <v>13</v>
      </c>
      <c r="F256" s="99">
        <v>2116001</v>
      </c>
      <c r="G256" s="99">
        <v>1</v>
      </c>
      <c r="H256" s="100">
        <v>3</v>
      </c>
    </row>
    <row r="257" spans="1:8">
      <c r="A257" s="99" t="s">
        <v>1263</v>
      </c>
      <c r="B257" s="99" t="s">
        <v>9</v>
      </c>
      <c r="C257" s="99" t="s">
        <v>1264</v>
      </c>
      <c r="D257" s="99" t="s">
        <v>39</v>
      </c>
      <c r="E257" s="99" t="s">
        <v>13</v>
      </c>
      <c r="F257" s="99">
        <v>2116001</v>
      </c>
      <c r="G257" s="99">
        <v>2</v>
      </c>
      <c r="H257" s="100">
        <v>3</v>
      </c>
    </row>
    <row r="258" spans="1:8">
      <c r="A258" s="99" t="s">
        <v>1266</v>
      </c>
      <c r="B258" s="99" t="s">
        <v>9</v>
      </c>
      <c r="C258" s="99" t="s">
        <v>174</v>
      </c>
      <c r="D258" s="99" t="s">
        <v>18</v>
      </c>
      <c r="E258" s="99" t="s">
        <v>13</v>
      </c>
      <c r="F258" s="99">
        <v>2116001</v>
      </c>
      <c r="G258" s="99">
        <v>1</v>
      </c>
      <c r="H258" s="100">
        <v>3</v>
      </c>
    </row>
    <row r="259" spans="1:8">
      <c r="A259" s="99" t="s">
        <v>1268</v>
      </c>
      <c r="B259" s="99" t="s">
        <v>9</v>
      </c>
      <c r="C259" s="99" t="s">
        <v>174</v>
      </c>
      <c r="D259" s="99" t="s">
        <v>18</v>
      </c>
      <c r="E259" s="99" t="s">
        <v>13</v>
      </c>
      <c r="F259" s="99">
        <v>2116001</v>
      </c>
      <c r="G259" s="99">
        <v>1</v>
      </c>
      <c r="H259" s="100">
        <v>3</v>
      </c>
    </row>
    <row r="260" spans="1:8">
      <c r="A260" s="99" t="s">
        <v>1613</v>
      </c>
      <c r="B260" s="99" t="s">
        <v>9</v>
      </c>
      <c r="C260" s="99" t="s">
        <v>1614</v>
      </c>
      <c r="D260" s="99" t="s">
        <v>22</v>
      </c>
      <c r="E260" s="99" t="s">
        <v>13</v>
      </c>
      <c r="F260" s="99">
        <v>2116001</v>
      </c>
      <c r="G260" s="99">
        <v>1</v>
      </c>
      <c r="H260" s="100">
        <v>6</v>
      </c>
    </row>
    <row r="261" spans="1:8">
      <c r="A261" s="99" t="s">
        <v>752</v>
      </c>
      <c r="B261" s="99" t="s">
        <v>9</v>
      </c>
      <c r="C261" s="99" t="s">
        <v>753</v>
      </c>
      <c r="D261" s="99" t="s">
        <v>22</v>
      </c>
      <c r="E261" s="99" t="s">
        <v>13</v>
      </c>
      <c r="F261" s="99">
        <v>2116001</v>
      </c>
      <c r="G261" s="99">
        <v>14</v>
      </c>
      <c r="H261" s="99" t="s">
        <v>1615</v>
      </c>
    </row>
    <row r="262" spans="1:8">
      <c r="A262" s="99" t="s">
        <v>1273</v>
      </c>
      <c r="B262" s="99" t="s">
        <v>9</v>
      </c>
      <c r="C262" s="99" t="s">
        <v>753</v>
      </c>
      <c r="D262" s="99" t="s">
        <v>22</v>
      </c>
      <c r="E262" s="99" t="s">
        <v>13</v>
      </c>
      <c r="F262" s="99">
        <v>2116001</v>
      </c>
      <c r="G262" s="99">
        <v>4</v>
      </c>
      <c r="H262" s="100">
        <v>3</v>
      </c>
    </row>
    <row r="263" spans="1:8">
      <c r="A263" s="99" t="s">
        <v>1274</v>
      </c>
      <c r="B263" s="99" t="s">
        <v>9</v>
      </c>
      <c r="C263" s="99" t="s">
        <v>753</v>
      </c>
      <c r="D263" s="99" t="s">
        <v>22</v>
      </c>
      <c r="E263" s="99" t="s">
        <v>13</v>
      </c>
      <c r="F263" s="99">
        <v>2116001</v>
      </c>
      <c r="G263" s="99">
        <v>18</v>
      </c>
      <c r="H263" s="99" t="s">
        <v>1616</v>
      </c>
    </row>
    <row r="264" spans="1:8">
      <c r="A264" s="99" t="s">
        <v>1617</v>
      </c>
      <c r="B264" s="99" t="s">
        <v>9</v>
      </c>
      <c r="C264" s="99" t="s">
        <v>1614</v>
      </c>
      <c r="D264" s="99" t="s">
        <v>22</v>
      </c>
      <c r="E264" s="99" t="s">
        <v>13</v>
      </c>
      <c r="F264" s="99">
        <v>2116001</v>
      </c>
      <c r="G264" s="99">
        <v>2</v>
      </c>
      <c r="H264" s="100">
        <v>3</v>
      </c>
    </row>
    <row r="265" spans="1:8">
      <c r="A265" s="99" t="s">
        <v>1275</v>
      </c>
      <c r="B265" s="99" t="s">
        <v>9</v>
      </c>
      <c r="C265" s="99" t="s">
        <v>753</v>
      </c>
      <c r="D265" s="99" t="s">
        <v>22</v>
      </c>
      <c r="E265" s="99" t="s">
        <v>13</v>
      </c>
      <c r="F265" s="99">
        <v>2116001</v>
      </c>
      <c r="G265" s="99">
        <v>8</v>
      </c>
      <c r="H265" s="100">
        <v>3</v>
      </c>
    </row>
    <row r="266" spans="1:8">
      <c r="A266" s="99" t="s">
        <v>1618</v>
      </c>
      <c r="B266" s="99" t="s">
        <v>9</v>
      </c>
      <c r="C266" s="99" t="s">
        <v>1423</v>
      </c>
      <c r="D266" s="99" t="s">
        <v>22</v>
      </c>
      <c r="E266" s="99" t="s">
        <v>13</v>
      </c>
      <c r="F266" s="99">
        <v>2116001</v>
      </c>
      <c r="G266" s="99">
        <v>2</v>
      </c>
      <c r="H266" s="100">
        <v>0</v>
      </c>
    </row>
    <row r="267" spans="1:8">
      <c r="A267" s="99" t="s">
        <v>1276</v>
      </c>
      <c r="B267" s="99" t="s">
        <v>9</v>
      </c>
      <c r="C267" s="99" t="s">
        <v>755</v>
      </c>
      <c r="D267" s="99" t="s">
        <v>22</v>
      </c>
      <c r="E267" s="99" t="s">
        <v>13</v>
      </c>
      <c r="F267" s="99">
        <v>2116001</v>
      </c>
      <c r="G267" s="99">
        <v>1</v>
      </c>
      <c r="H267" s="100">
        <v>4</v>
      </c>
    </row>
    <row r="268" spans="1:8">
      <c r="A268" s="99" t="s">
        <v>1277</v>
      </c>
      <c r="B268" s="99" t="s">
        <v>9</v>
      </c>
      <c r="C268" s="99" t="s">
        <v>755</v>
      </c>
      <c r="D268" s="99" t="s">
        <v>22</v>
      </c>
      <c r="E268" s="99" t="s">
        <v>13</v>
      </c>
      <c r="F268" s="99">
        <v>2116001</v>
      </c>
      <c r="G268" s="99">
        <v>8</v>
      </c>
      <c r="H268" s="100" t="s">
        <v>1619</v>
      </c>
    </row>
    <row r="269" spans="1:8">
      <c r="A269" s="99" t="s">
        <v>1278</v>
      </c>
      <c r="B269" s="99" t="s">
        <v>9</v>
      </c>
      <c r="C269" s="99" t="s">
        <v>755</v>
      </c>
      <c r="D269" s="99" t="s">
        <v>22</v>
      </c>
      <c r="E269" s="99" t="s">
        <v>13</v>
      </c>
      <c r="F269" s="99">
        <v>2116001</v>
      </c>
      <c r="G269" s="99">
        <v>4</v>
      </c>
      <c r="H269" s="100">
        <v>3</v>
      </c>
    </row>
    <row r="270" spans="1:8">
      <c r="A270" s="99" t="s">
        <v>1279</v>
      </c>
      <c r="B270" s="99" t="s">
        <v>9</v>
      </c>
      <c r="C270" s="99" t="s">
        <v>755</v>
      </c>
      <c r="D270" s="99" t="s">
        <v>22</v>
      </c>
      <c r="E270" s="99" t="s">
        <v>13</v>
      </c>
      <c r="F270" s="99">
        <v>2116001</v>
      </c>
      <c r="G270" s="99">
        <v>4</v>
      </c>
      <c r="H270" s="99" t="s">
        <v>1620</v>
      </c>
    </row>
    <row r="271" spans="1:8">
      <c r="A271" s="99" t="s">
        <v>1280</v>
      </c>
      <c r="B271" s="99" t="s">
        <v>9</v>
      </c>
      <c r="C271" s="99" t="s">
        <v>755</v>
      </c>
      <c r="D271" s="99" t="s">
        <v>22</v>
      </c>
      <c r="E271" s="99" t="s">
        <v>13</v>
      </c>
      <c r="F271" s="99">
        <v>2116001</v>
      </c>
      <c r="G271" s="99">
        <v>2</v>
      </c>
      <c r="H271" s="100">
        <v>3</v>
      </c>
    </row>
    <row r="272" spans="1:8">
      <c r="A272" s="99" t="s">
        <v>1281</v>
      </c>
      <c r="B272" s="99" t="s">
        <v>9</v>
      </c>
      <c r="C272" s="99" t="s">
        <v>755</v>
      </c>
      <c r="D272" s="99" t="s">
        <v>22</v>
      </c>
      <c r="E272" s="99" t="s">
        <v>13</v>
      </c>
      <c r="F272" s="99">
        <v>2116001</v>
      </c>
      <c r="G272" s="99">
        <v>8</v>
      </c>
      <c r="H272" s="100" t="s">
        <v>1421</v>
      </c>
    </row>
    <row r="273" spans="1:8">
      <c r="A273" s="99" t="s">
        <v>1282</v>
      </c>
      <c r="B273" s="99" t="s">
        <v>9</v>
      </c>
      <c r="C273" s="99" t="s">
        <v>492</v>
      </c>
      <c r="D273" s="99" t="s">
        <v>22</v>
      </c>
      <c r="E273" s="99" t="s">
        <v>13</v>
      </c>
      <c r="F273" s="99">
        <v>2116001</v>
      </c>
      <c r="G273" s="99">
        <v>4</v>
      </c>
      <c r="H273" s="100">
        <v>3</v>
      </c>
    </row>
    <row r="274" spans="1:8">
      <c r="A274" s="99" t="s">
        <v>1621</v>
      </c>
      <c r="B274" s="99" t="s">
        <v>9</v>
      </c>
      <c r="C274" s="99" t="s">
        <v>1423</v>
      </c>
      <c r="D274" s="99" t="s">
        <v>22</v>
      </c>
      <c r="E274" s="99" t="s">
        <v>13</v>
      </c>
      <c r="F274" s="99">
        <v>2116001</v>
      </c>
      <c r="G274" s="99">
        <v>2</v>
      </c>
      <c r="H274" s="100">
        <v>3</v>
      </c>
    </row>
    <row r="275" spans="1:8">
      <c r="A275" s="99" t="s">
        <v>1283</v>
      </c>
      <c r="B275" s="99" t="s">
        <v>9</v>
      </c>
      <c r="C275" s="99" t="s">
        <v>1284</v>
      </c>
      <c r="D275" s="99" t="s">
        <v>22</v>
      </c>
      <c r="E275" s="99" t="s">
        <v>13</v>
      </c>
      <c r="F275" s="99">
        <v>2116001</v>
      </c>
      <c r="G275" s="99">
        <v>8</v>
      </c>
      <c r="H275" s="100">
        <v>3</v>
      </c>
    </row>
    <row r="276" spans="1:8">
      <c r="A276" s="99" t="s">
        <v>1286</v>
      </c>
      <c r="B276" s="99" t="s">
        <v>9</v>
      </c>
      <c r="C276" s="99" t="s">
        <v>1284</v>
      </c>
      <c r="D276" s="99" t="s">
        <v>22</v>
      </c>
      <c r="E276" s="99" t="s">
        <v>13</v>
      </c>
      <c r="F276" s="99">
        <v>2116001</v>
      </c>
      <c r="G276" s="99">
        <v>4</v>
      </c>
      <c r="H276" s="100">
        <v>3</v>
      </c>
    </row>
    <row r="277" spans="1:8">
      <c r="A277" s="99" t="s">
        <v>1622</v>
      </c>
      <c r="B277" s="99" t="s">
        <v>9</v>
      </c>
      <c r="C277" s="99" t="s">
        <v>1423</v>
      </c>
      <c r="D277" s="99" t="s">
        <v>22</v>
      </c>
      <c r="E277" s="99" t="s">
        <v>13</v>
      </c>
      <c r="F277" s="99">
        <v>2116001</v>
      </c>
      <c r="G277" s="99">
        <v>4</v>
      </c>
      <c r="H277" s="99" t="s">
        <v>1607</v>
      </c>
    </row>
    <row r="278" spans="1:8">
      <c r="A278" s="99" t="s">
        <v>1287</v>
      </c>
      <c r="B278" s="99" t="s">
        <v>9</v>
      </c>
      <c r="C278" s="99" t="s">
        <v>753</v>
      </c>
      <c r="D278" s="99" t="s">
        <v>22</v>
      </c>
      <c r="E278" s="99" t="s">
        <v>13</v>
      </c>
      <c r="F278" s="99">
        <v>2116001</v>
      </c>
      <c r="G278" s="99">
        <v>4</v>
      </c>
      <c r="H278" s="100">
        <v>3</v>
      </c>
    </row>
    <row r="279" spans="1:8">
      <c r="A279" s="99" t="s">
        <v>1288</v>
      </c>
      <c r="B279" s="99" t="s">
        <v>9</v>
      </c>
      <c r="C279" s="99" t="s">
        <v>753</v>
      </c>
      <c r="D279" s="99" t="s">
        <v>22</v>
      </c>
      <c r="E279" s="99" t="s">
        <v>13</v>
      </c>
      <c r="F279" s="99">
        <v>2116001</v>
      </c>
      <c r="G279" s="99">
        <v>8</v>
      </c>
      <c r="H279" s="100" t="s">
        <v>1447</v>
      </c>
    </row>
    <row r="280" spans="1:8">
      <c r="A280" s="99" t="s">
        <v>1289</v>
      </c>
      <c r="B280" s="99" t="s">
        <v>9</v>
      </c>
      <c r="C280" s="99" t="s">
        <v>753</v>
      </c>
      <c r="D280" s="99" t="s">
        <v>22</v>
      </c>
      <c r="E280" s="99" t="s">
        <v>13</v>
      </c>
      <c r="F280" s="99">
        <v>2116001</v>
      </c>
      <c r="G280" s="99">
        <v>8</v>
      </c>
      <c r="H280" s="100" t="s">
        <v>1421</v>
      </c>
    </row>
    <row r="281" spans="1:8">
      <c r="A281" s="99" t="s">
        <v>1290</v>
      </c>
      <c r="B281" s="99" t="s">
        <v>9</v>
      </c>
      <c r="C281" s="99" t="s">
        <v>1291</v>
      </c>
      <c r="D281" s="99" t="s">
        <v>22</v>
      </c>
      <c r="E281" s="99" t="s">
        <v>13</v>
      </c>
      <c r="F281" s="99">
        <v>2116001</v>
      </c>
      <c r="G281" s="99">
        <v>2</v>
      </c>
      <c r="H281" s="100" t="s">
        <v>1402</v>
      </c>
    </row>
    <row r="282" spans="1:8">
      <c r="A282" s="99" t="s">
        <v>1292</v>
      </c>
      <c r="B282" s="99" t="s">
        <v>9</v>
      </c>
      <c r="C282" s="99" t="s">
        <v>755</v>
      </c>
      <c r="D282" s="99" t="s">
        <v>22</v>
      </c>
      <c r="E282" s="99" t="s">
        <v>13</v>
      </c>
      <c r="F282" s="99">
        <v>2116001</v>
      </c>
      <c r="G282" s="99">
        <v>1</v>
      </c>
      <c r="H282" s="100">
        <v>1</v>
      </c>
    </row>
    <row r="283" spans="1:8">
      <c r="A283" s="99" t="s">
        <v>1293</v>
      </c>
      <c r="B283" s="99" t="s">
        <v>9</v>
      </c>
      <c r="C283" s="99" t="s">
        <v>1291</v>
      </c>
      <c r="D283" s="99" t="s">
        <v>22</v>
      </c>
      <c r="E283" s="99" t="s">
        <v>13</v>
      </c>
      <c r="F283" s="99">
        <v>2116001</v>
      </c>
      <c r="G283" s="99">
        <v>2</v>
      </c>
      <c r="H283" s="100">
        <v>1</v>
      </c>
    </row>
    <row r="284" spans="1:8">
      <c r="A284" s="99" t="s">
        <v>1623</v>
      </c>
      <c r="B284" s="99" t="s">
        <v>9</v>
      </c>
      <c r="C284" s="99" t="s">
        <v>1423</v>
      </c>
      <c r="D284" s="99" t="s">
        <v>22</v>
      </c>
      <c r="E284" s="99" t="s">
        <v>13</v>
      </c>
      <c r="F284" s="99">
        <v>2116001</v>
      </c>
      <c r="G284" s="99">
        <v>3</v>
      </c>
      <c r="H284" s="100">
        <v>0</v>
      </c>
    </row>
    <row r="285" spans="1:8">
      <c r="A285" s="99" t="s">
        <v>1624</v>
      </c>
      <c r="B285" s="99" t="s">
        <v>9</v>
      </c>
      <c r="C285" s="99" t="s">
        <v>1614</v>
      </c>
      <c r="D285" s="99" t="s">
        <v>22</v>
      </c>
      <c r="E285" s="99" t="s">
        <v>13</v>
      </c>
      <c r="F285" s="99">
        <v>2116001</v>
      </c>
      <c r="G285" s="99">
        <v>3</v>
      </c>
      <c r="H285" s="100" t="s">
        <v>1625</v>
      </c>
    </row>
  </sheetData>
  <autoFilter ref="A1:H285" xr:uid="{00000000-0009-0000-0000-000001000000}">
    <sortState xmlns:xlrd2="http://schemas.microsoft.com/office/spreadsheetml/2017/richdata2" ref="A2:H285">
      <sortCondition ref="A1:A285"/>
    </sortState>
  </autoFilter>
  <printOptions horizontalCentered="1"/>
  <pageMargins left="0.19685039370078741" right="0.19685039370078741" top="0.59055118110236227" bottom="0.59055118110236227" header="0" footer="0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A2:AB1079"/>
  <sheetViews>
    <sheetView showGridLines="0" topLeftCell="C1" zoomScale="70" zoomScaleNormal="70" workbookViewId="0">
      <pane ySplit="7" topLeftCell="A1054" activePane="bottomLeft" state="frozen"/>
      <selection pane="bottomLeft" activeCell="X1076" sqref="X1076"/>
    </sheetView>
  </sheetViews>
  <sheetFormatPr defaultColWidth="9.140625" defaultRowHeight="14.45"/>
  <cols>
    <col min="1" max="1" width="35.85546875" customWidth="1"/>
    <col min="2" max="2" width="25.140625" customWidth="1"/>
    <col min="3" max="3" width="42.42578125" customWidth="1"/>
    <col min="4" max="4" width="49" customWidth="1"/>
    <col min="5" max="5" width="9.28515625" style="4" customWidth="1"/>
    <col min="6" max="6" width="10.7109375" customWidth="1"/>
    <col min="7" max="8" width="13.5703125" customWidth="1"/>
    <col min="9" max="9" width="13.5703125" style="26" customWidth="1"/>
    <col min="10" max="10" width="13.5703125" style="4" customWidth="1"/>
    <col min="11" max="11" width="13.5703125" style="25" customWidth="1"/>
    <col min="12" max="12" width="13.5703125" customWidth="1"/>
    <col min="13" max="15" width="13.5703125" style="26" customWidth="1"/>
    <col min="16" max="18" width="13.5703125" style="4" customWidth="1"/>
    <col min="19" max="19" width="13.5703125" style="26" customWidth="1"/>
    <col min="20" max="22" width="13.5703125" style="4" customWidth="1"/>
    <col min="23" max="23" width="19.5703125" style="25" customWidth="1"/>
    <col min="24" max="24" width="9.140625" customWidth="1"/>
    <col min="25" max="28" width="11.42578125" customWidth="1"/>
  </cols>
  <sheetData>
    <row r="2" spans="1:28" ht="25.9">
      <c r="B2" s="17" t="s">
        <v>1626</v>
      </c>
      <c r="C2" s="93" t="s">
        <v>1627</v>
      </c>
      <c r="D2" s="94">
        <v>45953</v>
      </c>
      <c r="G2" s="4"/>
      <c r="H2" s="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9"/>
      <c r="V2" s="19"/>
      <c r="W2" s="4"/>
    </row>
    <row r="3" spans="1:28">
      <c r="B3" t="s">
        <v>1628</v>
      </c>
      <c r="G3" s="4"/>
      <c r="H3" s="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9"/>
      <c r="V3" s="19"/>
      <c r="W3" s="4"/>
    </row>
    <row r="4" spans="1:28">
      <c r="D4" s="4"/>
      <c r="G4" s="4"/>
      <c r="H4" s="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9"/>
      <c r="V4" s="19"/>
      <c r="W4" s="4"/>
    </row>
    <row r="5" spans="1:28" ht="15" thickBot="1">
      <c r="A5">
        <v>1</v>
      </c>
      <c r="B5">
        <v>2</v>
      </c>
      <c r="C5">
        <v>3</v>
      </c>
      <c r="D5">
        <v>4</v>
      </c>
      <c r="E5">
        <v>5</v>
      </c>
      <c r="F5">
        <v>6</v>
      </c>
      <c r="G5">
        <v>7</v>
      </c>
      <c r="H5">
        <v>8</v>
      </c>
      <c r="I5">
        <v>9</v>
      </c>
      <c r="J5">
        <v>10</v>
      </c>
      <c r="K5">
        <v>11</v>
      </c>
      <c r="L5">
        <v>12</v>
      </c>
      <c r="M5">
        <v>13</v>
      </c>
      <c r="N5">
        <v>14</v>
      </c>
      <c r="O5">
        <v>15</v>
      </c>
      <c r="P5">
        <v>16</v>
      </c>
      <c r="Q5">
        <v>17</v>
      </c>
      <c r="R5">
        <v>18</v>
      </c>
      <c r="S5">
        <v>19</v>
      </c>
      <c r="T5">
        <v>20</v>
      </c>
      <c r="U5">
        <v>21</v>
      </c>
      <c r="V5">
        <v>22</v>
      </c>
      <c r="W5">
        <v>23</v>
      </c>
      <c r="X5">
        <v>24</v>
      </c>
      <c r="Y5">
        <v>25</v>
      </c>
      <c r="Z5">
        <v>26</v>
      </c>
      <c r="AA5">
        <v>27</v>
      </c>
      <c r="AB5">
        <v>28</v>
      </c>
    </row>
    <row r="6" spans="1:28" ht="15" customHeight="1">
      <c r="G6" s="203" t="s">
        <v>1629</v>
      </c>
      <c r="H6" s="204"/>
      <c r="I6" s="205" t="s">
        <v>1630</v>
      </c>
      <c r="J6" s="206"/>
      <c r="K6" s="207" t="s">
        <v>1631</v>
      </c>
      <c r="L6" s="208"/>
      <c r="M6" s="209" t="s">
        <v>1632</v>
      </c>
      <c r="N6" s="210"/>
      <c r="O6" s="211" t="s">
        <v>1633</v>
      </c>
      <c r="P6" s="212"/>
      <c r="Q6" s="201" t="s">
        <v>1634</v>
      </c>
      <c r="R6" s="202"/>
      <c r="S6" s="217" t="s">
        <v>1635</v>
      </c>
      <c r="T6" s="206"/>
      <c r="U6" s="211" t="s">
        <v>1636</v>
      </c>
      <c r="V6" s="212"/>
      <c r="W6" s="213"/>
      <c r="X6" s="214"/>
      <c r="Y6" s="215" t="s">
        <v>1637</v>
      </c>
      <c r="Z6" s="216"/>
      <c r="AA6" s="205" t="s">
        <v>1638</v>
      </c>
      <c r="AB6" s="206"/>
    </row>
    <row r="7" spans="1:28" ht="28.9">
      <c r="A7" s="20" t="s">
        <v>0</v>
      </c>
      <c r="B7" s="20" t="s">
        <v>1</v>
      </c>
      <c r="C7" s="20" t="s">
        <v>1639</v>
      </c>
      <c r="D7" s="20" t="s">
        <v>1640</v>
      </c>
      <c r="E7" s="15" t="s">
        <v>3</v>
      </c>
      <c r="F7" s="20" t="s">
        <v>4</v>
      </c>
      <c r="G7" s="27" t="s">
        <v>1641</v>
      </c>
      <c r="H7" s="28" t="s">
        <v>1642</v>
      </c>
      <c r="I7" s="27" t="s">
        <v>1643</v>
      </c>
      <c r="J7" s="28" t="s">
        <v>1644</v>
      </c>
      <c r="K7" s="16" t="s">
        <v>1645</v>
      </c>
      <c r="L7" s="16" t="s">
        <v>1646</v>
      </c>
      <c r="M7" s="27" t="s">
        <v>1647</v>
      </c>
      <c r="N7" s="28" t="s">
        <v>1648</v>
      </c>
      <c r="O7" s="27" t="s">
        <v>1649</v>
      </c>
      <c r="P7" s="28" t="s">
        <v>1650</v>
      </c>
      <c r="Q7" s="27" t="s">
        <v>1651</v>
      </c>
      <c r="R7" s="28" t="s">
        <v>1652</v>
      </c>
      <c r="S7" s="16" t="s">
        <v>1653</v>
      </c>
      <c r="T7" s="28" t="s">
        <v>1654</v>
      </c>
      <c r="U7" s="27" t="s">
        <v>1655</v>
      </c>
      <c r="V7" s="28" t="s">
        <v>1656</v>
      </c>
      <c r="W7" s="16" t="s">
        <v>1657</v>
      </c>
      <c r="X7" s="16" t="s">
        <v>1658</v>
      </c>
      <c r="Y7" s="27" t="s">
        <v>1659</v>
      </c>
      <c r="Z7" s="28" t="s">
        <v>1660</v>
      </c>
      <c r="AA7" s="27" t="s">
        <v>1661</v>
      </c>
      <c r="AB7" s="28" t="s">
        <v>1662</v>
      </c>
    </row>
    <row r="8" spans="1:28" s="18" customFormat="1" ht="15" customHeight="1">
      <c r="A8" s="18">
        <v>357971939</v>
      </c>
      <c r="B8" s="18" t="s">
        <v>9</v>
      </c>
      <c r="C8" s="18" t="s">
        <v>1320</v>
      </c>
      <c r="D8" s="18" t="s">
        <v>1320</v>
      </c>
      <c r="E8" s="19" t="s">
        <v>22</v>
      </c>
      <c r="F8" s="18" t="s">
        <v>13</v>
      </c>
      <c r="G8" s="29"/>
      <c r="H8" s="32"/>
      <c r="I8" s="31"/>
      <c r="J8" s="32"/>
      <c r="K8" s="14"/>
      <c r="L8" s="14"/>
      <c r="M8" s="31"/>
      <c r="N8" s="32"/>
      <c r="O8" s="119">
        <v>3</v>
      </c>
      <c r="P8" s="120">
        <v>6</v>
      </c>
      <c r="Q8" s="31"/>
      <c r="R8" s="32"/>
      <c r="S8" s="14"/>
      <c r="T8" s="14"/>
      <c r="U8" s="31"/>
      <c r="V8" s="32" t="s">
        <v>1663</v>
      </c>
      <c r="W8" s="19">
        <v>24</v>
      </c>
      <c r="X8" s="19" t="s">
        <v>1664</v>
      </c>
      <c r="Y8" s="19" t="s">
        <v>1663</v>
      </c>
      <c r="Z8" s="19" t="s">
        <v>1663</v>
      </c>
      <c r="AA8" s="19" t="s">
        <v>1663</v>
      </c>
      <c r="AB8" s="19" t="s">
        <v>1663</v>
      </c>
    </row>
    <row r="9" spans="1:28" s="18" customFormat="1">
      <c r="A9" s="18">
        <v>377860250</v>
      </c>
      <c r="B9" s="18" t="s">
        <v>9</v>
      </c>
      <c r="C9" s="18" t="s">
        <v>1665</v>
      </c>
      <c r="D9" s="18" t="s">
        <v>1666</v>
      </c>
      <c r="E9" s="19" t="s">
        <v>18</v>
      </c>
      <c r="F9" s="18" t="s">
        <v>13</v>
      </c>
      <c r="G9" s="29"/>
      <c r="H9" s="32" t="str">
        <f>IF(Prueba[[#This Row],[Cant.]]=0,"",IF(OR(Prueba[[#This Row],[Cant.2]]="",Prueba[[#This Row],[Puesto2]]=""),"?",Prueba[[#This Row],[Puesto2]]))</f>
        <v/>
      </c>
      <c r="I9" s="31"/>
      <c r="J9" s="32"/>
      <c r="K9" s="14"/>
      <c r="L9" s="14"/>
      <c r="M9" s="31"/>
      <c r="N9" s="32" t="str">
        <f>IF(Prueba[[#This Row],[Cant.4]]=0,"",IF(OR(Prueba[[#This Row],[Cant.6]]="",Prueba[[#This Row],[Puesto6]]=""),"?",Prueba[[#This Row],[Puesto6]]))</f>
        <v/>
      </c>
      <c r="O9" s="31"/>
      <c r="P9" s="32" t="str">
        <f>IF(Prueba[[#This Row],[Cant.5]]=0,"",IF(OR(Prueba[[#This Row],[Cant.6]]="",Prueba[[#This Row],[Puesto6]]=""),"?",Prueba[[#This Row],[Puesto6]]))</f>
        <v/>
      </c>
      <c r="Q9" s="31"/>
      <c r="R9" s="32"/>
      <c r="S9" s="14"/>
      <c r="T9" s="14"/>
      <c r="U9" s="31">
        <v>1</v>
      </c>
      <c r="V9" s="32">
        <v>6</v>
      </c>
      <c r="W9" s="19"/>
      <c r="X9" s="19" t="s">
        <v>1667</v>
      </c>
      <c r="Y9" s="19" t="s">
        <v>1663</v>
      </c>
      <c r="Z9" s="19" t="s">
        <v>1663</v>
      </c>
      <c r="AA9" s="19" t="s">
        <v>1663</v>
      </c>
      <c r="AB9" s="19" t="s">
        <v>1663</v>
      </c>
    </row>
    <row r="10" spans="1:28" s="18" customFormat="1">
      <c r="A10" s="18">
        <v>2376119871</v>
      </c>
      <c r="B10" s="18" t="s">
        <v>9</v>
      </c>
      <c r="C10" s="18" t="s">
        <v>1323</v>
      </c>
      <c r="D10" s="18" t="s">
        <v>1321</v>
      </c>
      <c r="E10" s="19" t="s">
        <v>22</v>
      </c>
      <c r="F10" s="18" t="s">
        <v>13</v>
      </c>
      <c r="G10" s="29"/>
      <c r="H10" s="32" t="str">
        <f>IF(Prueba[[#This Row],[Cant.]]=0,"",IF(OR(Prueba[[#This Row],[Cant.2]]="",Prueba[[#This Row],[Puesto2]]=""),"?",Prueba[[#This Row],[Puesto2]]))</f>
        <v/>
      </c>
      <c r="I10" s="31"/>
      <c r="J10" s="32"/>
      <c r="K10" s="14">
        <v>3</v>
      </c>
      <c r="L10" s="14"/>
      <c r="M10" s="31">
        <v>4</v>
      </c>
      <c r="N10" s="32">
        <f>IF(Prueba[[#This Row],[Cant.4]]=0,"",IF(OR(Prueba[[#This Row],[Cant.6]]="",Prueba[[#This Row],[Puesto6]]=""),"?",Prueba[[#This Row],[Puesto6]]))</f>
        <v>6</v>
      </c>
      <c r="O10" s="31">
        <v>4</v>
      </c>
      <c r="P10" s="32">
        <f>IF(Prueba[[#This Row],[Cant.5]]=0,"",IF(OR(Prueba[[#This Row],[Cant.6]]="",Prueba[[#This Row],[Puesto6]]=""),"?",Prueba[[#This Row],[Puesto6]]))</f>
        <v>6</v>
      </c>
      <c r="Q10" s="31">
        <v>4</v>
      </c>
      <c r="R10" s="32">
        <v>6</v>
      </c>
      <c r="S10" s="14">
        <v>3</v>
      </c>
      <c r="T10" s="14">
        <v>6</v>
      </c>
      <c r="U10" s="31"/>
      <c r="V10" s="32" t="s">
        <v>1663</v>
      </c>
      <c r="W10" s="19">
        <v>32</v>
      </c>
      <c r="X10" s="19" t="s">
        <v>1664</v>
      </c>
      <c r="Y10" s="19" t="s">
        <v>1663</v>
      </c>
      <c r="Z10" s="19" t="s">
        <v>1663</v>
      </c>
      <c r="AA10" s="19" t="s">
        <v>1663</v>
      </c>
      <c r="AB10" s="19" t="s">
        <v>1663</v>
      </c>
    </row>
    <row r="11" spans="1:28" s="18" customFormat="1">
      <c r="A11" s="18">
        <v>2376119872</v>
      </c>
      <c r="C11" s="18" t="s">
        <v>20</v>
      </c>
      <c r="D11" s="18" t="s">
        <v>20</v>
      </c>
      <c r="E11" s="19" t="s">
        <v>22</v>
      </c>
      <c r="G11" s="29"/>
      <c r="H11" s="32"/>
      <c r="I11" s="31"/>
      <c r="J11" s="32"/>
      <c r="K11" s="14"/>
      <c r="L11" s="14"/>
      <c r="M11" s="31"/>
      <c r="N11" s="32"/>
      <c r="O11" s="31"/>
      <c r="P11" s="32"/>
      <c r="Q11" s="31"/>
      <c r="R11" s="32"/>
      <c r="S11" s="14"/>
      <c r="T11" s="14"/>
      <c r="U11" s="31"/>
      <c r="V11" s="32" t="s">
        <v>1663</v>
      </c>
      <c r="W11" s="19">
        <v>16</v>
      </c>
      <c r="X11" s="19" t="s">
        <v>1664</v>
      </c>
      <c r="Y11" s="19">
        <v>2</v>
      </c>
      <c r="Z11" s="19">
        <v>5</v>
      </c>
      <c r="AA11" s="19">
        <v>2</v>
      </c>
      <c r="AB11" s="19">
        <v>5</v>
      </c>
    </row>
    <row r="12" spans="1:28" s="18" customFormat="1">
      <c r="A12" s="18" t="s">
        <v>763</v>
      </c>
      <c r="B12" s="18" t="s">
        <v>9</v>
      </c>
      <c r="C12" s="18" t="s">
        <v>153</v>
      </c>
      <c r="D12" s="18" t="s">
        <v>764</v>
      </c>
      <c r="E12" s="19" t="s">
        <v>22</v>
      </c>
      <c r="F12" s="18" t="s">
        <v>13</v>
      </c>
      <c r="G12" s="29"/>
      <c r="H12" s="32" t="str">
        <f>IF(Prueba[[#This Row],[Cant.]]=0,"",IF(OR(Prueba[[#This Row],[Cant.2]]="",Prueba[[#This Row],[Puesto2]]=""),"?",Prueba[[#This Row],[Puesto2]]))</f>
        <v/>
      </c>
      <c r="I12" s="31"/>
      <c r="J12" s="32"/>
      <c r="K12" s="14">
        <v>1</v>
      </c>
      <c r="L12" s="14"/>
      <c r="M12" s="31">
        <v>1</v>
      </c>
      <c r="N12" s="32">
        <f>IF(Prueba[[#This Row],[Cant.4]]=0,"",IF(OR(Prueba[[#This Row],[Cant.6]]="",Prueba[[#This Row],[Puesto6]]=""),"?",Prueba[[#This Row],[Puesto6]]))</f>
        <v>5</v>
      </c>
      <c r="O12" s="31">
        <v>1</v>
      </c>
      <c r="P12" s="32">
        <f>IF(Prueba[[#This Row],[Cant.5]]=0,"",IF(OR(Prueba[[#This Row],[Cant.6]]="",Prueba[[#This Row],[Puesto6]]=""),"?",Prueba[[#This Row],[Puesto6]]))</f>
        <v>5</v>
      </c>
      <c r="Q12" s="31">
        <v>1</v>
      </c>
      <c r="R12" s="32">
        <v>5</v>
      </c>
      <c r="S12" s="14"/>
      <c r="T12" s="14"/>
      <c r="U12" s="31"/>
      <c r="V12" s="32" t="s">
        <v>1663</v>
      </c>
      <c r="W12" s="19">
        <v>8</v>
      </c>
      <c r="X12" s="19" t="s">
        <v>1664</v>
      </c>
      <c r="Y12" s="19" t="s">
        <v>1663</v>
      </c>
      <c r="Z12" s="19" t="s">
        <v>1663</v>
      </c>
      <c r="AA12" s="19" t="s">
        <v>1663</v>
      </c>
      <c r="AB12" s="19" t="s">
        <v>1663</v>
      </c>
    </row>
    <row r="13" spans="1:28" s="18" customFormat="1">
      <c r="A13" s="18" t="s">
        <v>1324</v>
      </c>
      <c r="B13" s="18" t="s">
        <v>9</v>
      </c>
      <c r="C13" s="18" t="s">
        <v>1325</v>
      </c>
      <c r="D13" s="18" t="s">
        <v>1326</v>
      </c>
      <c r="E13" s="19" t="s">
        <v>22</v>
      </c>
      <c r="F13" s="18" t="s">
        <v>13</v>
      </c>
      <c r="G13" s="29"/>
      <c r="H13" s="32" t="str">
        <f>IF(Prueba[[#This Row],[Cant.]]=0,"",IF(OR(Prueba[[#This Row],[Cant.2]]="",Prueba[[#This Row],[Puesto2]]=""),"?",Prueba[[#This Row],[Puesto2]]))</f>
        <v/>
      </c>
      <c r="I13" s="31"/>
      <c r="J13" s="32"/>
      <c r="K13" s="14"/>
      <c r="L13" s="14"/>
      <c r="M13" s="31"/>
      <c r="N13" s="32" t="str">
        <f>IF(Prueba[[#This Row],[Cant.4]]=0,"",IF(OR(Prueba[[#This Row],[Cant.6]]="",Prueba[[#This Row],[Puesto6]]=""),"?",Prueba[[#This Row],[Puesto6]]))</f>
        <v/>
      </c>
      <c r="O13" s="31"/>
      <c r="P13" s="32" t="str">
        <f>IF(Prueba[[#This Row],[Cant.5]]=0,"",IF(OR(Prueba[[#This Row],[Cant.6]]="",Prueba[[#This Row],[Puesto6]]=""),"?",Prueba[[#This Row],[Puesto6]]))</f>
        <v/>
      </c>
      <c r="Q13" s="31"/>
      <c r="R13" s="32"/>
      <c r="S13" s="14"/>
      <c r="T13" s="14"/>
      <c r="U13" s="31"/>
      <c r="V13" s="32" t="s">
        <v>1663</v>
      </c>
      <c r="W13" s="19">
        <v>0</v>
      </c>
      <c r="X13" s="19" t="s">
        <v>1664</v>
      </c>
      <c r="Y13" s="19" t="s">
        <v>1663</v>
      </c>
      <c r="Z13" s="19" t="s">
        <v>1663</v>
      </c>
      <c r="AA13" s="19" t="s">
        <v>1663</v>
      </c>
      <c r="AB13" s="19" t="s">
        <v>1663</v>
      </c>
    </row>
    <row r="14" spans="1:28" s="18" customFormat="1">
      <c r="A14" s="18" t="s">
        <v>8</v>
      </c>
      <c r="B14" s="18" t="s">
        <v>9</v>
      </c>
      <c r="C14" s="18" t="s">
        <v>10</v>
      </c>
      <c r="D14" s="18" t="s">
        <v>11</v>
      </c>
      <c r="E14" s="19" t="s">
        <v>12</v>
      </c>
      <c r="F14" s="18" t="s">
        <v>13</v>
      </c>
      <c r="G14" s="29">
        <v>1</v>
      </c>
      <c r="H14" s="32">
        <f>IF(Prueba[[#This Row],[Cant.]]=0,"",IF(OR(Prueba[[#This Row],[Cant.2]]="",Prueba[[#This Row],[Puesto2]]=""),"?",Prueba[[#This Row],[Puesto2]]))</f>
        <v>5</v>
      </c>
      <c r="I14" s="31">
        <v>1</v>
      </c>
      <c r="J14" s="32">
        <v>5</v>
      </c>
      <c r="K14" s="14">
        <v>1</v>
      </c>
      <c r="L14" s="14"/>
      <c r="M14" s="31">
        <v>1</v>
      </c>
      <c r="N14" s="32">
        <f>IF(Prueba[[#This Row],[Cant.4]]=0,"",IF(OR(Prueba[[#This Row],[Cant.6]]="",Prueba[[#This Row],[Puesto6]]=""),"?",Prueba[[#This Row],[Puesto6]]))</f>
        <v>6</v>
      </c>
      <c r="O14" s="31">
        <v>1</v>
      </c>
      <c r="P14" s="32">
        <f>IF(Prueba[[#This Row],[Cant.5]]=0,"",IF(OR(Prueba[[#This Row],[Cant.6]]="",Prueba[[#This Row],[Puesto6]]=""),"?",Prueba[[#This Row],[Puesto6]]))</f>
        <v>6</v>
      </c>
      <c r="Q14" s="31">
        <v>1</v>
      </c>
      <c r="R14" s="32">
        <v>6</v>
      </c>
      <c r="S14" s="14">
        <v>1</v>
      </c>
      <c r="T14" s="14">
        <v>6</v>
      </c>
      <c r="U14" s="31"/>
      <c r="V14" s="32" t="s">
        <v>1663</v>
      </c>
      <c r="W14" s="19"/>
      <c r="X14" s="19" t="s">
        <v>1667</v>
      </c>
      <c r="Y14" s="19">
        <v>1</v>
      </c>
      <c r="Z14" s="19">
        <v>5</v>
      </c>
      <c r="AA14" s="19">
        <v>1</v>
      </c>
      <c r="AB14" s="19">
        <v>5</v>
      </c>
    </row>
    <row r="15" spans="1:28" s="18" customFormat="1">
      <c r="A15" s="18" t="s">
        <v>766</v>
      </c>
      <c r="B15" s="18" t="s">
        <v>9</v>
      </c>
      <c r="C15" s="18" t="s">
        <v>241</v>
      </c>
      <c r="D15" s="18" t="s">
        <v>767</v>
      </c>
      <c r="E15" s="19" t="s">
        <v>22</v>
      </c>
      <c r="F15" s="18" t="s">
        <v>13</v>
      </c>
      <c r="G15" s="29"/>
      <c r="H15" s="32" t="str">
        <f>IF(Prueba[[#This Row],[Cant.]]=0,"",IF(OR(Prueba[[#This Row],[Cant.2]]="",Prueba[[#This Row],[Puesto2]]=""),"?",Prueba[[#This Row],[Puesto2]]))</f>
        <v/>
      </c>
      <c r="I15" s="31"/>
      <c r="J15" s="32"/>
      <c r="K15" s="14">
        <v>2</v>
      </c>
      <c r="L15" s="14"/>
      <c r="M15" s="31"/>
      <c r="N15" s="32" t="str">
        <f>IF(Prueba[[#This Row],[Cant.4]]=0,"",IF(OR(Prueba[[#This Row],[Cant.6]]="",Prueba[[#This Row],[Puesto6]]=""),"?",Prueba[[#This Row],[Puesto6]]))</f>
        <v/>
      </c>
      <c r="O15" s="31"/>
      <c r="P15" s="32" t="str">
        <f>IF(Prueba[[#This Row],[Cant.5]]=0,"",IF(OR(Prueba[[#This Row],[Cant.6]]="",Prueba[[#This Row],[Puesto6]]=""),"?",Prueba[[#This Row],[Puesto6]]))</f>
        <v/>
      </c>
      <c r="Q15" s="31"/>
      <c r="R15" s="32"/>
      <c r="S15" s="14"/>
      <c r="T15" s="14"/>
      <c r="U15" s="31"/>
      <c r="V15" s="32" t="s">
        <v>1663</v>
      </c>
      <c r="W15" s="19">
        <v>16</v>
      </c>
      <c r="X15" s="19" t="s">
        <v>1664</v>
      </c>
      <c r="Y15" s="19" t="s">
        <v>1663</v>
      </c>
      <c r="Z15" s="19" t="s">
        <v>1663</v>
      </c>
      <c r="AA15" s="19" t="s">
        <v>1663</v>
      </c>
      <c r="AB15" s="19" t="s">
        <v>1663</v>
      </c>
    </row>
    <row r="16" spans="1:28" s="18" customFormat="1">
      <c r="A16" s="18" t="s">
        <v>1304</v>
      </c>
      <c r="B16" s="18" t="s">
        <v>9</v>
      </c>
      <c r="C16" s="18" t="s">
        <v>1305</v>
      </c>
      <c r="D16" s="18" t="s">
        <v>1306</v>
      </c>
      <c r="E16" s="19" t="s">
        <v>18</v>
      </c>
      <c r="F16" s="18" t="s">
        <v>13</v>
      </c>
      <c r="G16" s="29"/>
      <c r="H16" s="32" t="str">
        <f>IF(Prueba[[#This Row],[Cant.]]=0,"",IF(OR(Prueba[[#This Row],[Cant.2]]="",Prueba[[#This Row],[Puesto2]]=""),"?",Prueba[[#This Row],[Puesto2]]))</f>
        <v/>
      </c>
      <c r="I16" s="31"/>
      <c r="J16" s="32"/>
      <c r="K16" s="14">
        <v>1</v>
      </c>
      <c r="L16" s="14"/>
      <c r="M16" s="31">
        <v>1</v>
      </c>
      <c r="N16" s="32">
        <f>IF(Prueba[[#This Row],[Cant.4]]=0,"",IF(OR(Prueba[[#This Row],[Cant.6]]="",Prueba[[#This Row],[Puesto6]]=""),"?",Prueba[[#This Row],[Puesto6]]))</f>
        <v>1</v>
      </c>
      <c r="O16" s="31">
        <v>1</v>
      </c>
      <c r="P16" s="32">
        <f>IF(Prueba[[#This Row],[Cant.5]]=0,"",IF(OR(Prueba[[#This Row],[Cant.6]]="",Prueba[[#This Row],[Puesto6]]=""),"?",Prueba[[#This Row],[Puesto6]]))</f>
        <v>1</v>
      </c>
      <c r="Q16" s="31">
        <v>1</v>
      </c>
      <c r="R16" s="32">
        <v>1</v>
      </c>
      <c r="S16" s="14">
        <v>1</v>
      </c>
      <c r="T16" s="14">
        <v>1</v>
      </c>
      <c r="U16" s="31"/>
      <c r="V16" s="32" t="s">
        <v>1663</v>
      </c>
      <c r="W16" s="19"/>
      <c r="X16" s="19" t="s">
        <v>1667</v>
      </c>
      <c r="Y16" s="19" t="s">
        <v>1663</v>
      </c>
      <c r="Z16" s="19" t="s">
        <v>1663</v>
      </c>
      <c r="AA16" s="19" t="s">
        <v>1663</v>
      </c>
      <c r="AB16" s="19" t="s">
        <v>1663</v>
      </c>
    </row>
    <row r="17" spans="1:28" s="18" customFormat="1">
      <c r="A17" s="18" t="s">
        <v>15</v>
      </c>
      <c r="B17" s="18" t="s">
        <v>9</v>
      </c>
      <c r="C17" s="18" t="s">
        <v>16</v>
      </c>
      <c r="D17" s="18" t="s">
        <v>17</v>
      </c>
      <c r="E17" s="19" t="s">
        <v>18</v>
      </c>
      <c r="F17" s="18" t="s">
        <v>13</v>
      </c>
      <c r="G17" s="29">
        <v>1</v>
      </c>
      <c r="H17" s="32" t="str">
        <f>IF(Prueba[[#This Row],[Cant.]]=0,"",IF(OR(Prueba[[#This Row],[Cant.2]]="",Prueba[[#This Row],[Puesto2]]=""),"?",Prueba[[#This Row],[Puesto2]]))</f>
        <v>C</v>
      </c>
      <c r="I17" s="31">
        <v>1</v>
      </c>
      <c r="J17" s="32" t="s">
        <v>1402</v>
      </c>
      <c r="K17" s="14"/>
      <c r="L17" s="14"/>
      <c r="M17" s="31"/>
      <c r="N17" s="32" t="str">
        <f>IF(Prueba[[#This Row],[Cant.4]]=0,"",IF(OR(Prueba[[#This Row],[Cant.6]]="",Prueba[[#This Row],[Puesto6]]=""),"?",Prueba[[#This Row],[Puesto6]]))</f>
        <v/>
      </c>
      <c r="O17" s="31"/>
      <c r="P17" s="32" t="str">
        <f>IF(Prueba[[#This Row],[Cant.5]]=0,"",IF(OR(Prueba[[#This Row],[Cant.6]]="",Prueba[[#This Row],[Puesto6]]=""),"?",Prueba[[#This Row],[Puesto6]]))</f>
        <v/>
      </c>
      <c r="Q17" s="31"/>
      <c r="R17" s="32"/>
      <c r="S17" s="14"/>
      <c r="T17" s="14"/>
      <c r="U17" s="31"/>
      <c r="V17" s="32" t="s">
        <v>1663</v>
      </c>
      <c r="W17" s="19"/>
      <c r="X17" s="19" t="s">
        <v>1667</v>
      </c>
      <c r="Y17" s="19" t="s">
        <v>1663</v>
      </c>
      <c r="Z17" s="19" t="s">
        <v>1663</v>
      </c>
      <c r="AA17" s="19" t="s">
        <v>1663</v>
      </c>
      <c r="AB17" s="19" t="s">
        <v>1663</v>
      </c>
    </row>
    <row r="18" spans="1:28" s="18" customFormat="1">
      <c r="A18" s="18" t="s">
        <v>1397</v>
      </c>
      <c r="B18" s="18" t="s">
        <v>9</v>
      </c>
      <c r="C18" s="18" t="s">
        <v>1668</v>
      </c>
      <c r="D18" s="18" t="s">
        <v>1669</v>
      </c>
      <c r="E18" s="19" t="s">
        <v>12</v>
      </c>
      <c r="F18" s="18" t="s">
        <v>13</v>
      </c>
      <c r="G18" s="29"/>
      <c r="H18" s="32" t="str">
        <f>IF(Prueba[[#This Row],[Cant.]]=0,"",IF(OR(Prueba[[#This Row],[Cant.2]]="",Prueba[[#This Row],[Puesto2]]=""),"?",Prueba[[#This Row],[Puesto2]]))</f>
        <v/>
      </c>
      <c r="I18" s="31"/>
      <c r="J18" s="32"/>
      <c r="K18" s="14"/>
      <c r="L18" s="14"/>
      <c r="M18" s="31"/>
      <c r="N18" s="32" t="str">
        <f>IF(Prueba[[#This Row],[Cant.4]]=0,"",IF(OR(Prueba[[#This Row],[Cant.6]]="",Prueba[[#This Row],[Puesto6]]=""),"?",Prueba[[#This Row],[Puesto6]]))</f>
        <v/>
      </c>
      <c r="O18" s="31"/>
      <c r="P18" s="32" t="str">
        <f>IF(Prueba[[#This Row],[Cant.5]]=0,"",IF(OR(Prueba[[#This Row],[Cant.6]]="",Prueba[[#This Row],[Puesto6]]=""),"?",Prueba[[#This Row],[Puesto6]]))</f>
        <v/>
      </c>
      <c r="Q18" s="31"/>
      <c r="R18" s="32"/>
      <c r="S18" s="14"/>
      <c r="T18" s="14"/>
      <c r="U18" s="31">
        <v>1</v>
      </c>
      <c r="V18" s="32">
        <v>6</v>
      </c>
      <c r="W18" s="19"/>
      <c r="X18" s="19" t="s">
        <v>1667</v>
      </c>
      <c r="Y18" s="19" t="s">
        <v>1663</v>
      </c>
      <c r="Z18" s="19" t="s">
        <v>1663</v>
      </c>
      <c r="AA18" s="19" t="s">
        <v>1663</v>
      </c>
      <c r="AB18" s="19" t="s">
        <v>1663</v>
      </c>
    </row>
    <row r="19" spans="1:28" s="18" customFormat="1">
      <c r="A19" s="18" t="s">
        <v>19</v>
      </c>
      <c r="B19" s="18" t="s">
        <v>9</v>
      </c>
      <c r="C19" s="18" t="s">
        <v>20</v>
      </c>
      <c r="D19" s="18" t="s">
        <v>21</v>
      </c>
      <c r="E19" s="19" t="s">
        <v>22</v>
      </c>
      <c r="F19" s="18" t="s">
        <v>13</v>
      </c>
      <c r="G19" s="29">
        <v>1</v>
      </c>
      <c r="H19" s="32">
        <f>IF(Prueba[[#This Row],[Cant.]]=0,"",IF(OR(Prueba[[#This Row],[Cant.2]]="",Prueba[[#This Row],[Puesto2]]=""),"?",Prueba[[#This Row],[Puesto2]]))</f>
        <v>5</v>
      </c>
      <c r="I19" s="31">
        <v>1</v>
      </c>
      <c r="J19" s="32">
        <v>5</v>
      </c>
      <c r="K19" s="14"/>
      <c r="L19" s="14"/>
      <c r="M19" s="31"/>
      <c r="N19" s="32" t="str">
        <f>IF(Prueba[[#This Row],[Cant.4]]=0,"",IF(OR(Prueba[[#This Row],[Cant.6]]="",Prueba[[#This Row],[Puesto6]]=""),"?",Prueba[[#This Row],[Puesto6]]))</f>
        <v/>
      </c>
      <c r="O19" s="31"/>
      <c r="P19" s="32" t="str">
        <f>IF(Prueba[[#This Row],[Cant.5]]=0,"",IF(OR(Prueba[[#This Row],[Cant.6]]="",Prueba[[#This Row],[Puesto6]]=""),"?",Prueba[[#This Row],[Puesto6]]))</f>
        <v/>
      </c>
      <c r="Q19" s="31"/>
      <c r="R19" s="32"/>
      <c r="S19" s="14"/>
      <c r="T19" s="14"/>
      <c r="U19" s="31"/>
      <c r="V19" s="32" t="s">
        <v>1663</v>
      </c>
      <c r="W19" s="19">
        <v>8</v>
      </c>
      <c r="X19" s="19" t="s">
        <v>1664</v>
      </c>
      <c r="Y19" s="19" t="s">
        <v>1663</v>
      </c>
      <c r="Z19" s="19" t="s">
        <v>1663</v>
      </c>
      <c r="AA19" s="19" t="s">
        <v>1663</v>
      </c>
      <c r="AB19" s="19" t="s">
        <v>1663</v>
      </c>
    </row>
    <row r="20" spans="1:28" s="18" customFormat="1">
      <c r="A20" s="18" t="s">
        <v>23</v>
      </c>
      <c r="B20" s="18" t="s">
        <v>9</v>
      </c>
      <c r="C20" s="18" t="s">
        <v>24</v>
      </c>
      <c r="D20" s="18" t="s">
        <v>25</v>
      </c>
      <c r="E20" s="19" t="s">
        <v>12</v>
      </c>
      <c r="F20" s="18" t="s">
        <v>13</v>
      </c>
      <c r="G20" s="29">
        <v>1</v>
      </c>
      <c r="H20" s="32">
        <f>IF(Prueba[[#This Row],[Cant.]]=0,"",IF(OR(Prueba[[#This Row],[Cant.2]]="",Prueba[[#This Row],[Puesto2]]=""),"?",Prueba[[#This Row],[Puesto2]]))</f>
        <v>2</v>
      </c>
      <c r="I20" s="31">
        <v>1</v>
      </c>
      <c r="J20" s="32">
        <v>2</v>
      </c>
      <c r="K20" s="14"/>
      <c r="L20" s="14"/>
      <c r="M20" s="31"/>
      <c r="N20" s="32" t="str">
        <f>IF(Prueba[[#This Row],[Cant.4]]=0,"",IF(OR(Prueba[[#This Row],[Cant.6]]="",Prueba[[#This Row],[Puesto6]]=""),"?",Prueba[[#This Row],[Puesto6]]))</f>
        <v/>
      </c>
      <c r="O20" s="31"/>
      <c r="P20" s="32" t="str">
        <f>IF(Prueba[[#This Row],[Cant.5]]=0,"",IF(OR(Prueba[[#This Row],[Cant.6]]="",Prueba[[#This Row],[Puesto6]]=""),"?",Prueba[[#This Row],[Puesto6]]))</f>
        <v/>
      </c>
      <c r="Q20" s="31"/>
      <c r="R20" s="32"/>
      <c r="S20" s="14"/>
      <c r="T20" s="14"/>
      <c r="U20" s="31"/>
      <c r="V20" s="32" t="s">
        <v>1663</v>
      </c>
      <c r="W20" s="19"/>
      <c r="X20" s="19" t="s">
        <v>1667</v>
      </c>
      <c r="Y20" s="19" t="s">
        <v>1663</v>
      </c>
      <c r="Z20" s="19" t="s">
        <v>1663</v>
      </c>
      <c r="AA20" s="19" t="s">
        <v>1663</v>
      </c>
      <c r="AB20" s="19" t="s">
        <v>1663</v>
      </c>
    </row>
    <row r="21" spans="1:28" s="18" customFormat="1">
      <c r="A21" s="18" t="s">
        <v>26</v>
      </c>
      <c r="B21" s="18" t="s">
        <v>9</v>
      </c>
      <c r="C21" s="18" t="s">
        <v>24</v>
      </c>
      <c r="D21" s="18" t="s">
        <v>27</v>
      </c>
      <c r="E21" s="19" t="s">
        <v>12</v>
      </c>
      <c r="F21" s="18" t="s">
        <v>13</v>
      </c>
      <c r="G21" s="29">
        <v>1</v>
      </c>
      <c r="H21" s="32">
        <f>IF(Prueba[[#This Row],[Cant.]]=0,"",IF(OR(Prueba[[#This Row],[Cant.2]]="",Prueba[[#This Row],[Puesto2]]=""),"?",Prueba[[#This Row],[Puesto2]]))</f>
        <v>2</v>
      </c>
      <c r="I21" s="31">
        <v>1</v>
      </c>
      <c r="J21" s="32">
        <v>2</v>
      </c>
      <c r="K21" s="14"/>
      <c r="L21" s="14"/>
      <c r="M21" s="31"/>
      <c r="N21" s="32" t="str">
        <f>IF(Prueba[[#This Row],[Cant.4]]=0,"",IF(OR(Prueba[[#This Row],[Cant.6]]="",Prueba[[#This Row],[Puesto6]]=""),"?",Prueba[[#This Row],[Puesto6]]))</f>
        <v/>
      </c>
      <c r="O21" s="31"/>
      <c r="P21" s="32" t="str">
        <f>IF(Prueba[[#This Row],[Cant.5]]=0,"",IF(OR(Prueba[[#This Row],[Cant.6]]="",Prueba[[#This Row],[Puesto6]]=""),"?",Prueba[[#This Row],[Puesto6]]))</f>
        <v/>
      </c>
      <c r="Q21" s="31"/>
      <c r="R21" s="32"/>
      <c r="S21" s="14"/>
      <c r="T21" s="14"/>
      <c r="U21" s="31"/>
      <c r="V21" s="32" t="s">
        <v>1663</v>
      </c>
      <c r="W21" s="19"/>
      <c r="X21" s="19" t="s">
        <v>1667</v>
      </c>
      <c r="Y21" s="19">
        <v>1</v>
      </c>
      <c r="Z21" s="19">
        <v>2</v>
      </c>
      <c r="AA21" s="19">
        <v>1</v>
      </c>
      <c r="AB21" s="19">
        <v>2</v>
      </c>
    </row>
    <row r="22" spans="1:28" s="18" customFormat="1">
      <c r="A22" s="18" t="s">
        <v>28</v>
      </c>
      <c r="B22" s="18" t="s">
        <v>9</v>
      </c>
      <c r="C22" s="18" t="s">
        <v>24</v>
      </c>
      <c r="D22" s="18" t="s">
        <v>29</v>
      </c>
      <c r="E22" s="19" t="s">
        <v>12</v>
      </c>
      <c r="F22" s="18" t="s">
        <v>13</v>
      </c>
      <c r="G22" s="29">
        <v>1</v>
      </c>
      <c r="H22" s="32">
        <f>IF(Prueba[[#This Row],[Cant.]]=0,"",IF(OR(Prueba[[#This Row],[Cant.2]]="",Prueba[[#This Row],[Puesto2]]=""),"?",Prueba[[#This Row],[Puesto2]]))</f>
        <v>2</v>
      </c>
      <c r="I22" s="31">
        <v>1</v>
      </c>
      <c r="J22" s="32">
        <v>2</v>
      </c>
      <c r="K22" s="14"/>
      <c r="L22" s="14"/>
      <c r="M22" s="31"/>
      <c r="N22" s="32" t="str">
        <f>IF(Prueba[[#This Row],[Cant.4]]=0,"",IF(OR(Prueba[[#This Row],[Cant.6]]="",Prueba[[#This Row],[Puesto6]]=""),"?",Prueba[[#This Row],[Puesto6]]))</f>
        <v/>
      </c>
      <c r="O22" s="31"/>
      <c r="P22" s="32" t="str">
        <f>IF(Prueba[[#This Row],[Cant.5]]=0,"",IF(OR(Prueba[[#This Row],[Cant.6]]="",Prueba[[#This Row],[Puesto6]]=""),"?",Prueba[[#This Row],[Puesto6]]))</f>
        <v/>
      </c>
      <c r="Q22" s="31"/>
      <c r="R22" s="32"/>
      <c r="S22" s="14"/>
      <c r="T22" s="14"/>
      <c r="U22" s="31"/>
      <c r="V22" s="32" t="s">
        <v>1663</v>
      </c>
      <c r="W22" s="19"/>
      <c r="X22" s="19" t="s">
        <v>1667</v>
      </c>
      <c r="Y22" s="19">
        <v>1</v>
      </c>
      <c r="Z22" s="19">
        <v>2</v>
      </c>
      <c r="AA22" s="19">
        <v>1</v>
      </c>
      <c r="AB22" s="19">
        <v>2</v>
      </c>
    </row>
    <row r="23" spans="1:28" s="18" customFormat="1">
      <c r="A23" s="18" t="s">
        <v>30</v>
      </c>
      <c r="B23" s="18" t="s">
        <v>9</v>
      </c>
      <c r="C23" s="18" t="s">
        <v>31</v>
      </c>
      <c r="D23" s="18" t="s">
        <v>32</v>
      </c>
      <c r="E23" s="19" t="s">
        <v>18</v>
      </c>
      <c r="F23" s="18" t="s">
        <v>13</v>
      </c>
      <c r="G23" s="29">
        <v>1</v>
      </c>
      <c r="H23" s="32">
        <f>IF(Prueba[[#This Row],[Cant.]]=0,"",IF(OR(Prueba[[#This Row],[Cant.2]]="",Prueba[[#This Row],[Puesto2]]=""),"?",Prueba[[#This Row],[Puesto2]]))</f>
        <v>5</v>
      </c>
      <c r="I23" s="31">
        <v>1</v>
      </c>
      <c r="J23" s="32">
        <v>5</v>
      </c>
      <c r="K23" s="14"/>
      <c r="L23" s="14"/>
      <c r="M23" s="31"/>
      <c r="N23" s="32" t="str">
        <f>IF(Prueba[[#This Row],[Cant.4]]=0,"",IF(OR(Prueba[[#This Row],[Cant.6]]="",Prueba[[#This Row],[Puesto6]]=""),"?",Prueba[[#This Row],[Puesto6]]))</f>
        <v/>
      </c>
      <c r="O23" s="31"/>
      <c r="P23" s="32" t="str">
        <f>IF(Prueba[[#This Row],[Cant.5]]=0,"",IF(OR(Prueba[[#This Row],[Cant.6]]="",Prueba[[#This Row],[Puesto6]]=""),"?",Prueba[[#This Row],[Puesto6]]))</f>
        <v/>
      </c>
      <c r="Q23" s="31"/>
      <c r="R23" s="32"/>
      <c r="S23" s="14"/>
      <c r="T23" s="14"/>
      <c r="U23" s="31"/>
      <c r="V23" s="32" t="s">
        <v>1663</v>
      </c>
      <c r="W23" s="19"/>
      <c r="X23" s="19" t="s">
        <v>1667</v>
      </c>
      <c r="Y23" s="19" t="s">
        <v>1663</v>
      </c>
      <c r="Z23" s="19" t="s">
        <v>1663</v>
      </c>
      <c r="AA23" s="19" t="s">
        <v>1663</v>
      </c>
      <c r="AB23" s="19" t="s">
        <v>1663</v>
      </c>
    </row>
    <row r="24" spans="1:28" s="18" customFormat="1">
      <c r="A24" s="18" t="s">
        <v>33</v>
      </c>
      <c r="B24" s="18" t="s">
        <v>9</v>
      </c>
      <c r="C24" s="18" t="s">
        <v>34</v>
      </c>
      <c r="D24" s="18" t="s">
        <v>35</v>
      </c>
      <c r="E24" s="19" t="s">
        <v>18</v>
      </c>
      <c r="F24" s="18" t="s">
        <v>13</v>
      </c>
      <c r="G24" s="29">
        <v>1</v>
      </c>
      <c r="H24" s="32">
        <f>IF(Prueba[[#This Row],[Cant.]]=0,"",IF(OR(Prueba[[#This Row],[Cant.2]]="",Prueba[[#This Row],[Puesto2]]=""),"?",Prueba[[#This Row],[Puesto2]]))</f>
        <v>4</v>
      </c>
      <c r="I24" s="31">
        <v>1</v>
      </c>
      <c r="J24" s="32">
        <v>4</v>
      </c>
      <c r="K24" s="14"/>
      <c r="L24" s="14"/>
      <c r="M24" s="31"/>
      <c r="N24" s="32" t="str">
        <f>IF(Prueba[[#This Row],[Cant.4]]=0,"",IF(OR(Prueba[[#This Row],[Cant.6]]="",Prueba[[#This Row],[Puesto6]]=""),"?",Prueba[[#This Row],[Puesto6]]))</f>
        <v/>
      </c>
      <c r="O24" s="31"/>
      <c r="P24" s="32" t="str">
        <f>IF(Prueba[[#This Row],[Cant.5]]=0,"",IF(OR(Prueba[[#This Row],[Cant.6]]="",Prueba[[#This Row],[Puesto6]]=""),"?",Prueba[[#This Row],[Puesto6]]))</f>
        <v/>
      </c>
      <c r="Q24" s="31"/>
      <c r="R24" s="32"/>
      <c r="S24" s="14"/>
      <c r="T24" s="14"/>
      <c r="U24" s="31"/>
      <c r="V24" s="32" t="s">
        <v>1663</v>
      </c>
      <c r="W24" s="19"/>
      <c r="X24" s="19" t="s">
        <v>1667</v>
      </c>
      <c r="Y24" s="19" t="s">
        <v>1663</v>
      </c>
      <c r="Z24" s="19" t="s">
        <v>1663</v>
      </c>
      <c r="AA24" s="19" t="s">
        <v>1663</v>
      </c>
      <c r="AB24" s="19" t="s">
        <v>1663</v>
      </c>
    </row>
    <row r="25" spans="1:28" s="18" customFormat="1">
      <c r="A25" s="18" t="s">
        <v>40</v>
      </c>
      <c r="B25" s="18" t="s">
        <v>9</v>
      </c>
      <c r="C25" s="18" t="s">
        <v>41</v>
      </c>
      <c r="D25" s="18" t="s">
        <v>42</v>
      </c>
      <c r="E25" s="19" t="s">
        <v>18</v>
      </c>
      <c r="F25" s="18" t="s">
        <v>13</v>
      </c>
      <c r="G25" s="29">
        <v>1</v>
      </c>
      <c r="H25" s="32">
        <f>IF(Prueba[[#This Row],[Cant.]]=0,"",IF(OR(Prueba[[#This Row],[Cant.2]]="",Prueba[[#This Row],[Puesto2]]=""),"?",Prueba[[#This Row],[Puesto2]]))</f>
        <v>0</v>
      </c>
      <c r="I25" s="31">
        <v>1</v>
      </c>
      <c r="J25" s="32">
        <v>0</v>
      </c>
      <c r="K25" s="14"/>
      <c r="L25" s="14"/>
      <c r="M25" s="31"/>
      <c r="N25" s="32" t="str">
        <f>IF(Prueba[[#This Row],[Cant.4]]=0,"",IF(OR(Prueba[[#This Row],[Cant.6]]="",Prueba[[#This Row],[Puesto6]]=""),"?",Prueba[[#This Row],[Puesto6]]))</f>
        <v/>
      </c>
      <c r="O25" s="31"/>
      <c r="P25" s="32" t="str">
        <f>IF(Prueba[[#This Row],[Cant.5]]=0,"",IF(OR(Prueba[[#This Row],[Cant.6]]="",Prueba[[#This Row],[Puesto6]]=""),"?",Prueba[[#This Row],[Puesto6]]))</f>
        <v/>
      </c>
      <c r="Q25" s="31"/>
      <c r="R25" s="32"/>
      <c r="S25" s="14"/>
      <c r="T25" s="14"/>
      <c r="U25" s="31"/>
      <c r="V25" s="32" t="s">
        <v>1663</v>
      </c>
      <c r="W25" s="19"/>
      <c r="X25" s="19" t="s">
        <v>1667</v>
      </c>
      <c r="Y25" s="19">
        <v>1</v>
      </c>
      <c r="Z25" s="19">
        <v>0</v>
      </c>
      <c r="AA25" s="19">
        <v>1</v>
      </c>
      <c r="AB25" s="19">
        <v>0</v>
      </c>
    </row>
    <row r="26" spans="1:28" s="18" customFormat="1">
      <c r="A26" s="18" t="s">
        <v>43</v>
      </c>
      <c r="B26" s="18" t="s">
        <v>9</v>
      </c>
      <c r="C26" s="18" t="s">
        <v>41</v>
      </c>
      <c r="D26" s="18" t="s">
        <v>44</v>
      </c>
      <c r="E26" s="19" t="s">
        <v>18</v>
      </c>
      <c r="F26" s="18" t="s">
        <v>13</v>
      </c>
      <c r="G26" s="29">
        <v>1</v>
      </c>
      <c r="H26" s="32">
        <f>IF(Prueba[[#This Row],[Cant.]]=0,"",IF(OR(Prueba[[#This Row],[Cant.2]]="",Prueba[[#This Row],[Puesto2]]=""),"?",Prueba[[#This Row],[Puesto2]]))</f>
        <v>0</v>
      </c>
      <c r="I26" s="31">
        <v>1</v>
      </c>
      <c r="J26" s="32">
        <v>0</v>
      </c>
      <c r="K26" s="14"/>
      <c r="L26" s="14"/>
      <c r="M26" s="31"/>
      <c r="N26" s="32" t="str">
        <f>IF(Prueba[[#This Row],[Cant.4]]=0,"",IF(OR(Prueba[[#This Row],[Cant.6]]="",Prueba[[#This Row],[Puesto6]]=""),"?",Prueba[[#This Row],[Puesto6]]))</f>
        <v/>
      </c>
      <c r="O26" s="31"/>
      <c r="P26" s="32" t="str">
        <f>IF(Prueba[[#This Row],[Cant.5]]=0,"",IF(OR(Prueba[[#This Row],[Cant.6]]="",Prueba[[#This Row],[Puesto6]]=""),"?",Prueba[[#This Row],[Puesto6]]))</f>
        <v/>
      </c>
      <c r="Q26" s="31"/>
      <c r="R26" s="32"/>
      <c r="S26" s="14"/>
      <c r="T26" s="14"/>
      <c r="U26" s="31"/>
      <c r="V26" s="32" t="s">
        <v>1663</v>
      </c>
      <c r="W26" s="19"/>
      <c r="X26" s="19" t="s">
        <v>1667</v>
      </c>
      <c r="Y26" s="19">
        <v>1</v>
      </c>
      <c r="Z26" s="19">
        <v>0</v>
      </c>
      <c r="AA26" s="19">
        <v>1</v>
      </c>
      <c r="AB26" s="19">
        <v>0</v>
      </c>
    </row>
    <row r="27" spans="1:28" s="18" customFormat="1">
      <c r="A27" s="18" t="s">
        <v>45</v>
      </c>
      <c r="B27" s="18" t="s">
        <v>9</v>
      </c>
      <c r="C27" s="18" t="s">
        <v>46</v>
      </c>
      <c r="D27" s="18" t="s">
        <v>47</v>
      </c>
      <c r="E27" s="19" t="s">
        <v>12</v>
      </c>
      <c r="F27" s="18" t="s">
        <v>13</v>
      </c>
      <c r="G27" s="29">
        <v>1</v>
      </c>
      <c r="H27" s="32" t="str">
        <f>IF(Prueba[[#This Row],[Cant.]]=0,"",IF(OR(Prueba[[#This Row],[Cant.2]]="",Prueba[[#This Row],[Puesto2]]=""),"?",Prueba[[#This Row],[Puesto2]]))</f>
        <v>C</v>
      </c>
      <c r="I27" s="31">
        <v>1</v>
      </c>
      <c r="J27" s="32" t="s">
        <v>1402</v>
      </c>
      <c r="K27" s="14"/>
      <c r="L27" s="14"/>
      <c r="M27" s="31"/>
      <c r="N27" s="32" t="str">
        <f>IF(Prueba[[#This Row],[Cant.4]]=0,"",IF(OR(Prueba[[#This Row],[Cant.6]]="",Prueba[[#This Row],[Puesto6]]=""),"?",Prueba[[#This Row],[Puesto6]]))</f>
        <v/>
      </c>
      <c r="O27" s="31"/>
      <c r="P27" s="32" t="str">
        <f>IF(Prueba[[#This Row],[Cant.5]]=0,"",IF(OR(Prueba[[#This Row],[Cant.6]]="",Prueba[[#This Row],[Puesto6]]=""),"?",Prueba[[#This Row],[Puesto6]]))</f>
        <v/>
      </c>
      <c r="Q27" s="31"/>
      <c r="R27" s="32"/>
      <c r="S27" s="14"/>
      <c r="T27" s="14"/>
      <c r="U27" s="31"/>
      <c r="V27" s="32" t="s">
        <v>1663</v>
      </c>
      <c r="W27" s="19"/>
      <c r="X27" s="19" t="s">
        <v>1667</v>
      </c>
      <c r="Y27" s="19">
        <v>1</v>
      </c>
      <c r="Z27" s="19" t="s">
        <v>1402</v>
      </c>
      <c r="AA27" s="19">
        <v>1</v>
      </c>
      <c r="AB27" s="19" t="s">
        <v>1402</v>
      </c>
    </row>
    <row r="28" spans="1:28" s="18" customFormat="1">
      <c r="A28" s="64" t="s">
        <v>1670</v>
      </c>
      <c r="B28" s="18" t="s">
        <v>9</v>
      </c>
      <c r="D28" s="18" t="s">
        <v>1671</v>
      </c>
      <c r="E28" s="19" t="s">
        <v>51</v>
      </c>
      <c r="F28" s="18" t="s">
        <v>13</v>
      </c>
      <c r="G28" s="29">
        <v>1</v>
      </c>
      <c r="H28" s="32">
        <v>6</v>
      </c>
      <c r="I28" s="31"/>
      <c r="J28" s="32"/>
      <c r="K28" s="14"/>
      <c r="L28" s="14"/>
      <c r="M28" s="31"/>
      <c r="N28" s="32" t="str">
        <f>IF(Prueba[[#This Row],[Cant.4]]=0,"",IF(OR(Prueba[[#This Row],[Cant.6]]="",Prueba[[#This Row],[Puesto6]]=""),"?",Prueba[[#This Row],[Puesto6]]))</f>
        <v/>
      </c>
      <c r="O28" s="31"/>
      <c r="P28" s="32" t="str">
        <f>IF(Prueba[[#This Row],[Cant.5]]=0,"",IF(OR(Prueba[[#This Row],[Cant.6]]="",Prueba[[#This Row],[Puesto6]]=""),"?",Prueba[[#This Row],[Puesto6]]))</f>
        <v/>
      </c>
      <c r="Q28" s="31"/>
      <c r="R28" s="32"/>
      <c r="S28" s="14"/>
      <c r="T28" s="14"/>
      <c r="U28" s="31"/>
      <c r="V28" s="32" t="s">
        <v>1663</v>
      </c>
      <c r="W28" s="19"/>
      <c r="X28" s="19" t="s">
        <v>1667</v>
      </c>
      <c r="Y28" s="19">
        <v>1</v>
      </c>
      <c r="Z28" s="19">
        <v>6</v>
      </c>
      <c r="AA28" s="19" t="s">
        <v>1663</v>
      </c>
      <c r="AB28" s="19" t="s">
        <v>1663</v>
      </c>
    </row>
    <row r="29" spans="1:28" s="18" customFormat="1">
      <c r="A29" s="18" t="s">
        <v>1672</v>
      </c>
      <c r="B29" s="18" t="s">
        <v>9</v>
      </c>
      <c r="C29" s="18" t="s">
        <v>49</v>
      </c>
      <c r="D29" s="18" t="s">
        <v>50</v>
      </c>
      <c r="E29" s="19" t="s">
        <v>51</v>
      </c>
      <c r="F29" s="18" t="s">
        <v>13</v>
      </c>
      <c r="G29" s="29"/>
      <c r="H29" s="32" t="str">
        <f>IF(Prueba[[#This Row],[Cant.]]=0,"",IF(OR(Prueba[[#This Row],[Cant.2]]="",Prueba[[#This Row],[Puesto2]]=""),"?",Prueba[[#This Row],[Puesto2]]))</f>
        <v/>
      </c>
      <c r="I29" s="31">
        <v>1</v>
      </c>
      <c r="J29" s="32">
        <v>6</v>
      </c>
      <c r="K29" s="14"/>
      <c r="L29" s="14"/>
      <c r="M29" s="31"/>
      <c r="N29" s="32" t="str">
        <f>IF(Prueba[[#This Row],[Cant.4]]=0,"",IF(OR(Prueba[[#This Row],[Cant.6]]="",Prueba[[#This Row],[Puesto6]]=""),"?",Prueba[[#This Row],[Puesto6]]))</f>
        <v/>
      </c>
      <c r="O29" s="31"/>
      <c r="P29" s="32" t="str">
        <f>IF(Prueba[[#This Row],[Cant.5]]=0,"",IF(OR(Prueba[[#This Row],[Cant.6]]="",Prueba[[#This Row],[Puesto6]]=""),"?",Prueba[[#This Row],[Puesto6]]))</f>
        <v/>
      </c>
      <c r="Q29" s="31"/>
      <c r="R29" s="32"/>
      <c r="S29" s="14"/>
      <c r="T29" s="14"/>
      <c r="U29" s="31"/>
      <c r="V29" s="32" t="s">
        <v>1663</v>
      </c>
      <c r="W29" s="19"/>
      <c r="X29" s="19" t="s">
        <v>1667</v>
      </c>
      <c r="Y29" s="19" t="s">
        <v>1663</v>
      </c>
      <c r="Z29" s="19" t="s">
        <v>1663</v>
      </c>
      <c r="AA29" s="19" t="s">
        <v>1663</v>
      </c>
      <c r="AB29" s="19" t="s">
        <v>1663</v>
      </c>
    </row>
    <row r="30" spans="1:28" s="18" customFormat="1">
      <c r="A30" s="18" t="s">
        <v>1673</v>
      </c>
      <c r="C30" s="18" t="s">
        <v>49</v>
      </c>
      <c r="D30" s="18" t="s">
        <v>49</v>
      </c>
      <c r="E30" s="19" t="s">
        <v>51</v>
      </c>
      <c r="G30" s="29"/>
      <c r="H30" s="32" t="str">
        <f>IF(Prueba[[#This Row],[Cant.]]=0,"",IF(OR(Prueba[[#This Row],[Cant.2]]="",Prueba[[#This Row],[Puesto2]]=""),"?",Prueba[[#This Row],[Puesto2]]))</f>
        <v/>
      </c>
      <c r="I30" s="31"/>
      <c r="J30" s="32"/>
      <c r="K30" s="31"/>
      <c r="L30" s="14"/>
      <c r="M30" s="31"/>
      <c r="N30" s="32" t="str">
        <f>IF(Prueba[[#This Row],[Cant.4]]=0,"",IF(OR(Prueba[[#This Row],[Cant.6]]="",Prueba[[#This Row],[Puesto6]]=""),"?",Prueba[[#This Row],[Puesto6]]))</f>
        <v/>
      </c>
      <c r="O30" s="31"/>
      <c r="P30" s="32" t="str">
        <f>IF(Prueba[[#This Row],[Cant.5]]=0,"",IF(OR(Prueba[[#This Row],[Cant.6]]="",Prueba[[#This Row],[Puesto6]]=""),"?",Prueba[[#This Row],[Puesto6]]))</f>
        <v/>
      </c>
      <c r="Q30" s="31"/>
      <c r="R30" s="32"/>
      <c r="S30" s="14"/>
      <c r="T30" s="14"/>
      <c r="U30" s="31"/>
      <c r="V30" s="32" t="s">
        <v>1663</v>
      </c>
      <c r="X30" s="19" t="s">
        <v>1667</v>
      </c>
      <c r="Y30" s="19" t="s">
        <v>1663</v>
      </c>
      <c r="Z30" s="19" t="s">
        <v>1663</v>
      </c>
      <c r="AA30" s="19">
        <v>1</v>
      </c>
      <c r="AB30" s="19">
        <v>6</v>
      </c>
    </row>
    <row r="31" spans="1:28" s="18" customFormat="1">
      <c r="A31" s="18" t="s">
        <v>1674</v>
      </c>
      <c r="C31" s="18" t="s">
        <v>1675</v>
      </c>
      <c r="D31" s="18" t="s">
        <v>1675</v>
      </c>
      <c r="E31" s="19" t="s">
        <v>51</v>
      </c>
      <c r="G31" s="29"/>
      <c r="H31" s="32" t="str">
        <f>IF(Prueba[[#This Row],[Cant.]]=0,"",IF(OR(Prueba[[#This Row],[Cant.2]]="",Prueba[[#This Row],[Puesto2]]=""),"?",Prueba[[#This Row],[Puesto2]]))</f>
        <v/>
      </c>
      <c r="I31" s="31"/>
      <c r="J31" s="32"/>
      <c r="K31" s="31"/>
      <c r="L31" s="14"/>
      <c r="M31" s="31"/>
      <c r="N31" s="32" t="str">
        <f>IF(Prueba[[#This Row],[Cant.4]]=0,"",IF(OR(Prueba[[#This Row],[Cant.6]]="",Prueba[[#This Row],[Puesto6]]=""),"?",Prueba[[#This Row],[Puesto6]]))</f>
        <v/>
      </c>
      <c r="O31" s="31"/>
      <c r="P31" s="32" t="str">
        <f>IF(Prueba[[#This Row],[Cant.5]]=0,"",IF(OR(Prueba[[#This Row],[Cant.6]]="",Prueba[[#This Row],[Puesto6]]=""),"?",Prueba[[#This Row],[Puesto6]]))</f>
        <v/>
      </c>
      <c r="Q31" s="31"/>
      <c r="R31" s="32"/>
      <c r="S31" s="14"/>
      <c r="T31" s="14"/>
      <c r="U31" s="31"/>
      <c r="V31" s="32" t="s">
        <v>1663</v>
      </c>
      <c r="X31" s="19" t="s">
        <v>1667</v>
      </c>
      <c r="Y31" s="19" t="s">
        <v>1663</v>
      </c>
      <c r="Z31" s="19" t="s">
        <v>1663</v>
      </c>
      <c r="AA31" s="19">
        <v>1</v>
      </c>
      <c r="AB31" s="19">
        <v>6</v>
      </c>
    </row>
    <row r="32" spans="1:28" s="18" customFormat="1">
      <c r="A32" s="18" t="s">
        <v>1676</v>
      </c>
      <c r="C32" s="18" t="s">
        <v>1675</v>
      </c>
      <c r="D32" s="18" t="s">
        <v>1675</v>
      </c>
      <c r="E32" s="19" t="s">
        <v>51</v>
      </c>
      <c r="G32" s="29"/>
      <c r="H32" s="32" t="str">
        <f>IF(Prueba[[#This Row],[Cant.]]=0,"",IF(OR(Prueba[[#This Row],[Cant.2]]="",Prueba[[#This Row],[Puesto2]]=""),"?",Prueba[[#This Row],[Puesto2]]))</f>
        <v/>
      </c>
      <c r="I32" s="31"/>
      <c r="J32" s="32"/>
      <c r="K32" s="14"/>
      <c r="L32" s="14"/>
      <c r="M32" s="31"/>
      <c r="N32" s="32" t="str">
        <f>IF(Prueba[[#This Row],[Cant.4]]=0,"",IF(OR(Prueba[[#This Row],[Cant.6]]="",Prueba[[#This Row],[Puesto6]]=""),"?",Prueba[[#This Row],[Puesto6]]))</f>
        <v/>
      </c>
      <c r="O32" s="31"/>
      <c r="P32" s="32" t="str">
        <f>IF(Prueba[[#This Row],[Cant.5]]=0,"",IF(OR(Prueba[[#This Row],[Cant.6]]="",Prueba[[#This Row],[Puesto6]]=""),"?",Prueba[[#This Row],[Puesto6]]))</f>
        <v/>
      </c>
      <c r="Q32" s="31"/>
      <c r="R32" s="32"/>
      <c r="S32" s="14"/>
      <c r="T32" s="14"/>
      <c r="U32" s="31"/>
      <c r="V32" s="32" t="s">
        <v>1663</v>
      </c>
      <c r="X32" s="19" t="s">
        <v>1667</v>
      </c>
      <c r="Y32" s="19">
        <v>1</v>
      </c>
      <c r="Z32" s="19">
        <v>6</v>
      </c>
      <c r="AA32" s="19" t="s">
        <v>1663</v>
      </c>
      <c r="AB32" s="19" t="s">
        <v>1663</v>
      </c>
    </row>
    <row r="33" spans="1:28" s="18" customFormat="1">
      <c r="A33" s="18" t="s">
        <v>52</v>
      </c>
      <c r="B33" s="18" t="s">
        <v>9</v>
      </c>
      <c r="C33" s="18" t="s">
        <v>53</v>
      </c>
      <c r="D33" s="18" t="s">
        <v>54</v>
      </c>
      <c r="E33" s="19" t="s">
        <v>22</v>
      </c>
      <c r="F33" s="18" t="s">
        <v>13</v>
      </c>
      <c r="G33" s="29">
        <v>1</v>
      </c>
      <c r="H33" s="32" t="str">
        <f>IF(Prueba[[#This Row],[Cant.]]=0,"",IF(OR(Prueba[[#This Row],[Cant.2]]="",Prueba[[#This Row],[Puesto2]]=""),"?",Prueba[[#This Row],[Puesto2]]))</f>
        <v>D</v>
      </c>
      <c r="I33" s="31">
        <v>1</v>
      </c>
      <c r="J33" s="32" t="s">
        <v>1399</v>
      </c>
      <c r="K33" s="14">
        <v>1</v>
      </c>
      <c r="L33" s="14"/>
      <c r="M33" s="31">
        <v>2</v>
      </c>
      <c r="N33" s="32" t="str">
        <f>IF(Prueba[[#This Row],[Cant.4]]=0,"",IF(OR(Prueba[[#This Row],[Cant.6]]="",Prueba[[#This Row],[Puesto6]]=""),"?",Prueba[[#This Row],[Puesto6]]))</f>
        <v>D</v>
      </c>
      <c r="O33" s="31">
        <v>1</v>
      </c>
      <c r="P33" s="32" t="str">
        <f>IF(Prueba[[#This Row],[Cant.5]]=0,"",IF(OR(Prueba[[#This Row],[Cant.6]]="",Prueba[[#This Row],[Puesto6]]=""),"?",Prueba[[#This Row],[Puesto6]]))</f>
        <v>D</v>
      </c>
      <c r="Q33" s="31">
        <v>2</v>
      </c>
      <c r="R33" s="32" t="s">
        <v>1399</v>
      </c>
      <c r="S33" s="14">
        <v>1</v>
      </c>
      <c r="T33" s="14" t="s">
        <v>1399</v>
      </c>
      <c r="U33" s="31"/>
      <c r="V33" s="32" t="s">
        <v>1663</v>
      </c>
      <c r="W33" s="19">
        <v>16</v>
      </c>
      <c r="X33" s="19" t="s">
        <v>1664</v>
      </c>
      <c r="Y33" s="19">
        <v>2</v>
      </c>
      <c r="Z33" s="19" t="s">
        <v>1399</v>
      </c>
      <c r="AA33" s="19">
        <v>2</v>
      </c>
      <c r="AB33" s="19" t="s">
        <v>1399</v>
      </c>
    </row>
    <row r="34" spans="1:28" s="18" customFormat="1">
      <c r="A34" s="63" t="s">
        <v>55</v>
      </c>
      <c r="B34" s="18" t="s">
        <v>9</v>
      </c>
      <c r="C34" s="18" t="s">
        <v>56</v>
      </c>
      <c r="D34" s="18" t="s">
        <v>56</v>
      </c>
      <c r="E34" s="19" t="s">
        <v>22</v>
      </c>
      <c r="F34" s="18" t="s">
        <v>13</v>
      </c>
      <c r="G34" s="29">
        <v>1</v>
      </c>
      <c r="H34" s="32" t="s">
        <v>1399</v>
      </c>
      <c r="I34" s="31"/>
      <c r="J34" s="32"/>
      <c r="K34" s="14"/>
      <c r="L34" s="14"/>
      <c r="M34" s="31"/>
      <c r="N34" s="32" t="str">
        <f>IF(Prueba[[#This Row],[Cant.4]]=0,"",IF(OR(Prueba[[#This Row],[Cant.6]]="",Prueba[[#This Row],[Puesto6]]=""),"?",Prueba[[#This Row],[Puesto6]]))</f>
        <v/>
      </c>
      <c r="O34" s="31"/>
      <c r="P34" s="32" t="str">
        <f>IF(Prueba[[#This Row],[Cant.5]]=0,"",IF(OR(Prueba[[#This Row],[Cant.6]]="",Prueba[[#This Row],[Puesto6]]=""),"?",Prueba[[#This Row],[Puesto6]]))</f>
        <v/>
      </c>
      <c r="Q34" s="31"/>
      <c r="R34" s="32"/>
      <c r="S34" s="14"/>
      <c r="T34" s="14"/>
      <c r="U34" s="31"/>
      <c r="V34" s="32" t="s">
        <v>1663</v>
      </c>
      <c r="W34" s="19">
        <v>8</v>
      </c>
      <c r="X34" s="19" t="s">
        <v>1664</v>
      </c>
      <c r="Y34" s="19" t="s">
        <v>1663</v>
      </c>
      <c r="Z34" s="19" t="s">
        <v>1663</v>
      </c>
      <c r="AA34" s="19" t="s">
        <v>1663</v>
      </c>
      <c r="AB34" s="19" t="s">
        <v>1663</v>
      </c>
    </row>
    <row r="35" spans="1:28" s="18" customFormat="1">
      <c r="A35" s="63" t="s">
        <v>768</v>
      </c>
      <c r="B35" s="18" t="s">
        <v>9</v>
      </c>
      <c r="C35" s="18" t="s">
        <v>769</v>
      </c>
      <c r="D35" s="18" t="s">
        <v>769</v>
      </c>
      <c r="E35" s="19" t="s">
        <v>22</v>
      </c>
      <c r="F35" s="18" t="s">
        <v>13</v>
      </c>
      <c r="G35" s="29"/>
      <c r="H35" s="32" t="str">
        <f>IF(Prueba[[#This Row],[Cant.]]=0,"",IF(OR(Prueba[[#This Row],[Cant.2]]="",Prueba[[#This Row],[Puesto2]]=""),"?",Prueba[[#This Row],[Puesto2]]))</f>
        <v/>
      </c>
      <c r="I35" s="31"/>
      <c r="J35" s="32"/>
      <c r="K35" s="14">
        <v>2</v>
      </c>
      <c r="L35" s="14"/>
      <c r="M35" s="31">
        <v>2</v>
      </c>
      <c r="N35" s="32">
        <f>IF(Prueba[[#This Row],[Cant.4]]=0,"",IF(OR(Prueba[[#This Row],[Cant.6]]="",Prueba[[#This Row],[Puesto6]]=""),"?",Prueba[[#This Row],[Puesto6]]))</f>
        <v>4</v>
      </c>
      <c r="O35" s="31">
        <v>2</v>
      </c>
      <c r="P35" s="32">
        <f>IF(Prueba[[#This Row],[Cant.5]]=0,"",IF(OR(Prueba[[#This Row],[Cant.6]]="",Prueba[[#This Row],[Puesto6]]=""),"?",Prueba[[#This Row],[Puesto6]]))</f>
        <v>4</v>
      </c>
      <c r="Q35" s="31">
        <v>2</v>
      </c>
      <c r="R35" s="32">
        <v>4</v>
      </c>
      <c r="S35" s="14">
        <v>1</v>
      </c>
      <c r="T35" s="14">
        <v>4</v>
      </c>
      <c r="U35" s="31"/>
      <c r="V35" s="32" t="s">
        <v>1663</v>
      </c>
      <c r="W35" s="19">
        <v>16</v>
      </c>
      <c r="X35" s="19" t="s">
        <v>1664</v>
      </c>
      <c r="Y35" s="19" t="s">
        <v>1663</v>
      </c>
      <c r="Z35" s="19" t="s">
        <v>1663</v>
      </c>
      <c r="AA35" s="19" t="s">
        <v>1663</v>
      </c>
      <c r="AB35" s="19" t="s">
        <v>1663</v>
      </c>
    </row>
    <row r="36" spans="1:28" s="18" customFormat="1">
      <c r="A36" s="101" t="s">
        <v>1677</v>
      </c>
      <c r="B36" s="18" t="s">
        <v>9</v>
      </c>
      <c r="C36" s="18" t="s">
        <v>1678</v>
      </c>
      <c r="D36" s="18" t="s">
        <v>1338</v>
      </c>
      <c r="E36" s="19" t="s">
        <v>1340</v>
      </c>
      <c r="F36" s="18" t="s">
        <v>13</v>
      </c>
      <c r="G36" s="29"/>
      <c r="H36" s="32" t="str">
        <f>IF(Prueba[[#This Row],[Cant.]]=0,"",IF(OR(Prueba[[#This Row],[Cant.2]]="",Prueba[[#This Row],[Puesto2]]=""),"?",Prueba[[#This Row],[Puesto2]]))</f>
        <v/>
      </c>
      <c r="I36" s="31">
        <v>1</v>
      </c>
      <c r="J36" s="32">
        <v>5</v>
      </c>
      <c r="K36" s="14"/>
      <c r="L36" s="14"/>
      <c r="M36" s="31"/>
      <c r="N36" s="32" t="str">
        <f>IF(Prueba[[#This Row],[Cant.4]]=0,"",IF(OR(Prueba[[#This Row],[Cant.6]]="",Prueba[[#This Row],[Puesto6]]=""),"?",Prueba[[#This Row],[Puesto6]]))</f>
        <v/>
      </c>
      <c r="O36" s="31"/>
      <c r="P36" s="32" t="str">
        <f>IF(Prueba[[#This Row],[Cant.5]]=0,"",IF(OR(Prueba[[#This Row],[Cant.6]]="",Prueba[[#This Row],[Puesto6]]=""),"?",Prueba[[#This Row],[Puesto6]]))</f>
        <v/>
      </c>
      <c r="Q36" s="31"/>
      <c r="R36" s="32"/>
      <c r="S36" s="14"/>
      <c r="T36" s="14"/>
      <c r="U36" s="31"/>
      <c r="V36" s="32" t="s">
        <v>1663</v>
      </c>
      <c r="W36" s="19"/>
      <c r="X36" s="19" t="s">
        <v>1667</v>
      </c>
      <c r="Y36" s="19" t="s">
        <v>1663</v>
      </c>
      <c r="Z36" s="19" t="s">
        <v>1663</v>
      </c>
      <c r="AA36" s="19" t="s">
        <v>1663</v>
      </c>
      <c r="AB36" s="19" t="s">
        <v>1663</v>
      </c>
    </row>
    <row r="37" spans="1:28" s="18" customFormat="1">
      <c r="A37" t="s">
        <v>1679</v>
      </c>
      <c r="B37" s="18" t="s">
        <v>9</v>
      </c>
      <c r="D37" s="18" t="s">
        <v>1680</v>
      </c>
      <c r="E37" s="19" t="s">
        <v>1340</v>
      </c>
      <c r="F37" s="18" t="s">
        <v>13</v>
      </c>
      <c r="G37" s="29">
        <v>1</v>
      </c>
      <c r="H37" s="32">
        <v>5</v>
      </c>
      <c r="I37" s="31"/>
      <c r="J37" s="32"/>
      <c r="K37" s="14"/>
      <c r="L37" s="14"/>
      <c r="M37" s="31"/>
      <c r="N37" s="32" t="str">
        <f>IF(Prueba[[#This Row],[Cant.4]]=0,"",IF(OR(Prueba[[#This Row],[Cant.6]]="",Prueba[[#This Row],[Puesto6]]=""),"?",Prueba[[#This Row],[Puesto6]]))</f>
        <v/>
      </c>
      <c r="O37" s="31"/>
      <c r="P37" s="32" t="str">
        <f>IF(Prueba[[#This Row],[Cant.5]]=0,"",IF(OR(Prueba[[#This Row],[Cant.6]]="",Prueba[[#This Row],[Puesto6]]=""),"?",Prueba[[#This Row],[Puesto6]]))</f>
        <v/>
      </c>
      <c r="Q37" s="31"/>
      <c r="R37" s="32"/>
      <c r="S37" s="14"/>
      <c r="T37" s="14"/>
      <c r="U37" s="31"/>
      <c r="V37" s="32" t="s">
        <v>1663</v>
      </c>
      <c r="W37" s="19"/>
      <c r="X37" s="19" t="s">
        <v>1667</v>
      </c>
      <c r="Y37" s="19">
        <v>1</v>
      </c>
      <c r="Z37" s="19">
        <v>5</v>
      </c>
      <c r="AA37" s="19" t="s">
        <v>1663</v>
      </c>
      <c r="AB37" s="19" t="s">
        <v>1663</v>
      </c>
    </row>
    <row r="38" spans="1:28" s="18" customFormat="1">
      <c r="A38" s="18" t="s">
        <v>1681</v>
      </c>
      <c r="C38" s="18" t="s">
        <v>1678</v>
      </c>
      <c r="D38" s="18" t="s">
        <v>1678</v>
      </c>
      <c r="E38" s="19" t="s">
        <v>1340</v>
      </c>
      <c r="G38" s="29"/>
      <c r="H38" s="32" t="str">
        <f>IF(Prueba[[#This Row],[Cant.]]=0,"",IF(OR(Prueba[[#This Row],[Cant.2]]="",Prueba[[#This Row],[Puesto2]]=""),"?",Prueba[[#This Row],[Puesto2]]))</f>
        <v/>
      </c>
      <c r="I38" s="31"/>
      <c r="J38" s="32"/>
      <c r="K38" s="14"/>
      <c r="L38" s="14"/>
      <c r="M38" s="31"/>
      <c r="N38" s="32" t="str">
        <f>IF(Prueba[[#This Row],[Cant.4]]=0,"",IF(OR(Prueba[[#This Row],[Cant.6]]="",Prueba[[#This Row],[Puesto6]]=""),"?",Prueba[[#This Row],[Puesto6]]))</f>
        <v/>
      </c>
      <c r="O38" s="31"/>
      <c r="P38" s="32" t="str">
        <f>IF(Prueba[[#This Row],[Cant.5]]=0,"",IF(OR(Prueba[[#This Row],[Cant.6]]="",Prueba[[#This Row],[Puesto6]]=""),"?",Prueba[[#This Row],[Puesto6]]))</f>
        <v/>
      </c>
      <c r="Q38" s="31"/>
      <c r="R38" s="32"/>
      <c r="S38" s="14"/>
      <c r="T38" s="14"/>
      <c r="U38" s="31"/>
      <c r="V38" s="32" t="s">
        <v>1663</v>
      </c>
      <c r="X38" s="19" t="s">
        <v>1667</v>
      </c>
      <c r="Y38" s="19">
        <v>1</v>
      </c>
      <c r="Z38" s="19">
        <v>5</v>
      </c>
      <c r="AA38" s="19">
        <v>1</v>
      </c>
      <c r="AB38" s="19">
        <v>5</v>
      </c>
    </row>
    <row r="39" spans="1:28" s="18" customFormat="1">
      <c r="A39" s="18" t="s">
        <v>1682</v>
      </c>
      <c r="C39" s="18" t="s">
        <v>1683</v>
      </c>
      <c r="D39" s="18" t="s">
        <v>1683</v>
      </c>
      <c r="E39" s="19" t="s">
        <v>1340</v>
      </c>
      <c r="G39" s="29"/>
      <c r="H39" s="32" t="str">
        <f>IF(Prueba[[#This Row],[Cant.]]=0,"",IF(OR(Prueba[[#This Row],[Cant.2]]="",Prueba[[#This Row],[Puesto2]]=""),"?",Prueba[[#This Row],[Puesto2]]))</f>
        <v/>
      </c>
      <c r="I39" s="31"/>
      <c r="J39" s="32"/>
      <c r="K39" s="14"/>
      <c r="L39" s="14"/>
      <c r="M39" s="31"/>
      <c r="N39" s="32" t="str">
        <f>IF(Prueba[[#This Row],[Cant.4]]=0,"",IF(OR(Prueba[[#This Row],[Cant.6]]="",Prueba[[#This Row],[Puesto6]]=""),"?",Prueba[[#This Row],[Puesto6]]))</f>
        <v/>
      </c>
      <c r="O39" s="31"/>
      <c r="P39" s="32" t="str">
        <f>IF(Prueba[[#This Row],[Cant.5]]=0,"",IF(OR(Prueba[[#This Row],[Cant.6]]="",Prueba[[#This Row],[Puesto6]]=""),"?",Prueba[[#This Row],[Puesto6]]))</f>
        <v/>
      </c>
      <c r="Q39" s="31"/>
      <c r="R39" s="32"/>
      <c r="S39" s="14"/>
      <c r="T39" s="14"/>
      <c r="U39" s="31"/>
      <c r="V39" s="32" t="s">
        <v>1663</v>
      </c>
      <c r="X39" s="19" t="s">
        <v>1667</v>
      </c>
      <c r="Y39" s="19" t="s">
        <v>1663</v>
      </c>
      <c r="Z39" s="19" t="s">
        <v>1663</v>
      </c>
      <c r="AA39" s="19">
        <v>1</v>
      </c>
      <c r="AB39" s="19">
        <v>5</v>
      </c>
    </row>
    <row r="40" spans="1:28" s="18" customFormat="1">
      <c r="A40" s="18" t="s">
        <v>1684</v>
      </c>
      <c r="C40" s="18" t="s">
        <v>1683</v>
      </c>
      <c r="D40" s="18" t="s">
        <v>1683</v>
      </c>
      <c r="E40" s="19" t="s">
        <v>1340</v>
      </c>
      <c r="G40" s="29"/>
      <c r="H40" s="32" t="str">
        <f>IF(Prueba[[#This Row],[Cant.]]=0,"",IF(OR(Prueba[[#This Row],[Cant.2]]="",Prueba[[#This Row],[Puesto2]]=""),"?",Prueba[[#This Row],[Puesto2]]))</f>
        <v/>
      </c>
      <c r="I40" s="31"/>
      <c r="J40" s="32"/>
      <c r="K40" s="14"/>
      <c r="L40" s="14"/>
      <c r="M40" s="31"/>
      <c r="N40" s="32" t="str">
        <f>IF(Prueba[[#This Row],[Cant.4]]=0,"",IF(OR(Prueba[[#This Row],[Cant.6]]="",Prueba[[#This Row],[Puesto6]]=""),"?",Prueba[[#This Row],[Puesto6]]))</f>
        <v/>
      </c>
      <c r="O40" s="31"/>
      <c r="P40" s="32" t="str">
        <f>IF(Prueba[[#This Row],[Cant.5]]=0,"",IF(OR(Prueba[[#This Row],[Cant.6]]="",Prueba[[#This Row],[Puesto6]]=""),"?",Prueba[[#This Row],[Puesto6]]))</f>
        <v/>
      </c>
      <c r="Q40" s="31"/>
      <c r="R40" s="32"/>
      <c r="S40" s="14"/>
      <c r="T40" s="14"/>
      <c r="U40" s="31"/>
      <c r="V40" s="32" t="s">
        <v>1663</v>
      </c>
      <c r="X40" s="19" t="s">
        <v>1667</v>
      </c>
      <c r="Y40" s="19">
        <v>1</v>
      </c>
      <c r="Z40" s="19">
        <v>5</v>
      </c>
      <c r="AA40" s="19" t="s">
        <v>1663</v>
      </c>
      <c r="AB40" s="19" t="s">
        <v>1663</v>
      </c>
    </row>
    <row r="41" spans="1:28" s="18" customFormat="1">
      <c r="A41" s="18" t="s">
        <v>60</v>
      </c>
      <c r="B41" s="18" t="s">
        <v>9</v>
      </c>
      <c r="C41" s="18" t="s">
        <v>61</v>
      </c>
      <c r="D41" s="18" t="s">
        <v>62</v>
      </c>
      <c r="E41" s="19" t="s">
        <v>12</v>
      </c>
      <c r="F41" s="18" t="s">
        <v>13</v>
      </c>
      <c r="G41" s="29">
        <v>1</v>
      </c>
      <c r="H41" s="32">
        <f>IF(Prueba[[#This Row],[Cant.]]=0,"",IF(OR(Prueba[[#This Row],[Cant.2]]="",Prueba[[#This Row],[Puesto2]]=""),"?",Prueba[[#This Row],[Puesto2]]))</f>
        <v>5</v>
      </c>
      <c r="I41" s="31">
        <v>1</v>
      </c>
      <c r="J41" s="32">
        <v>5</v>
      </c>
      <c r="K41" s="14"/>
      <c r="L41" s="14"/>
      <c r="M41" s="31"/>
      <c r="N41" s="32" t="str">
        <f>IF(Prueba[[#This Row],[Cant.4]]=0,"",IF(OR(Prueba[[#This Row],[Cant.6]]="",Prueba[[#This Row],[Puesto6]]=""),"?",Prueba[[#This Row],[Puesto6]]))</f>
        <v/>
      </c>
      <c r="O41" s="31"/>
      <c r="P41" s="32" t="str">
        <f>IF(Prueba[[#This Row],[Cant.5]]=0,"",IF(OR(Prueba[[#This Row],[Cant.6]]="",Prueba[[#This Row],[Puesto6]]=""),"?",Prueba[[#This Row],[Puesto6]]))</f>
        <v/>
      </c>
      <c r="Q41" s="31"/>
      <c r="R41" s="32"/>
      <c r="S41" s="14"/>
      <c r="T41" s="14"/>
      <c r="U41" s="31"/>
      <c r="V41" s="32" t="s">
        <v>1663</v>
      </c>
      <c r="W41" s="19"/>
      <c r="X41" s="19" t="s">
        <v>1667</v>
      </c>
      <c r="Y41" s="19">
        <v>1</v>
      </c>
      <c r="Z41" s="19">
        <v>5</v>
      </c>
      <c r="AA41" s="19">
        <v>1</v>
      </c>
      <c r="AB41" s="19">
        <v>5</v>
      </c>
    </row>
    <row r="42" spans="1:28" s="18" customFormat="1">
      <c r="A42" s="18" t="s">
        <v>63</v>
      </c>
      <c r="B42" s="18" t="s">
        <v>9</v>
      </c>
      <c r="C42" s="18" t="s">
        <v>64</v>
      </c>
      <c r="D42" s="18" t="s">
        <v>65</v>
      </c>
      <c r="E42" s="19" t="s">
        <v>12</v>
      </c>
      <c r="F42" s="18" t="s">
        <v>13</v>
      </c>
      <c r="G42" s="29">
        <v>1</v>
      </c>
      <c r="H42" s="32" t="str">
        <f>IF(Prueba[[#This Row],[Cant.]]=0,"",IF(OR(Prueba[[#This Row],[Cant.2]]="",Prueba[[#This Row],[Puesto2]]=""),"?",Prueba[[#This Row],[Puesto2]]))</f>
        <v>C</v>
      </c>
      <c r="I42" s="31">
        <v>1</v>
      </c>
      <c r="J42" s="32" t="s">
        <v>1402</v>
      </c>
      <c r="K42" s="14"/>
      <c r="L42" s="14"/>
      <c r="M42" s="31"/>
      <c r="N42" s="32" t="str">
        <f>IF(Prueba[[#This Row],[Cant.4]]=0,"",IF(OR(Prueba[[#This Row],[Cant.6]]="",Prueba[[#This Row],[Puesto6]]=""),"?",Prueba[[#This Row],[Puesto6]]))</f>
        <v/>
      </c>
      <c r="O42" s="31"/>
      <c r="P42" s="32" t="str">
        <f>IF(Prueba[[#This Row],[Cant.5]]=0,"",IF(OR(Prueba[[#This Row],[Cant.6]]="",Prueba[[#This Row],[Puesto6]]=""),"?",Prueba[[#This Row],[Puesto6]]))</f>
        <v/>
      </c>
      <c r="Q42" s="31"/>
      <c r="R42" s="32"/>
      <c r="S42" s="14"/>
      <c r="T42" s="14"/>
      <c r="U42" s="31"/>
      <c r="V42" s="32" t="s">
        <v>1663</v>
      </c>
      <c r="W42" s="19"/>
      <c r="X42" s="19" t="s">
        <v>1667</v>
      </c>
      <c r="Y42" s="19">
        <v>1</v>
      </c>
      <c r="Z42" s="19" t="s">
        <v>1402</v>
      </c>
      <c r="AA42" s="19">
        <v>1</v>
      </c>
      <c r="AB42" s="19" t="s">
        <v>1402</v>
      </c>
    </row>
    <row r="43" spans="1:28" s="18" customFormat="1">
      <c r="A43" s="18" t="s">
        <v>67</v>
      </c>
      <c r="B43" s="18" t="s">
        <v>9</v>
      </c>
      <c r="C43" s="18" t="s">
        <v>68</v>
      </c>
      <c r="D43" s="18" t="s">
        <v>69</v>
      </c>
      <c r="E43" s="19" t="s">
        <v>70</v>
      </c>
      <c r="F43" s="18" t="s">
        <v>13</v>
      </c>
      <c r="G43" s="29">
        <v>1</v>
      </c>
      <c r="H43" s="32" t="str">
        <f>IF(Prueba[[#This Row],[Cant.]]=0,"",IF(OR(Prueba[[#This Row],[Cant.2]]="",Prueba[[#This Row],[Puesto2]]=""),"?",Prueba[[#This Row],[Puesto2]]))</f>
        <v>C</v>
      </c>
      <c r="I43" s="31">
        <v>1</v>
      </c>
      <c r="J43" s="32" t="s">
        <v>1402</v>
      </c>
      <c r="K43" s="14"/>
      <c r="L43" s="14"/>
      <c r="M43" s="31"/>
      <c r="N43" s="32" t="str">
        <f>IF(Prueba[[#This Row],[Cant.4]]=0,"",IF(OR(Prueba[[#This Row],[Cant.6]]="",Prueba[[#This Row],[Puesto6]]=""),"?",Prueba[[#This Row],[Puesto6]]))</f>
        <v/>
      </c>
      <c r="O43" s="31"/>
      <c r="P43" s="32" t="str">
        <f>IF(Prueba[[#This Row],[Cant.5]]=0,"",IF(OR(Prueba[[#This Row],[Cant.6]]="",Prueba[[#This Row],[Puesto6]]=""),"?",Prueba[[#This Row],[Puesto6]]))</f>
        <v/>
      </c>
      <c r="Q43" s="31"/>
      <c r="R43" s="32"/>
      <c r="S43" s="14"/>
      <c r="T43" s="14"/>
      <c r="U43" s="31"/>
      <c r="V43" s="32" t="s">
        <v>1663</v>
      </c>
      <c r="W43" s="19"/>
      <c r="X43" s="19" t="s">
        <v>1667</v>
      </c>
      <c r="Y43" s="19">
        <v>1</v>
      </c>
      <c r="Z43" s="19" t="s">
        <v>1402</v>
      </c>
      <c r="AA43" s="19">
        <v>1</v>
      </c>
      <c r="AB43" s="19" t="s">
        <v>1402</v>
      </c>
    </row>
    <row r="44" spans="1:28" s="18" customFormat="1">
      <c r="A44" s="18" t="s">
        <v>71</v>
      </c>
      <c r="B44" s="18" t="s">
        <v>9</v>
      </c>
      <c r="C44" s="18" t="s">
        <v>72</v>
      </c>
      <c r="D44" s="18" t="s">
        <v>73</v>
      </c>
      <c r="E44" s="19" t="s">
        <v>12</v>
      </c>
      <c r="F44" s="18" t="s">
        <v>13</v>
      </c>
      <c r="G44" s="29">
        <v>1</v>
      </c>
      <c r="H44" s="32">
        <f>IF(Prueba[[#This Row],[Cant.]]=0,"",IF(OR(Prueba[[#This Row],[Cant.2]]="",Prueba[[#This Row],[Puesto2]]=""),"?",Prueba[[#This Row],[Puesto2]]))</f>
        <v>0</v>
      </c>
      <c r="I44" s="31">
        <v>1</v>
      </c>
      <c r="J44" s="32">
        <v>0</v>
      </c>
      <c r="K44" s="14"/>
      <c r="L44" s="14"/>
      <c r="M44" s="31"/>
      <c r="N44" s="32" t="str">
        <f>IF(Prueba[[#This Row],[Cant.4]]=0,"",IF(OR(Prueba[[#This Row],[Cant.6]]="",Prueba[[#This Row],[Puesto6]]=""),"?",Prueba[[#This Row],[Puesto6]]))</f>
        <v/>
      </c>
      <c r="O44" s="31"/>
      <c r="P44" s="32" t="str">
        <f>IF(Prueba[[#This Row],[Cant.5]]=0,"",IF(OR(Prueba[[#This Row],[Cant.6]]="",Prueba[[#This Row],[Puesto6]]=""),"?",Prueba[[#This Row],[Puesto6]]))</f>
        <v/>
      </c>
      <c r="Q44" s="31"/>
      <c r="R44" s="32"/>
      <c r="S44" s="14"/>
      <c r="T44" s="14"/>
      <c r="U44" s="31"/>
      <c r="V44" s="32" t="s">
        <v>1663</v>
      </c>
      <c r="W44" s="19"/>
      <c r="X44" s="19" t="s">
        <v>1667</v>
      </c>
      <c r="Y44" s="19">
        <v>1</v>
      </c>
      <c r="Z44" s="19">
        <v>0</v>
      </c>
      <c r="AA44" s="19">
        <v>1</v>
      </c>
      <c r="AB44" s="19">
        <v>0</v>
      </c>
    </row>
    <row r="45" spans="1:28" s="18" customFormat="1">
      <c r="A45" s="18" t="s">
        <v>74</v>
      </c>
      <c r="B45" s="18" t="s">
        <v>9</v>
      </c>
      <c r="C45" s="18" t="s">
        <v>75</v>
      </c>
      <c r="D45" s="18" t="s">
        <v>76</v>
      </c>
      <c r="E45" s="19" t="s">
        <v>12</v>
      </c>
      <c r="F45" s="18" t="s">
        <v>13</v>
      </c>
      <c r="G45" s="29">
        <v>1</v>
      </c>
      <c r="H45" s="32">
        <f>IF(Prueba[[#This Row],[Cant.]]=0,"",IF(OR(Prueba[[#This Row],[Cant.2]]="",Prueba[[#This Row],[Puesto2]]=""),"?",Prueba[[#This Row],[Puesto2]]))</f>
        <v>5</v>
      </c>
      <c r="I45" s="31">
        <v>1</v>
      </c>
      <c r="J45" s="32">
        <v>5</v>
      </c>
      <c r="K45" s="14"/>
      <c r="L45" s="14"/>
      <c r="M45" s="31"/>
      <c r="N45" s="32" t="str">
        <f>IF(Prueba[[#This Row],[Cant.4]]=0,"",IF(OR(Prueba[[#This Row],[Cant.6]]="",Prueba[[#This Row],[Puesto6]]=""),"?",Prueba[[#This Row],[Puesto6]]))</f>
        <v/>
      </c>
      <c r="O45" s="31"/>
      <c r="P45" s="32" t="str">
        <f>IF(Prueba[[#This Row],[Cant.5]]=0,"",IF(OR(Prueba[[#This Row],[Cant.6]]="",Prueba[[#This Row],[Puesto6]]=""),"?",Prueba[[#This Row],[Puesto6]]))</f>
        <v/>
      </c>
      <c r="Q45" s="31"/>
      <c r="R45" s="32"/>
      <c r="S45" s="14"/>
      <c r="T45" s="14"/>
      <c r="U45" s="31"/>
      <c r="V45" s="32" t="s">
        <v>1663</v>
      </c>
      <c r="W45" s="19"/>
      <c r="X45" s="19" t="s">
        <v>1667</v>
      </c>
      <c r="Y45" s="19">
        <v>1</v>
      </c>
      <c r="Z45" s="19">
        <v>5</v>
      </c>
      <c r="AA45" s="19">
        <v>1</v>
      </c>
      <c r="AB45" s="19">
        <v>5</v>
      </c>
    </row>
    <row r="46" spans="1:28" s="18" customFormat="1">
      <c r="A46" s="18" t="s">
        <v>77</v>
      </c>
      <c r="B46" s="18" t="s">
        <v>9</v>
      </c>
      <c r="C46" s="18" t="s">
        <v>78</v>
      </c>
      <c r="D46" s="18" t="s">
        <v>79</v>
      </c>
      <c r="E46" s="19" t="s">
        <v>39</v>
      </c>
      <c r="F46" s="18" t="s">
        <v>13</v>
      </c>
      <c r="G46" s="29">
        <v>1</v>
      </c>
      <c r="H46" s="32">
        <f>IF(Prueba[[#This Row],[Cant.]]=0,"",IF(OR(Prueba[[#This Row],[Cant.2]]="",Prueba[[#This Row],[Puesto2]]=""),"?",Prueba[[#This Row],[Puesto2]]))</f>
        <v>4</v>
      </c>
      <c r="I46" s="31">
        <v>1</v>
      </c>
      <c r="J46" s="32">
        <v>4</v>
      </c>
      <c r="K46" s="14"/>
      <c r="L46" s="14"/>
      <c r="M46" s="31"/>
      <c r="N46" s="32" t="str">
        <f>IF(Prueba[[#This Row],[Cant.4]]=0,"",IF(OR(Prueba[[#This Row],[Cant.6]]="",Prueba[[#This Row],[Puesto6]]=""),"?",Prueba[[#This Row],[Puesto6]]))</f>
        <v/>
      </c>
      <c r="O46" s="31"/>
      <c r="P46" s="32" t="str">
        <f>IF(Prueba[[#This Row],[Cant.5]]=0,"",IF(OR(Prueba[[#This Row],[Cant.6]]="",Prueba[[#This Row],[Puesto6]]=""),"?",Prueba[[#This Row],[Puesto6]]))</f>
        <v/>
      </c>
      <c r="Q46" s="31"/>
      <c r="R46" s="32"/>
      <c r="S46" s="14"/>
      <c r="T46" s="14"/>
      <c r="U46" s="31"/>
      <c r="V46" s="32" t="s">
        <v>1663</v>
      </c>
      <c r="W46" s="19"/>
      <c r="X46" s="19" t="s">
        <v>1667</v>
      </c>
      <c r="Y46" s="19">
        <v>1</v>
      </c>
      <c r="Z46" s="19">
        <v>4</v>
      </c>
      <c r="AA46" s="19">
        <v>1</v>
      </c>
      <c r="AB46" s="19">
        <v>4</v>
      </c>
    </row>
    <row r="47" spans="1:28" s="18" customFormat="1">
      <c r="A47" s="18" t="s">
        <v>80</v>
      </c>
      <c r="B47" s="18" t="s">
        <v>9</v>
      </c>
      <c r="C47" s="18" t="s">
        <v>81</v>
      </c>
      <c r="D47" s="18" t="s">
        <v>82</v>
      </c>
      <c r="E47" s="19" t="s">
        <v>12</v>
      </c>
      <c r="F47" s="18" t="s">
        <v>13</v>
      </c>
      <c r="G47" s="29">
        <v>1</v>
      </c>
      <c r="H47" s="32">
        <f>IF(Prueba[[#This Row],[Cant.]]=0,"",IF(OR(Prueba[[#This Row],[Cant.2]]="",Prueba[[#This Row],[Puesto2]]=""),"?",Prueba[[#This Row],[Puesto2]]))</f>
        <v>5</v>
      </c>
      <c r="I47" s="31">
        <v>1</v>
      </c>
      <c r="J47" s="32">
        <v>5</v>
      </c>
      <c r="K47" s="14"/>
      <c r="L47" s="14"/>
      <c r="M47" s="31"/>
      <c r="N47" s="32" t="str">
        <f>IF(Prueba[[#This Row],[Cant.4]]=0,"",IF(OR(Prueba[[#This Row],[Cant.6]]="",Prueba[[#This Row],[Puesto6]]=""),"?",Prueba[[#This Row],[Puesto6]]))</f>
        <v/>
      </c>
      <c r="O47" s="31"/>
      <c r="P47" s="32" t="str">
        <f>IF(Prueba[[#This Row],[Cant.5]]=0,"",IF(OR(Prueba[[#This Row],[Cant.6]]="",Prueba[[#This Row],[Puesto6]]=""),"?",Prueba[[#This Row],[Puesto6]]))</f>
        <v/>
      </c>
      <c r="Q47" s="31"/>
      <c r="R47" s="32"/>
      <c r="S47" s="14"/>
      <c r="T47" s="14"/>
      <c r="U47" s="31"/>
      <c r="V47" s="32" t="s">
        <v>1663</v>
      </c>
      <c r="W47" s="19"/>
      <c r="X47" s="19" t="s">
        <v>1667</v>
      </c>
      <c r="Y47" s="19">
        <v>1</v>
      </c>
      <c r="Z47" s="19">
        <v>5</v>
      </c>
      <c r="AA47" s="19">
        <v>1</v>
      </c>
      <c r="AB47" s="19">
        <v>5</v>
      </c>
    </row>
    <row r="48" spans="1:28" s="18" customFormat="1">
      <c r="A48" s="18" t="s">
        <v>83</v>
      </c>
      <c r="B48" s="18" t="s">
        <v>9</v>
      </c>
      <c r="C48" s="18" t="s">
        <v>84</v>
      </c>
      <c r="D48" s="18" t="s">
        <v>85</v>
      </c>
      <c r="E48" s="19" t="s">
        <v>39</v>
      </c>
      <c r="F48" s="18" t="s">
        <v>13</v>
      </c>
      <c r="G48" s="29">
        <v>1</v>
      </c>
      <c r="H48" s="32">
        <f>IF(Prueba[[#This Row],[Cant.]]=0,"",IF(OR(Prueba[[#This Row],[Cant.2]]="",Prueba[[#This Row],[Puesto2]]=""),"?",Prueba[[#This Row],[Puesto2]]))</f>
        <v>4</v>
      </c>
      <c r="I48" s="31">
        <v>1</v>
      </c>
      <c r="J48" s="32">
        <v>4</v>
      </c>
      <c r="K48" s="14"/>
      <c r="L48" s="14"/>
      <c r="M48" s="31"/>
      <c r="N48" s="32" t="str">
        <f>IF(Prueba[[#This Row],[Cant.4]]=0,"",IF(OR(Prueba[[#This Row],[Cant.6]]="",Prueba[[#This Row],[Puesto6]]=""),"?",Prueba[[#This Row],[Puesto6]]))</f>
        <v/>
      </c>
      <c r="O48" s="31"/>
      <c r="P48" s="32" t="str">
        <f>IF(Prueba[[#This Row],[Cant.5]]=0,"",IF(OR(Prueba[[#This Row],[Cant.6]]="",Prueba[[#This Row],[Puesto6]]=""),"?",Prueba[[#This Row],[Puesto6]]))</f>
        <v/>
      </c>
      <c r="Q48" s="31"/>
      <c r="R48" s="32"/>
      <c r="S48" s="14"/>
      <c r="T48" s="14"/>
      <c r="U48" s="31"/>
      <c r="V48" s="32" t="s">
        <v>1663</v>
      </c>
      <c r="W48" s="19"/>
      <c r="X48" s="19" t="s">
        <v>1667</v>
      </c>
      <c r="Y48" s="19">
        <v>1</v>
      </c>
      <c r="Z48" s="19">
        <v>4</v>
      </c>
      <c r="AA48" s="19">
        <v>1</v>
      </c>
      <c r="AB48" s="19">
        <v>4</v>
      </c>
    </row>
    <row r="49" spans="1:28" s="18" customFormat="1">
      <c r="A49" s="18" t="s">
        <v>86</v>
      </c>
      <c r="B49" s="18" t="s">
        <v>9</v>
      </c>
      <c r="C49" s="18" t="s">
        <v>41</v>
      </c>
      <c r="D49" s="18" t="s">
        <v>87</v>
      </c>
      <c r="E49" s="19" t="s">
        <v>39</v>
      </c>
      <c r="F49" s="18" t="s">
        <v>13</v>
      </c>
      <c r="G49" s="29">
        <v>1</v>
      </c>
      <c r="H49" s="32" t="str">
        <f>IF(Prueba[[#This Row],[Cant.]]=0,"",IF(OR(Prueba[[#This Row],[Cant.2]]="",Prueba[[#This Row],[Puesto2]]=""),"?",Prueba[[#This Row],[Puesto2]]))</f>
        <v>C</v>
      </c>
      <c r="I49" s="31">
        <v>1</v>
      </c>
      <c r="J49" s="32" t="s">
        <v>1402</v>
      </c>
      <c r="K49" s="14"/>
      <c r="L49" s="14"/>
      <c r="M49" s="31"/>
      <c r="N49" s="32" t="str">
        <f>IF(Prueba[[#This Row],[Cant.4]]=0,"",IF(OR(Prueba[[#This Row],[Cant.6]]="",Prueba[[#This Row],[Puesto6]]=""),"?",Prueba[[#This Row],[Puesto6]]))</f>
        <v/>
      </c>
      <c r="O49" s="31"/>
      <c r="P49" s="32" t="str">
        <f>IF(Prueba[[#This Row],[Cant.5]]=0,"",IF(OR(Prueba[[#This Row],[Cant.6]]="",Prueba[[#This Row],[Puesto6]]=""),"?",Prueba[[#This Row],[Puesto6]]))</f>
        <v/>
      </c>
      <c r="Q49" s="31"/>
      <c r="R49" s="32"/>
      <c r="S49" s="14"/>
      <c r="T49" s="14"/>
      <c r="U49" s="31"/>
      <c r="V49" s="32" t="s">
        <v>1663</v>
      </c>
      <c r="W49" s="19"/>
      <c r="X49" s="19" t="s">
        <v>1667</v>
      </c>
      <c r="Y49" s="19">
        <v>1</v>
      </c>
      <c r="Z49" s="19" t="s">
        <v>1402</v>
      </c>
      <c r="AA49" s="19">
        <v>1</v>
      </c>
      <c r="AB49" s="19" t="s">
        <v>1402</v>
      </c>
    </row>
    <row r="50" spans="1:28" s="18" customFormat="1" ht="28.9">
      <c r="A50" s="18" t="s">
        <v>88</v>
      </c>
      <c r="B50" s="18" t="s">
        <v>9</v>
      </c>
      <c r="C50" s="18" t="s">
        <v>89</v>
      </c>
      <c r="D50" s="18" t="s">
        <v>90</v>
      </c>
      <c r="E50" s="19" t="s">
        <v>22</v>
      </c>
      <c r="F50" s="18" t="s">
        <v>13</v>
      </c>
      <c r="G50" s="29">
        <v>49</v>
      </c>
      <c r="H50" s="32" t="str">
        <f>IF(Prueba[[#This Row],[Cant.]]=0,"",IF(OR(Prueba[[#This Row],[Cant.2]]="",Prueba[[#This Row],[Puesto2]]=""),"?",Prueba[[#This Row],[Puesto2]]))</f>
        <v>18x1 + 41x2 + 1x4</v>
      </c>
      <c r="I50" s="31">
        <v>62</v>
      </c>
      <c r="J50" s="32" t="s">
        <v>1685</v>
      </c>
      <c r="K50" s="14"/>
      <c r="L50" s="14"/>
      <c r="M50" s="31"/>
      <c r="N50" s="32" t="str">
        <f>IF(Prueba[[#This Row],[Cant.4]]=0,"",IF(OR(Prueba[[#This Row],[Cant.6]]="",Prueba[[#This Row],[Puesto6]]=""),"?",Prueba[[#This Row],[Puesto6]]))</f>
        <v/>
      </c>
      <c r="O50" s="31"/>
      <c r="P50" s="32" t="str">
        <f>IF(Prueba[[#This Row],[Cant.5]]=0,"",IF(OR(Prueba[[#This Row],[Cant.6]]="",Prueba[[#This Row],[Puesto6]]=""),"?",Prueba[[#This Row],[Puesto6]]))</f>
        <v/>
      </c>
      <c r="Q50" s="31"/>
      <c r="R50" s="32"/>
      <c r="S50" s="14"/>
      <c r="T50" s="14"/>
      <c r="U50" s="31"/>
      <c r="V50" s="32" t="s">
        <v>1663</v>
      </c>
      <c r="W50" s="19">
        <v>328</v>
      </c>
      <c r="X50" s="19" t="s">
        <v>1686</v>
      </c>
      <c r="Y50" s="19">
        <v>68</v>
      </c>
      <c r="Z50" s="19" t="s">
        <v>1685</v>
      </c>
      <c r="AA50" s="19">
        <v>65</v>
      </c>
      <c r="AB50" s="19" t="s">
        <v>1685</v>
      </c>
    </row>
    <row r="51" spans="1:28" s="18" customFormat="1">
      <c r="A51" s="18" t="s">
        <v>91</v>
      </c>
      <c r="B51" s="18" t="s">
        <v>9</v>
      </c>
      <c r="C51" s="18" t="s">
        <v>92</v>
      </c>
      <c r="D51" s="18" t="s">
        <v>93</v>
      </c>
      <c r="E51" s="19" t="s">
        <v>22</v>
      </c>
      <c r="F51" s="18" t="s">
        <v>13</v>
      </c>
      <c r="G51" s="29">
        <v>4</v>
      </c>
      <c r="H51" s="32">
        <f>IF(Prueba[[#This Row],[Cant.]]=0,"",IF(OR(Prueba[[#This Row],[Cant.2]]="",Prueba[[#This Row],[Puesto2]]=""),"?",Prueba[[#This Row],[Puesto2]]))</f>
        <v>0</v>
      </c>
      <c r="I51" s="31">
        <v>4</v>
      </c>
      <c r="J51" s="32">
        <v>0</v>
      </c>
      <c r="K51" s="14"/>
      <c r="L51" s="14"/>
      <c r="M51" s="31"/>
      <c r="N51" s="32" t="str">
        <f>IF(Prueba[[#This Row],[Cant.4]]=0,"",IF(OR(Prueba[[#This Row],[Cant.6]]="",Prueba[[#This Row],[Puesto6]]=""),"?",Prueba[[#This Row],[Puesto6]]))</f>
        <v/>
      </c>
      <c r="O51" s="31"/>
      <c r="P51" s="32" t="str">
        <f>IF(Prueba[[#This Row],[Cant.5]]=0,"",IF(OR(Prueba[[#This Row],[Cant.6]]="",Prueba[[#This Row],[Puesto6]]=""),"?",Prueba[[#This Row],[Puesto6]]))</f>
        <v/>
      </c>
      <c r="Q51" s="31"/>
      <c r="R51" s="32"/>
      <c r="S51" s="14"/>
      <c r="T51" s="14"/>
      <c r="U51" s="31"/>
      <c r="V51" s="32" t="s">
        <v>1663</v>
      </c>
      <c r="W51" s="19">
        <v>32</v>
      </c>
      <c r="X51" s="19" t="s">
        <v>1664</v>
      </c>
      <c r="Y51" s="19">
        <v>5</v>
      </c>
      <c r="Z51" s="19">
        <v>0</v>
      </c>
      <c r="AA51" s="19">
        <v>5</v>
      </c>
      <c r="AB51" s="19">
        <v>0</v>
      </c>
    </row>
    <row r="52" spans="1:28" s="18" customFormat="1" ht="28.9">
      <c r="A52" s="18" t="s">
        <v>94</v>
      </c>
      <c r="B52" s="18" t="s">
        <v>9</v>
      </c>
      <c r="C52" s="18" t="s">
        <v>95</v>
      </c>
      <c r="D52" s="18" t="s">
        <v>96</v>
      </c>
      <c r="E52" s="19" t="s">
        <v>22</v>
      </c>
      <c r="F52" s="18" t="s">
        <v>13</v>
      </c>
      <c r="G52" s="29">
        <v>47</v>
      </c>
      <c r="H52" s="32" t="str">
        <f>IF(Prueba[[#This Row],[Cant.]]=0,"",IF(OR(Prueba[[#This Row],[Cant.2]]="",Prueba[[#This Row],[Puesto2]]=""),"?",Prueba[[#This Row],[Puesto2]]))</f>
        <v>18x1 + 36x2 + 1x4</v>
      </c>
      <c r="I52" s="31">
        <v>57</v>
      </c>
      <c r="J52" s="32" t="s">
        <v>1687</v>
      </c>
      <c r="K52" s="14"/>
      <c r="L52" s="14"/>
      <c r="M52" s="31"/>
      <c r="N52" s="32" t="str">
        <f>IF(Prueba[[#This Row],[Cant.4]]=0,"",IF(OR(Prueba[[#This Row],[Cant.6]]="",Prueba[[#This Row],[Puesto6]]=""),"?",Prueba[[#This Row],[Puesto6]]))</f>
        <v/>
      </c>
      <c r="O52" s="31"/>
      <c r="P52" s="32" t="str">
        <f>IF(Prueba[[#This Row],[Cant.5]]=0,"",IF(OR(Prueba[[#This Row],[Cant.6]]="",Prueba[[#This Row],[Puesto6]]=""),"?",Prueba[[#This Row],[Puesto6]]))</f>
        <v/>
      </c>
      <c r="Q52" s="31"/>
      <c r="R52" s="32"/>
      <c r="S52" s="14"/>
      <c r="T52" s="14"/>
      <c r="U52" s="31"/>
      <c r="V52" s="32" t="s">
        <v>1663</v>
      </c>
      <c r="W52" s="19">
        <v>288</v>
      </c>
      <c r="X52" s="19" t="s">
        <v>1686</v>
      </c>
      <c r="Y52" s="19">
        <v>64</v>
      </c>
      <c r="Z52" s="19" t="s">
        <v>1687</v>
      </c>
      <c r="AA52" s="19">
        <v>62</v>
      </c>
      <c r="AB52" s="19" t="s">
        <v>1687</v>
      </c>
    </row>
    <row r="53" spans="1:28" s="18" customFormat="1">
      <c r="A53" s="18" t="s">
        <v>97</v>
      </c>
      <c r="B53" s="18" t="s">
        <v>9</v>
      </c>
      <c r="C53" s="18" t="s">
        <v>98</v>
      </c>
      <c r="D53" s="18" t="s">
        <v>99</v>
      </c>
      <c r="E53" s="19" t="s">
        <v>22</v>
      </c>
      <c r="F53" s="18" t="s">
        <v>13</v>
      </c>
      <c r="G53" s="29">
        <v>4</v>
      </c>
      <c r="H53" s="32">
        <f>IF(Prueba[[#This Row],[Cant.]]=0,"",IF(OR(Prueba[[#This Row],[Cant.2]]="",Prueba[[#This Row],[Puesto2]]=""),"?",Prueba[[#This Row],[Puesto2]]))</f>
        <v>0</v>
      </c>
      <c r="I53" s="31">
        <v>4</v>
      </c>
      <c r="J53" s="32">
        <v>0</v>
      </c>
      <c r="K53" s="14"/>
      <c r="L53" s="14"/>
      <c r="M53" s="31"/>
      <c r="N53" s="32" t="str">
        <f>IF(Prueba[[#This Row],[Cant.4]]=0,"",IF(OR(Prueba[[#This Row],[Cant.6]]="",Prueba[[#This Row],[Puesto6]]=""),"?",Prueba[[#This Row],[Puesto6]]))</f>
        <v/>
      </c>
      <c r="O53" s="31"/>
      <c r="P53" s="32" t="str">
        <f>IF(Prueba[[#This Row],[Cant.5]]=0,"",IF(OR(Prueba[[#This Row],[Cant.6]]="",Prueba[[#This Row],[Puesto6]]=""),"?",Prueba[[#This Row],[Puesto6]]))</f>
        <v/>
      </c>
      <c r="Q53" s="31"/>
      <c r="R53" s="32"/>
      <c r="S53" s="14"/>
      <c r="T53" s="14"/>
      <c r="U53" s="31"/>
      <c r="V53" s="32" t="s">
        <v>1663</v>
      </c>
      <c r="W53" s="19">
        <v>32</v>
      </c>
      <c r="X53" s="19" t="s">
        <v>1664</v>
      </c>
      <c r="Y53" s="19">
        <v>5</v>
      </c>
      <c r="Z53" s="19">
        <v>0</v>
      </c>
      <c r="AA53" s="19">
        <v>5</v>
      </c>
      <c r="AB53" s="19">
        <v>0</v>
      </c>
    </row>
    <row r="54" spans="1:28" s="18" customFormat="1">
      <c r="A54" s="18" t="s">
        <v>1688</v>
      </c>
      <c r="C54" s="18" t="s">
        <v>993</v>
      </c>
      <c r="D54" s="18" t="s">
        <v>993</v>
      </c>
      <c r="E54" s="19" t="s">
        <v>18</v>
      </c>
      <c r="G54" s="29"/>
      <c r="H54" s="32" t="str">
        <f>IF(Prueba[[#This Row],[Cant.]]=0,"",IF(OR(Prueba[[#This Row],[Cant.2]]="",Prueba[[#This Row],[Puesto2]]=""),"?",Prueba[[#This Row],[Puesto2]]))</f>
        <v/>
      </c>
      <c r="I54" s="31"/>
      <c r="J54" s="32"/>
      <c r="K54" s="14"/>
      <c r="L54" s="14"/>
      <c r="M54" s="31"/>
      <c r="N54" s="32" t="str">
        <f>IF(Prueba[[#This Row],[Cant.4]]=0,"",IF(OR(Prueba[[#This Row],[Cant.6]]="",Prueba[[#This Row],[Puesto6]]=""),"?",Prueba[[#This Row],[Puesto6]]))</f>
        <v/>
      </c>
      <c r="O54" s="31"/>
      <c r="P54" s="32" t="str">
        <f>IF(Prueba[[#This Row],[Cant.5]]=0,"",IF(OR(Prueba[[#This Row],[Cant.6]]="",Prueba[[#This Row],[Puesto6]]=""),"?",Prueba[[#This Row],[Puesto6]]))</f>
        <v/>
      </c>
      <c r="Q54" s="31"/>
      <c r="R54" s="32"/>
      <c r="S54" s="14"/>
      <c r="T54" s="14"/>
      <c r="U54" s="31"/>
      <c r="V54" s="32" t="s">
        <v>1663</v>
      </c>
      <c r="X54" s="19" t="s">
        <v>1667</v>
      </c>
      <c r="Y54" s="19">
        <v>1</v>
      </c>
      <c r="Z54" s="19">
        <v>2</v>
      </c>
      <c r="AA54" s="19">
        <v>1</v>
      </c>
      <c r="AB54" s="19">
        <v>2</v>
      </c>
    </row>
    <row r="55" spans="1:28" s="18" customFormat="1">
      <c r="A55" s="18" t="s">
        <v>100</v>
      </c>
      <c r="B55" s="18" t="s">
        <v>9</v>
      </c>
      <c r="C55" s="18" t="s">
        <v>101</v>
      </c>
      <c r="D55" s="18" t="s">
        <v>102</v>
      </c>
      <c r="E55" s="19" t="s">
        <v>12</v>
      </c>
      <c r="F55" s="18" t="s">
        <v>13</v>
      </c>
      <c r="G55" s="29">
        <v>1</v>
      </c>
      <c r="H55" s="32">
        <f>IF(Prueba[[#This Row],[Cant.]]=0,"",IF(OR(Prueba[[#This Row],[Cant.2]]="",Prueba[[#This Row],[Puesto2]]=""),"?",Prueba[[#This Row],[Puesto2]]))</f>
        <v>5</v>
      </c>
      <c r="I55" s="31">
        <v>1</v>
      </c>
      <c r="J55" s="32">
        <v>5</v>
      </c>
      <c r="K55" s="14"/>
      <c r="L55" s="14"/>
      <c r="M55" s="31"/>
      <c r="N55" s="32" t="str">
        <f>IF(Prueba[[#This Row],[Cant.4]]=0,"",IF(OR(Prueba[[#This Row],[Cant.6]]="",Prueba[[#This Row],[Puesto6]]=""),"?",Prueba[[#This Row],[Puesto6]]))</f>
        <v/>
      </c>
      <c r="O55" s="31"/>
      <c r="P55" s="32" t="str">
        <f>IF(Prueba[[#This Row],[Cant.5]]=0,"",IF(OR(Prueba[[#This Row],[Cant.6]]="",Prueba[[#This Row],[Puesto6]]=""),"?",Prueba[[#This Row],[Puesto6]]))</f>
        <v/>
      </c>
      <c r="Q55" s="31"/>
      <c r="R55" s="32"/>
      <c r="S55" s="14"/>
      <c r="T55" s="14"/>
      <c r="U55" s="31"/>
      <c r="V55" s="32" t="s">
        <v>1663</v>
      </c>
      <c r="W55" s="19"/>
      <c r="X55" s="19" t="s">
        <v>1667</v>
      </c>
      <c r="Y55" s="19">
        <v>1</v>
      </c>
      <c r="Z55" s="19">
        <v>5</v>
      </c>
      <c r="AA55" s="19">
        <v>1</v>
      </c>
      <c r="AB55" s="19">
        <v>5</v>
      </c>
    </row>
    <row r="56" spans="1:28" s="18" customFormat="1">
      <c r="A56" s="18" t="s">
        <v>103</v>
      </c>
      <c r="B56" s="18" t="s">
        <v>9</v>
      </c>
      <c r="C56" s="18" t="s">
        <v>104</v>
      </c>
      <c r="D56" s="18" t="s">
        <v>105</v>
      </c>
      <c r="E56" s="19" t="s">
        <v>12</v>
      </c>
      <c r="F56" s="18" t="s">
        <v>13</v>
      </c>
      <c r="G56" s="29">
        <v>1</v>
      </c>
      <c r="H56" s="32">
        <f>IF(Prueba[[#This Row],[Cant.]]=0,"",IF(OR(Prueba[[#This Row],[Cant.2]]="",Prueba[[#This Row],[Puesto2]]=""),"?",Prueba[[#This Row],[Puesto2]]))</f>
        <v>5</v>
      </c>
      <c r="I56" s="31">
        <v>1</v>
      </c>
      <c r="J56" s="32">
        <v>5</v>
      </c>
      <c r="K56" s="14"/>
      <c r="L56" s="14"/>
      <c r="M56" s="31"/>
      <c r="N56" s="32" t="str">
        <f>IF(Prueba[[#This Row],[Cant.4]]=0,"",IF(OR(Prueba[[#This Row],[Cant.6]]="",Prueba[[#This Row],[Puesto6]]=""),"?",Prueba[[#This Row],[Puesto6]]))</f>
        <v/>
      </c>
      <c r="O56" s="31"/>
      <c r="P56" s="32" t="str">
        <f>IF(Prueba[[#This Row],[Cant.5]]=0,"",IF(OR(Prueba[[#This Row],[Cant.6]]="",Prueba[[#This Row],[Puesto6]]=""),"?",Prueba[[#This Row],[Puesto6]]))</f>
        <v/>
      </c>
      <c r="Q56" s="31"/>
      <c r="R56" s="32"/>
      <c r="S56" s="14"/>
      <c r="T56" s="14"/>
      <c r="U56" s="31"/>
      <c r="V56" s="32" t="s">
        <v>1663</v>
      </c>
      <c r="W56" s="19"/>
      <c r="X56" s="19" t="s">
        <v>1667</v>
      </c>
      <c r="Y56" s="19">
        <v>1</v>
      </c>
      <c r="Z56" s="19">
        <v>5</v>
      </c>
      <c r="AA56" s="19">
        <v>1</v>
      </c>
      <c r="AB56" s="19">
        <v>5</v>
      </c>
    </row>
    <row r="57" spans="1:28" s="18" customFormat="1">
      <c r="A57" s="18" t="s">
        <v>106</v>
      </c>
      <c r="B57" s="18" t="s">
        <v>9</v>
      </c>
      <c r="C57" s="18" t="s">
        <v>107</v>
      </c>
      <c r="D57" s="18" t="s">
        <v>108</v>
      </c>
      <c r="E57" s="19" t="s">
        <v>12</v>
      </c>
      <c r="F57" s="18" t="s">
        <v>13</v>
      </c>
      <c r="G57" s="29">
        <v>1</v>
      </c>
      <c r="H57" s="32" t="s">
        <v>1399</v>
      </c>
      <c r="I57" s="31">
        <v>1</v>
      </c>
      <c r="J57" s="32" t="s">
        <v>1399</v>
      </c>
      <c r="K57" s="14"/>
      <c r="L57" s="14"/>
      <c r="M57" s="31"/>
      <c r="N57" s="32" t="str">
        <f>IF(Prueba[[#This Row],[Cant.4]]=0,"",IF(OR(Prueba[[#This Row],[Cant.6]]="",Prueba[[#This Row],[Puesto6]]=""),"?",Prueba[[#This Row],[Puesto6]]))</f>
        <v/>
      </c>
      <c r="O57" s="31"/>
      <c r="P57" s="32" t="str">
        <f>IF(Prueba[[#This Row],[Cant.5]]=0,"",IF(OR(Prueba[[#This Row],[Cant.6]]="",Prueba[[#This Row],[Puesto6]]=""),"?",Prueba[[#This Row],[Puesto6]]))</f>
        <v/>
      </c>
      <c r="Q57" s="31"/>
      <c r="R57" s="32"/>
      <c r="S57" s="14"/>
      <c r="T57" s="14"/>
      <c r="U57" s="31"/>
      <c r="V57" s="32" t="s">
        <v>1663</v>
      </c>
      <c r="W57" s="19"/>
      <c r="X57" s="19" t="s">
        <v>1667</v>
      </c>
      <c r="Y57" s="19">
        <v>1</v>
      </c>
      <c r="Z57" s="19" t="s">
        <v>1399</v>
      </c>
      <c r="AA57" s="19">
        <v>1</v>
      </c>
      <c r="AB57" s="19" t="s">
        <v>1399</v>
      </c>
    </row>
    <row r="58" spans="1:28" s="18" customFormat="1">
      <c r="A58" s="18" t="s">
        <v>109</v>
      </c>
      <c r="B58" s="18" t="s">
        <v>9</v>
      </c>
      <c r="C58" s="18" t="s">
        <v>110</v>
      </c>
      <c r="D58" s="18" t="s">
        <v>111</v>
      </c>
      <c r="E58" s="19" t="s">
        <v>22</v>
      </c>
      <c r="F58" s="18" t="s">
        <v>13</v>
      </c>
      <c r="G58" s="29">
        <v>1</v>
      </c>
      <c r="H58" s="32" t="str">
        <f>IF(Prueba[[#This Row],[Cant.]]=0,"",IF(OR(Prueba[[#This Row],[Cant.2]]="",Prueba[[#This Row],[Puesto2]]=""),"?",Prueba[[#This Row],[Puesto2]]))</f>
        <v>D</v>
      </c>
      <c r="I58" s="31">
        <v>1</v>
      </c>
      <c r="J58" s="32" t="s">
        <v>1399</v>
      </c>
      <c r="K58" s="14">
        <v>2</v>
      </c>
      <c r="L58" s="14"/>
      <c r="M58" s="31">
        <v>2</v>
      </c>
      <c r="N58" s="32" t="str">
        <f>IF(Prueba[[#This Row],[Cant.4]]=0,"",IF(OR(Prueba[[#This Row],[Cant.6]]="",Prueba[[#This Row],[Puesto6]]=""),"?",Prueba[[#This Row],[Puesto6]]))</f>
        <v>D</v>
      </c>
      <c r="O58" s="31">
        <v>1</v>
      </c>
      <c r="P58" s="32" t="str">
        <f>IF(Prueba[[#This Row],[Cant.5]]=0,"",IF(OR(Prueba[[#This Row],[Cant.6]]="",Prueba[[#This Row],[Puesto6]]=""),"?",Prueba[[#This Row],[Puesto6]]))</f>
        <v>D</v>
      </c>
      <c r="Q58" s="31">
        <v>2</v>
      </c>
      <c r="R58" s="32" t="s">
        <v>1399</v>
      </c>
      <c r="S58" s="14">
        <v>1</v>
      </c>
      <c r="T58" s="14" t="s">
        <v>1399</v>
      </c>
      <c r="U58" s="31">
        <v>1</v>
      </c>
      <c r="V58" s="32" t="s">
        <v>1399</v>
      </c>
      <c r="W58" s="19">
        <v>16</v>
      </c>
      <c r="X58" s="19" t="s">
        <v>1664</v>
      </c>
      <c r="Y58" s="19">
        <v>2</v>
      </c>
      <c r="Z58" s="19" t="s">
        <v>1399</v>
      </c>
      <c r="AA58" s="19">
        <v>2</v>
      </c>
      <c r="AB58" s="19" t="s">
        <v>1399</v>
      </c>
    </row>
    <row r="59" spans="1:28" s="18" customFormat="1">
      <c r="A59" s="18" t="s">
        <v>1689</v>
      </c>
      <c r="C59" s="18" t="s">
        <v>113</v>
      </c>
      <c r="D59" s="18" t="s">
        <v>113</v>
      </c>
      <c r="E59" s="19" t="s">
        <v>18</v>
      </c>
      <c r="G59" s="29"/>
      <c r="H59" s="32" t="str">
        <f>IF(Prueba[[#This Row],[Cant.]]=0,"",IF(OR(Prueba[[#This Row],[Cant.2]]="",Prueba[[#This Row],[Puesto2]]=""),"?",Prueba[[#This Row],[Puesto2]]))</f>
        <v/>
      </c>
      <c r="I59" s="31"/>
      <c r="J59" s="32"/>
      <c r="K59" s="14"/>
      <c r="L59" s="14"/>
      <c r="M59" s="31"/>
      <c r="N59" s="32" t="str">
        <f>IF(Prueba[[#This Row],[Cant.4]]=0,"",IF(OR(Prueba[[#This Row],[Cant.6]]="",Prueba[[#This Row],[Puesto6]]=""),"?",Prueba[[#This Row],[Puesto6]]))</f>
        <v/>
      </c>
      <c r="O59" s="31"/>
      <c r="P59" s="32" t="str">
        <f>IF(Prueba[[#This Row],[Cant.5]]=0,"",IF(OR(Prueba[[#This Row],[Cant.6]]="",Prueba[[#This Row],[Puesto6]]=""),"?",Prueba[[#This Row],[Puesto6]]))</f>
        <v/>
      </c>
      <c r="Q59" s="31"/>
      <c r="R59" s="32"/>
      <c r="S59" s="14"/>
      <c r="T59" s="14"/>
      <c r="U59" s="31"/>
      <c r="V59" s="32" t="s">
        <v>1663</v>
      </c>
      <c r="X59" s="19" t="s">
        <v>1667</v>
      </c>
      <c r="Y59" s="19">
        <v>1</v>
      </c>
      <c r="Z59" s="19">
        <v>2</v>
      </c>
      <c r="AA59" s="19">
        <v>1</v>
      </c>
      <c r="AB59" s="19">
        <v>2</v>
      </c>
    </row>
    <row r="60" spans="1:28" s="18" customFormat="1">
      <c r="A60" s="18" t="s">
        <v>112</v>
      </c>
      <c r="B60" s="18" t="s">
        <v>9</v>
      </c>
      <c r="C60" s="18" t="s">
        <v>113</v>
      </c>
      <c r="D60" s="18" t="s">
        <v>114</v>
      </c>
      <c r="E60" s="19" t="s">
        <v>18</v>
      </c>
      <c r="F60" s="18" t="s">
        <v>13</v>
      </c>
      <c r="G60" s="29">
        <v>1</v>
      </c>
      <c r="H60" s="32">
        <f>IF(Prueba[[#This Row],[Cant.]]=0,"",IF(OR(Prueba[[#This Row],[Cant.2]]="",Prueba[[#This Row],[Puesto2]]=""),"?",Prueba[[#This Row],[Puesto2]]))</f>
        <v>2</v>
      </c>
      <c r="I60" s="31">
        <v>1</v>
      </c>
      <c r="J60" s="32">
        <v>2</v>
      </c>
      <c r="K60" s="14"/>
      <c r="L60" s="14"/>
      <c r="M60" s="31"/>
      <c r="N60" s="32" t="str">
        <f>IF(Prueba[[#This Row],[Cant.4]]=0,"",IF(OR(Prueba[[#This Row],[Cant.6]]="",Prueba[[#This Row],[Puesto6]]=""),"?",Prueba[[#This Row],[Puesto6]]))</f>
        <v/>
      </c>
      <c r="O60" s="31"/>
      <c r="P60" s="32" t="str">
        <f>IF(Prueba[[#This Row],[Cant.5]]=0,"",IF(OR(Prueba[[#This Row],[Cant.6]]="",Prueba[[#This Row],[Puesto6]]=""),"?",Prueba[[#This Row],[Puesto6]]))</f>
        <v/>
      </c>
      <c r="Q60" s="31"/>
      <c r="R60" s="32"/>
      <c r="S60" s="14"/>
      <c r="T60" s="14"/>
      <c r="U60" s="31"/>
      <c r="V60" s="32" t="s">
        <v>1663</v>
      </c>
      <c r="W60" s="19"/>
      <c r="X60" s="19" t="s">
        <v>1667</v>
      </c>
      <c r="Y60" s="19" t="s">
        <v>1663</v>
      </c>
      <c r="Z60" s="19" t="s">
        <v>1663</v>
      </c>
      <c r="AA60" s="19" t="s">
        <v>1663</v>
      </c>
      <c r="AB60" s="19" t="s">
        <v>1663</v>
      </c>
    </row>
    <row r="61" spans="1:28" s="18" customFormat="1">
      <c r="A61" s="18" t="s">
        <v>115</v>
      </c>
      <c r="B61" s="18" t="s">
        <v>9</v>
      </c>
      <c r="C61" s="18" t="s">
        <v>116</v>
      </c>
      <c r="D61" s="18" t="s">
        <v>117</v>
      </c>
      <c r="E61" s="19" t="s">
        <v>12</v>
      </c>
      <c r="F61" s="18" t="s">
        <v>13</v>
      </c>
      <c r="G61" s="29">
        <v>1</v>
      </c>
      <c r="H61" s="32" t="str">
        <f>IF(Prueba[[#This Row],[Cant.]]=0,"",IF(OR(Prueba[[#This Row],[Cant.2]]="",Prueba[[#This Row],[Puesto2]]=""),"?",Prueba[[#This Row],[Puesto2]]))</f>
        <v>D</v>
      </c>
      <c r="I61" s="31">
        <v>1</v>
      </c>
      <c r="J61" s="32" t="s">
        <v>1399</v>
      </c>
      <c r="K61" s="14"/>
      <c r="L61" s="14"/>
      <c r="M61" s="31"/>
      <c r="N61" s="32" t="str">
        <f>IF(Prueba[[#This Row],[Cant.4]]=0,"",IF(OR(Prueba[[#This Row],[Cant.6]]="",Prueba[[#This Row],[Puesto6]]=""),"?",Prueba[[#This Row],[Puesto6]]))</f>
        <v/>
      </c>
      <c r="O61" s="31"/>
      <c r="P61" s="32" t="str">
        <f>IF(Prueba[[#This Row],[Cant.5]]=0,"",IF(OR(Prueba[[#This Row],[Cant.6]]="",Prueba[[#This Row],[Puesto6]]=""),"?",Prueba[[#This Row],[Puesto6]]))</f>
        <v/>
      </c>
      <c r="Q61" s="31"/>
      <c r="R61" s="32"/>
      <c r="S61" s="14"/>
      <c r="T61" s="14"/>
      <c r="U61" s="31"/>
      <c r="V61" s="32" t="s">
        <v>1663</v>
      </c>
      <c r="W61" s="19"/>
      <c r="X61" s="19" t="s">
        <v>1667</v>
      </c>
      <c r="Y61" s="19">
        <v>1</v>
      </c>
      <c r="Z61" s="19" t="s">
        <v>1399</v>
      </c>
      <c r="AA61" s="19">
        <v>1</v>
      </c>
      <c r="AB61" s="19" t="s">
        <v>1399</v>
      </c>
    </row>
    <row r="62" spans="1:28" s="18" customFormat="1">
      <c r="A62" s="18" t="s">
        <v>118</v>
      </c>
      <c r="B62" s="18" t="s">
        <v>9</v>
      </c>
      <c r="C62" s="18" t="s">
        <v>84</v>
      </c>
      <c r="D62" s="18" t="s">
        <v>119</v>
      </c>
      <c r="E62" s="19" t="s">
        <v>39</v>
      </c>
      <c r="F62" s="18" t="s">
        <v>13</v>
      </c>
      <c r="G62" s="29">
        <v>2</v>
      </c>
      <c r="H62" s="32">
        <f>IF(Prueba[[#This Row],[Cant.]]=0,"",IF(OR(Prueba[[#This Row],[Cant.2]]="",Prueba[[#This Row],[Puesto2]]=""),"?",Prueba[[#This Row],[Puesto2]]))</f>
        <v>0</v>
      </c>
      <c r="I62" s="31">
        <v>2</v>
      </c>
      <c r="J62" s="32">
        <v>0</v>
      </c>
      <c r="K62" s="14"/>
      <c r="L62" s="14"/>
      <c r="M62" s="31"/>
      <c r="N62" s="32" t="str">
        <f>IF(Prueba[[#This Row],[Cant.4]]=0,"",IF(OR(Prueba[[#This Row],[Cant.6]]="",Prueba[[#This Row],[Puesto6]]=""),"?",Prueba[[#This Row],[Puesto6]]))</f>
        <v/>
      </c>
      <c r="O62" s="31"/>
      <c r="P62" s="32" t="str">
        <f>IF(Prueba[[#This Row],[Cant.5]]=0,"",IF(OR(Prueba[[#This Row],[Cant.6]]="",Prueba[[#This Row],[Puesto6]]=""),"?",Prueba[[#This Row],[Puesto6]]))</f>
        <v/>
      </c>
      <c r="Q62" s="31"/>
      <c r="R62" s="32"/>
      <c r="S62" s="14"/>
      <c r="T62" s="14"/>
      <c r="U62" s="31"/>
      <c r="V62" s="32" t="s">
        <v>1663</v>
      </c>
      <c r="W62" s="19"/>
      <c r="X62" s="19" t="s">
        <v>1667</v>
      </c>
      <c r="Y62" s="19">
        <v>2</v>
      </c>
      <c r="Z62" s="19">
        <v>0</v>
      </c>
      <c r="AA62" s="19">
        <v>2</v>
      </c>
      <c r="AB62" s="19">
        <v>0</v>
      </c>
    </row>
    <row r="63" spans="1:28" s="18" customFormat="1">
      <c r="A63" s="18" t="s">
        <v>1690</v>
      </c>
      <c r="C63" s="18" t="s">
        <v>1691</v>
      </c>
      <c r="D63" s="18" t="s">
        <v>1691</v>
      </c>
      <c r="E63" s="19" t="s">
        <v>18</v>
      </c>
      <c r="G63" s="29"/>
      <c r="H63" s="32" t="str">
        <f>IF(Prueba[[#This Row],[Cant.]]=0,"",IF(OR(Prueba[[#This Row],[Cant.2]]="",Prueba[[#This Row],[Puesto2]]=""),"?",Prueba[[#This Row],[Puesto2]]))</f>
        <v/>
      </c>
      <c r="I63" s="31"/>
      <c r="J63" s="32"/>
      <c r="K63" s="14"/>
      <c r="L63" s="14"/>
      <c r="M63" s="31"/>
      <c r="N63" s="32" t="str">
        <f>IF(Prueba[[#This Row],[Cant.4]]=0,"",IF(OR(Prueba[[#This Row],[Cant.6]]="",Prueba[[#This Row],[Puesto6]]=""),"?",Prueba[[#This Row],[Puesto6]]))</f>
        <v/>
      </c>
      <c r="O63" s="31"/>
      <c r="P63" s="32" t="str">
        <f>IF(Prueba[[#This Row],[Cant.5]]=0,"",IF(OR(Prueba[[#This Row],[Cant.6]]="",Prueba[[#This Row],[Puesto6]]=""),"?",Prueba[[#This Row],[Puesto6]]))</f>
        <v/>
      </c>
      <c r="Q63" s="31"/>
      <c r="R63" s="32"/>
      <c r="S63" s="14"/>
      <c r="T63" s="14"/>
      <c r="U63" s="31"/>
      <c r="V63" s="32" t="s">
        <v>1663</v>
      </c>
      <c r="X63" s="19" t="s">
        <v>1667</v>
      </c>
      <c r="Y63" s="19">
        <v>1</v>
      </c>
      <c r="Z63" s="19">
        <v>2</v>
      </c>
      <c r="AA63" s="19">
        <v>1</v>
      </c>
      <c r="AB63" s="19">
        <v>2</v>
      </c>
    </row>
    <row r="64" spans="1:28" s="18" customFormat="1" ht="23.25" customHeight="1">
      <c r="A64" s="18" t="s">
        <v>120</v>
      </c>
      <c r="B64" s="18" t="s">
        <v>9</v>
      </c>
      <c r="C64" s="18" t="s">
        <v>121</v>
      </c>
      <c r="D64" s="18" t="s">
        <v>122</v>
      </c>
      <c r="E64" s="19" t="s">
        <v>39</v>
      </c>
      <c r="F64" s="18" t="s">
        <v>13</v>
      </c>
      <c r="G64" s="29">
        <v>2</v>
      </c>
      <c r="H64" s="32">
        <f>IF(Prueba[[#This Row],[Cant.]]=0,"",IF(OR(Prueba[[#This Row],[Cant.2]]="",Prueba[[#This Row],[Puesto2]]=""),"?",Prueba[[#This Row],[Puesto2]]))</f>
        <v>6</v>
      </c>
      <c r="I64" s="31">
        <v>2</v>
      </c>
      <c r="J64" s="32">
        <v>6</v>
      </c>
      <c r="K64" s="14"/>
      <c r="L64" s="14"/>
      <c r="M64" s="31"/>
      <c r="N64" s="32" t="str">
        <f>IF(Prueba[[#This Row],[Cant.4]]=0,"",IF(OR(Prueba[[#This Row],[Cant.6]]="",Prueba[[#This Row],[Puesto6]]=""),"?",Prueba[[#This Row],[Puesto6]]))</f>
        <v/>
      </c>
      <c r="O64" s="31"/>
      <c r="P64" s="32" t="str">
        <f>IF(Prueba[[#This Row],[Cant.5]]=0,"",IF(OR(Prueba[[#This Row],[Cant.6]]="",Prueba[[#This Row],[Puesto6]]=""),"?",Prueba[[#This Row],[Puesto6]]))</f>
        <v/>
      </c>
      <c r="Q64" s="31"/>
      <c r="R64" s="32"/>
      <c r="S64" s="14"/>
      <c r="T64" s="14"/>
      <c r="U64" s="31"/>
      <c r="V64" s="32" t="s">
        <v>1663</v>
      </c>
      <c r="W64" s="19"/>
      <c r="X64" s="19" t="s">
        <v>1667</v>
      </c>
      <c r="Y64" s="19">
        <v>2</v>
      </c>
      <c r="Z64" s="19">
        <v>6</v>
      </c>
      <c r="AA64" s="19">
        <v>2</v>
      </c>
      <c r="AB64" s="19">
        <v>6</v>
      </c>
    </row>
    <row r="65" spans="1:28" s="18" customFormat="1">
      <c r="A65" s="18" t="s">
        <v>1692</v>
      </c>
      <c r="C65" s="18" t="s">
        <v>1693</v>
      </c>
      <c r="D65" s="18" t="s">
        <v>1693</v>
      </c>
      <c r="E65" s="19" t="s">
        <v>18</v>
      </c>
      <c r="G65" s="29"/>
      <c r="H65" s="32" t="str">
        <f>IF(Prueba[[#This Row],[Cant.]]=0,"",IF(OR(Prueba[[#This Row],[Cant.2]]="",Prueba[[#This Row],[Puesto2]]=""),"?",Prueba[[#This Row],[Puesto2]]))</f>
        <v/>
      </c>
      <c r="I65" s="31"/>
      <c r="J65" s="32"/>
      <c r="K65" s="14"/>
      <c r="L65" s="14"/>
      <c r="M65" s="31"/>
      <c r="N65" s="32" t="str">
        <f>IF(Prueba[[#This Row],[Cant.4]]=0,"",IF(OR(Prueba[[#This Row],[Cant.6]]="",Prueba[[#This Row],[Puesto6]]=""),"?",Prueba[[#This Row],[Puesto6]]))</f>
        <v/>
      </c>
      <c r="O65" s="31"/>
      <c r="P65" s="32" t="str">
        <f>IF(Prueba[[#This Row],[Cant.5]]=0,"",IF(OR(Prueba[[#This Row],[Cant.6]]="",Prueba[[#This Row],[Puesto6]]=""),"?",Prueba[[#This Row],[Puesto6]]))</f>
        <v/>
      </c>
      <c r="Q65" s="31"/>
      <c r="R65" s="32"/>
      <c r="S65" s="14"/>
      <c r="T65" s="14"/>
      <c r="U65" s="31"/>
      <c r="V65" s="32" t="s">
        <v>1663</v>
      </c>
      <c r="X65" s="19" t="s">
        <v>1667</v>
      </c>
      <c r="Y65" s="19">
        <v>1</v>
      </c>
      <c r="Z65" s="19">
        <v>4</v>
      </c>
      <c r="AA65" s="19">
        <v>1</v>
      </c>
      <c r="AB65" s="19">
        <v>4</v>
      </c>
    </row>
    <row r="66" spans="1:28" s="18" customFormat="1">
      <c r="A66" s="18" t="s">
        <v>123</v>
      </c>
      <c r="B66" s="18" t="s">
        <v>9</v>
      </c>
      <c r="C66" s="18" t="s">
        <v>124</v>
      </c>
      <c r="D66" s="18" t="s">
        <v>125</v>
      </c>
      <c r="E66" s="19" t="s">
        <v>12</v>
      </c>
      <c r="F66" s="18" t="s">
        <v>13</v>
      </c>
      <c r="G66" s="29">
        <v>2</v>
      </c>
      <c r="H66" s="32" t="str">
        <f>IF(Prueba[[#This Row],[Cant.]]=0,"",IF(OR(Prueba[[#This Row],[Cant.2]]="",Prueba[[#This Row],[Puesto2]]=""),"?",Prueba[[#This Row],[Puesto2]]))</f>
        <v>C</v>
      </c>
      <c r="I66" s="31">
        <v>2</v>
      </c>
      <c r="J66" s="32" t="s">
        <v>1402</v>
      </c>
      <c r="K66" s="14"/>
      <c r="L66" s="14"/>
      <c r="M66" s="31"/>
      <c r="N66" s="32" t="str">
        <f>IF(Prueba[[#This Row],[Cant.4]]=0,"",IF(OR(Prueba[[#This Row],[Cant.6]]="",Prueba[[#This Row],[Puesto6]]=""),"?",Prueba[[#This Row],[Puesto6]]))</f>
        <v/>
      </c>
      <c r="O66" s="31"/>
      <c r="P66" s="32" t="str">
        <f>IF(Prueba[[#This Row],[Cant.5]]=0,"",IF(OR(Prueba[[#This Row],[Cant.6]]="",Prueba[[#This Row],[Puesto6]]=""),"?",Prueba[[#This Row],[Puesto6]]))</f>
        <v/>
      </c>
      <c r="Q66" s="31"/>
      <c r="R66" s="32"/>
      <c r="S66" s="14"/>
      <c r="T66" s="14"/>
      <c r="U66" s="31"/>
      <c r="V66" s="32" t="s">
        <v>1663</v>
      </c>
      <c r="W66" s="19"/>
      <c r="X66" s="19" t="s">
        <v>1667</v>
      </c>
      <c r="Y66" s="19">
        <v>2</v>
      </c>
      <c r="Z66" s="19" t="s">
        <v>1402</v>
      </c>
      <c r="AA66" s="19">
        <v>2</v>
      </c>
      <c r="AB66" s="19" t="s">
        <v>1402</v>
      </c>
    </row>
    <row r="67" spans="1:28" s="18" customFormat="1">
      <c r="A67" s="18" t="s">
        <v>126</v>
      </c>
      <c r="B67" s="18" t="s">
        <v>9</v>
      </c>
      <c r="C67" s="18" t="s">
        <v>58</v>
      </c>
      <c r="D67" s="18" t="s">
        <v>59</v>
      </c>
      <c r="E67" s="19" t="s">
        <v>51</v>
      </c>
      <c r="F67" s="18" t="s">
        <v>13</v>
      </c>
      <c r="G67" s="29">
        <v>1</v>
      </c>
      <c r="H67" s="32" t="str">
        <f>IF(Prueba[[#This Row],[Cant.]]=0,"",IF(OR(Prueba[[#This Row],[Cant.2]]="",Prueba[[#This Row],[Puesto2]]=""),"?",Prueba[[#This Row],[Puesto2]]))</f>
        <v>B</v>
      </c>
      <c r="I67" s="31">
        <v>1</v>
      </c>
      <c r="J67" s="32" t="s">
        <v>1447</v>
      </c>
      <c r="K67" s="14"/>
      <c r="L67" s="14"/>
      <c r="M67" s="31"/>
      <c r="N67" s="32" t="str">
        <f>IF(Prueba[[#This Row],[Cant.4]]=0,"",IF(OR(Prueba[[#This Row],[Cant.6]]="",Prueba[[#This Row],[Puesto6]]=""),"?",Prueba[[#This Row],[Puesto6]]))</f>
        <v/>
      </c>
      <c r="O67" s="31"/>
      <c r="P67" s="32" t="str">
        <f>IF(Prueba[[#This Row],[Cant.5]]=0,"",IF(OR(Prueba[[#This Row],[Cant.6]]="",Prueba[[#This Row],[Puesto6]]=""),"?",Prueba[[#This Row],[Puesto6]]))</f>
        <v/>
      </c>
      <c r="Q67" s="31"/>
      <c r="R67" s="32"/>
      <c r="S67" s="14"/>
      <c r="T67" s="14"/>
      <c r="U67" s="31"/>
      <c r="V67" s="32" t="s">
        <v>1663</v>
      </c>
      <c r="W67" s="19"/>
      <c r="X67" s="19" t="s">
        <v>1667</v>
      </c>
      <c r="Y67" s="19" t="s">
        <v>1663</v>
      </c>
      <c r="Z67" s="19" t="s">
        <v>1663</v>
      </c>
      <c r="AA67" s="19" t="s">
        <v>1663</v>
      </c>
      <c r="AB67" s="19" t="s">
        <v>1663</v>
      </c>
    </row>
    <row r="68" spans="1:28" s="18" customFormat="1">
      <c r="A68" s="18" t="s">
        <v>1694</v>
      </c>
      <c r="C68" s="18" t="s">
        <v>58</v>
      </c>
      <c r="D68" s="18" t="s">
        <v>58</v>
      </c>
      <c r="E68" s="19" t="s">
        <v>51</v>
      </c>
      <c r="G68" s="29"/>
      <c r="H68" s="32" t="str">
        <f>IF(Prueba[[#This Row],[Cant.]]=0,"",IF(OR(Prueba[[#This Row],[Cant.2]]="",Prueba[[#This Row],[Puesto2]]=""),"?",Prueba[[#This Row],[Puesto2]]))</f>
        <v/>
      </c>
      <c r="I68" s="31"/>
      <c r="J68" s="32"/>
      <c r="K68" s="14"/>
      <c r="L68" s="14"/>
      <c r="M68" s="31"/>
      <c r="N68" s="32" t="str">
        <f>IF(Prueba[[#This Row],[Cant.4]]=0,"",IF(OR(Prueba[[#This Row],[Cant.6]]="",Prueba[[#This Row],[Puesto6]]=""),"?",Prueba[[#This Row],[Puesto6]]))</f>
        <v/>
      </c>
      <c r="O68" s="31"/>
      <c r="P68" s="32" t="str">
        <f>IF(Prueba[[#This Row],[Cant.5]]=0,"",IF(OR(Prueba[[#This Row],[Cant.6]]="",Prueba[[#This Row],[Puesto6]]=""),"?",Prueba[[#This Row],[Puesto6]]))</f>
        <v/>
      </c>
      <c r="Q68" s="31"/>
      <c r="R68" s="32"/>
      <c r="S68" s="14"/>
      <c r="T68" s="14"/>
      <c r="U68" s="31"/>
      <c r="V68" s="32" t="s">
        <v>1663</v>
      </c>
      <c r="X68" s="19" t="s">
        <v>1667</v>
      </c>
      <c r="Y68" s="19">
        <v>1</v>
      </c>
      <c r="Z68" s="19" t="s">
        <v>1447</v>
      </c>
      <c r="AA68" s="19" t="s">
        <v>1663</v>
      </c>
      <c r="AB68" s="19" t="s">
        <v>1663</v>
      </c>
    </row>
    <row r="69" spans="1:28" s="18" customFormat="1">
      <c r="A69" s="18" t="s">
        <v>1695</v>
      </c>
      <c r="C69" s="18" t="s">
        <v>1696</v>
      </c>
      <c r="D69" s="18" t="s">
        <v>1696</v>
      </c>
      <c r="E69" s="19" t="s">
        <v>51</v>
      </c>
      <c r="G69" s="29"/>
      <c r="H69" s="32" t="str">
        <f>IF(Prueba[[#This Row],[Cant.]]=0,"",IF(OR(Prueba[[#This Row],[Cant.2]]="",Prueba[[#This Row],[Puesto2]]=""),"?",Prueba[[#This Row],[Puesto2]]))</f>
        <v/>
      </c>
      <c r="I69" s="31"/>
      <c r="J69" s="32"/>
      <c r="K69" s="14"/>
      <c r="L69" s="14"/>
      <c r="M69" s="31"/>
      <c r="N69" s="32" t="str">
        <f>IF(Prueba[[#This Row],[Cant.4]]=0,"",IF(OR(Prueba[[#This Row],[Cant.6]]="",Prueba[[#This Row],[Puesto6]]=""),"?",Prueba[[#This Row],[Puesto6]]))</f>
        <v/>
      </c>
      <c r="O69" s="31"/>
      <c r="P69" s="32" t="str">
        <f>IF(Prueba[[#This Row],[Cant.5]]=0,"",IF(OR(Prueba[[#This Row],[Cant.6]]="",Prueba[[#This Row],[Puesto6]]=""),"?",Prueba[[#This Row],[Puesto6]]))</f>
        <v/>
      </c>
      <c r="Q69" s="31"/>
      <c r="R69" s="32"/>
      <c r="S69" s="14"/>
      <c r="T69" s="14"/>
      <c r="U69" s="31"/>
      <c r="V69" s="32" t="s">
        <v>1663</v>
      </c>
      <c r="X69" s="19" t="s">
        <v>1667</v>
      </c>
      <c r="Y69" s="19" t="s">
        <v>1663</v>
      </c>
      <c r="Z69" s="19" t="s">
        <v>1663</v>
      </c>
      <c r="AA69" s="19">
        <v>1</v>
      </c>
      <c r="AB69" s="19" t="s">
        <v>1447</v>
      </c>
    </row>
    <row r="70" spans="1:28" s="18" customFormat="1">
      <c r="A70" s="18" t="s">
        <v>127</v>
      </c>
      <c r="B70" s="18" t="s">
        <v>9</v>
      </c>
      <c r="C70" s="18" t="s">
        <v>128</v>
      </c>
      <c r="D70" s="18" t="s">
        <v>129</v>
      </c>
      <c r="E70" s="19" t="s">
        <v>39</v>
      </c>
      <c r="F70" s="18" t="s">
        <v>13</v>
      </c>
      <c r="G70" s="29">
        <v>2</v>
      </c>
      <c r="H70" s="32">
        <f>IF(Prueba[[#This Row],[Cant.]]=0,"",IF(OR(Prueba[[#This Row],[Cant.2]]="",Prueba[[#This Row],[Puesto2]]=""),"?",Prueba[[#This Row],[Puesto2]]))</f>
        <v>3</v>
      </c>
      <c r="I70" s="31">
        <v>2</v>
      </c>
      <c r="J70" s="32">
        <v>3</v>
      </c>
      <c r="K70" s="14"/>
      <c r="L70" s="14"/>
      <c r="M70" s="31"/>
      <c r="N70" s="32" t="str">
        <f>IF(Prueba[[#This Row],[Cant.4]]=0,"",IF(OR(Prueba[[#This Row],[Cant.6]]="",Prueba[[#This Row],[Puesto6]]=""),"?",Prueba[[#This Row],[Puesto6]]))</f>
        <v/>
      </c>
      <c r="O70" s="31"/>
      <c r="P70" s="32" t="str">
        <f>IF(Prueba[[#This Row],[Cant.5]]=0,"",IF(OR(Prueba[[#This Row],[Cant.6]]="",Prueba[[#This Row],[Puesto6]]=""),"?",Prueba[[#This Row],[Puesto6]]))</f>
        <v/>
      </c>
      <c r="Q70" s="31"/>
      <c r="R70" s="32"/>
      <c r="S70" s="14"/>
      <c r="T70" s="14"/>
      <c r="U70" s="31"/>
      <c r="V70" s="32" t="s">
        <v>1663</v>
      </c>
      <c r="W70" s="19"/>
      <c r="X70" s="19" t="s">
        <v>1667</v>
      </c>
      <c r="Y70" s="19">
        <v>2</v>
      </c>
      <c r="Z70" s="19" t="s">
        <v>1447</v>
      </c>
      <c r="AA70" s="19">
        <v>2</v>
      </c>
      <c r="AB70" s="19" t="s">
        <v>1447</v>
      </c>
    </row>
    <row r="71" spans="1:28" s="18" customFormat="1">
      <c r="A71" s="18" t="s">
        <v>130</v>
      </c>
      <c r="B71" s="18" t="s">
        <v>9</v>
      </c>
      <c r="C71" s="18" t="s">
        <v>131</v>
      </c>
      <c r="D71" s="18" t="s">
        <v>132</v>
      </c>
      <c r="E71" s="19" t="s">
        <v>39</v>
      </c>
      <c r="F71" s="18" t="s">
        <v>13</v>
      </c>
      <c r="G71" s="29"/>
      <c r="H71" s="32" t="str">
        <f>IF(Prueba[[#This Row],[Cant.]]=0,"",IF(OR(Prueba[[#This Row],[Cant.2]]="",Prueba[[#This Row],[Puesto2]]=""),"?",Prueba[[#This Row],[Puesto2]]))</f>
        <v/>
      </c>
      <c r="I71" s="31">
        <v>1</v>
      </c>
      <c r="J71" s="32" t="s">
        <v>1447</v>
      </c>
      <c r="K71" s="14"/>
      <c r="L71" s="14"/>
      <c r="M71" s="31"/>
      <c r="N71" s="32" t="str">
        <f>IF(Prueba[[#This Row],[Cant.4]]=0,"",IF(OR(Prueba[[#This Row],[Cant.6]]="",Prueba[[#This Row],[Puesto6]]=""),"?",Prueba[[#This Row],[Puesto6]]))</f>
        <v/>
      </c>
      <c r="O71" s="31"/>
      <c r="P71" s="32" t="str">
        <f>IF(Prueba[[#This Row],[Cant.5]]=0,"",IF(OR(Prueba[[#This Row],[Cant.6]]="",Prueba[[#This Row],[Puesto6]]=""),"?",Prueba[[#This Row],[Puesto6]]))</f>
        <v/>
      </c>
      <c r="Q71" s="31"/>
      <c r="R71" s="32"/>
      <c r="S71" s="14"/>
      <c r="T71" s="14"/>
      <c r="U71" s="31"/>
      <c r="V71" s="32" t="s">
        <v>1663</v>
      </c>
      <c r="W71" s="19"/>
      <c r="X71" s="19" t="s">
        <v>1667</v>
      </c>
      <c r="Y71" s="19" t="s">
        <v>1663</v>
      </c>
      <c r="Z71" s="19" t="s">
        <v>1663</v>
      </c>
      <c r="AA71" s="19">
        <v>1</v>
      </c>
      <c r="AB71" s="19" t="s">
        <v>1447</v>
      </c>
    </row>
    <row r="72" spans="1:28" s="18" customFormat="1">
      <c r="A72" s="18" t="s">
        <v>1697</v>
      </c>
      <c r="B72" s="18" t="s">
        <v>9</v>
      </c>
      <c r="D72" s="18" t="s">
        <v>1698</v>
      </c>
      <c r="E72" s="19" t="s">
        <v>3</v>
      </c>
      <c r="F72" s="18" t="s">
        <v>13</v>
      </c>
      <c r="G72" s="29">
        <v>1</v>
      </c>
      <c r="H72" s="32" t="s">
        <v>1447</v>
      </c>
      <c r="I72" s="31"/>
      <c r="J72" s="32"/>
      <c r="K72" s="14"/>
      <c r="L72" s="14"/>
      <c r="M72" s="31"/>
      <c r="N72" s="32" t="str">
        <f>IF(Prueba[[#This Row],[Cant.4]]=0,"",IF(OR(Prueba[[#This Row],[Cant.6]]="",Prueba[[#This Row],[Puesto6]]=""),"?",Prueba[[#This Row],[Puesto6]]))</f>
        <v/>
      </c>
      <c r="O72" s="31"/>
      <c r="P72" s="32" t="str">
        <f>IF(Prueba[[#This Row],[Cant.5]]=0,"",IF(OR(Prueba[[#This Row],[Cant.6]]="",Prueba[[#This Row],[Puesto6]]=""),"?",Prueba[[#This Row],[Puesto6]]))</f>
        <v/>
      </c>
      <c r="Q72" s="31"/>
      <c r="R72" s="32"/>
      <c r="S72" s="14"/>
      <c r="T72" s="14"/>
      <c r="U72" s="31"/>
      <c r="V72" s="32" t="s">
        <v>1663</v>
      </c>
      <c r="W72" s="19"/>
      <c r="X72" s="19" t="s">
        <v>1667</v>
      </c>
      <c r="Y72" s="19">
        <v>1</v>
      </c>
      <c r="Z72" s="19" t="s">
        <v>1447</v>
      </c>
      <c r="AA72" s="19">
        <v>1</v>
      </c>
      <c r="AB72" s="19" t="s">
        <v>1447</v>
      </c>
    </row>
    <row r="73" spans="1:28" s="18" customFormat="1">
      <c r="A73" s="18" t="s">
        <v>133</v>
      </c>
      <c r="B73" s="18" t="s">
        <v>9</v>
      </c>
      <c r="C73" s="18" t="s">
        <v>131</v>
      </c>
      <c r="D73" s="18" t="s">
        <v>134</v>
      </c>
      <c r="E73" s="19" t="s">
        <v>39</v>
      </c>
      <c r="F73" s="18" t="s">
        <v>13</v>
      </c>
      <c r="G73" s="29"/>
      <c r="H73" s="32" t="str">
        <f>IF(Prueba[[#This Row],[Cant.]]=0,"",IF(OR(Prueba[[#This Row],[Cant.2]]="",Prueba[[#This Row],[Puesto2]]=""),"?",Prueba[[#This Row],[Puesto2]]))</f>
        <v/>
      </c>
      <c r="I73" s="31">
        <v>1</v>
      </c>
      <c r="J73" s="32" t="s">
        <v>1447</v>
      </c>
      <c r="K73" s="14"/>
      <c r="L73" s="14"/>
      <c r="M73" s="31"/>
      <c r="N73" s="32" t="str">
        <f>IF(Prueba[[#This Row],[Cant.4]]=0,"",IF(OR(Prueba[[#This Row],[Cant.6]]="",Prueba[[#This Row],[Puesto6]]=""),"?",Prueba[[#This Row],[Puesto6]]))</f>
        <v/>
      </c>
      <c r="O73" s="31"/>
      <c r="P73" s="32" t="str">
        <f>IF(Prueba[[#This Row],[Cant.5]]=0,"",IF(OR(Prueba[[#This Row],[Cant.6]]="",Prueba[[#This Row],[Puesto6]]=""),"?",Prueba[[#This Row],[Puesto6]]))</f>
        <v/>
      </c>
      <c r="Q73" s="31"/>
      <c r="R73" s="32"/>
      <c r="S73" s="14"/>
      <c r="T73" s="14"/>
      <c r="U73" s="31"/>
      <c r="V73" s="32" t="s">
        <v>1663</v>
      </c>
      <c r="W73" s="19"/>
      <c r="X73" s="19" t="s">
        <v>1667</v>
      </c>
      <c r="Y73" s="19" t="s">
        <v>1663</v>
      </c>
      <c r="Z73" s="19" t="s">
        <v>1663</v>
      </c>
      <c r="AA73" s="19">
        <v>1</v>
      </c>
      <c r="AB73" s="19" t="s">
        <v>1447</v>
      </c>
    </row>
    <row r="74" spans="1:28" s="18" customFormat="1">
      <c r="A74" s="18" t="s">
        <v>1699</v>
      </c>
      <c r="B74" s="18" t="s">
        <v>9</v>
      </c>
      <c r="D74" s="18" t="s">
        <v>1700</v>
      </c>
      <c r="E74" s="19" t="s">
        <v>3</v>
      </c>
      <c r="F74" s="18" t="s">
        <v>13</v>
      </c>
      <c r="G74" s="29">
        <v>1</v>
      </c>
      <c r="H74" s="32" t="s">
        <v>1447</v>
      </c>
      <c r="I74" s="31"/>
      <c r="J74" s="32"/>
      <c r="K74" s="14"/>
      <c r="L74" s="14"/>
      <c r="M74" s="31"/>
      <c r="N74" s="32" t="str">
        <f>IF(Prueba[[#This Row],[Cant.4]]=0,"",IF(OR(Prueba[[#This Row],[Cant.6]]="",Prueba[[#This Row],[Puesto6]]=""),"?",Prueba[[#This Row],[Puesto6]]))</f>
        <v/>
      </c>
      <c r="O74" s="31"/>
      <c r="P74" s="32" t="str">
        <f>IF(Prueba[[#This Row],[Cant.5]]=0,"",IF(OR(Prueba[[#This Row],[Cant.6]]="",Prueba[[#This Row],[Puesto6]]=""),"?",Prueba[[#This Row],[Puesto6]]))</f>
        <v/>
      </c>
      <c r="Q74" s="31"/>
      <c r="R74" s="32"/>
      <c r="S74" s="14"/>
      <c r="T74" s="14"/>
      <c r="U74" s="31"/>
      <c r="V74" s="32" t="s">
        <v>1663</v>
      </c>
      <c r="W74" s="19"/>
      <c r="X74" s="19" t="s">
        <v>1667</v>
      </c>
      <c r="Y74" s="19">
        <v>1</v>
      </c>
      <c r="Z74" s="19" t="s">
        <v>1447</v>
      </c>
      <c r="AA74" s="19">
        <v>1</v>
      </c>
      <c r="AB74" s="19" t="s">
        <v>1447</v>
      </c>
    </row>
    <row r="75" spans="1:28" s="18" customFormat="1">
      <c r="A75" s="18" t="s">
        <v>135</v>
      </c>
      <c r="B75" s="18" t="s">
        <v>9</v>
      </c>
      <c r="C75" s="18" t="s">
        <v>136</v>
      </c>
      <c r="D75" s="18" t="s">
        <v>137</v>
      </c>
      <c r="E75" s="19" t="s">
        <v>39</v>
      </c>
      <c r="F75" s="18" t="s">
        <v>13</v>
      </c>
      <c r="G75" s="29">
        <v>4</v>
      </c>
      <c r="H75" s="32">
        <f>IF(Prueba[[#This Row],[Cant.]]=0,"",IF(OR(Prueba[[#This Row],[Cant.2]]="",Prueba[[#This Row],[Puesto2]]=""),"?",Prueba[[#This Row],[Puesto2]]))</f>
        <v>3</v>
      </c>
      <c r="I75" s="31">
        <v>4</v>
      </c>
      <c r="J75" s="32">
        <v>3</v>
      </c>
      <c r="K75" s="14"/>
      <c r="L75" s="14"/>
      <c r="M75" s="31"/>
      <c r="N75" s="32" t="str">
        <f>IF(Prueba[[#This Row],[Cant.4]]=0,"",IF(OR(Prueba[[#This Row],[Cant.6]]="",Prueba[[#This Row],[Puesto6]]=""),"?",Prueba[[#This Row],[Puesto6]]))</f>
        <v/>
      </c>
      <c r="O75" s="31"/>
      <c r="P75" s="32" t="str">
        <f>IF(Prueba[[#This Row],[Cant.5]]=0,"",IF(OR(Prueba[[#This Row],[Cant.6]]="",Prueba[[#This Row],[Puesto6]]=""),"?",Prueba[[#This Row],[Puesto6]]))</f>
        <v/>
      </c>
      <c r="Q75" s="31"/>
      <c r="R75" s="32"/>
      <c r="S75" s="14"/>
      <c r="T75" s="14"/>
      <c r="U75" s="31"/>
      <c r="V75" s="32" t="s">
        <v>1663</v>
      </c>
      <c r="W75" s="19"/>
      <c r="X75" s="19" t="s">
        <v>1667</v>
      </c>
      <c r="Y75" s="19">
        <v>4</v>
      </c>
      <c r="Z75" s="19">
        <v>3</v>
      </c>
      <c r="AA75" s="19">
        <v>4</v>
      </c>
      <c r="AB75" s="19">
        <v>3</v>
      </c>
    </row>
    <row r="76" spans="1:28" s="18" customFormat="1">
      <c r="A76" s="18" t="s">
        <v>138</v>
      </c>
      <c r="B76" s="18" t="s">
        <v>9</v>
      </c>
      <c r="C76" s="18" t="s">
        <v>139</v>
      </c>
      <c r="D76" s="18" t="s">
        <v>140</v>
      </c>
      <c r="E76" s="19" t="s">
        <v>39</v>
      </c>
      <c r="F76" s="18" t="s">
        <v>13</v>
      </c>
      <c r="G76" s="29">
        <v>2</v>
      </c>
      <c r="H76" s="32" t="str">
        <f>IF(Prueba[[#This Row],[Cant.]]=0,"",IF(OR(Prueba[[#This Row],[Cant.2]]="",Prueba[[#This Row],[Puesto2]]=""),"?",Prueba[[#This Row],[Puesto2]]))</f>
        <v>B</v>
      </c>
      <c r="I76" s="31">
        <v>2</v>
      </c>
      <c r="J76" s="32" t="s">
        <v>1447</v>
      </c>
      <c r="K76" s="14"/>
      <c r="L76" s="14"/>
      <c r="M76" s="31"/>
      <c r="N76" s="32" t="str">
        <f>IF(Prueba[[#This Row],[Cant.4]]=0,"",IF(OR(Prueba[[#This Row],[Cant.6]]="",Prueba[[#This Row],[Puesto6]]=""),"?",Prueba[[#This Row],[Puesto6]]))</f>
        <v/>
      </c>
      <c r="O76" s="31"/>
      <c r="P76" s="32" t="str">
        <f>IF(Prueba[[#This Row],[Cant.5]]=0,"",IF(OR(Prueba[[#This Row],[Cant.6]]="",Prueba[[#This Row],[Puesto6]]=""),"?",Prueba[[#This Row],[Puesto6]]))</f>
        <v/>
      </c>
      <c r="Q76" s="31"/>
      <c r="R76" s="32"/>
      <c r="S76" s="14"/>
      <c r="T76" s="14"/>
      <c r="U76" s="31"/>
      <c r="V76" s="32" t="s">
        <v>1663</v>
      </c>
      <c r="W76" s="19"/>
      <c r="X76" s="19" t="s">
        <v>1667</v>
      </c>
      <c r="Y76" s="19">
        <v>2</v>
      </c>
      <c r="Z76" s="19" t="s">
        <v>1447</v>
      </c>
      <c r="AA76" s="19">
        <v>2</v>
      </c>
      <c r="AB76" s="19" t="s">
        <v>1447</v>
      </c>
    </row>
    <row r="77" spans="1:28" s="18" customFormat="1">
      <c r="A77" s="18" t="s">
        <v>141</v>
      </c>
      <c r="B77" s="18" t="s">
        <v>9</v>
      </c>
      <c r="C77" s="18" t="s">
        <v>139</v>
      </c>
      <c r="D77" s="18" t="s">
        <v>142</v>
      </c>
      <c r="E77" s="19" t="s">
        <v>39</v>
      </c>
      <c r="F77" s="18" t="s">
        <v>13</v>
      </c>
      <c r="G77" s="29">
        <v>2</v>
      </c>
      <c r="H77" s="32" t="str">
        <f>IF(Prueba[[#This Row],[Cant.]]=0,"",IF(OR(Prueba[[#This Row],[Cant.2]]="",Prueba[[#This Row],[Puesto2]]=""),"?",Prueba[[#This Row],[Puesto2]]))</f>
        <v>B</v>
      </c>
      <c r="I77" s="31">
        <v>2</v>
      </c>
      <c r="J77" s="32" t="s">
        <v>1447</v>
      </c>
      <c r="K77" s="14"/>
      <c r="L77" s="14"/>
      <c r="M77" s="31"/>
      <c r="N77" s="32" t="str">
        <f>IF(Prueba[[#This Row],[Cant.4]]=0,"",IF(OR(Prueba[[#This Row],[Cant.6]]="",Prueba[[#This Row],[Puesto6]]=""),"?",Prueba[[#This Row],[Puesto6]]))</f>
        <v/>
      </c>
      <c r="O77" s="31"/>
      <c r="P77" s="32" t="str">
        <f>IF(Prueba[[#This Row],[Cant.5]]=0,"",IF(OR(Prueba[[#This Row],[Cant.6]]="",Prueba[[#This Row],[Puesto6]]=""),"?",Prueba[[#This Row],[Puesto6]]))</f>
        <v/>
      </c>
      <c r="Q77" s="31"/>
      <c r="R77" s="32"/>
      <c r="S77" s="14"/>
      <c r="T77" s="14"/>
      <c r="U77" s="31"/>
      <c r="V77" s="32" t="s">
        <v>1663</v>
      </c>
      <c r="W77" s="19"/>
      <c r="X77" s="19" t="s">
        <v>1667</v>
      </c>
      <c r="Y77" s="19">
        <v>2</v>
      </c>
      <c r="Z77" s="19" t="s">
        <v>1447</v>
      </c>
      <c r="AA77" s="19">
        <v>2</v>
      </c>
      <c r="AB77" s="19" t="s">
        <v>1447</v>
      </c>
    </row>
    <row r="78" spans="1:28" s="18" customFormat="1">
      <c r="A78" s="18" t="s">
        <v>143</v>
      </c>
      <c r="B78" s="18" t="s">
        <v>9</v>
      </c>
      <c r="C78" s="18" t="s">
        <v>144</v>
      </c>
      <c r="D78" s="18" t="s">
        <v>145</v>
      </c>
      <c r="E78" s="19" t="s">
        <v>39</v>
      </c>
      <c r="F78" s="18" t="s">
        <v>13</v>
      </c>
      <c r="G78" s="29">
        <v>2</v>
      </c>
      <c r="H78" s="32" t="str">
        <f>IF(Prueba[[#This Row],[Cant.]]=0,"",IF(OR(Prueba[[#This Row],[Cant.2]]="",Prueba[[#This Row],[Puesto2]]=""),"?",Prueba[[#This Row],[Puesto2]]))</f>
        <v>B</v>
      </c>
      <c r="I78" s="31">
        <v>2</v>
      </c>
      <c r="J78" s="32" t="s">
        <v>1447</v>
      </c>
      <c r="K78" s="14"/>
      <c r="L78" s="14"/>
      <c r="M78" s="31"/>
      <c r="N78" s="32" t="str">
        <f>IF(Prueba[[#This Row],[Cant.4]]=0,"",IF(OR(Prueba[[#This Row],[Cant.6]]="",Prueba[[#This Row],[Puesto6]]=""),"?",Prueba[[#This Row],[Puesto6]]))</f>
        <v/>
      </c>
      <c r="O78" s="31"/>
      <c r="P78" s="32" t="str">
        <f>IF(Prueba[[#This Row],[Cant.5]]=0,"",IF(OR(Prueba[[#This Row],[Cant.6]]="",Prueba[[#This Row],[Puesto6]]=""),"?",Prueba[[#This Row],[Puesto6]]))</f>
        <v/>
      </c>
      <c r="Q78" s="31"/>
      <c r="R78" s="32"/>
      <c r="S78" s="14"/>
      <c r="T78" s="14"/>
      <c r="U78" s="31"/>
      <c r="V78" s="32" t="s">
        <v>1663</v>
      </c>
      <c r="W78" s="19"/>
      <c r="X78" s="19" t="s">
        <v>1667</v>
      </c>
      <c r="Y78" s="19">
        <v>2</v>
      </c>
      <c r="Z78" s="19" t="s">
        <v>1447</v>
      </c>
      <c r="AA78" s="19">
        <v>2</v>
      </c>
      <c r="AB78" s="19" t="s">
        <v>1447</v>
      </c>
    </row>
    <row r="79" spans="1:28" s="18" customFormat="1">
      <c r="A79" s="18" t="s">
        <v>146</v>
      </c>
      <c r="B79" s="18" t="s">
        <v>9</v>
      </c>
      <c r="C79" s="18" t="s">
        <v>147</v>
      </c>
      <c r="D79" s="18" t="s">
        <v>148</v>
      </c>
      <c r="E79" s="19" t="s">
        <v>39</v>
      </c>
      <c r="F79" s="18" t="s">
        <v>13</v>
      </c>
      <c r="G79" s="29">
        <v>4</v>
      </c>
      <c r="H79" s="32" t="s">
        <v>1421</v>
      </c>
      <c r="I79" s="31">
        <v>4</v>
      </c>
      <c r="J79" s="32" t="s">
        <v>1421</v>
      </c>
      <c r="K79" s="14"/>
      <c r="L79" s="14"/>
      <c r="M79" s="31"/>
      <c r="N79" s="32" t="str">
        <f>IF(Prueba[[#This Row],[Cant.4]]=0,"",IF(OR(Prueba[[#This Row],[Cant.6]]="",Prueba[[#This Row],[Puesto6]]=""),"?",Prueba[[#This Row],[Puesto6]]))</f>
        <v/>
      </c>
      <c r="O79" s="31"/>
      <c r="P79" s="32" t="str">
        <f>IF(Prueba[[#This Row],[Cant.5]]=0,"",IF(OR(Prueba[[#This Row],[Cant.6]]="",Prueba[[#This Row],[Puesto6]]=""),"?",Prueba[[#This Row],[Puesto6]]))</f>
        <v/>
      </c>
      <c r="Q79" s="31"/>
      <c r="R79" s="32"/>
      <c r="S79" s="14"/>
      <c r="T79" s="14"/>
      <c r="U79" s="31"/>
      <c r="V79" s="32" t="s">
        <v>1663</v>
      </c>
      <c r="W79" s="19"/>
      <c r="X79" s="19" t="s">
        <v>1667</v>
      </c>
      <c r="Y79" s="19">
        <v>4</v>
      </c>
      <c r="Z79" s="19" t="s">
        <v>1701</v>
      </c>
      <c r="AA79" s="19">
        <v>4</v>
      </c>
      <c r="AB79" s="19" t="s">
        <v>1701</v>
      </c>
    </row>
    <row r="80" spans="1:28" s="18" customFormat="1">
      <c r="A80" s="18" t="s">
        <v>149</v>
      </c>
      <c r="B80" s="18" t="s">
        <v>9</v>
      </c>
      <c r="C80" s="18" t="s">
        <v>150</v>
      </c>
      <c r="D80" s="18" t="s">
        <v>151</v>
      </c>
      <c r="E80" s="19" t="s">
        <v>39</v>
      </c>
      <c r="F80" s="18" t="s">
        <v>13</v>
      </c>
      <c r="G80" s="29">
        <v>1</v>
      </c>
      <c r="H80" s="32">
        <f>IF(Prueba[[#This Row],[Cant.]]=0,"",IF(OR(Prueba[[#This Row],[Cant.2]]="",Prueba[[#This Row],[Puesto2]]=""),"?",Prueba[[#This Row],[Puesto2]]))</f>
        <v>3</v>
      </c>
      <c r="I80" s="31">
        <v>1</v>
      </c>
      <c r="J80" s="32">
        <v>3</v>
      </c>
      <c r="K80" s="14"/>
      <c r="L80" s="14"/>
      <c r="M80" s="31"/>
      <c r="N80" s="32" t="str">
        <f>IF(Prueba[[#This Row],[Cant.4]]=0,"",IF(OR(Prueba[[#This Row],[Cant.6]]="",Prueba[[#This Row],[Puesto6]]=""),"?",Prueba[[#This Row],[Puesto6]]))</f>
        <v/>
      </c>
      <c r="O80" s="31"/>
      <c r="P80" s="32" t="str">
        <f>IF(Prueba[[#This Row],[Cant.5]]=0,"",IF(OR(Prueba[[#This Row],[Cant.6]]="",Prueba[[#This Row],[Puesto6]]=""),"?",Prueba[[#This Row],[Puesto6]]))</f>
        <v/>
      </c>
      <c r="Q80" s="31"/>
      <c r="R80" s="32"/>
      <c r="S80" s="14"/>
      <c r="T80" s="14"/>
      <c r="U80" s="31"/>
      <c r="V80" s="32" t="s">
        <v>1663</v>
      </c>
      <c r="W80" s="19"/>
      <c r="X80" s="19" t="s">
        <v>1667</v>
      </c>
      <c r="Y80" s="19">
        <v>1</v>
      </c>
      <c r="Z80" s="19" t="s">
        <v>1447</v>
      </c>
      <c r="AA80" s="19">
        <v>1</v>
      </c>
      <c r="AB80" s="19" t="s">
        <v>1447</v>
      </c>
    </row>
    <row r="81" spans="1:28" s="18" customFormat="1">
      <c r="A81" s="18" t="s">
        <v>152</v>
      </c>
      <c r="B81" s="18" t="s">
        <v>9</v>
      </c>
      <c r="C81" s="18" t="s">
        <v>153</v>
      </c>
      <c r="D81" s="18" t="s">
        <v>154</v>
      </c>
      <c r="E81" s="19" t="s">
        <v>39</v>
      </c>
      <c r="F81" s="18" t="s">
        <v>13</v>
      </c>
      <c r="G81" s="29">
        <v>4</v>
      </c>
      <c r="H81" s="32">
        <f>IF(Prueba[[#This Row],[Cant.]]=0,"",IF(OR(Prueba[[#This Row],[Cant.2]]="",Prueba[[#This Row],[Puesto2]]=""),"?",Prueba[[#This Row],[Puesto2]]))</f>
        <v>3</v>
      </c>
      <c r="I81" s="31">
        <v>4</v>
      </c>
      <c r="J81" s="32">
        <v>3</v>
      </c>
      <c r="K81" s="14"/>
      <c r="L81" s="14"/>
      <c r="M81" s="31"/>
      <c r="N81" s="32" t="str">
        <f>IF(Prueba[[#This Row],[Cant.4]]=0,"",IF(OR(Prueba[[#This Row],[Cant.6]]="",Prueba[[#This Row],[Puesto6]]=""),"?",Prueba[[#This Row],[Puesto6]]))</f>
        <v/>
      </c>
      <c r="O81" s="31"/>
      <c r="P81" s="32" t="str">
        <f>IF(Prueba[[#This Row],[Cant.5]]=0,"",IF(OR(Prueba[[#This Row],[Cant.6]]="",Prueba[[#This Row],[Puesto6]]=""),"?",Prueba[[#This Row],[Puesto6]]))</f>
        <v/>
      </c>
      <c r="Q81" s="31"/>
      <c r="R81" s="32"/>
      <c r="S81" s="14"/>
      <c r="T81" s="14"/>
      <c r="U81" s="31"/>
      <c r="V81" s="32" t="s">
        <v>1663</v>
      </c>
      <c r="W81" s="19"/>
      <c r="X81" s="19" t="s">
        <v>1667</v>
      </c>
      <c r="Y81" s="19">
        <v>4</v>
      </c>
      <c r="Z81" s="19" t="s">
        <v>1701</v>
      </c>
      <c r="AA81" s="19">
        <v>4</v>
      </c>
      <c r="AB81" s="19" t="s">
        <v>1701</v>
      </c>
    </row>
    <row r="82" spans="1:28" s="18" customFormat="1">
      <c r="A82" s="18" t="s">
        <v>155</v>
      </c>
      <c r="B82" s="18" t="s">
        <v>9</v>
      </c>
      <c r="C82" s="18" t="s">
        <v>156</v>
      </c>
      <c r="D82" s="18" t="s">
        <v>157</v>
      </c>
      <c r="E82" s="19" t="s">
        <v>39</v>
      </c>
      <c r="F82" s="18" t="s">
        <v>13</v>
      </c>
      <c r="G82" s="29">
        <v>2</v>
      </c>
      <c r="H82" s="32" t="str">
        <f>IF(Prueba[[#This Row],[Cant.]]=0,"",IF(OR(Prueba[[#This Row],[Cant.2]]="",Prueba[[#This Row],[Puesto2]]=""),"?",Prueba[[#This Row],[Puesto2]]))</f>
        <v>B</v>
      </c>
      <c r="I82" s="31">
        <v>2</v>
      </c>
      <c r="J82" s="32" t="s">
        <v>1447</v>
      </c>
      <c r="K82" s="14"/>
      <c r="L82" s="14"/>
      <c r="M82" s="31"/>
      <c r="N82" s="32" t="str">
        <f>IF(Prueba[[#This Row],[Cant.4]]=0,"",IF(OR(Prueba[[#This Row],[Cant.6]]="",Prueba[[#This Row],[Puesto6]]=""),"?",Prueba[[#This Row],[Puesto6]]))</f>
        <v/>
      </c>
      <c r="O82" s="31"/>
      <c r="P82" s="32" t="str">
        <f>IF(Prueba[[#This Row],[Cant.5]]=0,"",IF(OR(Prueba[[#This Row],[Cant.6]]="",Prueba[[#This Row],[Puesto6]]=""),"?",Prueba[[#This Row],[Puesto6]]))</f>
        <v/>
      </c>
      <c r="Q82" s="31"/>
      <c r="R82" s="32"/>
      <c r="S82" s="14"/>
      <c r="T82" s="14"/>
      <c r="U82" s="31"/>
      <c r="V82" s="32" t="s">
        <v>1663</v>
      </c>
      <c r="W82" s="19"/>
      <c r="X82" s="19" t="s">
        <v>1667</v>
      </c>
      <c r="Y82" s="19">
        <v>2</v>
      </c>
      <c r="Z82" s="19" t="s">
        <v>1447</v>
      </c>
      <c r="AA82" s="19">
        <v>2</v>
      </c>
      <c r="AB82" s="19" t="s">
        <v>1447</v>
      </c>
    </row>
    <row r="83" spans="1:28" s="18" customFormat="1">
      <c r="A83" s="18" t="s">
        <v>158</v>
      </c>
      <c r="B83" s="18" t="s">
        <v>9</v>
      </c>
      <c r="C83" s="18" t="s">
        <v>84</v>
      </c>
      <c r="D83" s="18" t="s">
        <v>159</v>
      </c>
      <c r="E83" s="19" t="s">
        <v>39</v>
      </c>
      <c r="F83" s="18" t="s">
        <v>13</v>
      </c>
      <c r="G83" s="29">
        <v>2</v>
      </c>
      <c r="H83" s="32">
        <f>IF(Prueba[[#This Row],[Cant.]]=0,"",IF(OR(Prueba[[#This Row],[Cant.2]]="",Prueba[[#This Row],[Puesto2]]=""),"?",Prueba[[#This Row],[Puesto2]]))</f>
        <v>0</v>
      </c>
      <c r="I83" s="31">
        <v>2</v>
      </c>
      <c r="J83" s="32">
        <v>0</v>
      </c>
      <c r="K83" s="14"/>
      <c r="L83" s="14"/>
      <c r="M83" s="31"/>
      <c r="N83" s="32" t="str">
        <f>IF(Prueba[[#This Row],[Cant.4]]=0,"",IF(OR(Prueba[[#This Row],[Cant.6]]="",Prueba[[#This Row],[Puesto6]]=""),"?",Prueba[[#This Row],[Puesto6]]))</f>
        <v/>
      </c>
      <c r="O83" s="31"/>
      <c r="P83" s="32" t="str">
        <f>IF(Prueba[[#This Row],[Cant.5]]=0,"",IF(OR(Prueba[[#This Row],[Cant.6]]="",Prueba[[#This Row],[Puesto6]]=""),"?",Prueba[[#This Row],[Puesto6]]))</f>
        <v/>
      </c>
      <c r="Q83" s="31"/>
      <c r="R83" s="32"/>
      <c r="S83" s="14"/>
      <c r="T83" s="14"/>
      <c r="U83" s="31"/>
      <c r="V83" s="32" t="s">
        <v>1663</v>
      </c>
      <c r="W83" s="19"/>
      <c r="X83" s="19" t="s">
        <v>1667</v>
      </c>
      <c r="Y83" s="19">
        <v>2</v>
      </c>
      <c r="Z83" s="19">
        <v>0</v>
      </c>
      <c r="AA83" s="19">
        <v>2</v>
      </c>
      <c r="AB83" s="19">
        <v>0</v>
      </c>
    </row>
    <row r="84" spans="1:28" s="18" customFormat="1">
      <c r="A84" s="18" t="s">
        <v>160</v>
      </c>
      <c r="B84" s="18" t="s">
        <v>9</v>
      </c>
      <c r="C84" s="18" t="s">
        <v>161</v>
      </c>
      <c r="D84" s="18" t="s">
        <v>162</v>
      </c>
      <c r="E84" s="19" t="s">
        <v>39</v>
      </c>
      <c r="F84" s="18" t="s">
        <v>13</v>
      </c>
      <c r="G84" s="29"/>
      <c r="H84" s="32" t="str">
        <f>IF(Prueba[[#This Row],[Cant.]]=0,"",IF(OR(Prueba[[#This Row],[Cant.2]]="",Prueba[[#This Row],[Puesto2]]=""),"?",Prueba[[#This Row],[Puesto2]]))</f>
        <v/>
      </c>
      <c r="I84" s="31">
        <v>2</v>
      </c>
      <c r="J84" s="32">
        <v>3</v>
      </c>
      <c r="K84" s="14"/>
      <c r="L84" s="14"/>
      <c r="M84" s="31"/>
      <c r="N84" s="32" t="str">
        <f>IF(Prueba[[#This Row],[Cant.4]]=0,"",IF(OR(Prueba[[#This Row],[Cant.6]]="",Prueba[[#This Row],[Puesto6]]=""),"?",Prueba[[#This Row],[Puesto6]]))</f>
        <v/>
      </c>
      <c r="O84" s="31"/>
      <c r="P84" s="32" t="str">
        <f>IF(Prueba[[#This Row],[Cant.5]]=0,"",IF(OR(Prueba[[#This Row],[Cant.6]]="",Prueba[[#This Row],[Puesto6]]=""),"?",Prueba[[#This Row],[Puesto6]]))</f>
        <v/>
      </c>
      <c r="Q84" s="31"/>
      <c r="R84" s="32"/>
      <c r="S84" s="14"/>
      <c r="T84" s="14"/>
      <c r="U84" s="31"/>
      <c r="V84" s="32" t="s">
        <v>1663</v>
      </c>
      <c r="W84" s="19"/>
      <c r="X84" s="19" t="s">
        <v>1667</v>
      </c>
      <c r="Y84" s="19" t="s">
        <v>1663</v>
      </c>
      <c r="Z84" s="19" t="s">
        <v>1663</v>
      </c>
      <c r="AA84" s="19">
        <v>2</v>
      </c>
      <c r="AB84" s="19">
        <v>3</v>
      </c>
    </row>
    <row r="85" spans="1:28" s="18" customFormat="1">
      <c r="A85" s="18" t="s">
        <v>1702</v>
      </c>
      <c r="B85" s="18" t="s">
        <v>9</v>
      </c>
      <c r="D85" s="18" t="s">
        <v>162</v>
      </c>
      <c r="E85" s="19" t="s">
        <v>3</v>
      </c>
      <c r="F85" s="18" t="s">
        <v>13</v>
      </c>
      <c r="G85" s="29">
        <v>2</v>
      </c>
      <c r="H85" s="32">
        <v>3</v>
      </c>
      <c r="I85" s="31"/>
      <c r="J85" s="32"/>
      <c r="K85" s="14"/>
      <c r="L85" s="14"/>
      <c r="M85" s="31"/>
      <c r="N85" s="32" t="str">
        <f>IF(Prueba[[#This Row],[Cant.4]]=0,"",IF(OR(Prueba[[#This Row],[Cant.6]]="",Prueba[[#This Row],[Puesto6]]=""),"?",Prueba[[#This Row],[Puesto6]]))</f>
        <v/>
      </c>
      <c r="O85" s="31"/>
      <c r="P85" s="32" t="str">
        <f>IF(Prueba[[#This Row],[Cant.5]]=0,"",IF(OR(Prueba[[#This Row],[Cant.6]]="",Prueba[[#This Row],[Puesto6]]=""),"?",Prueba[[#This Row],[Puesto6]]))</f>
        <v/>
      </c>
      <c r="Q85" s="31"/>
      <c r="R85" s="32"/>
      <c r="S85" s="14"/>
      <c r="T85" s="14"/>
      <c r="U85" s="31"/>
      <c r="V85" s="32" t="s">
        <v>1663</v>
      </c>
      <c r="W85" s="19"/>
      <c r="X85" s="19" t="s">
        <v>1667</v>
      </c>
      <c r="Y85" s="19">
        <v>2</v>
      </c>
      <c r="Z85" s="19">
        <v>3</v>
      </c>
      <c r="AA85" s="19" t="s">
        <v>1663</v>
      </c>
      <c r="AB85" s="19" t="s">
        <v>1663</v>
      </c>
    </row>
    <row r="86" spans="1:28" s="18" customFormat="1">
      <c r="A86" s="18" t="s">
        <v>163</v>
      </c>
      <c r="B86" s="18" t="s">
        <v>9</v>
      </c>
      <c r="C86" s="18" t="s">
        <v>164</v>
      </c>
      <c r="D86" s="18" t="s">
        <v>165</v>
      </c>
      <c r="E86" s="19" t="s">
        <v>18</v>
      </c>
      <c r="F86" s="18" t="s">
        <v>13</v>
      </c>
      <c r="G86" s="29"/>
      <c r="H86" s="32" t="str">
        <f>IF(Prueba[[#This Row],[Cant.]]=0,"",IF(OR(Prueba[[#This Row],[Cant.2]]="",Prueba[[#This Row],[Puesto2]]=""),"?",Prueba[[#This Row],[Puesto2]]))</f>
        <v/>
      </c>
      <c r="I86" s="31"/>
      <c r="J86" s="32"/>
      <c r="K86" s="14"/>
      <c r="L86" s="14"/>
      <c r="M86" s="31"/>
      <c r="N86" s="32" t="str">
        <f>IF(Prueba[[#This Row],[Cant.4]]=0,"",IF(OR(Prueba[[#This Row],[Cant.6]]="",Prueba[[#This Row],[Puesto6]]=""),"?",Prueba[[#This Row],[Puesto6]]))</f>
        <v/>
      </c>
      <c r="O86" s="31"/>
      <c r="P86" s="32" t="str">
        <f>IF(Prueba[[#This Row],[Cant.5]]=0,"",IF(OR(Prueba[[#This Row],[Cant.6]]="",Prueba[[#This Row],[Puesto6]]=""),"?",Prueba[[#This Row],[Puesto6]]))</f>
        <v/>
      </c>
      <c r="Q86" s="31"/>
      <c r="R86" s="32"/>
      <c r="S86" s="14"/>
      <c r="T86" s="14"/>
      <c r="U86" s="31"/>
      <c r="V86" s="32" t="s">
        <v>1663</v>
      </c>
      <c r="W86" s="19"/>
      <c r="X86" s="19" t="s">
        <v>1667</v>
      </c>
      <c r="Y86" s="19" t="s">
        <v>1663</v>
      </c>
      <c r="Z86" s="19" t="s">
        <v>1663</v>
      </c>
      <c r="AA86" s="19" t="s">
        <v>1663</v>
      </c>
      <c r="AB86" s="19" t="s">
        <v>1663</v>
      </c>
    </row>
    <row r="87" spans="1:28" s="18" customFormat="1">
      <c r="A87" s="18" t="s">
        <v>166</v>
      </c>
      <c r="B87" s="18" t="s">
        <v>9</v>
      </c>
      <c r="C87" s="18" t="s">
        <v>164</v>
      </c>
      <c r="D87" s="18" t="s">
        <v>165</v>
      </c>
      <c r="E87" s="19" t="s">
        <v>18</v>
      </c>
      <c r="F87" s="18" t="s">
        <v>13</v>
      </c>
      <c r="G87" s="29">
        <v>1</v>
      </c>
      <c r="H87" s="32">
        <f>IF(Prueba[[#This Row],[Cant.]]=0,"",IF(OR(Prueba[[#This Row],[Cant.2]]="",Prueba[[#This Row],[Puesto2]]=""),"?",Prueba[[#This Row],[Puesto2]]))</f>
        <v>6</v>
      </c>
      <c r="I87" s="31">
        <v>1</v>
      </c>
      <c r="J87" s="32">
        <v>6</v>
      </c>
      <c r="K87" s="14"/>
      <c r="L87" s="14"/>
      <c r="M87" s="31"/>
      <c r="N87" s="32" t="str">
        <f>IF(Prueba[[#This Row],[Cant.4]]=0,"",IF(OR(Prueba[[#This Row],[Cant.6]]="",Prueba[[#This Row],[Puesto6]]=""),"?",Prueba[[#This Row],[Puesto6]]))</f>
        <v/>
      </c>
      <c r="O87" s="31"/>
      <c r="P87" s="32" t="str">
        <f>IF(Prueba[[#This Row],[Cant.5]]=0,"",IF(OR(Prueba[[#This Row],[Cant.6]]="",Prueba[[#This Row],[Puesto6]]=""),"?",Prueba[[#This Row],[Puesto6]]))</f>
        <v/>
      </c>
      <c r="Q87" s="31"/>
      <c r="R87" s="32"/>
      <c r="S87" s="14"/>
      <c r="T87" s="14"/>
      <c r="U87" s="31"/>
      <c r="V87" s="32" t="s">
        <v>1663</v>
      </c>
      <c r="W87" s="19"/>
      <c r="X87" s="19" t="s">
        <v>1667</v>
      </c>
      <c r="Y87" s="19">
        <v>1</v>
      </c>
      <c r="Z87" s="19">
        <v>6</v>
      </c>
      <c r="AA87" s="19">
        <v>1</v>
      </c>
      <c r="AB87" s="19">
        <v>6</v>
      </c>
    </row>
    <row r="88" spans="1:28" s="18" customFormat="1">
      <c r="A88" s="18" t="s">
        <v>1703</v>
      </c>
      <c r="B88" s="18" t="s">
        <v>9</v>
      </c>
      <c r="C88" s="18" t="s">
        <v>10</v>
      </c>
      <c r="D88" s="18" t="s">
        <v>10</v>
      </c>
      <c r="E88" s="19" t="s">
        <v>1704</v>
      </c>
      <c r="F88" s="18" t="s">
        <v>13</v>
      </c>
      <c r="G88" s="29">
        <v>1</v>
      </c>
      <c r="H88" s="32">
        <f>IF(Prueba[[#This Row],[Cant.]]=0,"",IF(OR(Prueba[[#This Row],[Cant.2]]="",Prueba[[#This Row],[Puesto2]]=""),"?",Prueba[[#This Row],[Puesto2]]))</f>
        <v>5</v>
      </c>
      <c r="I88" s="31">
        <v>1</v>
      </c>
      <c r="J88" s="32">
        <v>5</v>
      </c>
      <c r="K88" s="14"/>
      <c r="L88" s="14"/>
      <c r="M88" s="31"/>
      <c r="N88" s="32" t="str">
        <f>IF(Prueba[[#This Row],[Cant.4]]=0,"",IF(OR(Prueba[[#This Row],[Cant.6]]="",Prueba[[#This Row],[Puesto6]]=""),"?",Prueba[[#This Row],[Puesto6]]))</f>
        <v/>
      </c>
      <c r="O88" s="31"/>
      <c r="P88" s="32" t="str">
        <f>IF(Prueba[[#This Row],[Cant.5]]=0,"",IF(OR(Prueba[[#This Row],[Cant.6]]="",Prueba[[#This Row],[Puesto6]]=""),"?",Prueba[[#This Row],[Puesto6]]))</f>
        <v/>
      </c>
      <c r="Q88" s="31"/>
      <c r="R88" s="32"/>
      <c r="S88" s="14"/>
      <c r="T88" s="14"/>
      <c r="U88" s="31"/>
      <c r="V88" s="32"/>
      <c r="X88" s="18" t="s">
        <v>1667</v>
      </c>
      <c r="Y88" s="19">
        <v>1</v>
      </c>
      <c r="Z88" s="19">
        <v>5</v>
      </c>
      <c r="AA88" s="19">
        <v>1</v>
      </c>
      <c r="AB88" s="19">
        <v>5</v>
      </c>
    </row>
    <row r="89" spans="1:28" s="18" customFormat="1">
      <c r="A89" s="63" t="s">
        <v>167</v>
      </c>
      <c r="B89" s="18" t="s">
        <v>9</v>
      </c>
      <c r="C89" s="18" t="s">
        <v>168</v>
      </c>
      <c r="D89" s="18" t="s">
        <v>169</v>
      </c>
      <c r="E89" s="19" t="s">
        <v>22</v>
      </c>
      <c r="F89" s="18" t="s">
        <v>13</v>
      </c>
      <c r="G89" s="29">
        <v>1</v>
      </c>
      <c r="H89" s="32">
        <f>IF(Prueba[[#This Row],[Cant.]]=0,"",IF(OR(Prueba[[#This Row],[Cant.2]]="",Prueba[[#This Row],[Puesto2]]=""),"?",Prueba[[#This Row],[Puesto2]]))</f>
        <v>1</v>
      </c>
      <c r="I89" s="31">
        <v>1</v>
      </c>
      <c r="J89" s="32">
        <v>1</v>
      </c>
      <c r="K89" s="14"/>
      <c r="L89" s="14"/>
      <c r="M89" s="31"/>
      <c r="N89" s="32" t="str">
        <f>IF(Prueba[[#This Row],[Cant.4]]=0,"",IF(OR(Prueba[[#This Row],[Cant.6]]="",Prueba[[#This Row],[Puesto6]]=""),"?",Prueba[[#This Row],[Puesto6]]))</f>
        <v/>
      </c>
      <c r="O89" s="31"/>
      <c r="P89" s="32" t="str">
        <f>IF(Prueba[[#This Row],[Cant.5]]=0,"",IF(OR(Prueba[[#This Row],[Cant.6]]="",Prueba[[#This Row],[Puesto6]]=""),"?",Prueba[[#This Row],[Puesto6]]))</f>
        <v/>
      </c>
      <c r="Q89" s="31"/>
      <c r="R89" s="32"/>
      <c r="S89" s="14"/>
      <c r="T89" s="14"/>
      <c r="U89" s="31"/>
      <c r="V89" s="32" t="s">
        <v>1663</v>
      </c>
      <c r="W89" s="19">
        <v>8</v>
      </c>
      <c r="X89" s="19" t="s">
        <v>1664</v>
      </c>
      <c r="Y89" s="19">
        <v>2</v>
      </c>
      <c r="Z89" s="19">
        <v>1</v>
      </c>
      <c r="AA89" s="19">
        <v>2</v>
      </c>
      <c r="AB89" s="19">
        <v>1</v>
      </c>
    </row>
    <row r="90" spans="1:28" s="18" customFormat="1">
      <c r="A90" s="18" t="s">
        <v>1705</v>
      </c>
      <c r="B90" s="18" t="s">
        <v>9</v>
      </c>
      <c r="C90" s="18" t="s">
        <v>171</v>
      </c>
      <c r="D90" s="18" t="s">
        <v>172</v>
      </c>
      <c r="E90" s="19" t="s">
        <v>12</v>
      </c>
      <c r="F90" s="18" t="s">
        <v>13</v>
      </c>
      <c r="G90" s="29">
        <v>1</v>
      </c>
      <c r="H90" s="32">
        <f>IF(Prueba[[#This Row],[Cant.]]=0,"",IF(OR(Prueba[[#This Row],[Cant.2]]="",Prueba[[#This Row],[Puesto2]]=""),"?",Prueba[[#This Row],[Puesto2]]))</f>
        <v>3</v>
      </c>
      <c r="I90" s="31">
        <v>1</v>
      </c>
      <c r="J90" s="32">
        <v>3</v>
      </c>
      <c r="K90" s="14"/>
      <c r="L90" s="14"/>
      <c r="M90" s="31"/>
      <c r="N90" s="32" t="str">
        <f>IF(Prueba[[#This Row],[Cant.4]]=0,"",IF(OR(Prueba[[#This Row],[Cant.6]]="",Prueba[[#This Row],[Puesto6]]=""),"?",Prueba[[#This Row],[Puesto6]]))</f>
        <v/>
      </c>
      <c r="O90" s="31"/>
      <c r="P90" s="32" t="str">
        <f>IF(Prueba[[#This Row],[Cant.5]]=0,"",IF(OR(Prueba[[#This Row],[Cant.6]]="",Prueba[[#This Row],[Puesto6]]=""),"?",Prueba[[#This Row],[Puesto6]]))</f>
        <v/>
      </c>
      <c r="Q90" s="31"/>
      <c r="R90" s="32"/>
      <c r="S90" s="14"/>
      <c r="T90" s="14"/>
      <c r="U90" s="31"/>
      <c r="V90" s="32" t="s">
        <v>1663</v>
      </c>
      <c r="W90" s="19"/>
      <c r="X90" s="19" t="s">
        <v>1667</v>
      </c>
      <c r="Y90" s="19">
        <v>1</v>
      </c>
      <c r="Z90" s="19">
        <v>3</v>
      </c>
      <c r="AA90" s="19">
        <v>1</v>
      </c>
      <c r="AB90" s="19">
        <v>3</v>
      </c>
    </row>
    <row r="91" spans="1:28" s="18" customFormat="1">
      <c r="A91" s="18" t="s">
        <v>173</v>
      </c>
      <c r="B91" s="18" t="s">
        <v>9</v>
      </c>
      <c r="C91" s="18" t="s">
        <v>174</v>
      </c>
      <c r="D91" s="18" t="s">
        <v>175</v>
      </c>
      <c r="E91" s="19" t="s">
        <v>22</v>
      </c>
      <c r="F91" s="18" t="s">
        <v>13</v>
      </c>
      <c r="G91" s="29">
        <v>2</v>
      </c>
      <c r="H91" s="32">
        <f>IF(Prueba[[#This Row],[Cant.]]=0,"",IF(OR(Prueba[[#This Row],[Cant.2]]="",Prueba[[#This Row],[Puesto2]]=""),"?",Prueba[[#This Row],[Puesto2]]))</f>
        <v>0</v>
      </c>
      <c r="I91" s="31">
        <v>2</v>
      </c>
      <c r="J91" s="32">
        <v>0</v>
      </c>
      <c r="K91" s="14"/>
      <c r="L91" s="14"/>
      <c r="M91" s="31"/>
      <c r="N91" s="32" t="str">
        <f>IF(Prueba[[#This Row],[Cant.4]]=0,"",IF(OR(Prueba[[#This Row],[Cant.6]]="",Prueba[[#This Row],[Puesto6]]=""),"?",Prueba[[#This Row],[Puesto6]]))</f>
        <v/>
      </c>
      <c r="O91" s="31"/>
      <c r="P91" s="32" t="str">
        <f>IF(Prueba[[#This Row],[Cant.5]]=0,"",IF(OR(Prueba[[#This Row],[Cant.6]]="",Prueba[[#This Row],[Puesto6]]=""),"?",Prueba[[#This Row],[Puesto6]]))</f>
        <v/>
      </c>
      <c r="Q91" s="31"/>
      <c r="R91" s="32"/>
      <c r="S91" s="14"/>
      <c r="T91" s="14"/>
      <c r="U91" s="31"/>
      <c r="V91" s="32" t="s">
        <v>1663</v>
      </c>
      <c r="W91" s="19">
        <v>16</v>
      </c>
      <c r="X91" s="19" t="s">
        <v>1664</v>
      </c>
      <c r="Y91" s="19">
        <v>3</v>
      </c>
      <c r="Z91" s="19">
        <v>0</v>
      </c>
      <c r="AA91" s="19">
        <v>3</v>
      </c>
      <c r="AB91" s="19">
        <v>0</v>
      </c>
    </row>
    <row r="92" spans="1:28" s="18" customFormat="1">
      <c r="A92" s="18" t="s">
        <v>176</v>
      </c>
      <c r="B92" s="18" t="s">
        <v>9</v>
      </c>
      <c r="C92" s="18" t="s">
        <v>84</v>
      </c>
      <c r="D92" s="18" t="s">
        <v>177</v>
      </c>
      <c r="E92" s="19" t="s">
        <v>18</v>
      </c>
      <c r="F92" s="18" t="s">
        <v>13</v>
      </c>
      <c r="G92" s="29">
        <v>1</v>
      </c>
      <c r="H92" s="32">
        <f>IF(Prueba[[#This Row],[Cant.]]=0,"",IF(OR(Prueba[[#This Row],[Cant.2]]="",Prueba[[#This Row],[Puesto2]]=""),"?",Prueba[[#This Row],[Puesto2]]))</f>
        <v>5</v>
      </c>
      <c r="I92" s="31">
        <v>1</v>
      </c>
      <c r="J92" s="32">
        <v>5</v>
      </c>
      <c r="K92" s="14"/>
      <c r="L92" s="14"/>
      <c r="M92" s="31"/>
      <c r="N92" s="32" t="str">
        <f>IF(Prueba[[#This Row],[Cant.4]]=0,"",IF(OR(Prueba[[#This Row],[Cant.6]]="",Prueba[[#This Row],[Puesto6]]=""),"?",Prueba[[#This Row],[Puesto6]]))</f>
        <v/>
      </c>
      <c r="O92" s="31"/>
      <c r="P92" s="32" t="str">
        <f>IF(Prueba[[#This Row],[Cant.5]]=0,"",IF(OR(Prueba[[#This Row],[Cant.6]]="",Prueba[[#This Row],[Puesto6]]=""),"?",Prueba[[#This Row],[Puesto6]]))</f>
        <v/>
      </c>
      <c r="Q92" s="31"/>
      <c r="R92" s="32"/>
      <c r="S92" s="14"/>
      <c r="T92" s="14"/>
      <c r="U92" s="31"/>
      <c r="V92" s="32" t="s">
        <v>1663</v>
      </c>
      <c r="W92" s="19"/>
      <c r="X92" s="19" t="s">
        <v>1667</v>
      </c>
      <c r="Y92" s="19">
        <v>1</v>
      </c>
      <c r="Z92" s="19">
        <v>5</v>
      </c>
      <c r="AA92" s="19">
        <v>1</v>
      </c>
      <c r="AB92" s="19">
        <v>5</v>
      </c>
    </row>
    <row r="93" spans="1:28" s="18" customFormat="1">
      <c r="A93" s="18" t="s">
        <v>178</v>
      </c>
      <c r="B93" s="18" t="s">
        <v>9</v>
      </c>
      <c r="C93" s="18" t="s">
        <v>113</v>
      </c>
      <c r="D93" s="18" t="s">
        <v>179</v>
      </c>
      <c r="E93" s="19" t="s">
        <v>18</v>
      </c>
      <c r="F93" s="18" t="s">
        <v>13</v>
      </c>
      <c r="G93" s="29">
        <v>1</v>
      </c>
      <c r="H93" s="32">
        <f>IF(Prueba[[#This Row],[Cant.]]=0,"",IF(OR(Prueba[[#This Row],[Cant.2]]="",Prueba[[#This Row],[Puesto2]]=""),"?",Prueba[[#This Row],[Puesto2]]))</f>
        <v>1</v>
      </c>
      <c r="I93" s="31">
        <v>1</v>
      </c>
      <c r="J93" s="32">
        <v>1</v>
      </c>
      <c r="K93" s="14"/>
      <c r="L93" s="14"/>
      <c r="M93" s="31"/>
      <c r="N93" s="32" t="str">
        <f>IF(Prueba[[#This Row],[Cant.4]]=0,"",IF(OR(Prueba[[#This Row],[Cant.6]]="",Prueba[[#This Row],[Puesto6]]=""),"?",Prueba[[#This Row],[Puesto6]]))</f>
        <v/>
      </c>
      <c r="O93" s="31"/>
      <c r="P93" s="32" t="str">
        <f>IF(Prueba[[#This Row],[Cant.5]]=0,"",IF(OR(Prueba[[#This Row],[Cant.6]]="",Prueba[[#This Row],[Puesto6]]=""),"?",Prueba[[#This Row],[Puesto6]]))</f>
        <v/>
      </c>
      <c r="Q93" s="31"/>
      <c r="R93" s="32"/>
      <c r="S93" s="14"/>
      <c r="T93" s="14"/>
      <c r="U93" s="31"/>
      <c r="V93" s="32" t="s">
        <v>1663</v>
      </c>
      <c r="W93" s="19"/>
      <c r="X93" s="19" t="s">
        <v>1667</v>
      </c>
      <c r="Y93" s="19">
        <v>1</v>
      </c>
      <c r="Z93" s="19">
        <v>1</v>
      </c>
      <c r="AA93" s="19">
        <v>1</v>
      </c>
      <c r="AB93" s="19">
        <v>1</v>
      </c>
    </row>
    <row r="94" spans="1:28" s="18" customFormat="1">
      <c r="A94" s="18" t="s">
        <v>1706</v>
      </c>
      <c r="B94" s="18" t="s">
        <v>9</v>
      </c>
      <c r="D94" s="18" t="s">
        <v>1707</v>
      </c>
      <c r="E94" s="19" t="s">
        <v>3</v>
      </c>
      <c r="F94" s="18" t="s">
        <v>13</v>
      </c>
      <c r="G94" s="29">
        <v>1</v>
      </c>
      <c r="H94" s="32">
        <v>5</v>
      </c>
      <c r="I94" s="31"/>
      <c r="J94" s="32"/>
      <c r="K94" s="14"/>
      <c r="L94" s="14"/>
      <c r="M94" s="31"/>
      <c r="N94" s="32" t="str">
        <f>IF(Prueba[[#This Row],[Cant.4]]=0,"",IF(OR(Prueba[[#This Row],[Cant.6]]="",Prueba[[#This Row],[Puesto6]]=""),"?",Prueba[[#This Row],[Puesto6]]))</f>
        <v/>
      </c>
      <c r="O94" s="31"/>
      <c r="P94" s="32" t="str">
        <f>IF(Prueba[[#This Row],[Cant.5]]=0,"",IF(OR(Prueba[[#This Row],[Cant.6]]="",Prueba[[#This Row],[Puesto6]]=""),"?",Prueba[[#This Row],[Puesto6]]))</f>
        <v/>
      </c>
      <c r="Q94" s="31"/>
      <c r="R94" s="32"/>
      <c r="S94" s="14"/>
      <c r="T94" s="14"/>
      <c r="U94" s="31"/>
      <c r="V94" s="32" t="s">
        <v>1663</v>
      </c>
      <c r="W94" s="19"/>
      <c r="X94" s="19" t="s">
        <v>1667</v>
      </c>
      <c r="Y94" s="19" t="s">
        <v>1663</v>
      </c>
      <c r="Z94" s="19" t="s">
        <v>1663</v>
      </c>
      <c r="AA94" s="19" t="s">
        <v>1663</v>
      </c>
      <c r="AB94" s="19" t="s">
        <v>1663</v>
      </c>
    </row>
    <row r="95" spans="1:28" s="18" customFormat="1">
      <c r="A95" s="18" t="s">
        <v>180</v>
      </c>
      <c r="B95" s="18" t="s">
        <v>9</v>
      </c>
      <c r="C95" s="18" t="s">
        <v>181</v>
      </c>
      <c r="D95" s="18" t="s">
        <v>182</v>
      </c>
      <c r="E95" s="19" t="s">
        <v>18</v>
      </c>
      <c r="F95" s="18" t="s">
        <v>13</v>
      </c>
      <c r="G95" s="29">
        <v>1</v>
      </c>
      <c r="H95" s="32">
        <f>IF(Prueba[[#This Row],[Cant.]]=0,"",IF(OR(Prueba[[#This Row],[Cant.2]]="",Prueba[[#This Row],[Puesto2]]=""),"?",Prueba[[#This Row],[Puesto2]]))</f>
        <v>1</v>
      </c>
      <c r="I95" s="31">
        <v>1</v>
      </c>
      <c r="J95" s="32">
        <v>1</v>
      </c>
      <c r="K95" s="14"/>
      <c r="L95" s="14"/>
      <c r="M95" s="31"/>
      <c r="N95" s="32" t="str">
        <f>IF(Prueba[[#This Row],[Cant.4]]=0,"",IF(OR(Prueba[[#This Row],[Cant.6]]="",Prueba[[#This Row],[Puesto6]]=""),"?",Prueba[[#This Row],[Puesto6]]))</f>
        <v/>
      </c>
      <c r="O95" s="31"/>
      <c r="P95" s="32" t="str">
        <f>IF(Prueba[[#This Row],[Cant.5]]=0,"",IF(OR(Prueba[[#This Row],[Cant.6]]="",Prueba[[#This Row],[Puesto6]]=""),"?",Prueba[[#This Row],[Puesto6]]))</f>
        <v/>
      </c>
      <c r="Q95" s="31"/>
      <c r="R95" s="32"/>
      <c r="S95" s="14"/>
      <c r="T95" s="14"/>
      <c r="U95" s="31"/>
      <c r="V95" s="32" t="s">
        <v>1663</v>
      </c>
      <c r="W95" s="19"/>
      <c r="X95" s="19" t="s">
        <v>1667</v>
      </c>
      <c r="Y95" s="19">
        <v>1</v>
      </c>
      <c r="Z95" s="19">
        <v>1</v>
      </c>
      <c r="AA95" s="19">
        <v>1</v>
      </c>
      <c r="AB95" s="19">
        <v>1</v>
      </c>
    </row>
    <row r="96" spans="1:28" s="18" customFormat="1">
      <c r="A96" s="18" t="s">
        <v>183</v>
      </c>
      <c r="B96" s="18" t="s">
        <v>9</v>
      </c>
      <c r="C96" s="18" t="s">
        <v>184</v>
      </c>
      <c r="D96" s="18" t="s">
        <v>185</v>
      </c>
      <c r="E96" s="19" t="s">
        <v>12</v>
      </c>
      <c r="F96" s="18" t="s">
        <v>13</v>
      </c>
      <c r="G96" s="29">
        <v>1</v>
      </c>
      <c r="H96" s="32">
        <f>IF(Prueba[[#This Row],[Cant.]]=0,"",IF(OR(Prueba[[#This Row],[Cant.2]]="",Prueba[[#This Row],[Puesto2]]=""),"?",Prueba[[#This Row],[Puesto2]]))</f>
        <v>5</v>
      </c>
      <c r="I96" s="31">
        <v>1</v>
      </c>
      <c r="J96" s="32">
        <v>5</v>
      </c>
      <c r="K96" s="14"/>
      <c r="L96" s="14"/>
      <c r="M96" s="31"/>
      <c r="N96" s="32" t="str">
        <f>IF(Prueba[[#This Row],[Cant.4]]=0,"",IF(OR(Prueba[[#This Row],[Cant.6]]="",Prueba[[#This Row],[Puesto6]]=""),"?",Prueba[[#This Row],[Puesto6]]))</f>
        <v/>
      </c>
      <c r="O96" s="31"/>
      <c r="P96" s="32" t="str">
        <f>IF(Prueba[[#This Row],[Cant.5]]=0,"",IF(OR(Prueba[[#This Row],[Cant.6]]="",Prueba[[#This Row],[Puesto6]]=""),"?",Prueba[[#This Row],[Puesto6]]))</f>
        <v/>
      </c>
      <c r="Q96" s="31"/>
      <c r="R96" s="32"/>
      <c r="S96" s="14"/>
      <c r="T96" s="14"/>
      <c r="U96" s="31"/>
      <c r="V96" s="32" t="s">
        <v>1663</v>
      </c>
      <c r="W96" s="19"/>
      <c r="X96" s="19" t="s">
        <v>1667</v>
      </c>
      <c r="Y96" s="19">
        <v>1</v>
      </c>
      <c r="Z96" s="19">
        <v>5</v>
      </c>
      <c r="AA96" s="19">
        <v>1</v>
      </c>
      <c r="AB96" s="19">
        <v>5</v>
      </c>
    </row>
    <row r="97" spans="1:28" s="18" customFormat="1">
      <c r="A97" s="18" t="s">
        <v>186</v>
      </c>
      <c r="B97" s="18" t="s">
        <v>9</v>
      </c>
      <c r="C97" s="18" t="s">
        <v>187</v>
      </c>
      <c r="D97" s="18" t="s">
        <v>188</v>
      </c>
      <c r="E97" s="19" t="s">
        <v>22</v>
      </c>
      <c r="F97" s="18" t="s">
        <v>13</v>
      </c>
      <c r="G97" s="29">
        <v>1</v>
      </c>
      <c r="H97" s="32">
        <f>IF(Prueba[[#This Row],[Cant.]]=0,"",IF(OR(Prueba[[#This Row],[Cant.2]]="",Prueba[[#This Row],[Puesto2]]=""),"?",Prueba[[#This Row],[Puesto2]]))</f>
        <v>1</v>
      </c>
      <c r="I97" s="31">
        <v>1</v>
      </c>
      <c r="J97" s="32">
        <v>1</v>
      </c>
      <c r="K97" s="14"/>
      <c r="L97" s="14"/>
      <c r="M97" s="31"/>
      <c r="N97" s="32" t="str">
        <f>IF(Prueba[[#This Row],[Cant.4]]=0,"",IF(OR(Prueba[[#This Row],[Cant.6]]="",Prueba[[#This Row],[Puesto6]]=""),"?",Prueba[[#This Row],[Puesto6]]))</f>
        <v/>
      </c>
      <c r="O97" s="31"/>
      <c r="P97" s="32" t="str">
        <f>IF(Prueba[[#This Row],[Cant.5]]=0,"",IF(OR(Prueba[[#This Row],[Cant.6]]="",Prueba[[#This Row],[Puesto6]]=""),"?",Prueba[[#This Row],[Puesto6]]))</f>
        <v/>
      </c>
      <c r="Q97" s="31"/>
      <c r="R97" s="32"/>
      <c r="S97" s="14"/>
      <c r="T97" s="14"/>
      <c r="U97" s="31"/>
      <c r="V97" s="32" t="s">
        <v>1663</v>
      </c>
      <c r="W97" s="19">
        <v>8</v>
      </c>
      <c r="X97" s="19" t="s">
        <v>1664</v>
      </c>
      <c r="Y97" s="19">
        <v>2</v>
      </c>
      <c r="Z97" s="19">
        <v>1</v>
      </c>
      <c r="AA97" s="19">
        <v>2</v>
      </c>
      <c r="AB97" s="19">
        <v>1</v>
      </c>
    </row>
    <row r="98" spans="1:28" s="18" customFormat="1">
      <c r="A98" s="18" t="s">
        <v>189</v>
      </c>
      <c r="B98" s="18" t="s">
        <v>9</v>
      </c>
      <c r="C98" s="18" t="s">
        <v>187</v>
      </c>
      <c r="D98" s="18" t="s">
        <v>188</v>
      </c>
      <c r="E98" s="19" t="s">
        <v>22</v>
      </c>
      <c r="F98" s="18" t="s">
        <v>13</v>
      </c>
      <c r="G98" s="29">
        <v>1</v>
      </c>
      <c r="H98" s="32">
        <f>IF(Prueba[[#This Row],[Cant.]]=0,"",IF(OR(Prueba[[#This Row],[Cant.2]]="",Prueba[[#This Row],[Puesto2]]=""),"?",Prueba[[#This Row],[Puesto2]]))</f>
        <v>1</v>
      </c>
      <c r="I98" s="31">
        <v>1</v>
      </c>
      <c r="J98" s="32">
        <v>1</v>
      </c>
      <c r="K98" s="14"/>
      <c r="L98" s="14"/>
      <c r="M98" s="31"/>
      <c r="N98" s="32" t="str">
        <f>IF(Prueba[[#This Row],[Cant.4]]=0,"",IF(OR(Prueba[[#This Row],[Cant.6]]="",Prueba[[#This Row],[Puesto6]]=""),"?",Prueba[[#This Row],[Puesto6]]))</f>
        <v/>
      </c>
      <c r="O98" s="31"/>
      <c r="P98" s="32" t="str">
        <f>IF(Prueba[[#This Row],[Cant.5]]=0,"",IF(OR(Prueba[[#This Row],[Cant.6]]="",Prueba[[#This Row],[Puesto6]]=""),"?",Prueba[[#This Row],[Puesto6]]))</f>
        <v/>
      </c>
      <c r="Q98" s="31"/>
      <c r="R98" s="32"/>
      <c r="S98" s="14"/>
      <c r="T98" s="14"/>
      <c r="U98" s="31"/>
      <c r="V98" s="32" t="s">
        <v>1663</v>
      </c>
      <c r="W98" s="19">
        <v>8</v>
      </c>
      <c r="X98" s="19" t="s">
        <v>1664</v>
      </c>
      <c r="Y98" s="19">
        <v>2</v>
      </c>
      <c r="Z98" s="19">
        <v>1</v>
      </c>
      <c r="AA98" s="19">
        <v>2</v>
      </c>
      <c r="AB98" s="19">
        <v>1</v>
      </c>
    </row>
    <row r="99" spans="1:28" s="18" customFormat="1">
      <c r="A99" s="18" t="s">
        <v>190</v>
      </c>
      <c r="B99" s="18" t="s">
        <v>9</v>
      </c>
      <c r="C99" s="18" t="s">
        <v>41</v>
      </c>
      <c r="D99" s="18" t="s">
        <v>191</v>
      </c>
      <c r="E99" s="19" t="s">
        <v>18</v>
      </c>
      <c r="F99" s="18" t="s">
        <v>13</v>
      </c>
      <c r="G99" s="29">
        <v>1</v>
      </c>
      <c r="H99" s="32">
        <f>IF(Prueba[[#This Row],[Cant.]]=0,"",IF(OR(Prueba[[#This Row],[Cant.2]]="",Prueba[[#This Row],[Puesto2]]=""),"?",Prueba[[#This Row],[Puesto2]]))</f>
        <v>0</v>
      </c>
      <c r="I99" s="31">
        <v>1</v>
      </c>
      <c r="J99" s="32">
        <v>0</v>
      </c>
      <c r="K99" s="14"/>
      <c r="L99" s="14"/>
      <c r="M99" s="31"/>
      <c r="N99" s="32" t="str">
        <f>IF(Prueba[[#This Row],[Cant.4]]=0,"",IF(OR(Prueba[[#This Row],[Cant.6]]="",Prueba[[#This Row],[Puesto6]]=""),"?",Prueba[[#This Row],[Puesto6]]))</f>
        <v/>
      </c>
      <c r="O99" s="31"/>
      <c r="P99" s="32" t="str">
        <f>IF(Prueba[[#This Row],[Cant.5]]=0,"",IF(OR(Prueba[[#This Row],[Cant.6]]="",Prueba[[#This Row],[Puesto6]]=""),"?",Prueba[[#This Row],[Puesto6]]))</f>
        <v/>
      </c>
      <c r="Q99" s="31"/>
      <c r="R99" s="32"/>
      <c r="S99" s="14"/>
      <c r="T99" s="14"/>
      <c r="U99" s="31"/>
      <c r="V99" s="32" t="s">
        <v>1663</v>
      </c>
      <c r="W99" s="19"/>
      <c r="X99" s="19" t="s">
        <v>1667</v>
      </c>
      <c r="Y99" s="19">
        <v>1</v>
      </c>
      <c r="Z99" s="19">
        <v>0</v>
      </c>
      <c r="AA99" s="19">
        <v>1</v>
      </c>
      <c r="AB99" s="19">
        <v>0</v>
      </c>
    </row>
    <row r="100" spans="1:28" s="18" customFormat="1">
      <c r="A100" s="101" t="s">
        <v>1708</v>
      </c>
      <c r="B100" s="18" t="s">
        <v>9</v>
      </c>
      <c r="C100" s="18" t="s">
        <v>193</v>
      </c>
      <c r="D100" s="18" t="s">
        <v>194</v>
      </c>
      <c r="E100" s="19" t="s">
        <v>195</v>
      </c>
      <c r="F100" s="18" t="s">
        <v>13</v>
      </c>
      <c r="G100" s="29"/>
      <c r="H100" s="32" t="str">
        <f>IF(Prueba[[#This Row],[Cant.]]=0,"",IF(OR(Prueba[[#This Row],[Cant.2]]="",Prueba[[#This Row],[Puesto2]]=""),"?",Prueba[[#This Row],[Puesto2]]))</f>
        <v/>
      </c>
      <c r="I100" s="31">
        <v>1</v>
      </c>
      <c r="J100" s="32" t="s">
        <v>1421</v>
      </c>
      <c r="K100" s="14"/>
      <c r="L100" s="14"/>
      <c r="M100" s="31"/>
      <c r="N100" s="32" t="str">
        <f>IF(Prueba[[#This Row],[Cant.4]]=0,"",IF(OR(Prueba[[#This Row],[Cant.6]]="",Prueba[[#This Row],[Puesto6]]=""),"?",Prueba[[#This Row],[Puesto6]]))</f>
        <v/>
      </c>
      <c r="O100" s="31"/>
      <c r="P100" s="32" t="str">
        <f>IF(Prueba[[#This Row],[Cant.5]]=0,"",IF(OR(Prueba[[#This Row],[Cant.6]]="",Prueba[[#This Row],[Puesto6]]=""),"?",Prueba[[#This Row],[Puesto6]]))</f>
        <v/>
      </c>
      <c r="Q100" s="31"/>
      <c r="R100" s="32"/>
      <c r="S100" s="14"/>
      <c r="T100" s="14"/>
      <c r="U100" s="31"/>
      <c r="V100" s="32" t="s">
        <v>1663</v>
      </c>
      <c r="W100" s="19"/>
      <c r="X100" s="19" t="s">
        <v>1667</v>
      </c>
      <c r="Y100" s="19" t="s">
        <v>1663</v>
      </c>
      <c r="Z100" s="19" t="s">
        <v>1663</v>
      </c>
      <c r="AA100" s="19" t="s">
        <v>1663</v>
      </c>
      <c r="AB100" s="19" t="s">
        <v>1663</v>
      </c>
    </row>
    <row r="101" spans="1:28" s="18" customFormat="1">
      <c r="A101" s="18" t="s">
        <v>1709</v>
      </c>
      <c r="C101" s="18" t="s">
        <v>193</v>
      </c>
      <c r="D101" s="18" t="s">
        <v>193</v>
      </c>
      <c r="E101" s="19" t="s">
        <v>195</v>
      </c>
      <c r="G101" s="29"/>
      <c r="H101" s="32" t="str">
        <f>IF(Prueba[[#This Row],[Cant.]]=0,"",IF(OR(Prueba[[#This Row],[Cant.2]]="",Prueba[[#This Row],[Puesto2]]=""),"?",Prueba[[#This Row],[Puesto2]]))</f>
        <v/>
      </c>
      <c r="I101" s="31"/>
      <c r="J101" s="32"/>
      <c r="K101" s="14"/>
      <c r="L101" s="14"/>
      <c r="M101" s="31"/>
      <c r="N101" s="32" t="str">
        <f>IF(Prueba[[#This Row],[Cant.4]]=0,"",IF(OR(Prueba[[#This Row],[Cant.6]]="",Prueba[[#This Row],[Puesto6]]=""),"?",Prueba[[#This Row],[Puesto6]]))</f>
        <v/>
      </c>
      <c r="O101" s="31"/>
      <c r="P101" s="32" t="str">
        <f>IF(Prueba[[#This Row],[Cant.5]]=0,"",IF(OR(Prueba[[#This Row],[Cant.6]]="",Prueba[[#This Row],[Puesto6]]=""),"?",Prueba[[#This Row],[Puesto6]]))</f>
        <v/>
      </c>
      <c r="Q101" s="31"/>
      <c r="R101" s="32"/>
      <c r="S101" s="14"/>
      <c r="T101" s="14"/>
      <c r="U101" s="31"/>
      <c r="V101" s="32" t="s">
        <v>1663</v>
      </c>
      <c r="X101" s="19" t="s">
        <v>1667</v>
      </c>
      <c r="Y101" s="19" t="s">
        <v>1663</v>
      </c>
      <c r="Z101" s="19" t="s">
        <v>1663</v>
      </c>
      <c r="AA101" s="19">
        <v>1</v>
      </c>
      <c r="AB101" s="19" t="s">
        <v>1421</v>
      </c>
    </row>
    <row r="102" spans="1:28" s="18" customFormat="1">
      <c r="A102" s="18" t="s">
        <v>1710</v>
      </c>
      <c r="C102" s="18" t="s">
        <v>193</v>
      </c>
      <c r="D102" s="18" t="s">
        <v>193</v>
      </c>
      <c r="E102" s="19" t="s">
        <v>195</v>
      </c>
      <c r="G102" s="29"/>
      <c r="H102" s="32" t="str">
        <f>IF(Prueba[[#This Row],[Cant.]]=0,"",IF(OR(Prueba[[#This Row],[Cant.2]]="",Prueba[[#This Row],[Puesto2]]=""),"?",Prueba[[#This Row],[Puesto2]]))</f>
        <v/>
      </c>
      <c r="I102" s="31"/>
      <c r="J102" s="32"/>
      <c r="K102" s="14"/>
      <c r="L102" s="14"/>
      <c r="M102" s="31"/>
      <c r="N102" s="32" t="str">
        <f>IF(Prueba[[#This Row],[Cant.4]]=0,"",IF(OR(Prueba[[#This Row],[Cant.6]]="",Prueba[[#This Row],[Puesto6]]=""),"?",Prueba[[#This Row],[Puesto6]]))</f>
        <v/>
      </c>
      <c r="O102" s="31"/>
      <c r="P102" s="32" t="str">
        <f>IF(Prueba[[#This Row],[Cant.5]]=0,"",IF(OR(Prueba[[#This Row],[Cant.6]]="",Prueba[[#This Row],[Puesto6]]=""),"?",Prueba[[#This Row],[Puesto6]]))</f>
        <v/>
      </c>
      <c r="Q102" s="31"/>
      <c r="R102" s="32"/>
      <c r="S102" s="14"/>
      <c r="T102" s="14"/>
      <c r="U102" s="31"/>
      <c r="V102" s="32" t="s">
        <v>1663</v>
      </c>
      <c r="X102" s="19" t="s">
        <v>1667</v>
      </c>
      <c r="Y102" s="19" t="s">
        <v>1663</v>
      </c>
      <c r="Z102" s="19" t="s">
        <v>1663</v>
      </c>
      <c r="AA102" s="19">
        <v>1</v>
      </c>
      <c r="AB102" s="19" t="s">
        <v>1421</v>
      </c>
    </row>
    <row r="103" spans="1:28" s="18" customFormat="1">
      <c r="A103" s="18" t="s">
        <v>1711</v>
      </c>
      <c r="B103" s="18" t="s">
        <v>9</v>
      </c>
      <c r="D103" s="18" t="s">
        <v>1712</v>
      </c>
      <c r="E103" s="19" t="s">
        <v>195</v>
      </c>
      <c r="F103" s="18" t="s">
        <v>13</v>
      </c>
      <c r="G103" s="29">
        <v>1</v>
      </c>
      <c r="H103" s="32" t="s">
        <v>1421</v>
      </c>
      <c r="I103" s="31"/>
      <c r="J103" s="32"/>
      <c r="K103" s="14"/>
      <c r="L103" s="14"/>
      <c r="M103" s="31"/>
      <c r="N103" s="32" t="str">
        <f>IF(Prueba[[#This Row],[Cant.4]]=0,"",IF(OR(Prueba[[#This Row],[Cant.6]]="",Prueba[[#This Row],[Puesto6]]=""),"?",Prueba[[#This Row],[Puesto6]]))</f>
        <v/>
      </c>
      <c r="O103" s="31"/>
      <c r="P103" s="32" t="str">
        <f>IF(Prueba[[#This Row],[Cant.5]]=0,"",IF(OR(Prueba[[#This Row],[Cant.6]]="",Prueba[[#This Row],[Puesto6]]=""),"?",Prueba[[#This Row],[Puesto6]]))</f>
        <v/>
      </c>
      <c r="Q103" s="31"/>
      <c r="R103" s="32"/>
      <c r="S103" s="14"/>
      <c r="T103" s="14"/>
      <c r="U103" s="31"/>
      <c r="V103" s="32" t="s">
        <v>1663</v>
      </c>
      <c r="W103" s="19"/>
      <c r="X103" s="19" t="s">
        <v>1667</v>
      </c>
      <c r="Y103" s="19" t="s">
        <v>1663</v>
      </c>
      <c r="Z103" s="19" t="s">
        <v>1663</v>
      </c>
      <c r="AA103" s="19" t="s">
        <v>1663</v>
      </c>
      <c r="AB103" s="19" t="s">
        <v>1663</v>
      </c>
    </row>
    <row r="104" spans="1:28" s="18" customFormat="1">
      <c r="A104" s="18" t="s">
        <v>1713</v>
      </c>
      <c r="B104" s="18" t="s">
        <v>9</v>
      </c>
      <c r="D104" s="18" t="s">
        <v>1712</v>
      </c>
      <c r="E104" s="19" t="s">
        <v>3</v>
      </c>
      <c r="F104" s="18" t="s">
        <v>13</v>
      </c>
      <c r="G104" s="29">
        <v>1</v>
      </c>
      <c r="H104" s="32" t="s">
        <v>1421</v>
      </c>
      <c r="I104" s="31"/>
      <c r="J104" s="32"/>
      <c r="K104" s="14"/>
      <c r="L104" s="14"/>
      <c r="M104" s="31"/>
      <c r="N104" s="32" t="str">
        <f>IF(Prueba[[#This Row],[Cant.4]]=0,"",IF(OR(Prueba[[#This Row],[Cant.6]]="",Prueba[[#This Row],[Puesto6]]=""),"?",Prueba[[#This Row],[Puesto6]]))</f>
        <v/>
      </c>
      <c r="O104" s="31"/>
      <c r="P104" s="32" t="str">
        <f>IF(Prueba[[#This Row],[Cant.5]]=0,"",IF(OR(Prueba[[#This Row],[Cant.6]]="",Prueba[[#This Row],[Puesto6]]=""),"?",Prueba[[#This Row],[Puesto6]]))</f>
        <v/>
      </c>
      <c r="Q104" s="31"/>
      <c r="R104" s="32"/>
      <c r="S104" s="14"/>
      <c r="T104" s="14"/>
      <c r="U104" s="31"/>
      <c r="V104" s="32" t="s">
        <v>1663</v>
      </c>
      <c r="W104" s="19"/>
      <c r="X104" s="19" t="s">
        <v>1667</v>
      </c>
      <c r="Y104" s="19" t="s">
        <v>1663</v>
      </c>
      <c r="Z104" s="19" t="s">
        <v>1663</v>
      </c>
      <c r="AA104" s="19" t="s">
        <v>1663</v>
      </c>
      <c r="AB104" s="19" t="s">
        <v>1663</v>
      </c>
    </row>
    <row r="105" spans="1:28" s="18" customFormat="1">
      <c r="A105" s="18" t="s">
        <v>1714</v>
      </c>
      <c r="C105" s="18" t="s">
        <v>193</v>
      </c>
      <c r="D105" s="18" t="s">
        <v>193</v>
      </c>
      <c r="E105" s="19" t="s">
        <v>195</v>
      </c>
      <c r="G105" s="29"/>
      <c r="H105" s="32" t="str">
        <f>IF(Prueba[[#This Row],[Cant.]]=0,"",IF(OR(Prueba[[#This Row],[Cant.2]]="",Prueba[[#This Row],[Puesto2]]=""),"?",Prueba[[#This Row],[Puesto2]]))</f>
        <v/>
      </c>
      <c r="I105" s="31"/>
      <c r="J105" s="32"/>
      <c r="K105" s="14"/>
      <c r="L105" s="14"/>
      <c r="M105" s="31"/>
      <c r="N105" s="32" t="str">
        <f>IF(Prueba[[#This Row],[Cant.4]]=0,"",IF(OR(Prueba[[#This Row],[Cant.6]]="",Prueba[[#This Row],[Puesto6]]=""),"?",Prueba[[#This Row],[Puesto6]]))</f>
        <v/>
      </c>
      <c r="O105" s="31"/>
      <c r="P105" s="32" t="str">
        <f>IF(Prueba[[#This Row],[Cant.5]]=0,"",IF(OR(Prueba[[#This Row],[Cant.6]]="",Prueba[[#This Row],[Puesto6]]=""),"?",Prueba[[#This Row],[Puesto6]]))</f>
        <v/>
      </c>
      <c r="Q105" s="31"/>
      <c r="R105" s="32"/>
      <c r="S105" s="14"/>
      <c r="T105" s="14"/>
      <c r="U105" s="31"/>
      <c r="V105" s="32" t="s">
        <v>1663</v>
      </c>
      <c r="X105" s="19" t="s">
        <v>1667</v>
      </c>
      <c r="Y105" s="19">
        <v>1</v>
      </c>
      <c r="Z105" s="19" t="s">
        <v>1421</v>
      </c>
      <c r="AA105" s="19" t="s">
        <v>1663</v>
      </c>
      <c r="AB105" s="19" t="s">
        <v>1663</v>
      </c>
    </row>
    <row r="106" spans="1:28" s="18" customFormat="1">
      <c r="A106" s="18" t="s">
        <v>196</v>
      </c>
      <c r="B106" s="18" t="s">
        <v>9</v>
      </c>
      <c r="C106" s="18" t="s">
        <v>197</v>
      </c>
      <c r="D106" s="18" t="s">
        <v>198</v>
      </c>
      <c r="E106" s="19" t="s">
        <v>39</v>
      </c>
      <c r="F106" s="18" t="s">
        <v>13</v>
      </c>
      <c r="G106" s="29">
        <v>2</v>
      </c>
      <c r="H106" s="32" t="str">
        <f>IF(Prueba[[#This Row],[Cant.]]=0,"",IF(OR(Prueba[[#This Row],[Cant.2]]="",Prueba[[#This Row],[Puesto2]]=""),"?",Prueba[[#This Row],[Puesto2]]))</f>
        <v>A</v>
      </c>
      <c r="I106" s="31">
        <v>2</v>
      </c>
      <c r="J106" s="32" t="s">
        <v>1421</v>
      </c>
      <c r="K106" s="14"/>
      <c r="L106" s="14"/>
      <c r="M106" s="31"/>
      <c r="N106" s="32" t="str">
        <f>IF(Prueba[[#This Row],[Cant.4]]=0,"",IF(OR(Prueba[[#This Row],[Cant.6]]="",Prueba[[#This Row],[Puesto6]]=""),"?",Prueba[[#This Row],[Puesto6]]))</f>
        <v/>
      </c>
      <c r="O106" s="31"/>
      <c r="P106" s="32" t="str">
        <f>IF(Prueba[[#This Row],[Cant.5]]=0,"",IF(OR(Prueba[[#This Row],[Cant.6]]="",Prueba[[#This Row],[Puesto6]]=""),"?",Prueba[[#This Row],[Puesto6]]))</f>
        <v/>
      </c>
      <c r="Q106" s="31"/>
      <c r="R106" s="32"/>
      <c r="S106" s="14"/>
      <c r="T106" s="14"/>
      <c r="U106" s="31"/>
      <c r="V106" s="32" t="s">
        <v>1663</v>
      </c>
      <c r="W106" s="19"/>
      <c r="X106" s="19" t="s">
        <v>1667</v>
      </c>
      <c r="Y106" s="19">
        <v>2</v>
      </c>
      <c r="Z106" s="19" t="s">
        <v>1421</v>
      </c>
      <c r="AA106" s="19">
        <v>2</v>
      </c>
      <c r="AB106" s="19" t="s">
        <v>1421</v>
      </c>
    </row>
    <row r="107" spans="1:28" s="18" customFormat="1">
      <c r="A107" s="18" t="s">
        <v>199</v>
      </c>
      <c r="B107" s="18" t="s">
        <v>9</v>
      </c>
      <c r="C107" s="18" t="s">
        <v>200</v>
      </c>
      <c r="D107" s="18" t="s">
        <v>201</v>
      </c>
      <c r="E107" s="19" t="s">
        <v>39</v>
      </c>
      <c r="F107" s="18" t="s">
        <v>13</v>
      </c>
      <c r="G107" s="29">
        <v>2</v>
      </c>
      <c r="H107" s="32">
        <f>IF(Prueba[[#This Row],[Cant.]]=0,"",IF(OR(Prueba[[#This Row],[Cant.2]]="",Prueba[[#This Row],[Puesto2]]=""),"?",Prueba[[#This Row],[Puesto2]]))</f>
        <v>3</v>
      </c>
      <c r="I107" s="31">
        <v>2</v>
      </c>
      <c r="J107" s="32">
        <v>3</v>
      </c>
      <c r="K107" s="14"/>
      <c r="L107" s="14"/>
      <c r="M107" s="31"/>
      <c r="N107" s="32" t="str">
        <f>IF(Prueba[[#This Row],[Cant.4]]=0,"",IF(OR(Prueba[[#This Row],[Cant.6]]="",Prueba[[#This Row],[Puesto6]]=""),"?",Prueba[[#This Row],[Puesto6]]))</f>
        <v/>
      </c>
      <c r="O107" s="31"/>
      <c r="P107" s="32" t="str">
        <f>IF(Prueba[[#This Row],[Cant.5]]=0,"",IF(OR(Prueba[[#This Row],[Cant.6]]="",Prueba[[#This Row],[Puesto6]]=""),"?",Prueba[[#This Row],[Puesto6]]))</f>
        <v/>
      </c>
      <c r="Q107" s="31"/>
      <c r="R107" s="32"/>
      <c r="S107" s="14"/>
      <c r="T107" s="14"/>
      <c r="U107" s="31"/>
      <c r="V107" s="32" t="s">
        <v>1663</v>
      </c>
      <c r="W107" s="19"/>
      <c r="X107" s="19" t="s">
        <v>1667</v>
      </c>
      <c r="Y107" s="19">
        <v>2</v>
      </c>
      <c r="Z107" s="19" t="s">
        <v>1421</v>
      </c>
      <c r="AA107" s="19">
        <v>2</v>
      </c>
      <c r="AB107" s="19" t="s">
        <v>1421</v>
      </c>
    </row>
    <row r="108" spans="1:28" s="18" customFormat="1">
      <c r="A108" s="18" t="s">
        <v>202</v>
      </c>
      <c r="B108" s="18" t="s">
        <v>9</v>
      </c>
      <c r="C108" s="18" t="s">
        <v>150</v>
      </c>
      <c r="D108" s="18" t="s">
        <v>203</v>
      </c>
      <c r="E108" s="19" t="s">
        <v>39</v>
      </c>
      <c r="F108" s="18" t="s">
        <v>13</v>
      </c>
      <c r="G108" s="29">
        <v>1</v>
      </c>
      <c r="H108" s="32" t="str">
        <f>IF(Prueba[[#This Row],[Cant.]]=0,"",IF(OR(Prueba[[#This Row],[Cant.2]]="",Prueba[[#This Row],[Puesto2]]=""),"?",Prueba[[#This Row],[Puesto2]]))</f>
        <v>A</v>
      </c>
      <c r="I108" s="31">
        <v>1</v>
      </c>
      <c r="J108" s="32" t="s">
        <v>1421</v>
      </c>
      <c r="K108" s="14"/>
      <c r="L108" s="14"/>
      <c r="M108" s="31"/>
      <c r="N108" s="32" t="str">
        <f>IF(Prueba[[#This Row],[Cant.4]]=0,"",IF(OR(Prueba[[#This Row],[Cant.6]]="",Prueba[[#This Row],[Puesto6]]=""),"?",Prueba[[#This Row],[Puesto6]]))</f>
        <v/>
      </c>
      <c r="O108" s="31"/>
      <c r="P108" s="32" t="str">
        <f>IF(Prueba[[#This Row],[Cant.5]]=0,"",IF(OR(Prueba[[#This Row],[Cant.6]]="",Prueba[[#This Row],[Puesto6]]=""),"?",Prueba[[#This Row],[Puesto6]]))</f>
        <v/>
      </c>
      <c r="Q108" s="31"/>
      <c r="R108" s="32"/>
      <c r="S108" s="14"/>
      <c r="T108" s="14"/>
      <c r="U108" s="31"/>
      <c r="V108" s="32" t="s">
        <v>1663</v>
      </c>
      <c r="W108" s="19"/>
      <c r="X108" s="19" t="s">
        <v>1667</v>
      </c>
      <c r="Y108" s="19">
        <v>1</v>
      </c>
      <c r="Z108" s="19" t="s">
        <v>1421</v>
      </c>
      <c r="AA108" s="19">
        <v>1</v>
      </c>
      <c r="AB108" s="19" t="s">
        <v>1421</v>
      </c>
    </row>
    <row r="109" spans="1:28" s="18" customFormat="1">
      <c r="A109" s="63" t="s">
        <v>204</v>
      </c>
      <c r="B109" s="18" t="s">
        <v>9</v>
      </c>
      <c r="C109" s="18" t="s">
        <v>153</v>
      </c>
      <c r="D109" s="18" t="s">
        <v>205</v>
      </c>
      <c r="E109" s="19" t="s">
        <v>39</v>
      </c>
      <c r="F109" s="18" t="s">
        <v>13</v>
      </c>
      <c r="G109" s="29">
        <v>4</v>
      </c>
      <c r="H109" s="32">
        <f>IF(Prueba[[#This Row],[Cant.]]=0,"",IF(OR(Prueba[[#This Row],[Cant.2]]="",Prueba[[#This Row],[Puesto2]]=""),"?",Prueba[[#This Row],[Puesto2]]))</f>
        <v>3</v>
      </c>
      <c r="I109" s="31">
        <v>4</v>
      </c>
      <c r="J109" s="32">
        <v>3</v>
      </c>
      <c r="K109" s="14"/>
      <c r="L109" s="14"/>
      <c r="M109" s="31"/>
      <c r="N109" s="32" t="str">
        <f>IF(Prueba[[#This Row],[Cant.4]]=0,"",IF(OR(Prueba[[#This Row],[Cant.6]]="",Prueba[[#This Row],[Puesto6]]=""),"?",Prueba[[#This Row],[Puesto6]]))</f>
        <v/>
      </c>
      <c r="O109" s="31"/>
      <c r="P109" s="32" t="str">
        <f>IF(Prueba[[#This Row],[Cant.5]]=0,"",IF(OR(Prueba[[#This Row],[Cant.6]]="",Prueba[[#This Row],[Puesto6]]=""),"?",Prueba[[#This Row],[Puesto6]]))</f>
        <v/>
      </c>
      <c r="Q109" s="31"/>
      <c r="R109" s="32"/>
      <c r="S109" s="14"/>
      <c r="T109" s="14"/>
      <c r="U109" s="31"/>
      <c r="V109" s="32" t="s">
        <v>1663</v>
      </c>
      <c r="W109" s="19"/>
      <c r="X109" s="19" t="s">
        <v>1667</v>
      </c>
      <c r="Y109" s="19">
        <v>4</v>
      </c>
      <c r="Z109" s="19">
        <v>3</v>
      </c>
      <c r="AA109" s="19">
        <v>4</v>
      </c>
      <c r="AB109" s="19">
        <v>3</v>
      </c>
    </row>
    <row r="110" spans="1:28" s="18" customFormat="1">
      <c r="A110" s="63" t="s">
        <v>206</v>
      </c>
      <c r="B110" s="18" t="s">
        <v>9</v>
      </c>
      <c r="C110" s="18" t="s">
        <v>153</v>
      </c>
      <c r="D110" s="18" t="s">
        <v>207</v>
      </c>
      <c r="E110" s="19" t="s">
        <v>39</v>
      </c>
      <c r="F110" s="18" t="s">
        <v>13</v>
      </c>
      <c r="G110" s="29">
        <v>2</v>
      </c>
      <c r="H110" s="32" t="str">
        <f>IF(Prueba[[#This Row],[Cant.]]=0,"",IF(OR(Prueba[[#This Row],[Cant.2]]="",Prueba[[#This Row],[Puesto2]]=""),"?",Prueba[[#This Row],[Puesto2]]))</f>
        <v>A</v>
      </c>
      <c r="I110" s="31">
        <v>2</v>
      </c>
      <c r="J110" s="32" t="s">
        <v>1421</v>
      </c>
      <c r="K110" s="14"/>
      <c r="L110" s="14"/>
      <c r="M110" s="31"/>
      <c r="N110" s="32" t="str">
        <f>IF(Prueba[[#This Row],[Cant.4]]=0,"",IF(OR(Prueba[[#This Row],[Cant.6]]="",Prueba[[#This Row],[Puesto6]]=""),"?",Prueba[[#This Row],[Puesto6]]))</f>
        <v/>
      </c>
      <c r="O110" s="31"/>
      <c r="P110" s="32" t="str">
        <f>IF(Prueba[[#This Row],[Cant.5]]=0,"",IF(OR(Prueba[[#This Row],[Cant.6]]="",Prueba[[#This Row],[Puesto6]]=""),"?",Prueba[[#This Row],[Puesto6]]))</f>
        <v/>
      </c>
      <c r="Q110" s="31"/>
      <c r="R110" s="32"/>
      <c r="S110" s="14"/>
      <c r="T110" s="14"/>
      <c r="U110" s="31"/>
      <c r="V110" s="32" t="s">
        <v>1663</v>
      </c>
      <c r="W110" s="19"/>
      <c r="X110" s="19" t="s">
        <v>1667</v>
      </c>
      <c r="Y110" s="19">
        <v>2</v>
      </c>
      <c r="Z110" s="19" t="s">
        <v>1421</v>
      </c>
      <c r="AA110" s="19">
        <v>2</v>
      </c>
      <c r="AB110" s="19" t="s">
        <v>1421</v>
      </c>
    </row>
    <row r="111" spans="1:28" s="18" customFormat="1">
      <c r="A111" s="18" t="s">
        <v>208</v>
      </c>
      <c r="B111" s="18" t="s">
        <v>9</v>
      </c>
      <c r="C111" s="18" t="s">
        <v>144</v>
      </c>
      <c r="D111" s="18" t="s">
        <v>209</v>
      </c>
      <c r="E111" s="19" t="s">
        <v>39</v>
      </c>
      <c r="F111" s="18" t="s">
        <v>13</v>
      </c>
      <c r="G111" s="29">
        <v>1</v>
      </c>
      <c r="H111" s="32" t="str">
        <f>IF(Prueba[[#This Row],[Cant.]]=0,"",IF(OR(Prueba[[#This Row],[Cant.2]]="",Prueba[[#This Row],[Puesto2]]=""),"?",Prueba[[#This Row],[Puesto2]]))</f>
        <v>A</v>
      </c>
      <c r="I111" s="31">
        <v>1</v>
      </c>
      <c r="J111" s="32" t="s">
        <v>1421</v>
      </c>
      <c r="K111" s="14"/>
      <c r="L111" s="14"/>
      <c r="M111" s="31"/>
      <c r="N111" s="32" t="str">
        <f>IF(Prueba[[#This Row],[Cant.4]]=0,"",IF(OR(Prueba[[#This Row],[Cant.6]]="",Prueba[[#This Row],[Puesto6]]=""),"?",Prueba[[#This Row],[Puesto6]]))</f>
        <v/>
      </c>
      <c r="O111" s="31"/>
      <c r="P111" s="32" t="str">
        <f>IF(Prueba[[#This Row],[Cant.5]]=0,"",IF(OR(Prueba[[#This Row],[Cant.6]]="",Prueba[[#This Row],[Puesto6]]=""),"?",Prueba[[#This Row],[Puesto6]]))</f>
        <v/>
      </c>
      <c r="Q111" s="31"/>
      <c r="R111" s="32"/>
      <c r="S111" s="14"/>
      <c r="T111" s="14"/>
      <c r="U111" s="31"/>
      <c r="V111" s="32" t="s">
        <v>1663</v>
      </c>
      <c r="W111" s="19"/>
      <c r="X111" s="19" t="s">
        <v>1667</v>
      </c>
      <c r="Y111" s="19">
        <v>1</v>
      </c>
      <c r="Z111" s="19" t="s">
        <v>1421</v>
      </c>
      <c r="AA111" s="19">
        <v>1</v>
      </c>
      <c r="AB111" s="19" t="s">
        <v>1421</v>
      </c>
    </row>
    <row r="112" spans="1:28" s="18" customFormat="1">
      <c r="A112" s="18" t="s">
        <v>210</v>
      </c>
      <c r="B112" s="18" t="s">
        <v>9</v>
      </c>
      <c r="C112" s="18" t="s">
        <v>144</v>
      </c>
      <c r="D112" s="18" t="s">
        <v>211</v>
      </c>
      <c r="E112" s="19" t="s">
        <v>39</v>
      </c>
      <c r="F112" s="18" t="s">
        <v>13</v>
      </c>
      <c r="G112" s="29">
        <v>1</v>
      </c>
      <c r="H112" s="32" t="str">
        <f>IF(Prueba[[#This Row],[Cant.]]=0,"",IF(OR(Prueba[[#This Row],[Cant.2]]="",Prueba[[#This Row],[Puesto2]]=""),"?",Prueba[[#This Row],[Puesto2]]))</f>
        <v>A</v>
      </c>
      <c r="I112" s="31">
        <v>1</v>
      </c>
      <c r="J112" s="32" t="s">
        <v>1421</v>
      </c>
      <c r="K112" s="14"/>
      <c r="L112" s="14"/>
      <c r="M112" s="31"/>
      <c r="N112" s="32" t="str">
        <f>IF(Prueba[[#This Row],[Cant.4]]=0,"",IF(OR(Prueba[[#This Row],[Cant.6]]="",Prueba[[#This Row],[Puesto6]]=""),"?",Prueba[[#This Row],[Puesto6]]))</f>
        <v/>
      </c>
      <c r="O112" s="31"/>
      <c r="P112" s="32" t="str">
        <f>IF(Prueba[[#This Row],[Cant.5]]=0,"",IF(OR(Prueba[[#This Row],[Cant.6]]="",Prueba[[#This Row],[Puesto6]]=""),"?",Prueba[[#This Row],[Puesto6]]))</f>
        <v/>
      </c>
      <c r="Q112" s="31"/>
      <c r="R112" s="32"/>
      <c r="S112" s="14"/>
      <c r="T112" s="14"/>
      <c r="U112" s="31"/>
      <c r="V112" s="32" t="s">
        <v>1663</v>
      </c>
      <c r="W112" s="19"/>
      <c r="X112" s="19" t="s">
        <v>1667</v>
      </c>
      <c r="Y112" s="19">
        <v>1</v>
      </c>
      <c r="Z112" s="19" t="s">
        <v>1421</v>
      </c>
      <c r="AA112" s="19">
        <v>1</v>
      </c>
      <c r="AB112" s="19" t="s">
        <v>1421</v>
      </c>
    </row>
    <row r="113" spans="1:28" s="18" customFormat="1">
      <c r="A113" s="18" t="s">
        <v>212</v>
      </c>
      <c r="B113" s="18" t="s">
        <v>9</v>
      </c>
      <c r="C113" s="18" t="s">
        <v>161</v>
      </c>
      <c r="D113" s="18" t="s">
        <v>213</v>
      </c>
      <c r="E113" s="19" t="s">
        <v>39</v>
      </c>
      <c r="F113" s="18" t="s">
        <v>13</v>
      </c>
      <c r="G113" s="29"/>
      <c r="H113" s="32" t="str">
        <f>IF(Prueba[[#This Row],[Cant.]]=0,"",IF(OR(Prueba[[#This Row],[Cant.2]]="",Prueba[[#This Row],[Puesto2]]=""),"?",Prueba[[#This Row],[Puesto2]]))</f>
        <v/>
      </c>
      <c r="I113" s="31">
        <v>2</v>
      </c>
      <c r="J113" s="32">
        <v>3</v>
      </c>
      <c r="K113" s="14"/>
      <c r="L113" s="14"/>
      <c r="M113" s="31"/>
      <c r="N113" s="32" t="str">
        <f>IF(Prueba[[#This Row],[Cant.4]]=0,"",IF(OR(Prueba[[#This Row],[Cant.6]]="",Prueba[[#This Row],[Puesto6]]=""),"?",Prueba[[#This Row],[Puesto6]]))</f>
        <v/>
      </c>
      <c r="O113" s="31"/>
      <c r="P113" s="32" t="str">
        <f>IF(Prueba[[#This Row],[Cant.5]]=0,"",IF(OR(Prueba[[#This Row],[Cant.6]]="",Prueba[[#This Row],[Puesto6]]=""),"?",Prueba[[#This Row],[Puesto6]]))</f>
        <v/>
      </c>
      <c r="Q113" s="31"/>
      <c r="R113" s="32"/>
      <c r="S113" s="14"/>
      <c r="T113" s="14"/>
      <c r="U113" s="31"/>
      <c r="V113" s="32" t="s">
        <v>1663</v>
      </c>
      <c r="W113" s="19"/>
      <c r="X113" s="19" t="s">
        <v>1667</v>
      </c>
      <c r="Y113" s="19" t="s">
        <v>1663</v>
      </c>
      <c r="Z113" s="19" t="s">
        <v>1663</v>
      </c>
      <c r="AA113" s="19">
        <v>2</v>
      </c>
      <c r="AB113" s="19">
        <v>3</v>
      </c>
    </row>
    <row r="114" spans="1:28" s="18" customFormat="1">
      <c r="A114" s="18" t="s">
        <v>1715</v>
      </c>
      <c r="B114" s="18" t="s">
        <v>9</v>
      </c>
      <c r="D114" s="18" t="s">
        <v>162</v>
      </c>
      <c r="E114" s="19" t="s">
        <v>3</v>
      </c>
      <c r="F114" s="18" t="s">
        <v>13</v>
      </c>
      <c r="G114" s="29">
        <v>2</v>
      </c>
      <c r="H114" s="32">
        <v>3</v>
      </c>
      <c r="I114" s="31"/>
      <c r="J114" s="32"/>
      <c r="K114" s="14"/>
      <c r="L114" s="14"/>
      <c r="M114" s="31"/>
      <c r="N114" s="32" t="str">
        <f>IF(Prueba[[#This Row],[Cant.4]]=0,"",IF(OR(Prueba[[#This Row],[Cant.6]]="",Prueba[[#This Row],[Puesto6]]=""),"?",Prueba[[#This Row],[Puesto6]]))</f>
        <v/>
      </c>
      <c r="O114" s="31"/>
      <c r="P114" s="32" t="str">
        <f>IF(Prueba[[#This Row],[Cant.5]]=0,"",IF(OR(Prueba[[#This Row],[Cant.6]]="",Prueba[[#This Row],[Puesto6]]=""),"?",Prueba[[#This Row],[Puesto6]]))</f>
        <v/>
      </c>
      <c r="Q114" s="31"/>
      <c r="R114" s="32"/>
      <c r="S114" s="14"/>
      <c r="T114" s="14"/>
      <c r="U114" s="31"/>
      <c r="V114" s="32" t="s">
        <v>1663</v>
      </c>
      <c r="W114" s="19"/>
      <c r="X114" s="19" t="s">
        <v>1667</v>
      </c>
      <c r="Y114" s="19">
        <v>2</v>
      </c>
      <c r="Z114" s="19">
        <v>3</v>
      </c>
      <c r="AA114" s="19" t="s">
        <v>1663</v>
      </c>
      <c r="AB114" s="19" t="s">
        <v>1663</v>
      </c>
    </row>
    <row r="115" spans="1:28" s="18" customFormat="1">
      <c r="A115" s="18" t="s">
        <v>1716</v>
      </c>
      <c r="B115" s="18" t="s">
        <v>9</v>
      </c>
      <c r="D115" s="18" t="s">
        <v>1717</v>
      </c>
      <c r="E115" s="19" t="s">
        <v>3</v>
      </c>
      <c r="F115" s="18" t="s">
        <v>13</v>
      </c>
      <c r="G115" s="29">
        <v>1</v>
      </c>
      <c r="H115" s="32" t="s">
        <v>1402</v>
      </c>
      <c r="I115" s="31"/>
      <c r="J115" s="32"/>
      <c r="K115" s="14"/>
      <c r="L115" s="14"/>
      <c r="M115" s="31"/>
      <c r="N115" s="32" t="str">
        <f>IF(Prueba[[#This Row],[Cant.4]]=0,"",IF(OR(Prueba[[#This Row],[Cant.6]]="",Prueba[[#This Row],[Puesto6]]=""),"?",Prueba[[#This Row],[Puesto6]]))</f>
        <v/>
      </c>
      <c r="O115" s="31"/>
      <c r="P115" s="32" t="str">
        <f>IF(Prueba[[#This Row],[Cant.5]]=0,"",IF(OR(Prueba[[#This Row],[Cant.6]]="",Prueba[[#This Row],[Puesto6]]=""),"?",Prueba[[#This Row],[Puesto6]]))</f>
        <v/>
      </c>
      <c r="Q115" s="31"/>
      <c r="R115" s="32"/>
      <c r="S115" s="14"/>
      <c r="T115" s="14"/>
      <c r="U115" s="31"/>
      <c r="V115" s="32" t="s">
        <v>1663</v>
      </c>
      <c r="W115" s="19"/>
      <c r="X115" s="19" t="s">
        <v>1667</v>
      </c>
      <c r="Y115" s="19">
        <v>1</v>
      </c>
      <c r="Z115" s="19" t="s">
        <v>1399</v>
      </c>
      <c r="AA115" s="19" t="s">
        <v>1663</v>
      </c>
      <c r="AB115" s="19" t="s">
        <v>1663</v>
      </c>
    </row>
    <row r="116" spans="1:28" s="18" customFormat="1">
      <c r="A116" s="18" t="s">
        <v>1718</v>
      </c>
      <c r="B116" s="18" t="s">
        <v>9</v>
      </c>
      <c r="D116" s="18" t="s">
        <v>1719</v>
      </c>
      <c r="E116" s="19" t="s">
        <v>3</v>
      </c>
      <c r="F116" s="18" t="s">
        <v>13</v>
      </c>
      <c r="G116" s="29">
        <v>1</v>
      </c>
      <c r="H116" s="32" t="s">
        <v>1402</v>
      </c>
      <c r="I116" s="31"/>
      <c r="J116" s="32"/>
      <c r="K116" s="14"/>
      <c r="L116" s="14"/>
      <c r="M116" s="31"/>
      <c r="N116" s="32" t="str">
        <f>IF(Prueba[[#This Row],[Cant.4]]=0,"",IF(OR(Prueba[[#This Row],[Cant.6]]="",Prueba[[#This Row],[Puesto6]]=""),"?",Prueba[[#This Row],[Puesto6]]))</f>
        <v/>
      </c>
      <c r="O116" s="31"/>
      <c r="P116" s="32" t="str">
        <f>IF(Prueba[[#This Row],[Cant.5]]=0,"",IF(OR(Prueba[[#This Row],[Cant.6]]="",Prueba[[#This Row],[Puesto6]]=""),"?",Prueba[[#This Row],[Puesto6]]))</f>
        <v/>
      </c>
      <c r="Q116" s="31"/>
      <c r="R116" s="32"/>
      <c r="S116" s="14"/>
      <c r="T116" s="14"/>
      <c r="U116" s="31"/>
      <c r="V116" s="32" t="s">
        <v>1663</v>
      </c>
      <c r="W116" s="19"/>
      <c r="X116" s="19" t="s">
        <v>1667</v>
      </c>
      <c r="Y116" s="19">
        <v>1</v>
      </c>
      <c r="Z116" s="19" t="s">
        <v>1399</v>
      </c>
      <c r="AA116" s="19" t="s">
        <v>1663</v>
      </c>
      <c r="AB116" s="19" t="s">
        <v>1663</v>
      </c>
    </row>
    <row r="117" spans="1:28" s="18" customFormat="1">
      <c r="A117" s="18" t="s">
        <v>214</v>
      </c>
      <c r="B117" s="18" t="s">
        <v>9</v>
      </c>
      <c r="C117" s="18" t="s">
        <v>215</v>
      </c>
      <c r="D117" s="18" t="s">
        <v>216</v>
      </c>
      <c r="E117" s="19" t="s">
        <v>39</v>
      </c>
      <c r="F117" s="18" t="s">
        <v>13</v>
      </c>
      <c r="G117" s="29"/>
      <c r="H117" s="32" t="str">
        <f>IF(Prueba[[#This Row],[Cant.]]=0,"",IF(OR(Prueba[[#This Row],[Cant.2]]="",Prueba[[#This Row],[Puesto2]]=""),"?",Prueba[[#This Row],[Puesto2]]))</f>
        <v/>
      </c>
      <c r="I117" s="31">
        <v>1</v>
      </c>
      <c r="J117" s="32" t="s">
        <v>1402</v>
      </c>
      <c r="K117" s="14"/>
      <c r="L117" s="14"/>
      <c r="M117" s="31"/>
      <c r="N117" s="32" t="str">
        <f>IF(Prueba[[#This Row],[Cant.4]]=0,"",IF(OR(Prueba[[#This Row],[Cant.6]]="",Prueba[[#This Row],[Puesto6]]=""),"?",Prueba[[#This Row],[Puesto6]]))</f>
        <v/>
      </c>
      <c r="O117" s="31"/>
      <c r="P117" s="32" t="str">
        <f>IF(Prueba[[#This Row],[Cant.5]]=0,"",IF(OR(Prueba[[#This Row],[Cant.6]]="",Prueba[[#This Row],[Puesto6]]=""),"?",Prueba[[#This Row],[Puesto6]]))</f>
        <v/>
      </c>
      <c r="Q117" s="31"/>
      <c r="R117" s="32"/>
      <c r="S117" s="14"/>
      <c r="T117" s="14"/>
      <c r="U117" s="31"/>
      <c r="V117" s="32" t="s">
        <v>1663</v>
      </c>
      <c r="W117" s="19"/>
      <c r="X117" s="19" t="s">
        <v>1667</v>
      </c>
      <c r="Y117" s="19" t="s">
        <v>1663</v>
      </c>
      <c r="Z117" s="19" t="s">
        <v>1663</v>
      </c>
      <c r="AA117" s="19">
        <v>1</v>
      </c>
      <c r="AB117" s="19" t="s">
        <v>1402</v>
      </c>
    </row>
    <row r="118" spans="1:28" s="18" customFormat="1">
      <c r="A118" s="18" t="s">
        <v>217</v>
      </c>
      <c r="B118" s="18" t="s">
        <v>9</v>
      </c>
      <c r="C118" s="18" t="s">
        <v>215</v>
      </c>
      <c r="D118" s="18" t="s">
        <v>216</v>
      </c>
      <c r="E118" s="19" t="s">
        <v>39</v>
      </c>
      <c r="F118" s="18" t="s">
        <v>13</v>
      </c>
      <c r="G118" s="29"/>
      <c r="H118" s="32" t="str">
        <f>IF(Prueba[[#This Row],[Cant.]]=0,"",IF(OR(Prueba[[#This Row],[Cant.2]]="",Prueba[[#This Row],[Puesto2]]=""),"?",Prueba[[#This Row],[Puesto2]]))</f>
        <v/>
      </c>
      <c r="I118" s="31">
        <v>1</v>
      </c>
      <c r="J118" s="32" t="s">
        <v>1402</v>
      </c>
      <c r="K118" s="14"/>
      <c r="L118" s="14"/>
      <c r="M118" s="31"/>
      <c r="N118" s="32" t="str">
        <f>IF(Prueba[[#This Row],[Cant.4]]=0,"",IF(OR(Prueba[[#This Row],[Cant.6]]="",Prueba[[#This Row],[Puesto6]]=""),"?",Prueba[[#This Row],[Puesto6]]))</f>
        <v/>
      </c>
      <c r="O118" s="31"/>
      <c r="P118" s="32" t="str">
        <f>IF(Prueba[[#This Row],[Cant.5]]=0,"",IF(OR(Prueba[[#This Row],[Cant.6]]="",Prueba[[#This Row],[Puesto6]]=""),"?",Prueba[[#This Row],[Puesto6]]))</f>
        <v/>
      </c>
      <c r="Q118" s="31"/>
      <c r="R118" s="32"/>
      <c r="S118" s="14"/>
      <c r="T118" s="14"/>
      <c r="U118" s="31"/>
      <c r="V118" s="32" t="s">
        <v>1663</v>
      </c>
      <c r="W118" s="19"/>
      <c r="X118" s="19" t="s">
        <v>1667</v>
      </c>
      <c r="Y118" s="19" t="s">
        <v>1663</v>
      </c>
      <c r="Z118" s="19" t="s">
        <v>1663</v>
      </c>
      <c r="AA118" s="19" t="s">
        <v>1663</v>
      </c>
      <c r="AB118" s="19" t="s">
        <v>1663</v>
      </c>
    </row>
    <row r="119" spans="1:28" s="18" customFormat="1">
      <c r="A119" s="18" t="s">
        <v>1720</v>
      </c>
      <c r="C119" s="18" t="s">
        <v>1721</v>
      </c>
      <c r="D119" s="18" t="s">
        <v>1721</v>
      </c>
      <c r="E119" s="19" t="s">
        <v>39</v>
      </c>
      <c r="G119" s="29"/>
      <c r="H119" s="32" t="str">
        <f>IF(Prueba[[#This Row],[Cant.]]=0,"",IF(OR(Prueba[[#This Row],[Cant.2]]="",Prueba[[#This Row],[Puesto2]]=""),"?",Prueba[[#This Row],[Puesto2]]))</f>
        <v/>
      </c>
      <c r="I119" s="31"/>
      <c r="J119" s="32"/>
      <c r="K119" s="14"/>
      <c r="L119" s="14"/>
      <c r="M119" s="31"/>
      <c r="N119" s="32" t="str">
        <f>IF(Prueba[[#This Row],[Cant.4]]=0,"",IF(OR(Prueba[[#This Row],[Cant.6]]="",Prueba[[#This Row],[Puesto6]]=""),"?",Prueba[[#This Row],[Puesto6]]))</f>
        <v/>
      </c>
      <c r="O119" s="31"/>
      <c r="P119" s="32" t="str">
        <f>IF(Prueba[[#This Row],[Cant.5]]=0,"",IF(OR(Prueba[[#This Row],[Cant.6]]="",Prueba[[#This Row],[Puesto6]]=""),"?",Prueba[[#This Row],[Puesto6]]))</f>
        <v/>
      </c>
      <c r="Q119" s="31"/>
      <c r="R119" s="32"/>
      <c r="S119" s="14"/>
      <c r="T119" s="14"/>
      <c r="U119" s="31"/>
      <c r="V119" s="32" t="s">
        <v>1663</v>
      </c>
      <c r="X119" s="19" t="s">
        <v>1667</v>
      </c>
      <c r="Y119" s="19" t="s">
        <v>1663</v>
      </c>
      <c r="Z119" s="19" t="s">
        <v>1663</v>
      </c>
      <c r="AA119" s="19">
        <v>1</v>
      </c>
      <c r="AB119" s="19" t="s">
        <v>1402</v>
      </c>
    </row>
    <row r="120" spans="1:28" s="18" customFormat="1">
      <c r="A120" s="18" t="s">
        <v>218</v>
      </c>
      <c r="B120" s="18" t="s">
        <v>9</v>
      </c>
      <c r="C120" s="18" t="s">
        <v>219</v>
      </c>
      <c r="D120" s="18" t="s">
        <v>220</v>
      </c>
      <c r="E120" s="19" t="s">
        <v>12</v>
      </c>
      <c r="F120" s="18" t="s">
        <v>13</v>
      </c>
      <c r="G120" s="29">
        <v>1</v>
      </c>
      <c r="H120" s="32">
        <f>IF(Prueba[[#This Row],[Cant.]]=0,"",IF(OR(Prueba[[#This Row],[Cant.2]]="",Prueba[[#This Row],[Puesto2]]=""),"?",Prueba[[#This Row],[Puesto2]]))</f>
        <v>4</v>
      </c>
      <c r="I120" s="31">
        <v>1</v>
      </c>
      <c r="J120" s="32">
        <v>4</v>
      </c>
      <c r="K120" s="14"/>
      <c r="L120" s="14"/>
      <c r="M120" s="31"/>
      <c r="N120" s="32" t="str">
        <f>IF(Prueba[[#This Row],[Cant.4]]=0,"",IF(OR(Prueba[[#This Row],[Cant.6]]="",Prueba[[#This Row],[Puesto6]]=""),"?",Prueba[[#This Row],[Puesto6]]))</f>
        <v/>
      </c>
      <c r="O120" s="31"/>
      <c r="P120" s="32" t="str">
        <f>IF(Prueba[[#This Row],[Cant.5]]=0,"",IF(OR(Prueba[[#This Row],[Cant.6]]="",Prueba[[#This Row],[Puesto6]]=""),"?",Prueba[[#This Row],[Puesto6]]))</f>
        <v/>
      </c>
      <c r="Q120" s="31"/>
      <c r="R120" s="32"/>
      <c r="S120" s="14"/>
      <c r="T120" s="14"/>
      <c r="U120" s="31"/>
      <c r="V120" s="32" t="s">
        <v>1663</v>
      </c>
      <c r="W120" s="19"/>
      <c r="X120" s="19" t="s">
        <v>1667</v>
      </c>
      <c r="Y120" s="19">
        <v>1</v>
      </c>
      <c r="Z120" s="19">
        <v>4</v>
      </c>
      <c r="AA120" s="19">
        <v>1</v>
      </c>
      <c r="AB120" s="19">
        <v>4</v>
      </c>
    </row>
    <row r="121" spans="1:28" s="18" customFormat="1">
      <c r="A121" s="18" t="s">
        <v>221</v>
      </c>
      <c r="B121" s="18" t="s">
        <v>9</v>
      </c>
      <c r="C121" s="18" t="s">
        <v>139</v>
      </c>
      <c r="D121" s="18" t="s">
        <v>222</v>
      </c>
      <c r="E121" s="19" t="s">
        <v>39</v>
      </c>
      <c r="F121" s="18" t="s">
        <v>13</v>
      </c>
      <c r="G121" s="29">
        <v>4</v>
      </c>
      <c r="H121" s="32" t="str">
        <f>IF(Prueba[[#This Row],[Cant.]]=0,"",IF(OR(Prueba[[#This Row],[Cant.2]]="",Prueba[[#This Row],[Puesto2]]=""),"?",Prueba[[#This Row],[Puesto2]]))</f>
        <v>A</v>
      </c>
      <c r="I121" s="31">
        <v>4</v>
      </c>
      <c r="J121" s="32" t="s">
        <v>1421</v>
      </c>
      <c r="K121" s="14"/>
      <c r="L121" s="14"/>
      <c r="M121" s="31"/>
      <c r="N121" s="32" t="str">
        <f>IF(Prueba[[#This Row],[Cant.4]]=0,"",IF(OR(Prueba[[#This Row],[Cant.6]]="",Prueba[[#This Row],[Puesto6]]=""),"?",Prueba[[#This Row],[Puesto6]]))</f>
        <v/>
      </c>
      <c r="O121" s="31"/>
      <c r="P121" s="32" t="str">
        <f>IF(Prueba[[#This Row],[Cant.5]]=0,"",IF(OR(Prueba[[#This Row],[Cant.6]]="",Prueba[[#This Row],[Puesto6]]=""),"?",Prueba[[#This Row],[Puesto6]]))</f>
        <v/>
      </c>
      <c r="Q121" s="31"/>
      <c r="R121" s="32"/>
      <c r="S121" s="14"/>
      <c r="T121" s="14"/>
      <c r="U121" s="31"/>
      <c r="V121" s="32" t="s">
        <v>1663</v>
      </c>
      <c r="W121" s="19"/>
      <c r="X121" s="19" t="s">
        <v>1667</v>
      </c>
      <c r="Y121" s="19">
        <v>4</v>
      </c>
      <c r="Z121" s="19" t="s">
        <v>1421</v>
      </c>
      <c r="AA121" s="19">
        <v>4</v>
      </c>
      <c r="AB121" s="19" t="s">
        <v>1421</v>
      </c>
    </row>
    <row r="122" spans="1:28" s="18" customFormat="1">
      <c r="A122" s="18" t="s">
        <v>223</v>
      </c>
      <c r="B122" s="18" t="s">
        <v>9</v>
      </c>
      <c r="C122" s="18" t="s">
        <v>144</v>
      </c>
      <c r="D122" s="18" t="s">
        <v>211</v>
      </c>
      <c r="E122" s="19" t="s">
        <v>39</v>
      </c>
      <c r="F122" s="18" t="s">
        <v>13</v>
      </c>
      <c r="G122" s="29">
        <v>2</v>
      </c>
      <c r="H122" s="32" t="str">
        <f>IF(Prueba[[#This Row],[Cant.]]=0,"",IF(OR(Prueba[[#This Row],[Cant.2]]="",Prueba[[#This Row],[Puesto2]]=""),"?",Prueba[[#This Row],[Puesto2]]))</f>
        <v>A</v>
      </c>
      <c r="I122" s="31">
        <v>2</v>
      </c>
      <c r="J122" s="32" t="s">
        <v>1421</v>
      </c>
      <c r="K122" s="14"/>
      <c r="L122" s="14"/>
      <c r="M122" s="31"/>
      <c r="N122" s="32" t="str">
        <f>IF(Prueba[[#This Row],[Cant.4]]=0,"",IF(OR(Prueba[[#This Row],[Cant.6]]="",Prueba[[#This Row],[Puesto6]]=""),"?",Prueba[[#This Row],[Puesto6]]))</f>
        <v/>
      </c>
      <c r="O122" s="31"/>
      <c r="P122" s="32" t="str">
        <f>IF(Prueba[[#This Row],[Cant.5]]=0,"",IF(OR(Prueba[[#This Row],[Cant.6]]="",Prueba[[#This Row],[Puesto6]]=""),"?",Prueba[[#This Row],[Puesto6]]))</f>
        <v/>
      </c>
      <c r="Q122" s="31"/>
      <c r="R122" s="32"/>
      <c r="S122" s="14"/>
      <c r="T122" s="14"/>
      <c r="U122" s="31"/>
      <c r="V122" s="32" t="s">
        <v>1663</v>
      </c>
      <c r="W122" s="19"/>
      <c r="X122" s="19" t="s">
        <v>1667</v>
      </c>
      <c r="Y122" s="19">
        <v>2</v>
      </c>
      <c r="Z122" s="19" t="s">
        <v>1421</v>
      </c>
      <c r="AA122" s="19">
        <v>2</v>
      </c>
      <c r="AB122" s="19" t="s">
        <v>1421</v>
      </c>
    </row>
    <row r="123" spans="1:28" s="18" customFormat="1">
      <c r="A123" s="18" t="s">
        <v>224</v>
      </c>
      <c r="B123" s="18" t="s">
        <v>9</v>
      </c>
      <c r="C123" s="18" t="s">
        <v>136</v>
      </c>
      <c r="D123" s="18" t="s">
        <v>225</v>
      </c>
      <c r="E123" s="19" t="s">
        <v>39</v>
      </c>
      <c r="F123" s="18" t="s">
        <v>13</v>
      </c>
      <c r="G123" s="29">
        <v>2</v>
      </c>
      <c r="H123" s="32">
        <f>IF(Prueba[[#This Row],[Cant.]]=0,"",IF(OR(Prueba[[#This Row],[Cant.2]]="",Prueba[[#This Row],[Puesto2]]=""),"?",Prueba[[#This Row],[Puesto2]]))</f>
        <v>3</v>
      </c>
      <c r="I123" s="31">
        <v>2</v>
      </c>
      <c r="J123" s="32">
        <v>3</v>
      </c>
      <c r="K123" s="14"/>
      <c r="L123" s="14"/>
      <c r="M123" s="31"/>
      <c r="N123" s="32" t="str">
        <f>IF(Prueba[[#This Row],[Cant.4]]=0,"",IF(OR(Prueba[[#This Row],[Cant.6]]="",Prueba[[#This Row],[Puesto6]]=""),"?",Prueba[[#This Row],[Puesto6]]))</f>
        <v/>
      </c>
      <c r="O123" s="31"/>
      <c r="P123" s="32" t="str">
        <f>IF(Prueba[[#This Row],[Cant.5]]=0,"",IF(OR(Prueba[[#This Row],[Cant.6]]="",Prueba[[#This Row],[Puesto6]]=""),"?",Prueba[[#This Row],[Puesto6]]))</f>
        <v/>
      </c>
      <c r="Q123" s="31"/>
      <c r="R123" s="32"/>
      <c r="S123" s="14"/>
      <c r="T123" s="14"/>
      <c r="U123" s="31"/>
      <c r="V123" s="32" t="s">
        <v>1663</v>
      </c>
      <c r="W123" s="19"/>
      <c r="X123" s="19" t="s">
        <v>1667</v>
      </c>
      <c r="Y123" s="19">
        <v>2</v>
      </c>
      <c r="Z123" s="19">
        <v>3</v>
      </c>
      <c r="AA123" s="19">
        <v>2</v>
      </c>
      <c r="AB123" s="19">
        <v>3</v>
      </c>
    </row>
    <row r="124" spans="1:28" s="18" customFormat="1">
      <c r="A124" s="18" t="s">
        <v>226</v>
      </c>
      <c r="B124" s="18" t="s">
        <v>9</v>
      </c>
      <c r="C124" s="18" t="s">
        <v>136</v>
      </c>
      <c r="D124" s="18" t="s">
        <v>225</v>
      </c>
      <c r="E124" s="19" t="s">
        <v>39</v>
      </c>
      <c r="F124" s="18" t="s">
        <v>13</v>
      </c>
      <c r="G124" s="29">
        <v>2</v>
      </c>
      <c r="H124" s="32">
        <f>IF(Prueba[[#This Row],[Cant.]]=0,"",IF(OR(Prueba[[#This Row],[Cant.2]]="",Prueba[[#This Row],[Puesto2]]=""),"?",Prueba[[#This Row],[Puesto2]]))</f>
        <v>3</v>
      </c>
      <c r="I124" s="31">
        <v>2</v>
      </c>
      <c r="J124" s="32">
        <v>3</v>
      </c>
      <c r="K124" s="14"/>
      <c r="L124" s="14"/>
      <c r="M124" s="31"/>
      <c r="N124" s="32" t="str">
        <f>IF(Prueba[[#This Row],[Cant.4]]=0,"",IF(OR(Prueba[[#This Row],[Cant.6]]="",Prueba[[#This Row],[Puesto6]]=""),"?",Prueba[[#This Row],[Puesto6]]))</f>
        <v/>
      </c>
      <c r="O124" s="31"/>
      <c r="P124" s="32" t="str">
        <f>IF(Prueba[[#This Row],[Cant.5]]=0,"",IF(OR(Prueba[[#This Row],[Cant.6]]="",Prueba[[#This Row],[Puesto6]]=""),"?",Prueba[[#This Row],[Puesto6]]))</f>
        <v/>
      </c>
      <c r="Q124" s="31"/>
      <c r="R124" s="32"/>
      <c r="S124" s="14"/>
      <c r="T124" s="14"/>
      <c r="U124" s="31"/>
      <c r="V124" s="32" t="s">
        <v>1663</v>
      </c>
      <c r="W124" s="19"/>
      <c r="X124" s="19" t="s">
        <v>1667</v>
      </c>
      <c r="Y124" s="19">
        <v>2</v>
      </c>
      <c r="Z124" s="19">
        <v>3</v>
      </c>
      <c r="AA124" s="19">
        <v>2</v>
      </c>
      <c r="AB124" s="19">
        <v>3</v>
      </c>
    </row>
    <row r="125" spans="1:28" s="18" customFormat="1">
      <c r="A125" s="101" t="s">
        <v>1722</v>
      </c>
      <c r="B125" s="18" t="s">
        <v>9</v>
      </c>
      <c r="C125" s="18" t="s">
        <v>228</v>
      </c>
      <c r="D125" s="18" t="s">
        <v>229</v>
      </c>
      <c r="E125" s="19" t="s">
        <v>230</v>
      </c>
      <c r="F125" s="18" t="s">
        <v>13</v>
      </c>
      <c r="G125" s="29"/>
      <c r="H125" s="32" t="str">
        <f>IF(Prueba[[#This Row],[Cant.]]=0,"",IF(OR(Prueba[[#This Row],[Cant.2]]="",Prueba[[#This Row],[Puesto2]]=""),"?",Prueba[[#This Row],[Puesto2]]))</f>
        <v/>
      </c>
      <c r="I125" s="31">
        <v>7</v>
      </c>
      <c r="J125" s="32">
        <v>3</v>
      </c>
      <c r="K125" s="14"/>
      <c r="L125" s="14"/>
      <c r="M125" s="31"/>
      <c r="N125" s="32" t="str">
        <f>IF(Prueba[[#This Row],[Cant.4]]=0,"",IF(OR(Prueba[[#This Row],[Cant.6]]="",Prueba[[#This Row],[Puesto6]]=""),"?",Prueba[[#This Row],[Puesto6]]))</f>
        <v/>
      </c>
      <c r="O125" s="31"/>
      <c r="P125" s="32" t="str">
        <f>IF(Prueba[[#This Row],[Cant.5]]=0,"",IF(OR(Prueba[[#This Row],[Cant.6]]="",Prueba[[#This Row],[Puesto6]]=""),"?",Prueba[[#This Row],[Puesto6]]))</f>
        <v/>
      </c>
      <c r="Q125" s="31"/>
      <c r="R125" s="32"/>
      <c r="S125" s="14"/>
      <c r="T125" s="14"/>
      <c r="U125" s="31"/>
      <c r="V125" s="32" t="s">
        <v>1663</v>
      </c>
      <c r="W125" s="19"/>
      <c r="X125" s="19" t="s">
        <v>1667</v>
      </c>
      <c r="Y125" s="19" t="s">
        <v>1663</v>
      </c>
      <c r="Z125" s="19" t="s">
        <v>1663</v>
      </c>
      <c r="AA125" s="19" t="s">
        <v>1663</v>
      </c>
      <c r="AB125" s="19" t="s">
        <v>1663</v>
      </c>
    </row>
    <row r="126" spans="1:28" s="18" customFormat="1">
      <c r="A126" t="s">
        <v>1723</v>
      </c>
      <c r="B126" s="18" t="s">
        <v>9</v>
      </c>
      <c r="D126" s="18" t="s">
        <v>1724</v>
      </c>
      <c r="E126" s="19" t="s">
        <v>230</v>
      </c>
      <c r="F126" s="18" t="s">
        <v>13</v>
      </c>
      <c r="G126" s="29">
        <v>7</v>
      </c>
      <c r="H126" s="32">
        <v>3</v>
      </c>
      <c r="I126" s="31"/>
      <c r="J126" s="32"/>
      <c r="K126" s="14"/>
      <c r="L126" s="14"/>
      <c r="M126" s="31"/>
      <c r="N126" s="32" t="str">
        <f>IF(Prueba[[#This Row],[Cant.4]]=0,"",IF(OR(Prueba[[#This Row],[Cant.6]]="",Prueba[[#This Row],[Puesto6]]=""),"?",Prueba[[#This Row],[Puesto6]]))</f>
        <v/>
      </c>
      <c r="O126" s="31"/>
      <c r="P126" s="32" t="str">
        <f>IF(Prueba[[#This Row],[Cant.5]]=0,"",IF(OR(Prueba[[#This Row],[Cant.6]]="",Prueba[[#This Row],[Puesto6]]=""),"?",Prueba[[#This Row],[Puesto6]]))</f>
        <v/>
      </c>
      <c r="Q126" s="31"/>
      <c r="R126" s="32"/>
      <c r="S126" s="14"/>
      <c r="T126" s="14"/>
      <c r="U126" s="31"/>
      <c r="V126" s="32" t="s">
        <v>1663</v>
      </c>
      <c r="W126" s="19"/>
      <c r="X126" s="19" t="s">
        <v>1667</v>
      </c>
      <c r="Y126" s="19"/>
      <c r="Z126" s="19"/>
      <c r="AA126" s="19" t="s">
        <v>1663</v>
      </c>
      <c r="AB126" s="19" t="s">
        <v>1663</v>
      </c>
    </row>
    <row r="127" spans="1:28" s="18" customFormat="1">
      <c r="A127" s="18" t="s">
        <v>1725</v>
      </c>
      <c r="C127" s="18" t="s">
        <v>1726</v>
      </c>
      <c r="D127" s="18" t="s">
        <v>1726</v>
      </c>
      <c r="E127" s="19" t="s">
        <v>230</v>
      </c>
      <c r="G127" s="29"/>
      <c r="H127" s="32" t="str">
        <f>IF(Prueba[[#This Row],[Cant.]]=0,"",IF(OR(Prueba[[#This Row],[Cant.2]]="",Prueba[[#This Row],[Puesto2]]=""),"?",Prueba[[#This Row],[Puesto2]]))</f>
        <v/>
      </c>
      <c r="I127" s="31"/>
      <c r="J127" s="32"/>
      <c r="K127" s="14"/>
      <c r="L127" s="14"/>
      <c r="M127" s="31"/>
      <c r="N127" s="32" t="str">
        <f>IF(Prueba[[#This Row],[Cant.4]]=0,"",IF(OR(Prueba[[#This Row],[Cant.6]]="",Prueba[[#This Row],[Puesto6]]=""),"?",Prueba[[#This Row],[Puesto6]]))</f>
        <v/>
      </c>
      <c r="O127" s="31"/>
      <c r="P127" s="32" t="str">
        <f>IF(Prueba[[#This Row],[Cant.5]]=0,"",IF(OR(Prueba[[#This Row],[Cant.6]]="",Prueba[[#This Row],[Puesto6]]=""),"?",Prueba[[#This Row],[Puesto6]]))</f>
        <v/>
      </c>
      <c r="Q127" s="31"/>
      <c r="R127" s="32"/>
      <c r="S127" s="14"/>
      <c r="T127" s="14"/>
      <c r="U127" s="31"/>
      <c r="V127" s="32" t="s">
        <v>1663</v>
      </c>
      <c r="X127" s="19" t="s">
        <v>1667</v>
      </c>
      <c r="Y127" s="19" t="s">
        <v>1663</v>
      </c>
      <c r="Z127" s="19" t="s">
        <v>1663</v>
      </c>
      <c r="AA127" s="19">
        <v>7</v>
      </c>
      <c r="AB127" s="19">
        <v>4</v>
      </c>
    </row>
    <row r="128" spans="1:28" s="18" customFormat="1">
      <c r="A128" s="18" t="s">
        <v>1727</v>
      </c>
      <c r="C128" s="18" t="s">
        <v>1728</v>
      </c>
      <c r="D128" s="18" t="s">
        <v>1728</v>
      </c>
      <c r="E128" s="19" t="s">
        <v>230</v>
      </c>
      <c r="G128" s="29"/>
      <c r="H128" s="32" t="str">
        <f>IF(Prueba[[#This Row],[Cant.]]=0,"",IF(OR(Prueba[[#This Row],[Cant.2]]="",Prueba[[#This Row],[Puesto2]]=""),"?",Prueba[[#This Row],[Puesto2]]))</f>
        <v/>
      </c>
      <c r="I128" s="31"/>
      <c r="J128" s="32"/>
      <c r="K128" s="14"/>
      <c r="L128" s="14"/>
      <c r="M128" s="31"/>
      <c r="N128" s="32" t="str">
        <f>IF(Prueba[[#This Row],[Cant.4]]=0,"",IF(OR(Prueba[[#This Row],[Cant.6]]="",Prueba[[#This Row],[Puesto6]]=""),"?",Prueba[[#This Row],[Puesto6]]))</f>
        <v/>
      </c>
      <c r="O128" s="31"/>
      <c r="P128" s="32" t="str">
        <f>IF(Prueba[[#This Row],[Cant.5]]=0,"",IF(OR(Prueba[[#This Row],[Cant.6]]="",Prueba[[#This Row],[Puesto6]]=""),"?",Prueba[[#This Row],[Puesto6]]))</f>
        <v/>
      </c>
      <c r="Q128" s="31"/>
      <c r="R128" s="32"/>
      <c r="S128" s="14"/>
      <c r="T128" s="14"/>
      <c r="U128" s="31"/>
      <c r="V128" s="32" t="s">
        <v>1663</v>
      </c>
      <c r="X128" s="19" t="s">
        <v>1667</v>
      </c>
      <c r="Y128" s="19">
        <v>7</v>
      </c>
      <c r="Z128" s="19">
        <v>4</v>
      </c>
      <c r="AA128" s="19" t="s">
        <v>1663</v>
      </c>
      <c r="AB128" s="19" t="s">
        <v>1663</v>
      </c>
    </row>
    <row r="129" spans="1:28" s="18" customFormat="1">
      <c r="A129" s="18" t="s">
        <v>231</v>
      </c>
      <c r="B129" s="18" t="s">
        <v>9</v>
      </c>
      <c r="C129" s="18" t="s">
        <v>232</v>
      </c>
      <c r="D129" s="18" t="s">
        <v>233</v>
      </c>
      <c r="E129" s="19" t="s">
        <v>22</v>
      </c>
      <c r="F129" s="18" t="s">
        <v>13</v>
      </c>
      <c r="G129" s="29">
        <v>12</v>
      </c>
      <c r="H129" s="32">
        <f>IF(Prueba[[#This Row],[Cant.]]=0,"",IF(OR(Prueba[[#This Row],[Cant.2]]="",Prueba[[#This Row],[Puesto2]]=""),"?",Prueba[[#This Row],[Puesto2]]))</f>
        <v>4</v>
      </c>
      <c r="I129" s="31">
        <v>12</v>
      </c>
      <c r="J129" s="32">
        <v>4</v>
      </c>
      <c r="K129" s="14"/>
      <c r="L129" s="14"/>
      <c r="M129" s="31"/>
      <c r="N129" s="32" t="str">
        <f>IF(Prueba[[#This Row],[Cant.4]]=0,"",IF(OR(Prueba[[#This Row],[Cant.6]]="",Prueba[[#This Row],[Puesto6]]=""),"?",Prueba[[#This Row],[Puesto6]]))</f>
        <v/>
      </c>
      <c r="O129" s="31"/>
      <c r="P129" s="32" t="str">
        <f>IF(Prueba[[#This Row],[Cant.5]]=0,"",IF(OR(Prueba[[#This Row],[Cant.6]]="",Prueba[[#This Row],[Puesto6]]=""),"?",Prueba[[#This Row],[Puesto6]]))</f>
        <v/>
      </c>
      <c r="Q129" s="31"/>
      <c r="R129" s="32"/>
      <c r="S129" s="14"/>
      <c r="T129" s="14"/>
      <c r="U129" s="31"/>
      <c r="V129" s="32" t="s">
        <v>1663</v>
      </c>
      <c r="W129" s="19"/>
      <c r="X129" s="19" t="s">
        <v>1729</v>
      </c>
      <c r="Y129" s="19">
        <v>12</v>
      </c>
      <c r="Z129" s="19">
        <v>4</v>
      </c>
      <c r="AA129" s="19">
        <v>12</v>
      </c>
      <c r="AB129" s="19">
        <v>4</v>
      </c>
    </row>
    <row r="130" spans="1:28" s="18" customFormat="1">
      <c r="A130" s="18" t="s">
        <v>234</v>
      </c>
      <c r="B130" s="18" t="s">
        <v>9</v>
      </c>
      <c r="C130" s="18" t="s">
        <v>235</v>
      </c>
      <c r="D130" s="18" t="s">
        <v>236</v>
      </c>
      <c r="E130" s="19" t="s">
        <v>39</v>
      </c>
      <c r="F130" s="18" t="s">
        <v>13</v>
      </c>
      <c r="G130" s="29">
        <v>1</v>
      </c>
      <c r="H130" s="32">
        <f>IF(Prueba[[#This Row],[Cant.]]=0,"",IF(OR(Prueba[[#This Row],[Cant.2]]="",Prueba[[#This Row],[Puesto2]]=""),"?",Prueba[[#This Row],[Puesto2]]))</f>
        <v>0</v>
      </c>
      <c r="I130" s="31">
        <v>1</v>
      </c>
      <c r="J130" s="32">
        <v>0</v>
      </c>
      <c r="K130" s="14"/>
      <c r="L130" s="14"/>
      <c r="M130" s="31"/>
      <c r="N130" s="32" t="str">
        <f>IF(Prueba[[#This Row],[Cant.4]]=0,"",IF(OR(Prueba[[#This Row],[Cant.6]]="",Prueba[[#This Row],[Puesto6]]=""),"?",Prueba[[#This Row],[Puesto6]]))</f>
        <v/>
      </c>
      <c r="O130" s="31"/>
      <c r="P130" s="32" t="str">
        <f>IF(Prueba[[#This Row],[Cant.5]]=0,"",IF(OR(Prueba[[#This Row],[Cant.6]]="",Prueba[[#This Row],[Puesto6]]=""),"?",Prueba[[#This Row],[Puesto6]]))</f>
        <v/>
      </c>
      <c r="Q130" s="31"/>
      <c r="R130" s="32"/>
      <c r="S130" s="14"/>
      <c r="T130" s="14"/>
      <c r="U130" s="31"/>
      <c r="V130" s="32" t="s">
        <v>1663</v>
      </c>
      <c r="W130" s="19"/>
      <c r="X130" s="19" t="s">
        <v>1667</v>
      </c>
      <c r="Y130" s="19">
        <v>1</v>
      </c>
      <c r="Z130" s="19">
        <v>0</v>
      </c>
      <c r="AA130" s="19">
        <v>1</v>
      </c>
      <c r="AB130" s="19">
        <v>0</v>
      </c>
    </row>
    <row r="131" spans="1:28" s="18" customFormat="1">
      <c r="A131" s="18" t="s">
        <v>237</v>
      </c>
      <c r="B131" s="18" t="s">
        <v>9</v>
      </c>
      <c r="C131" s="18" t="s">
        <v>238</v>
      </c>
      <c r="D131" s="18" t="s">
        <v>239</v>
      </c>
      <c r="E131" s="19" t="s">
        <v>39</v>
      </c>
      <c r="F131" s="18" t="s">
        <v>13</v>
      </c>
      <c r="G131" s="29">
        <v>1</v>
      </c>
      <c r="H131" s="32">
        <f>IF(Prueba[[#This Row],[Cant.]]=0,"",IF(OR(Prueba[[#This Row],[Cant.2]]="",Prueba[[#This Row],[Puesto2]]=""),"?",Prueba[[#This Row],[Puesto2]]))</f>
        <v>3</v>
      </c>
      <c r="I131" s="31">
        <v>1</v>
      </c>
      <c r="J131" s="32">
        <v>3</v>
      </c>
      <c r="K131" s="14"/>
      <c r="L131" s="14"/>
      <c r="M131" s="31"/>
      <c r="N131" s="32" t="str">
        <f>IF(Prueba[[#This Row],[Cant.4]]=0,"",IF(OR(Prueba[[#This Row],[Cant.6]]="",Prueba[[#This Row],[Puesto6]]=""),"?",Prueba[[#This Row],[Puesto6]]))</f>
        <v/>
      </c>
      <c r="O131" s="31"/>
      <c r="P131" s="32" t="str">
        <f>IF(Prueba[[#This Row],[Cant.5]]=0,"",IF(OR(Prueba[[#This Row],[Cant.6]]="",Prueba[[#This Row],[Puesto6]]=""),"?",Prueba[[#This Row],[Puesto6]]))</f>
        <v/>
      </c>
      <c r="Q131" s="31"/>
      <c r="R131" s="32"/>
      <c r="S131" s="14"/>
      <c r="T131" s="14"/>
      <c r="U131" s="31"/>
      <c r="V131" s="32" t="s">
        <v>1663</v>
      </c>
      <c r="W131" s="19"/>
      <c r="X131" s="19" t="s">
        <v>1667</v>
      </c>
      <c r="Y131" s="19">
        <v>1</v>
      </c>
      <c r="Z131" s="19">
        <v>3</v>
      </c>
      <c r="AA131" s="19">
        <v>1</v>
      </c>
      <c r="AB131" s="19">
        <v>3</v>
      </c>
    </row>
    <row r="132" spans="1:28" s="18" customFormat="1">
      <c r="A132" s="18" t="s">
        <v>240</v>
      </c>
      <c r="B132" s="18" t="s">
        <v>9</v>
      </c>
      <c r="C132" s="18" t="s">
        <v>241</v>
      </c>
      <c r="D132" s="18" t="s">
        <v>242</v>
      </c>
      <c r="E132" s="19" t="s">
        <v>22</v>
      </c>
      <c r="F132" s="18" t="s">
        <v>13</v>
      </c>
      <c r="G132" s="29">
        <v>16</v>
      </c>
      <c r="H132" s="32" t="str">
        <f>IF(Prueba[[#This Row],[Cant.]]=0,"",IF(OR(Prueba[[#This Row],[Cant.2]]="",Prueba[[#This Row],[Puesto2]]=""),"?",Prueba[[#This Row],[Puesto2]]))</f>
        <v>2xA + 12xC</v>
      </c>
      <c r="I132" s="31">
        <v>16</v>
      </c>
      <c r="J132" s="32" t="s">
        <v>1730</v>
      </c>
      <c r="K132" s="14"/>
      <c r="L132" s="14"/>
      <c r="M132" s="31"/>
      <c r="N132" s="32" t="str">
        <f>IF(Prueba[[#This Row],[Cant.4]]=0,"",IF(OR(Prueba[[#This Row],[Cant.6]]="",Prueba[[#This Row],[Puesto6]]=""),"?",Prueba[[#This Row],[Puesto6]]))</f>
        <v/>
      </c>
      <c r="O132" s="31"/>
      <c r="P132" s="32" t="str">
        <f>IF(Prueba[[#This Row],[Cant.5]]=0,"",IF(OR(Prueba[[#This Row],[Cant.6]]="",Prueba[[#This Row],[Puesto6]]=""),"?",Prueba[[#This Row],[Puesto6]]))</f>
        <v/>
      </c>
      <c r="Q132" s="31"/>
      <c r="R132" s="32"/>
      <c r="S132" s="14"/>
      <c r="T132" s="14"/>
      <c r="U132" s="31">
        <v>16</v>
      </c>
      <c r="V132" s="32" t="s">
        <v>1400</v>
      </c>
      <c r="W132" s="19">
        <v>128</v>
      </c>
      <c r="X132" s="19" t="s">
        <v>1664</v>
      </c>
      <c r="Y132" s="19">
        <v>17</v>
      </c>
      <c r="Z132" s="19" t="s">
        <v>1730</v>
      </c>
      <c r="AA132" s="19">
        <v>17</v>
      </c>
      <c r="AB132" s="19" t="s">
        <v>1730</v>
      </c>
    </row>
    <row r="133" spans="1:28" s="18" customFormat="1">
      <c r="A133" s="18" t="s">
        <v>1401</v>
      </c>
      <c r="B133" s="18" t="s">
        <v>9</v>
      </c>
      <c r="C133" s="18" t="s">
        <v>1731</v>
      </c>
      <c r="D133" s="18" t="s">
        <v>1732</v>
      </c>
      <c r="E133" s="19" t="s">
        <v>1733</v>
      </c>
      <c r="F133" s="18" t="s">
        <v>13</v>
      </c>
      <c r="G133" s="29"/>
      <c r="H133" s="32" t="str">
        <f>IF(Prueba[[#This Row],[Cant.]]=0,"",IF(OR(Prueba[[#This Row],[Cant.2]]="",Prueba[[#This Row],[Puesto2]]=""),"?",Prueba[[#This Row],[Puesto2]]))</f>
        <v/>
      </c>
      <c r="I133" s="31"/>
      <c r="J133" s="32"/>
      <c r="K133" s="14"/>
      <c r="L133" s="14"/>
      <c r="M133" s="31"/>
      <c r="N133" s="32" t="str">
        <f>IF(Prueba[[#This Row],[Cant.4]]=0,"",IF(OR(Prueba[[#This Row],[Cant.6]]="",Prueba[[#This Row],[Puesto6]]=""),"?",Prueba[[#This Row],[Puesto6]]))</f>
        <v/>
      </c>
      <c r="O133" s="31"/>
      <c r="P133" s="32" t="str">
        <f>IF(Prueba[[#This Row],[Cant.5]]=0,"",IF(OR(Prueba[[#This Row],[Cant.6]]="",Prueba[[#This Row],[Puesto6]]=""),"?",Prueba[[#This Row],[Puesto6]]))</f>
        <v/>
      </c>
      <c r="Q133" s="31"/>
      <c r="R133" s="32"/>
      <c r="S133" s="14"/>
      <c r="T133" s="14"/>
      <c r="U133" s="31">
        <v>1</v>
      </c>
      <c r="V133" s="32" t="s">
        <v>1402</v>
      </c>
      <c r="W133" s="19">
        <v>8</v>
      </c>
      <c r="X133" s="19" t="s">
        <v>1664</v>
      </c>
      <c r="Y133" s="19" t="s">
        <v>1663</v>
      </c>
      <c r="Z133" s="19" t="s">
        <v>1663</v>
      </c>
      <c r="AA133" s="19" t="s">
        <v>1663</v>
      </c>
      <c r="AB133" s="19" t="s">
        <v>1663</v>
      </c>
    </row>
    <row r="134" spans="1:28" s="18" customFormat="1">
      <c r="A134" s="18" t="s">
        <v>1403</v>
      </c>
      <c r="B134" s="18" t="s">
        <v>9</v>
      </c>
      <c r="C134" s="18" t="s">
        <v>1731</v>
      </c>
      <c r="D134" s="18" t="s">
        <v>1732</v>
      </c>
      <c r="E134" s="19" t="s">
        <v>1733</v>
      </c>
      <c r="F134" s="18" t="s">
        <v>13</v>
      </c>
      <c r="G134" s="29"/>
      <c r="H134" s="32" t="str">
        <f>IF(Prueba[[#This Row],[Cant.]]=0,"",IF(OR(Prueba[[#This Row],[Cant.2]]="",Prueba[[#This Row],[Puesto2]]=""),"?",Prueba[[#This Row],[Puesto2]]))</f>
        <v/>
      </c>
      <c r="I134" s="31"/>
      <c r="J134" s="32"/>
      <c r="K134" s="14"/>
      <c r="L134" s="14"/>
      <c r="M134" s="31"/>
      <c r="N134" s="32" t="str">
        <f>IF(Prueba[[#This Row],[Cant.4]]=0,"",IF(OR(Prueba[[#This Row],[Cant.6]]="",Prueba[[#This Row],[Puesto6]]=""),"?",Prueba[[#This Row],[Puesto6]]))</f>
        <v/>
      </c>
      <c r="O134" s="31"/>
      <c r="P134" s="32" t="str">
        <f>IF(Prueba[[#This Row],[Cant.5]]=0,"",IF(OR(Prueba[[#This Row],[Cant.6]]="",Prueba[[#This Row],[Puesto6]]=""),"?",Prueba[[#This Row],[Puesto6]]))</f>
        <v/>
      </c>
      <c r="Q134" s="31"/>
      <c r="R134" s="32"/>
      <c r="S134" s="14"/>
      <c r="T134" s="14"/>
      <c r="U134" s="31">
        <v>1</v>
      </c>
      <c r="V134" s="32" t="s">
        <v>1402</v>
      </c>
      <c r="W134" s="19">
        <v>8</v>
      </c>
      <c r="X134" s="19" t="s">
        <v>1664</v>
      </c>
      <c r="Y134" s="19">
        <v>2</v>
      </c>
      <c r="Z134" s="19" t="s">
        <v>1402</v>
      </c>
      <c r="AA134" s="19">
        <v>2</v>
      </c>
      <c r="AB134" s="19" t="s">
        <v>1402</v>
      </c>
    </row>
    <row r="135" spans="1:28" s="18" customFormat="1">
      <c r="A135" s="18" t="s">
        <v>1734</v>
      </c>
      <c r="C135" s="18" t="s">
        <v>1731</v>
      </c>
      <c r="D135" s="18" t="s">
        <v>1731</v>
      </c>
      <c r="E135" s="19" t="s">
        <v>22</v>
      </c>
      <c r="G135" s="29"/>
      <c r="H135" s="32" t="str">
        <f>IF(Prueba[[#This Row],[Cant.]]=0,"",IF(OR(Prueba[[#This Row],[Cant.2]]="",Prueba[[#This Row],[Puesto2]]=""),"?",Prueba[[#This Row],[Puesto2]]))</f>
        <v/>
      </c>
      <c r="I135" s="31"/>
      <c r="J135" s="32"/>
      <c r="K135" s="14"/>
      <c r="L135" s="14"/>
      <c r="M135" s="31"/>
      <c r="N135" s="32" t="str">
        <f>IF(Prueba[[#This Row],[Cant.4]]=0,"",IF(OR(Prueba[[#This Row],[Cant.6]]="",Prueba[[#This Row],[Puesto6]]=""),"?",Prueba[[#This Row],[Puesto6]]))</f>
        <v/>
      </c>
      <c r="O135" s="31"/>
      <c r="P135" s="32" t="str">
        <f>IF(Prueba[[#This Row],[Cant.5]]=0,"",IF(OR(Prueba[[#This Row],[Cant.6]]="",Prueba[[#This Row],[Puesto6]]=""),"?",Prueba[[#This Row],[Puesto6]]))</f>
        <v/>
      </c>
      <c r="Q135" s="31"/>
      <c r="R135" s="32"/>
      <c r="S135" s="14"/>
      <c r="T135" s="14"/>
      <c r="U135" s="31"/>
      <c r="V135" s="32" t="s">
        <v>1663</v>
      </c>
      <c r="W135" s="19">
        <v>16</v>
      </c>
      <c r="X135" s="19" t="s">
        <v>1664</v>
      </c>
      <c r="Y135" s="19">
        <v>2</v>
      </c>
      <c r="Z135" s="19" t="s">
        <v>1402</v>
      </c>
      <c r="AA135" s="19">
        <v>2</v>
      </c>
      <c r="AB135" s="19" t="s">
        <v>1402</v>
      </c>
    </row>
    <row r="136" spans="1:28" s="18" customFormat="1">
      <c r="A136" s="18" t="s">
        <v>1735</v>
      </c>
      <c r="B136" s="18" t="s">
        <v>9</v>
      </c>
      <c r="C136" s="18" t="s">
        <v>1736</v>
      </c>
      <c r="D136" s="18" t="s">
        <v>1737</v>
      </c>
      <c r="E136" s="19" t="s">
        <v>22</v>
      </c>
      <c r="F136" s="18" t="s">
        <v>13</v>
      </c>
      <c r="G136" s="29">
        <v>1</v>
      </c>
      <c r="H136" s="32" t="str">
        <f>IF(Prueba[[#This Row],[Cant.]]=0,"",IF(OR(Prueba[[#This Row],[Cant.2]]="",Prueba[[#This Row],[Puesto2]]=""),"?",Prueba[[#This Row],[Puesto2]]))</f>
        <v>C</v>
      </c>
      <c r="I136" s="31">
        <v>1</v>
      </c>
      <c r="J136" s="32" t="s">
        <v>1402</v>
      </c>
      <c r="K136" s="14"/>
      <c r="L136" s="14"/>
      <c r="M136" s="31"/>
      <c r="N136" s="32" t="str">
        <f>IF(Prueba[[#This Row],[Cant.4]]=0,"",IF(OR(Prueba[[#This Row],[Cant.6]]="",Prueba[[#This Row],[Puesto6]]=""),"?",Prueba[[#This Row],[Puesto6]]))</f>
        <v/>
      </c>
      <c r="O136" s="31"/>
      <c r="P136" s="32" t="str">
        <f>IF(Prueba[[#This Row],[Cant.5]]=0,"",IF(OR(Prueba[[#This Row],[Cant.6]]="",Prueba[[#This Row],[Puesto6]]=""),"?",Prueba[[#This Row],[Puesto6]]))</f>
        <v/>
      </c>
      <c r="Q136" s="31"/>
      <c r="R136" s="32"/>
      <c r="S136" s="14"/>
      <c r="T136" s="14"/>
      <c r="U136" s="31"/>
      <c r="V136" s="32" t="s">
        <v>1663</v>
      </c>
      <c r="W136" s="19">
        <v>8</v>
      </c>
      <c r="X136" s="19" t="s">
        <v>1664</v>
      </c>
      <c r="Y136" s="19" t="s">
        <v>1663</v>
      </c>
      <c r="Z136" s="19" t="s">
        <v>1663</v>
      </c>
      <c r="AA136" s="19" t="s">
        <v>1663</v>
      </c>
      <c r="AB136" s="19" t="s">
        <v>1663</v>
      </c>
    </row>
    <row r="137" spans="1:28" s="18" customFormat="1">
      <c r="A137" s="18" t="s">
        <v>1738</v>
      </c>
      <c r="C137" s="18" t="s">
        <v>1731</v>
      </c>
      <c r="D137" s="18" t="s">
        <v>1731</v>
      </c>
      <c r="E137" s="19" t="s">
        <v>22</v>
      </c>
      <c r="G137" s="29"/>
      <c r="H137" s="32" t="str">
        <f>IF(Prueba[[#This Row],[Cant.]]=0,"",IF(OR(Prueba[[#This Row],[Cant.2]]="",Prueba[[#This Row],[Puesto2]]=""),"?",Prueba[[#This Row],[Puesto2]]))</f>
        <v/>
      </c>
      <c r="I137" s="31"/>
      <c r="J137" s="32"/>
      <c r="K137" s="14"/>
      <c r="L137" s="14"/>
      <c r="M137" s="31"/>
      <c r="N137" s="32" t="str">
        <f>IF(Prueba[[#This Row],[Cant.4]]=0,"",IF(OR(Prueba[[#This Row],[Cant.6]]="",Prueba[[#This Row],[Puesto6]]=""),"?",Prueba[[#This Row],[Puesto6]]))</f>
        <v/>
      </c>
      <c r="O137" s="31"/>
      <c r="P137" s="32" t="str">
        <f>IF(Prueba[[#This Row],[Cant.5]]=0,"",IF(OR(Prueba[[#This Row],[Cant.6]]="",Prueba[[#This Row],[Puesto6]]=""),"?",Prueba[[#This Row],[Puesto6]]))</f>
        <v/>
      </c>
      <c r="Q137" s="31"/>
      <c r="R137" s="32"/>
      <c r="S137" s="14"/>
      <c r="T137" s="14"/>
      <c r="U137" s="31"/>
      <c r="V137" s="32" t="s">
        <v>1663</v>
      </c>
      <c r="W137" s="19">
        <v>16</v>
      </c>
      <c r="X137" s="19" t="s">
        <v>1664</v>
      </c>
      <c r="Y137" s="19">
        <v>2</v>
      </c>
      <c r="Z137" s="19" t="s">
        <v>1402</v>
      </c>
      <c r="AA137" s="19">
        <v>2</v>
      </c>
      <c r="AB137" s="19" t="s">
        <v>1402</v>
      </c>
    </row>
    <row r="138" spans="1:28" s="18" customFormat="1">
      <c r="A138" s="18" t="s">
        <v>243</v>
      </c>
      <c r="B138" s="18" t="s">
        <v>9</v>
      </c>
      <c r="C138" s="18" t="s">
        <v>241</v>
      </c>
      <c r="D138" s="18" t="s">
        <v>242</v>
      </c>
      <c r="E138" s="19" t="s">
        <v>22</v>
      </c>
      <c r="F138" s="18" t="s">
        <v>13</v>
      </c>
      <c r="G138" s="29">
        <v>5</v>
      </c>
      <c r="H138" s="32" t="str">
        <f>IF(Prueba[[#This Row],[Cant.]]=0,"",IF(OR(Prueba[[#This Row],[Cant.2]]="",Prueba[[#This Row],[Puesto2]]=""),"?",Prueba[[#This Row],[Puesto2]]))</f>
        <v>2xA + 2xC</v>
      </c>
      <c r="I138" s="31">
        <v>5</v>
      </c>
      <c r="J138" s="32" t="s">
        <v>1406</v>
      </c>
      <c r="K138" s="14"/>
      <c r="L138" s="14"/>
      <c r="M138" s="31"/>
      <c r="N138" s="32" t="str">
        <f>IF(Prueba[[#This Row],[Cant.4]]=0,"",IF(OR(Prueba[[#This Row],[Cant.6]]="",Prueba[[#This Row],[Puesto6]]=""),"?",Prueba[[#This Row],[Puesto6]]))</f>
        <v/>
      </c>
      <c r="O138" s="31"/>
      <c r="P138" s="32" t="str">
        <f>IF(Prueba[[#This Row],[Cant.5]]=0,"",IF(OR(Prueba[[#This Row],[Cant.6]]="",Prueba[[#This Row],[Puesto6]]=""),"?",Prueba[[#This Row],[Puesto6]]))</f>
        <v/>
      </c>
      <c r="Q138" s="31"/>
      <c r="R138" s="32"/>
      <c r="S138" s="14"/>
      <c r="T138" s="14"/>
      <c r="U138" s="31">
        <v>3</v>
      </c>
      <c r="V138" s="32" t="s">
        <v>1404</v>
      </c>
      <c r="W138" s="19">
        <v>24</v>
      </c>
      <c r="X138" s="19" t="s">
        <v>1664</v>
      </c>
      <c r="Y138" s="19">
        <v>5</v>
      </c>
      <c r="Z138" s="19" t="s">
        <v>1406</v>
      </c>
      <c r="AA138" s="19">
        <v>5</v>
      </c>
      <c r="AB138" s="19" t="s">
        <v>1406</v>
      </c>
    </row>
    <row r="139" spans="1:28" s="18" customFormat="1">
      <c r="A139" s="18" t="s">
        <v>244</v>
      </c>
      <c r="B139" s="18" t="s">
        <v>9</v>
      </c>
      <c r="C139" s="18" t="s">
        <v>241</v>
      </c>
      <c r="D139" s="18" t="s">
        <v>242</v>
      </c>
      <c r="E139" s="19" t="s">
        <v>22</v>
      </c>
      <c r="F139" s="18" t="s">
        <v>13</v>
      </c>
      <c r="G139" s="29"/>
      <c r="H139" s="32" t="str">
        <f>IF(Prueba[[#This Row],[Cant.]]=0,"",IF(OR(Prueba[[#This Row],[Cant.2]]="",Prueba[[#This Row],[Puesto2]]=""),"?",Prueba[[#This Row],[Puesto2]]))</f>
        <v/>
      </c>
      <c r="I139" s="31"/>
      <c r="J139" s="32"/>
      <c r="K139" s="14"/>
      <c r="L139" s="14"/>
      <c r="M139" s="31"/>
      <c r="N139" s="32" t="str">
        <f>IF(Prueba[[#This Row],[Cant.4]]=0,"",IF(OR(Prueba[[#This Row],[Cant.6]]="",Prueba[[#This Row],[Puesto6]]=""),"?",Prueba[[#This Row],[Puesto6]]))</f>
        <v/>
      </c>
      <c r="O139" s="31"/>
      <c r="P139" s="32" t="str">
        <f>IF(Prueba[[#This Row],[Cant.5]]=0,"",IF(OR(Prueba[[#This Row],[Cant.6]]="",Prueba[[#This Row],[Puesto6]]=""),"?",Prueba[[#This Row],[Puesto6]]))</f>
        <v/>
      </c>
      <c r="Q139" s="31"/>
      <c r="R139" s="32"/>
      <c r="S139" s="14"/>
      <c r="T139" s="14"/>
      <c r="U139" s="31"/>
      <c r="V139" s="32" t="s">
        <v>1663</v>
      </c>
      <c r="W139" s="19">
        <v>0</v>
      </c>
      <c r="X139" s="19" t="s">
        <v>1664</v>
      </c>
      <c r="Y139" s="19" t="s">
        <v>1663</v>
      </c>
      <c r="Z139" s="19" t="s">
        <v>1663</v>
      </c>
      <c r="AA139" s="19" t="s">
        <v>1663</v>
      </c>
      <c r="AB139" s="19" t="s">
        <v>1663</v>
      </c>
    </row>
    <row r="140" spans="1:28" s="18" customFormat="1">
      <c r="A140" s="18" t="s">
        <v>245</v>
      </c>
      <c r="B140" s="18" t="s">
        <v>9</v>
      </c>
      <c r="C140" s="18" t="s">
        <v>241</v>
      </c>
      <c r="D140" s="18" t="s">
        <v>242</v>
      </c>
      <c r="E140" s="19" t="s">
        <v>22</v>
      </c>
      <c r="F140" s="18" t="s">
        <v>13</v>
      </c>
      <c r="G140" s="29">
        <v>7</v>
      </c>
      <c r="H140" s="32" t="str">
        <f>IF(Prueba[[#This Row],[Cant.]]=0,"",IF(OR(Prueba[[#This Row],[Cant.2]]="",Prueba[[#This Row],[Puesto2]]=""),"?",Prueba[[#This Row],[Puesto2]]))</f>
        <v>2xA + 2xC</v>
      </c>
      <c r="I140" s="31">
        <v>5</v>
      </c>
      <c r="J140" s="32" t="s">
        <v>1406</v>
      </c>
      <c r="K140" s="14"/>
      <c r="L140" s="14"/>
      <c r="M140" s="31"/>
      <c r="N140" s="32" t="str">
        <f>IF(Prueba[[#This Row],[Cant.4]]=0,"",IF(OR(Prueba[[#This Row],[Cant.6]]="",Prueba[[#This Row],[Puesto6]]=""),"?",Prueba[[#This Row],[Puesto6]]))</f>
        <v/>
      </c>
      <c r="O140" s="31"/>
      <c r="P140" s="32" t="str">
        <f>IF(Prueba[[#This Row],[Cant.5]]=0,"",IF(OR(Prueba[[#This Row],[Cant.6]]="",Prueba[[#This Row],[Puesto6]]=""),"?",Prueba[[#This Row],[Puesto6]]))</f>
        <v/>
      </c>
      <c r="Q140" s="31"/>
      <c r="R140" s="32"/>
      <c r="S140" s="14"/>
      <c r="T140" s="14"/>
      <c r="U140" s="31"/>
      <c r="V140" s="32" t="s">
        <v>1663</v>
      </c>
      <c r="W140" s="19">
        <v>16</v>
      </c>
      <c r="X140" s="19" t="s">
        <v>1664</v>
      </c>
      <c r="Y140" s="19">
        <v>3</v>
      </c>
      <c r="Z140" s="19" t="s">
        <v>1406</v>
      </c>
      <c r="AA140" s="19">
        <v>3</v>
      </c>
      <c r="AB140" s="19" t="s">
        <v>1406</v>
      </c>
    </row>
    <row r="141" spans="1:28" s="18" customFormat="1">
      <c r="A141" s="18" t="s">
        <v>246</v>
      </c>
      <c r="B141" s="18" t="s">
        <v>9</v>
      </c>
      <c r="C141" s="18" t="s">
        <v>241</v>
      </c>
      <c r="D141" s="18" t="s">
        <v>242</v>
      </c>
      <c r="E141" s="19" t="s">
        <v>22</v>
      </c>
      <c r="F141" s="18" t="s">
        <v>13</v>
      </c>
      <c r="G141" s="29">
        <v>1</v>
      </c>
      <c r="H141" s="32" t="str">
        <f>IF(Prueba[[#This Row],[Cant.]]=0,"",IF(OR(Prueba[[#This Row],[Cant.2]]="",Prueba[[#This Row],[Puesto2]]=""),"?",Prueba[[#This Row],[Puesto2]]))</f>
        <v>C</v>
      </c>
      <c r="I141" s="31">
        <v>1</v>
      </c>
      <c r="J141" s="32" t="s">
        <v>1402</v>
      </c>
      <c r="K141" s="14"/>
      <c r="L141" s="14"/>
      <c r="M141" s="31"/>
      <c r="N141" s="32" t="str">
        <f>IF(Prueba[[#This Row],[Cant.4]]=0,"",IF(OR(Prueba[[#This Row],[Cant.6]]="",Prueba[[#This Row],[Puesto6]]=""),"?",Prueba[[#This Row],[Puesto6]]))</f>
        <v/>
      </c>
      <c r="O141" s="31"/>
      <c r="P141" s="32" t="str">
        <f>IF(Prueba[[#This Row],[Cant.5]]=0,"",IF(OR(Prueba[[#This Row],[Cant.6]]="",Prueba[[#This Row],[Puesto6]]=""),"?",Prueba[[#This Row],[Puesto6]]))</f>
        <v/>
      </c>
      <c r="Q141" s="31"/>
      <c r="R141" s="32"/>
      <c r="S141" s="14"/>
      <c r="T141" s="14"/>
      <c r="U141" s="31">
        <v>3</v>
      </c>
      <c r="V141" s="32" t="s">
        <v>1402</v>
      </c>
      <c r="W141" s="19">
        <v>24</v>
      </c>
      <c r="X141" s="19" t="s">
        <v>1664</v>
      </c>
      <c r="Y141" s="19">
        <v>2</v>
      </c>
      <c r="Z141" s="19" t="s">
        <v>1402</v>
      </c>
      <c r="AA141" s="19">
        <v>2</v>
      </c>
      <c r="AB141" s="19" t="s">
        <v>1402</v>
      </c>
    </row>
    <row r="142" spans="1:28" s="18" customFormat="1">
      <c r="A142" s="18" t="s">
        <v>247</v>
      </c>
      <c r="B142" s="18" t="s">
        <v>9</v>
      </c>
      <c r="C142" s="18" t="s">
        <v>241</v>
      </c>
      <c r="D142" s="18" t="s">
        <v>242</v>
      </c>
      <c r="E142" s="19" t="s">
        <v>22</v>
      </c>
      <c r="F142" s="18" t="s">
        <v>13</v>
      </c>
      <c r="G142" s="29"/>
      <c r="H142" s="32" t="str">
        <f>IF(Prueba[[#This Row],[Cant.]]=0,"",IF(OR(Prueba[[#This Row],[Cant.2]]="",Prueba[[#This Row],[Puesto2]]=""),"?",Prueba[[#This Row],[Puesto2]]))</f>
        <v/>
      </c>
      <c r="I142" s="31">
        <v>1</v>
      </c>
      <c r="J142" s="32" t="s">
        <v>1402</v>
      </c>
      <c r="K142" s="14"/>
      <c r="L142" s="14"/>
      <c r="M142" s="31"/>
      <c r="N142" s="32" t="str">
        <f>IF(Prueba[[#This Row],[Cant.4]]=0,"",IF(OR(Prueba[[#This Row],[Cant.6]]="",Prueba[[#This Row],[Puesto6]]=""),"?",Prueba[[#This Row],[Puesto6]]))</f>
        <v/>
      </c>
      <c r="O142" s="31"/>
      <c r="P142" s="32" t="str">
        <f>IF(Prueba[[#This Row],[Cant.5]]=0,"",IF(OR(Prueba[[#This Row],[Cant.6]]="",Prueba[[#This Row],[Puesto6]]=""),"?",Prueba[[#This Row],[Puesto6]]))</f>
        <v/>
      </c>
      <c r="Q142" s="31"/>
      <c r="R142" s="32"/>
      <c r="S142" s="14"/>
      <c r="T142" s="14"/>
      <c r="U142" s="31"/>
      <c r="V142" s="32" t="s">
        <v>1663</v>
      </c>
      <c r="W142" s="19">
        <v>32</v>
      </c>
      <c r="X142" s="19" t="s">
        <v>1664</v>
      </c>
      <c r="Y142" s="19">
        <v>1</v>
      </c>
      <c r="Z142" s="19">
        <v>2</v>
      </c>
      <c r="AA142" s="19">
        <v>1</v>
      </c>
      <c r="AB142" s="19">
        <v>2</v>
      </c>
    </row>
    <row r="143" spans="1:28" s="18" customFormat="1">
      <c r="A143" s="18" t="s">
        <v>248</v>
      </c>
      <c r="B143" s="18" t="s">
        <v>9</v>
      </c>
      <c r="C143" s="18" t="s">
        <v>241</v>
      </c>
      <c r="D143" s="18" t="s">
        <v>242</v>
      </c>
      <c r="E143" s="19" t="s">
        <v>22</v>
      </c>
      <c r="F143" s="18" t="s">
        <v>13</v>
      </c>
      <c r="G143" s="29">
        <v>8</v>
      </c>
      <c r="H143" s="32" t="str">
        <f>IF(Prueba[[#This Row],[Cant.]]=0,"",IF(OR(Prueba[[#This Row],[Cant.2]]="",Prueba[[#This Row],[Puesto2]]=""),"?",Prueba[[#This Row],[Puesto2]]))</f>
        <v>2xA + 6xC</v>
      </c>
      <c r="I143" s="31">
        <v>8</v>
      </c>
      <c r="J143" s="32" t="s">
        <v>1739</v>
      </c>
      <c r="K143" s="14"/>
      <c r="L143" s="14"/>
      <c r="M143" s="31"/>
      <c r="N143" s="32" t="str">
        <f>IF(Prueba[[#This Row],[Cant.4]]=0,"",IF(OR(Prueba[[#This Row],[Cant.6]]="",Prueba[[#This Row],[Puesto6]]=""),"?",Prueba[[#This Row],[Puesto6]]))</f>
        <v/>
      </c>
      <c r="O143" s="31"/>
      <c r="P143" s="32" t="str">
        <f>IF(Prueba[[#This Row],[Cant.5]]=0,"",IF(OR(Prueba[[#This Row],[Cant.6]]="",Prueba[[#This Row],[Puesto6]]=""),"?",Prueba[[#This Row],[Puesto6]]))</f>
        <v/>
      </c>
      <c r="Q143" s="31"/>
      <c r="R143" s="32"/>
      <c r="S143" s="14"/>
      <c r="T143" s="14"/>
      <c r="U143" s="31">
        <v>2</v>
      </c>
      <c r="V143" s="32">
        <v>0</v>
      </c>
      <c r="W143" s="19">
        <v>48</v>
      </c>
      <c r="X143" s="19" t="s">
        <v>1664</v>
      </c>
      <c r="Y143" s="19">
        <v>7</v>
      </c>
      <c r="Z143" s="19" t="s">
        <v>1739</v>
      </c>
      <c r="AA143" s="19">
        <v>7</v>
      </c>
      <c r="AB143" s="19" t="s">
        <v>1739</v>
      </c>
    </row>
    <row r="144" spans="1:28" s="18" customFormat="1">
      <c r="A144" s="18" t="s">
        <v>249</v>
      </c>
      <c r="B144" s="18" t="s">
        <v>9</v>
      </c>
      <c r="C144" s="18" t="s">
        <v>241</v>
      </c>
      <c r="D144" s="18" t="s">
        <v>242</v>
      </c>
      <c r="E144" s="19" t="s">
        <v>22</v>
      </c>
      <c r="F144" s="18" t="s">
        <v>13</v>
      </c>
      <c r="G144" s="29">
        <v>1</v>
      </c>
      <c r="H144" s="32" t="str">
        <f>IF(Prueba[[#This Row],[Cant.]]=0,"",IF(OR(Prueba[[#This Row],[Cant.2]]="",Prueba[[#This Row],[Puesto2]]=""),"?",Prueba[[#This Row],[Puesto2]]))</f>
        <v>C</v>
      </c>
      <c r="I144" s="31">
        <v>1</v>
      </c>
      <c r="J144" s="32" t="s">
        <v>1402</v>
      </c>
      <c r="K144" s="14"/>
      <c r="L144" s="14"/>
      <c r="M144" s="31"/>
      <c r="N144" s="32" t="str">
        <f>IF(Prueba[[#This Row],[Cant.4]]=0,"",IF(OR(Prueba[[#This Row],[Cant.6]]="",Prueba[[#This Row],[Puesto6]]=""),"?",Prueba[[#This Row],[Puesto6]]))</f>
        <v/>
      </c>
      <c r="O144" s="31"/>
      <c r="P144" s="32" t="str">
        <f>IF(Prueba[[#This Row],[Cant.5]]=0,"",IF(OR(Prueba[[#This Row],[Cant.6]]="",Prueba[[#This Row],[Puesto6]]=""),"?",Prueba[[#This Row],[Puesto6]]))</f>
        <v/>
      </c>
      <c r="Q144" s="31"/>
      <c r="R144" s="32"/>
      <c r="S144" s="14"/>
      <c r="T144" s="14"/>
      <c r="U144" s="31"/>
      <c r="V144" s="32" t="s">
        <v>1663</v>
      </c>
      <c r="W144" s="19">
        <v>8</v>
      </c>
      <c r="X144" s="19" t="s">
        <v>1664</v>
      </c>
      <c r="Y144" s="19" t="s">
        <v>1663</v>
      </c>
      <c r="Z144" s="19" t="s">
        <v>1663</v>
      </c>
      <c r="AA144" s="19" t="s">
        <v>1663</v>
      </c>
      <c r="AB144" s="19" t="s">
        <v>1663</v>
      </c>
    </row>
    <row r="145" spans="1:28" s="18" customFormat="1">
      <c r="A145" s="63" t="s">
        <v>250</v>
      </c>
      <c r="B145" s="18" t="s">
        <v>9</v>
      </c>
      <c r="C145" s="18" t="s">
        <v>241</v>
      </c>
      <c r="D145" s="18" t="s">
        <v>242</v>
      </c>
      <c r="E145" s="19" t="s">
        <v>22</v>
      </c>
      <c r="F145" s="18" t="s">
        <v>13</v>
      </c>
      <c r="G145" s="29">
        <v>2</v>
      </c>
      <c r="H145" s="32" t="str">
        <f>IF(Prueba[[#This Row],[Cant.]]=0,"",IF(OR(Prueba[[#This Row],[Cant.2]]="",Prueba[[#This Row],[Puesto2]]=""),"?",Prueba[[#This Row],[Puesto2]]))</f>
        <v>A</v>
      </c>
      <c r="I145" s="31">
        <v>2</v>
      </c>
      <c r="J145" s="32" t="s">
        <v>1421</v>
      </c>
      <c r="K145" s="14"/>
      <c r="L145" s="14"/>
      <c r="M145" s="31"/>
      <c r="N145" s="32" t="str">
        <f>IF(Prueba[[#This Row],[Cant.4]]=0,"",IF(OR(Prueba[[#This Row],[Cant.6]]="",Prueba[[#This Row],[Puesto6]]=""),"?",Prueba[[#This Row],[Puesto6]]))</f>
        <v/>
      </c>
      <c r="O145" s="31"/>
      <c r="P145" s="32" t="str">
        <f>IF(Prueba[[#This Row],[Cant.5]]=0,"",IF(OR(Prueba[[#This Row],[Cant.6]]="",Prueba[[#This Row],[Puesto6]]=""),"?",Prueba[[#This Row],[Puesto6]]))</f>
        <v/>
      </c>
      <c r="Q145" s="31"/>
      <c r="R145" s="32"/>
      <c r="S145" s="14"/>
      <c r="T145" s="14"/>
      <c r="U145" s="31">
        <v>6</v>
      </c>
      <c r="V145" s="32" t="s">
        <v>1405</v>
      </c>
      <c r="W145" s="19">
        <v>48</v>
      </c>
      <c r="X145" s="19" t="s">
        <v>1664</v>
      </c>
      <c r="Y145" s="19">
        <v>6</v>
      </c>
      <c r="Z145" s="19" t="s">
        <v>1740</v>
      </c>
      <c r="AA145" s="19">
        <v>6</v>
      </c>
      <c r="AB145" s="19" t="s">
        <v>1421</v>
      </c>
    </row>
    <row r="146" spans="1:28" s="18" customFormat="1">
      <c r="A146" s="18" t="s">
        <v>251</v>
      </c>
      <c r="B146" s="18" t="s">
        <v>9</v>
      </c>
      <c r="C146" s="18" t="s">
        <v>241</v>
      </c>
      <c r="D146" s="18" t="s">
        <v>242</v>
      </c>
      <c r="E146" s="19" t="s">
        <v>22</v>
      </c>
      <c r="F146" s="18" t="s">
        <v>13</v>
      </c>
      <c r="G146" s="29">
        <v>2</v>
      </c>
      <c r="H146" s="32" t="str">
        <f>IF(Prueba[[#This Row],[Cant.]]=0,"",IF(OR(Prueba[[#This Row],[Cant.2]]="",Prueba[[#This Row],[Puesto2]]=""),"?",Prueba[[#This Row],[Puesto2]]))</f>
        <v>C</v>
      </c>
      <c r="I146" s="31">
        <v>2</v>
      </c>
      <c r="J146" s="32" t="s">
        <v>1402</v>
      </c>
      <c r="K146" s="14"/>
      <c r="L146" s="14"/>
      <c r="M146" s="31"/>
      <c r="N146" s="32" t="str">
        <f>IF(Prueba[[#This Row],[Cant.4]]=0,"",IF(OR(Prueba[[#This Row],[Cant.6]]="",Prueba[[#This Row],[Puesto6]]=""),"?",Prueba[[#This Row],[Puesto6]]))</f>
        <v/>
      </c>
      <c r="O146" s="31"/>
      <c r="P146" s="32" t="str">
        <f>IF(Prueba[[#This Row],[Cant.5]]=0,"",IF(OR(Prueba[[#This Row],[Cant.6]]="",Prueba[[#This Row],[Puesto6]]=""),"?",Prueba[[#This Row],[Puesto6]]))</f>
        <v/>
      </c>
      <c r="Q146" s="31"/>
      <c r="R146" s="32"/>
      <c r="S146" s="14"/>
      <c r="T146" s="14"/>
      <c r="U146" s="31">
        <v>1</v>
      </c>
      <c r="V146" s="32">
        <v>5</v>
      </c>
      <c r="W146" s="19">
        <v>16</v>
      </c>
      <c r="X146" s="19" t="s">
        <v>1664</v>
      </c>
      <c r="Y146" s="19">
        <v>4</v>
      </c>
      <c r="Z146" s="19" t="s">
        <v>1402</v>
      </c>
      <c r="AA146" s="19">
        <v>4</v>
      </c>
      <c r="AB146" s="19" t="s">
        <v>1402</v>
      </c>
    </row>
    <row r="147" spans="1:28" s="18" customFormat="1">
      <c r="A147" s="63" t="s">
        <v>252</v>
      </c>
      <c r="B147" s="18" t="s">
        <v>9</v>
      </c>
      <c r="C147" s="18" t="s">
        <v>241</v>
      </c>
      <c r="D147" s="18" t="s">
        <v>242</v>
      </c>
      <c r="E147" s="19" t="s">
        <v>22</v>
      </c>
      <c r="F147" s="18" t="s">
        <v>13</v>
      </c>
      <c r="G147" s="29">
        <v>2</v>
      </c>
      <c r="H147" s="32" t="str">
        <f>IF(Prueba[[#This Row],[Cant.]]=0,"",IF(OR(Prueba[[#This Row],[Cant.2]]="",Prueba[[#This Row],[Puesto2]]=""),"?",Prueba[[#This Row],[Puesto2]]))</f>
        <v>A</v>
      </c>
      <c r="I147" s="31">
        <v>2</v>
      </c>
      <c r="J147" s="32" t="s">
        <v>1421</v>
      </c>
      <c r="K147" s="14"/>
      <c r="L147" s="14"/>
      <c r="M147" s="31"/>
      <c r="N147" s="32" t="str">
        <f>IF(Prueba[[#This Row],[Cant.4]]=0,"",IF(OR(Prueba[[#This Row],[Cant.6]]="",Prueba[[#This Row],[Puesto6]]=""),"?",Prueba[[#This Row],[Puesto6]]))</f>
        <v/>
      </c>
      <c r="O147" s="31"/>
      <c r="P147" s="32" t="str">
        <f>IF(Prueba[[#This Row],[Cant.5]]=0,"",IF(OR(Prueba[[#This Row],[Cant.6]]="",Prueba[[#This Row],[Puesto6]]=""),"?",Prueba[[#This Row],[Puesto6]]))</f>
        <v/>
      </c>
      <c r="Q147" s="31"/>
      <c r="R147" s="32"/>
      <c r="S147" s="14"/>
      <c r="T147" s="14"/>
      <c r="U147" s="31">
        <v>4</v>
      </c>
      <c r="V147" s="32" t="s">
        <v>1406</v>
      </c>
      <c r="W147" s="19">
        <v>32</v>
      </c>
      <c r="X147" s="19" t="s">
        <v>1664</v>
      </c>
      <c r="Y147" s="19">
        <v>3</v>
      </c>
      <c r="Z147" s="19" t="s">
        <v>1421</v>
      </c>
      <c r="AA147" s="19">
        <v>3</v>
      </c>
      <c r="AB147" s="19" t="s">
        <v>1421</v>
      </c>
    </row>
    <row r="148" spans="1:28" s="18" customFormat="1">
      <c r="A148" s="18" t="s">
        <v>253</v>
      </c>
      <c r="B148" s="18" t="s">
        <v>9</v>
      </c>
      <c r="C148" s="18" t="s">
        <v>84</v>
      </c>
      <c r="D148" s="18" t="s">
        <v>254</v>
      </c>
      <c r="E148" s="19" t="s">
        <v>18</v>
      </c>
      <c r="F148" s="18" t="s">
        <v>13</v>
      </c>
      <c r="G148" s="29">
        <v>1</v>
      </c>
      <c r="H148" s="32">
        <f>IF(Prueba[[#This Row],[Cant.]]=0,"",IF(OR(Prueba[[#This Row],[Cant.2]]="",Prueba[[#This Row],[Puesto2]]=""),"?",Prueba[[#This Row],[Puesto2]]))</f>
        <v>0</v>
      </c>
      <c r="I148" s="31">
        <v>1</v>
      </c>
      <c r="J148" s="32">
        <v>0</v>
      </c>
      <c r="K148" s="14"/>
      <c r="L148" s="14"/>
      <c r="M148" s="31"/>
      <c r="N148" s="32" t="str">
        <f>IF(Prueba[[#This Row],[Cant.4]]=0,"",IF(OR(Prueba[[#This Row],[Cant.6]]="",Prueba[[#This Row],[Puesto6]]=""),"?",Prueba[[#This Row],[Puesto6]]))</f>
        <v/>
      </c>
      <c r="O148" s="31"/>
      <c r="P148" s="32" t="str">
        <f>IF(Prueba[[#This Row],[Cant.5]]=0,"",IF(OR(Prueba[[#This Row],[Cant.6]]="",Prueba[[#This Row],[Puesto6]]=""),"?",Prueba[[#This Row],[Puesto6]]))</f>
        <v/>
      </c>
      <c r="Q148" s="31"/>
      <c r="R148" s="32"/>
      <c r="S148" s="14"/>
      <c r="T148" s="14"/>
      <c r="U148" s="31"/>
      <c r="V148" s="32" t="s">
        <v>1663</v>
      </c>
      <c r="W148" s="19"/>
      <c r="X148" s="19" t="s">
        <v>1667</v>
      </c>
      <c r="Y148" s="19">
        <v>1</v>
      </c>
      <c r="Z148" s="19">
        <v>0</v>
      </c>
      <c r="AA148" s="19">
        <v>1</v>
      </c>
      <c r="AB148" s="19">
        <v>0</v>
      </c>
    </row>
    <row r="149" spans="1:28" s="18" customFormat="1">
      <c r="A149" s="18" t="s">
        <v>255</v>
      </c>
      <c r="B149" s="18" t="s">
        <v>9</v>
      </c>
      <c r="C149" s="18" t="s">
        <v>256</v>
      </c>
      <c r="D149" s="18" t="s">
        <v>257</v>
      </c>
      <c r="E149" s="19" t="s">
        <v>18</v>
      </c>
      <c r="F149" s="18" t="s">
        <v>13</v>
      </c>
      <c r="G149" s="29">
        <v>2</v>
      </c>
      <c r="H149" s="32" t="str">
        <f>IF(Prueba[[#This Row],[Cant.]]=0,"",IF(OR(Prueba[[#This Row],[Cant.2]]="",Prueba[[#This Row],[Puesto2]]=""),"?",Prueba[[#This Row],[Puesto2]]))</f>
        <v>C</v>
      </c>
      <c r="I149" s="31">
        <v>2</v>
      </c>
      <c r="J149" s="32" t="s">
        <v>1402</v>
      </c>
      <c r="K149" s="14"/>
      <c r="L149" s="14"/>
      <c r="M149" s="31"/>
      <c r="N149" s="32" t="str">
        <f>IF(Prueba[[#This Row],[Cant.4]]=0,"",IF(OR(Prueba[[#This Row],[Cant.6]]="",Prueba[[#This Row],[Puesto6]]=""),"?",Prueba[[#This Row],[Puesto6]]))</f>
        <v/>
      </c>
      <c r="O149" s="31"/>
      <c r="P149" s="32" t="str">
        <f>IF(Prueba[[#This Row],[Cant.5]]=0,"",IF(OR(Prueba[[#This Row],[Cant.6]]="",Prueba[[#This Row],[Puesto6]]=""),"?",Prueba[[#This Row],[Puesto6]]))</f>
        <v/>
      </c>
      <c r="Q149" s="31"/>
      <c r="R149" s="32"/>
      <c r="S149" s="14"/>
      <c r="T149" s="14"/>
      <c r="U149" s="31"/>
      <c r="V149" s="32" t="s">
        <v>1663</v>
      </c>
      <c r="W149" s="19"/>
      <c r="X149" s="19" t="s">
        <v>1667</v>
      </c>
      <c r="Y149" s="19">
        <v>1</v>
      </c>
      <c r="Z149" s="19" t="s">
        <v>1402</v>
      </c>
      <c r="AA149" s="19">
        <v>1</v>
      </c>
      <c r="AB149" s="19" t="s">
        <v>1402</v>
      </c>
    </row>
    <row r="150" spans="1:28" s="18" customFormat="1">
      <c r="A150" s="18" t="s">
        <v>258</v>
      </c>
      <c r="B150" s="18" t="s">
        <v>9</v>
      </c>
      <c r="C150" s="18" t="s">
        <v>259</v>
      </c>
      <c r="D150" s="18" t="s">
        <v>260</v>
      </c>
      <c r="E150" s="19" t="s">
        <v>22</v>
      </c>
      <c r="F150" s="18" t="s">
        <v>13</v>
      </c>
      <c r="G150" s="29">
        <v>2</v>
      </c>
      <c r="H150" s="32" t="str">
        <f>IF(Prueba[[#This Row],[Cant.]]=0,"",IF(OR(Prueba[[#This Row],[Cant.2]]="",Prueba[[#This Row],[Puesto2]]=""),"?",Prueba[[#This Row],[Puesto2]]))</f>
        <v>B</v>
      </c>
      <c r="I150" s="31">
        <v>2</v>
      </c>
      <c r="J150" s="32" t="s">
        <v>1447</v>
      </c>
      <c r="K150" s="14"/>
      <c r="L150" s="14"/>
      <c r="M150" s="31"/>
      <c r="N150" s="32" t="str">
        <f>IF(Prueba[[#This Row],[Cant.4]]=0,"",IF(OR(Prueba[[#This Row],[Cant.6]]="",Prueba[[#This Row],[Puesto6]]=""),"?",Prueba[[#This Row],[Puesto6]]))</f>
        <v/>
      </c>
      <c r="O150" s="31"/>
      <c r="P150" s="32" t="str">
        <f>IF(Prueba[[#This Row],[Cant.5]]=0,"",IF(OR(Prueba[[#This Row],[Cant.6]]="",Prueba[[#This Row],[Puesto6]]=""),"?",Prueba[[#This Row],[Puesto6]]))</f>
        <v/>
      </c>
      <c r="Q150" s="31"/>
      <c r="R150" s="32"/>
      <c r="S150" s="14"/>
      <c r="T150" s="14"/>
      <c r="U150" s="31"/>
      <c r="V150" s="32" t="s">
        <v>1663</v>
      </c>
      <c r="W150" s="19">
        <v>16</v>
      </c>
      <c r="X150" s="19" t="s">
        <v>1664</v>
      </c>
      <c r="Y150" s="19">
        <v>3</v>
      </c>
      <c r="Z150" s="19" t="s">
        <v>1447</v>
      </c>
      <c r="AA150" s="19">
        <v>3</v>
      </c>
      <c r="AB150" s="19" t="s">
        <v>1447</v>
      </c>
    </row>
    <row r="151" spans="1:28" s="18" customFormat="1">
      <c r="A151" s="18" t="s">
        <v>261</v>
      </c>
      <c r="B151" s="18" t="s">
        <v>9</v>
      </c>
      <c r="C151" s="18" t="s">
        <v>262</v>
      </c>
      <c r="D151" s="18" t="s">
        <v>263</v>
      </c>
      <c r="E151" s="19" t="s">
        <v>12</v>
      </c>
      <c r="F151" s="18" t="s">
        <v>13</v>
      </c>
      <c r="G151" s="29">
        <v>1</v>
      </c>
      <c r="H151" s="32" t="str">
        <f>IF(Prueba[[#This Row],[Cant.]]=0,"",IF(OR(Prueba[[#This Row],[Cant.2]]="",Prueba[[#This Row],[Puesto2]]=""),"?",Prueba[[#This Row],[Puesto2]]))</f>
        <v>C</v>
      </c>
      <c r="I151" s="31">
        <v>1</v>
      </c>
      <c r="J151" s="32" t="s">
        <v>1402</v>
      </c>
      <c r="K151" s="14"/>
      <c r="L151" s="14"/>
      <c r="M151" s="31"/>
      <c r="N151" s="32" t="str">
        <f>IF(Prueba[[#This Row],[Cant.4]]=0,"",IF(OR(Prueba[[#This Row],[Cant.6]]="",Prueba[[#This Row],[Puesto6]]=""),"?",Prueba[[#This Row],[Puesto6]]))</f>
        <v/>
      </c>
      <c r="O151" s="31"/>
      <c r="P151" s="32" t="str">
        <f>IF(Prueba[[#This Row],[Cant.5]]=0,"",IF(OR(Prueba[[#This Row],[Cant.6]]="",Prueba[[#This Row],[Puesto6]]=""),"?",Prueba[[#This Row],[Puesto6]]))</f>
        <v/>
      </c>
      <c r="Q151" s="31"/>
      <c r="R151" s="32"/>
      <c r="S151" s="14"/>
      <c r="T151" s="14"/>
      <c r="U151" s="31"/>
      <c r="V151" s="32" t="s">
        <v>1663</v>
      </c>
      <c r="W151" s="19"/>
      <c r="X151" s="19" t="s">
        <v>1667</v>
      </c>
      <c r="Y151" s="19" t="s">
        <v>1663</v>
      </c>
      <c r="Z151" s="19" t="s">
        <v>1663</v>
      </c>
      <c r="AA151" s="19" t="s">
        <v>1663</v>
      </c>
      <c r="AB151" s="19" t="s">
        <v>1663</v>
      </c>
    </row>
    <row r="152" spans="1:28" s="18" customFormat="1">
      <c r="A152" s="18" t="s">
        <v>1741</v>
      </c>
      <c r="B152" s="18" t="s">
        <v>9</v>
      </c>
      <c r="C152" s="18" t="s">
        <v>262</v>
      </c>
      <c r="D152" s="18" t="s">
        <v>263</v>
      </c>
      <c r="E152" s="19" t="s">
        <v>18</v>
      </c>
      <c r="F152" s="18" t="s">
        <v>13</v>
      </c>
      <c r="G152" s="29"/>
      <c r="H152" s="32"/>
      <c r="I152" s="31"/>
      <c r="J152" s="32"/>
      <c r="K152" s="14"/>
      <c r="L152" s="14"/>
      <c r="M152" s="31"/>
      <c r="N152" s="32" t="str">
        <f>IF(Prueba[[#This Row],[Cant.4]]=0,"",IF(OR(Prueba[[#This Row],[Cant.6]]="",Prueba[[#This Row],[Puesto6]]=""),"?",Prueba[[#This Row],[Puesto6]]))</f>
        <v/>
      </c>
      <c r="O152" s="31"/>
      <c r="P152" s="32" t="str">
        <f>IF(Prueba[[#This Row],[Cant.5]]=0,"",IF(OR(Prueba[[#This Row],[Cant.6]]="",Prueba[[#This Row],[Puesto6]]=""),"?",Prueba[[#This Row],[Puesto6]]))</f>
        <v/>
      </c>
      <c r="Q152" s="31"/>
      <c r="R152" s="32"/>
      <c r="S152" s="14"/>
      <c r="T152" s="14"/>
      <c r="U152" s="31"/>
      <c r="V152" s="32" t="s">
        <v>1663</v>
      </c>
      <c r="W152" s="19"/>
      <c r="X152" s="19" t="s">
        <v>1667</v>
      </c>
      <c r="Y152" s="19"/>
      <c r="Z152" s="19"/>
      <c r="AA152" s="19">
        <v>1</v>
      </c>
      <c r="AB152" s="19">
        <v>2</v>
      </c>
    </row>
    <row r="153" spans="1:28" s="18" customFormat="1">
      <c r="A153" s="18" t="s">
        <v>1742</v>
      </c>
      <c r="B153" s="18" t="s">
        <v>9</v>
      </c>
      <c r="D153" s="18" t="s">
        <v>1743</v>
      </c>
      <c r="E153" s="19" t="s">
        <v>22</v>
      </c>
      <c r="F153" s="18" t="s">
        <v>13</v>
      </c>
      <c r="G153" s="29">
        <v>1</v>
      </c>
      <c r="H153" s="112" t="s">
        <v>1744</v>
      </c>
      <c r="I153" s="31"/>
      <c r="J153" s="32"/>
      <c r="K153" s="14"/>
      <c r="L153" s="14"/>
      <c r="M153" s="31"/>
      <c r="N153" s="32" t="str">
        <f>IF(Prueba[[#This Row],[Cant.4]]=0,"",IF(OR(Prueba[[#This Row],[Cant.6]]="",Prueba[[#This Row],[Puesto6]]=""),"?",Prueba[[#This Row],[Puesto6]]))</f>
        <v/>
      </c>
      <c r="O153" s="31"/>
      <c r="P153" s="32" t="str">
        <f>IF(Prueba[[#This Row],[Cant.5]]=0,"",IF(OR(Prueba[[#This Row],[Cant.6]]="",Prueba[[#This Row],[Puesto6]]=""),"?",Prueba[[#This Row],[Puesto6]]))</f>
        <v/>
      </c>
      <c r="Q153" s="31"/>
      <c r="R153" s="32"/>
      <c r="S153" s="14"/>
      <c r="T153" s="14"/>
      <c r="U153" s="31"/>
      <c r="V153" s="32" t="s">
        <v>1663</v>
      </c>
      <c r="W153" s="19">
        <v>8</v>
      </c>
      <c r="X153" s="19" t="s">
        <v>1664</v>
      </c>
      <c r="Y153" s="19">
        <v>2</v>
      </c>
      <c r="Z153" s="19">
        <v>5</v>
      </c>
      <c r="AA153" s="19">
        <v>2</v>
      </c>
      <c r="AB153" s="19">
        <v>5</v>
      </c>
    </row>
    <row r="154" spans="1:28" s="18" customFormat="1" ht="15.6">
      <c r="A154" s="18" t="s">
        <v>1745</v>
      </c>
      <c r="B154" s="18" t="s">
        <v>9</v>
      </c>
      <c r="C154" s="18" t="s">
        <v>1746</v>
      </c>
      <c r="D154" s="18" t="s">
        <v>1747</v>
      </c>
      <c r="E154" s="92" t="s">
        <v>18</v>
      </c>
      <c r="F154" s="18" t="s">
        <v>13</v>
      </c>
      <c r="G154" s="29"/>
      <c r="H154" s="32" t="str">
        <f>IF(Prueba[[#This Row],[Cant.]]=0,"",IF(OR(Prueba[[#This Row],[Cant.2]]="",Prueba[[#This Row],[Puesto2]]=""),"?",Prueba[[#This Row],[Puesto2]]))</f>
        <v/>
      </c>
      <c r="I154" s="31"/>
      <c r="J154" s="32"/>
      <c r="K154" s="14"/>
      <c r="L154" s="14"/>
      <c r="M154" s="31"/>
      <c r="N154" s="32" t="str">
        <f>IF(Prueba[[#This Row],[Cant.4]]=0,"",IF(OR(Prueba[[#This Row],[Cant.6]]="",Prueba[[#This Row],[Puesto6]]=""),"?",Prueba[[#This Row],[Puesto6]]))</f>
        <v/>
      </c>
      <c r="O154" s="31"/>
      <c r="P154" s="32" t="str">
        <f>IF(Prueba[[#This Row],[Cant.5]]=0,"",IF(OR(Prueba[[#This Row],[Cant.6]]="",Prueba[[#This Row],[Puesto6]]=""),"?",Prueba[[#This Row],[Puesto6]]))</f>
        <v/>
      </c>
      <c r="Q154" s="31"/>
      <c r="R154" s="32"/>
      <c r="S154" s="14">
        <v>1</v>
      </c>
      <c r="T154" s="14" t="s">
        <v>1402</v>
      </c>
      <c r="U154" s="31"/>
      <c r="V154" s="32" t="s">
        <v>1663</v>
      </c>
      <c r="W154" s="19"/>
      <c r="X154" s="19" t="s">
        <v>1667</v>
      </c>
      <c r="Y154" s="19" t="s">
        <v>1663</v>
      </c>
      <c r="Z154" s="19" t="s">
        <v>1663</v>
      </c>
      <c r="AA154" s="19" t="s">
        <v>1663</v>
      </c>
      <c r="AB154" s="19" t="s">
        <v>1663</v>
      </c>
    </row>
    <row r="155" spans="1:28" s="18" customFormat="1">
      <c r="A155" s="18" t="s">
        <v>1748</v>
      </c>
      <c r="C155" s="18" t="s">
        <v>1746</v>
      </c>
      <c r="D155" s="18" t="s">
        <v>1746</v>
      </c>
      <c r="E155" s="19" t="s">
        <v>18</v>
      </c>
      <c r="G155" s="29"/>
      <c r="H155" s="32" t="str">
        <f>IF(Prueba[[#This Row],[Cant.]]=0,"",IF(OR(Prueba[[#This Row],[Cant.2]]="",Prueba[[#This Row],[Puesto2]]=""),"?",Prueba[[#This Row],[Puesto2]]))</f>
        <v/>
      </c>
      <c r="I155" s="31"/>
      <c r="J155" s="32"/>
      <c r="K155" s="14"/>
      <c r="L155" s="14"/>
      <c r="M155" s="31"/>
      <c r="N155" s="32" t="str">
        <f>IF(Prueba[[#This Row],[Cant.4]]=0,"",IF(OR(Prueba[[#This Row],[Cant.6]]="",Prueba[[#This Row],[Puesto6]]=""),"?",Prueba[[#This Row],[Puesto6]]))</f>
        <v/>
      </c>
      <c r="O155" s="31"/>
      <c r="P155" s="32" t="str">
        <f>IF(Prueba[[#This Row],[Cant.5]]=0,"",IF(OR(Prueba[[#This Row],[Cant.6]]="",Prueba[[#This Row],[Puesto6]]=""),"?",Prueba[[#This Row],[Puesto6]]))</f>
        <v/>
      </c>
      <c r="Q155" s="31"/>
      <c r="R155" s="32"/>
      <c r="S155" s="14"/>
      <c r="T155" s="14"/>
      <c r="U155" s="31"/>
      <c r="V155" s="32" t="s">
        <v>1663</v>
      </c>
      <c r="X155" s="19" t="s">
        <v>1667</v>
      </c>
      <c r="Y155" s="19">
        <v>1</v>
      </c>
      <c r="Z155" s="19" t="s">
        <v>1402</v>
      </c>
      <c r="AA155" s="19">
        <v>1</v>
      </c>
      <c r="AB155" s="19" t="s">
        <v>1402</v>
      </c>
    </row>
    <row r="156" spans="1:28" s="18" customFormat="1">
      <c r="A156" s="18" t="s">
        <v>1749</v>
      </c>
      <c r="C156" s="18" t="s">
        <v>1746</v>
      </c>
      <c r="D156" s="18" t="s">
        <v>1746</v>
      </c>
      <c r="E156" s="19" t="s">
        <v>18</v>
      </c>
      <c r="G156" s="29"/>
      <c r="H156" s="32" t="str">
        <f>IF(Prueba[[#This Row],[Cant.]]=0,"",IF(OR(Prueba[[#This Row],[Cant.2]]="",Prueba[[#This Row],[Puesto2]]=""),"?",Prueba[[#This Row],[Puesto2]]))</f>
        <v/>
      </c>
      <c r="I156" s="31"/>
      <c r="J156" s="32"/>
      <c r="K156" s="14"/>
      <c r="L156" s="14"/>
      <c r="M156" s="31"/>
      <c r="N156" s="32" t="str">
        <f>IF(Prueba[[#This Row],[Cant.4]]=0,"",IF(OR(Prueba[[#This Row],[Cant.6]]="",Prueba[[#This Row],[Puesto6]]=""),"?",Prueba[[#This Row],[Puesto6]]))</f>
        <v/>
      </c>
      <c r="O156" s="31"/>
      <c r="P156" s="32" t="str">
        <f>IF(Prueba[[#This Row],[Cant.5]]=0,"",IF(OR(Prueba[[#This Row],[Cant.6]]="",Prueba[[#This Row],[Puesto6]]=""),"?",Prueba[[#This Row],[Puesto6]]))</f>
        <v/>
      </c>
      <c r="Q156" s="31"/>
      <c r="R156" s="32"/>
      <c r="S156" s="14"/>
      <c r="T156" s="14"/>
      <c r="U156" s="31"/>
      <c r="V156" s="32" t="s">
        <v>1663</v>
      </c>
      <c r="X156" s="19" t="s">
        <v>1667</v>
      </c>
      <c r="Y156" s="19">
        <v>1</v>
      </c>
      <c r="Z156" s="19" t="s">
        <v>1402</v>
      </c>
      <c r="AA156" s="19">
        <v>1</v>
      </c>
      <c r="AB156" s="19" t="s">
        <v>1402</v>
      </c>
    </row>
    <row r="157" spans="1:28" s="18" customFormat="1">
      <c r="A157" s="18" t="s">
        <v>264</v>
      </c>
      <c r="B157" s="18" t="s">
        <v>9</v>
      </c>
      <c r="C157" s="18" t="s">
        <v>187</v>
      </c>
      <c r="D157" s="18" t="s">
        <v>265</v>
      </c>
      <c r="E157" s="19" t="s">
        <v>22</v>
      </c>
      <c r="F157" s="18" t="s">
        <v>13</v>
      </c>
      <c r="G157" s="29">
        <v>1</v>
      </c>
      <c r="H157" s="32" t="str">
        <f>IF(Prueba[[#This Row],[Cant.]]=0,"",IF(OR(Prueba[[#This Row],[Cant.2]]="",Prueba[[#This Row],[Puesto2]]=""),"?",Prueba[[#This Row],[Puesto2]]))</f>
        <v>C</v>
      </c>
      <c r="I157" s="31">
        <v>1</v>
      </c>
      <c r="J157" s="32" t="s">
        <v>1402</v>
      </c>
      <c r="K157" s="14"/>
      <c r="L157" s="14"/>
      <c r="M157" s="31"/>
      <c r="N157" s="32" t="str">
        <f>IF(Prueba[[#This Row],[Cant.4]]=0,"",IF(OR(Prueba[[#This Row],[Cant.6]]="",Prueba[[#This Row],[Puesto6]]=""),"?",Prueba[[#This Row],[Puesto6]]))</f>
        <v/>
      </c>
      <c r="O157" s="31"/>
      <c r="P157" s="32" t="str">
        <f>IF(Prueba[[#This Row],[Cant.5]]=0,"",IF(OR(Prueba[[#This Row],[Cant.6]]="",Prueba[[#This Row],[Puesto6]]=""),"?",Prueba[[#This Row],[Puesto6]]))</f>
        <v/>
      </c>
      <c r="Q157" s="31"/>
      <c r="R157" s="32"/>
      <c r="S157" s="14"/>
      <c r="T157" s="14"/>
      <c r="U157" s="31"/>
      <c r="V157" s="32" t="s">
        <v>1663</v>
      </c>
      <c r="W157" s="19">
        <v>8</v>
      </c>
      <c r="X157" s="19" t="s">
        <v>1664</v>
      </c>
      <c r="Y157" s="19">
        <v>2</v>
      </c>
      <c r="Z157" s="19" t="s">
        <v>1402</v>
      </c>
      <c r="AA157" s="19">
        <v>2</v>
      </c>
      <c r="AB157" s="19" t="s">
        <v>1402</v>
      </c>
    </row>
    <row r="158" spans="1:28" s="18" customFormat="1">
      <c r="A158" s="18" t="s">
        <v>266</v>
      </c>
      <c r="B158" s="18" t="s">
        <v>9</v>
      </c>
      <c r="C158" s="18" t="s">
        <v>267</v>
      </c>
      <c r="D158" s="18" t="s">
        <v>268</v>
      </c>
      <c r="E158" s="19" t="s">
        <v>18</v>
      </c>
      <c r="F158" s="18" t="s">
        <v>13</v>
      </c>
      <c r="G158" s="29">
        <v>1</v>
      </c>
      <c r="H158" s="32" t="str">
        <f>IF(Prueba[[#This Row],[Cant.]]=0,"",IF(OR(Prueba[[#This Row],[Cant.2]]="",Prueba[[#This Row],[Puesto2]]=""),"?",Prueba[[#This Row],[Puesto2]]))</f>
        <v>C</v>
      </c>
      <c r="I158" s="31">
        <v>1</v>
      </c>
      <c r="J158" s="32" t="s">
        <v>1402</v>
      </c>
      <c r="K158" s="14"/>
      <c r="L158" s="14"/>
      <c r="M158" s="31"/>
      <c r="N158" s="32" t="str">
        <f>IF(Prueba[[#This Row],[Cant.4]]=0,"",IF(OR(Prueba[[#This Row],[Cant.6]]="",Prueba[[#This Row],[Puesto6]]=""),"?",Prueba[[#This Row],[Puesto6]]))</f>
        <v/>
      </c>
      <c r="O158" s="31"/>
      <c r="P158" s="32" t="str">
        <f>IF(Prueba[[#This Row],[Cant.5]]=0,"",IF(OR(Prueba[[#This Row],[Cant.6]]="",Prueba[[#This Row],[Puesto6]]=""),"?",Prueba[[#This Row],[Puesto6]]))</f>
        <v/>
      </c>
      <c r="Q158" s="31"/>
      <c r="R158" s="32"/>
      <c r="S158" s="14"/>
      <c r="T158" s="14"/>
      <c r="U158" s="31"/>
      <c r="V158" s="32" t="s">
        <v>1663</v>
      </c>
      <c r="W158" s="19"/>
      <c r="X158" s="19" t="s">
        <v>1667</v>
      </c>
      <c r="Y158" s="19" t="s">
        <v>1663</v>
      </c>
      <c r="Z158" s="19" t="s">
        <v>1663</v>
      </c>
      <c r="AA158" s="19" t="s">
        <v>1663</v>
      </c>
      <c r="AB158" s="19" t="s">
        <v>1663</v>
      </c>
    </row>
    <row r="159" spans="1:28" s="18" customFormat="1">
      <c r="A159" s="18" t="s">
        <v>269</v>
      </c>
      <c r="B159" s="18" t="s">
        <v>9</v>
      </c>
      <c r="C159" s="18" t="s">
        <v>121</v>
      </c>
      <c r="D159" s="18" t="s">
        <v>270</v>
      </c>
      <c r="E159" s="19" t="s">
        <v>22</v>
      </c>
      <c r="F159" s="18" t="s">
        <v>13</v>
      </c>
      <c r="G159" s="29">
        <v>10</v>
      </c>
      <c r="H159" s="32">
        <v>4</v>
      </c>
      <c r="I159" s="31">
        <v>10</v>
      </c>
      <c r="J159" s="32">
        <v>4</v>
      </c>
      <c r="K159" s="14">
        <v>8</v>
      </c>
      <c r="L159" s="14"/>
      <c r="M159" s="31">
        <v>8</v>
      </c>
      <c r="N159" s="32" t="str">
        <f>IF(Prueba[[#This Row],[Cant.4]]=0,"",IF(OR(Prueba[[#This Row],[Cant.6]]="",Prueba[[#This Row],[Puesto6]]=""),"?",Prueba[[#This Row],[Puesto6]]))</f>
        <v>4x4</v>
      </c>
      <c r="O159" s="31">
        <v>8</v>
      </c>
      <c r="P159" s="32" t="str">
        <f>IF(Prueba[[#This Row],[Cant.5]]=0,"",IF(OR(Prueba[[#This Row],[Cant.6]]="",Prueba[[#This Row],[Puesto6]]=""),"?",Prueba[[#This Row],[Puesto6]]))</f>
        <v>4x4</v>
      </c>
      <c r="Q159" s="31">
        <v>8</v>
      </c>
      <c r="R159" s="32" t="s">
        <v>1750</v>
      </c>
      <c r="S159" s="14">
        <v>6</v>
      </c>
      <c r="T159" s="14">
        <v>4</v>
      </c>
      <c r="U159" s="31">
        <v>8</v>
      </c>
      <c r="V159" s="32">
        <v>4</v>
      </c>
      <c r="W159" s="19">
        <v>80</v>
      </c>
      <c r="X159" s="19" t="s">
        <v>1664</v>
      </c>
      <c r="Y159" s="19">
        <v>11</v>
      </c>
      <c r="Z159" s="19">
        <v>4</v>
      </c>
      <c r="AA159" s="19">
        <v>11</v>
      </c>
      <c r="AB159" s="19">
        <v>4</v>
      </c>
    </row>
    <row r="160" spans="1:28" s="18" customFormat="1">
      <c r="A160" s="18" t="s">
        <v>271</v>
      </c>
      <c r="B160" s="18" t="s">
        <v>9</v>
      </c>
      <c r="C160" s="18" t="s">
        <v>272</v>
      </c>
      <c r="D160" s="18" t="s">
        <v>273</v>
      </c>
      <c r="E160" s="19" t="s">
        <v>18</v>
      </c>
      <c r="F160" s="18" t="s">
        <v>13</v>
      </c>
      <c r="G160" s="29">
        <v>1</v>
      </c>
      <c r="H160" s="32">
        <f>IF(Prueba[[#This Row],[Cant.]]=0,"",IF(OR(Prueba[[#This Row],[Cant.2]]="",Prueba[[#This Row],[Puesto2]]=""),"?",Prueba[[#This Row],[Puesto2]]))</f>
        <v>4</v>
      </c>
      <c r="I160" s="31">
        <v>1</v>
      </c>
      <c r="J160" s="32">
        <v>4</v>
      </c>
      <c r="K160" s="14"/>
      <c r="L160" s="14"/>
      <c r="M160" s="31"/>
      <c r="N160" s="32" t="str">
        <f>IF(Prueba[[#This Row],[Cant.4]]=0,"",IF(OR(Prueba[[#This Row],[Cant.6]]="",Prueba[[#This Row],[Puesto6]]=""),"?",Prueba[[#This Row],[Puesto6]]))</f>
        <v/>
      </c>
      <c r="O160" s="31"/>
      <c r="P160" s="32" t="str">
        <f>IF(Prueba[[#This Row],[Cant.5]]=0,"",IF(OR(Prueba[[#This Row],[Cant.6]]="",Prueba[[#This Row],[Puesto6]]=""),"?",Prueba[[#This Row],[Puesto6]]))</f>
        <v/>
      </c>
      <c r="Q160" s="31"/>
      <c r="R160" s="32"/>
      <c r="S160" s="14"/>
      <c r="T160" s="14"/>
      <c r="U160" s="31"/>
      <c r="V160" s="32" t="s">
        <v>1663</v>
      </c>
      <c r="W160" s="19"/>
      <c r="X160" s="19" t="s">
        <v>1667</v>
      </c>
      <c r="Y160" s="19">
        <v>1</v>
      </c>
      <c r="Z160" s="19">
        <v>4</v>
      </c>
      <c r="AA160" s="19">
        <v>1</v>
      </c>
      <c r="AB160" s="19">
        <v>4</v>
      </c>
    </row>
    <row r="161" spans="1:28" s="18" customFormat="1">
      <c r="A161" s="18" t="s">
        <v>1751</v>
      </c>
      <c r="C161" s="18" t="s">
        <v>1752</v>
      </c>
      <c r="D161" s="18" t="s">
        <v>1752</v>
      </c>
      <c r="E161" s="19" t="s">
        <v>22</v>
      </c>
      <c r="G161" s="29"/>
      <c r="H161" s="32" t="str">
        <f>IF(Prueba[[#This Row],[Cant.]]=0,"",IF(OR(Prueba[[#This Row],[Cant.2]]="",Prueba[[#This Row],[Puesto2]]=""),"?",Prueba[[#This Row],[Puesto2]]))</f>
        <v/>
      </c>
      <c r="I161" s="31"/>
      <c r="J161" s="32"/>
      <c r="K161" s="14"/>
      <c r="L161" s="14"/>
      <c r="M161" s="31"/>
      <c r="N161" s="32" t="str">
        <f>IF(Prueba[[#This Row],[Cant.4]]=0,"",IF(OR(Prueba[[#This Row],[Cant.6]]="",Prueba[[#This Row],[Puesto6]]=""),"?",Prueba[[#This Row],[Puesto6]]))</f>
        <v/>
      </c>
      <c r="O161" s="31"/>
      <c r="P161" s="32" t="str">
        <f>IF(Prueba[[#This Row],[Cant.5]]=0,"",IF(OR(Prueba[[#This Row],[Cant.6]]="",Prueba[[#This Row],[Puesto6]]=""),"?",Prueba[[#This Row],[Puesto6]]))</f>
        <v/>
      </c>
      <c r="Q161" s="31"/>
      <c r="R161" s="32"/>
      <c r="S161" s="14"/>
      <c r="T161" s="14"/>
      <c r="U161" s="31"/>
      <c r="V161" s="32" t="s">
        <v>1663</v>
      </c>
      <c r="W161" s="19">
        <v>16</v>
      </c>
      <c r="X161" s="19" t="s">
        <v>1664</v>
      </c>
      <c r="Y161" s="19">
        <v>2</v>
      </c>
      <c r="Z161" s="19" t="s">
        <v>1402</v>
      </c>
      <c r="AA161" s="19">
        <v>2</v>
      </c>
      <c r="AB161" s="19" t="s">
        <v>1402</v>
      </c>
    </row>
    <row r="162" spans="1:28" s="18" customFormat="1">
      <c r="A162" s="18" t="s">
        <v>274</v>
      </c>
      <c r="B162" s="18" t="s">
        <v>9</v>
      </c>
      <c r="C162" s="18" t="s">
        <v>262</v>
      </c>
      <c r="D162" s="18" t="s">
        <v>275</v>
      </c>
      <c r="E162" s="19" t="s">
        <v>18</v>
      </c>
      <c r="F162" s="18" t="s">
        <v>13</v>
      </c>
      <c r="G162" s="29">
        <v>2</v>
      </c>
      <c r="H162" s="32">
        <f>IF(Prueba[[#This Row],[Cant.]]=0,"",IF(OR(Prueba[[#This Row],[Cant.2]]="",Prueba[[#This Row],[Puesto2]]=""),"?",Prueba[[#This Row],[Puesto2]]))</f>
        <v>2</v>
      </c>
      <c r="I162" s="31">
        <v>2</v>
      </c>
      <c r="J162" s="32">
        <v>2</v>
      </c>
      <c r="K162" s="14"/>
      <c r="L162" s="14"/>
      <c r="M162" s="31"/>
      <c r="N162" s="32" t="str">
        <f>IF(Prueba[[#This Row],[Cant.4]]=0,"",IF(OR(Prueba[[#This Row],[Cant.6]]="",Prueba[[#This Row],[Puesto6]]=""),"?",Prueba[[#This Row],[Puesto6]]))</f>
        <v/>
      </c>
      <c r="O162" s="31"/>
      <c r="P162" s="32" t="str">
        <f>IF(Prueba[[#This Row],[Cant.5]]=0,"",IF(OR(Prueba[[#This Row],[Cant.6]]="",Prueba[[#This Row],[Puesto6]]=""),"?",Prueba[[#This Row],[Puesto6]]))</f>
        <v/>
      </c>
      <c r="Q162" s="31"/>
      <c r="R162" s="32"/>
      <c r="S162" s="14"/>
      <c r="T162" s="14"/>
      <c r="U162" s="31"/>
      <c r="V162" s="32" t="s">
        <v>1663</v>
      </c>
      <c r="W162" s="19"/>
      <c r="X162" s="19" t="s">
        <v>1667</v>
      </c>
      <c r="Y162" s="19" t="s">
        <v>1663</v>
      </c>
      <c r="Z162" s="19" t="s">
        <v>1663</v>
      </c>
      <c r="AA162" s="19" t="s">
        <v>1663</v>
      </c>
      <c r="AB162" s="19" t="s">
        <v>1663</v>
      </c>
    </row>
    <row r="163" spans="1:28" s="18" customFormat="1">
      <c r="A163" s="18" t="s">
        <v>1753</v>
      </c>
      <c r="C163" s="18" t="s">
        <v>1754</v>
      </c>
      <c r="D163" s="18" t="s">
        <v>1754</v>
      </c>
      <c r="E163" s="19" t="s">
        <v>18</v>
      </c>
      <c r="G163" s="29"/>
      <c r="H163" s="32" t="str">
        <f>IF(Prueba[[#This Row],[Cant.]]=0,"",IF(OR(Prueba[[#This Row],[Cant.2]]="",Prueba[[#This Row],[Puesto2]]=""),"?",Prueba[[#This Row],[Puesto2]]))</f>
        <v/>
      </c>
      <c r="I163" s="31"/>
      <c r="J163" s="32"/>
      <c r="K163" s="14"/>
      <c r="L163" s="14"/>
      <c r="M163" s="31"/>
      <c r="N163" s="32" t="str">
        <f>IF(Prueba[[#This Row],[Cant.4]]=0,"",IF(OR(Prueba[[#This Row],[Cant.6]]="",Prueba[[#This Row],[Puesto6]]=""),"?",Prueba[[#This Row],[Puesto6]]))</f>
        <v/>
      </c>
      <c r="O163" s="31"/>
      <c r="P163" s="32" t="str">
        <f>IF(Prueba[[#This Row],[Cant.5]]=0,"",IF(OR(Prueba[[#This Row],[Cant.6]]="",Prueba[[#This Row],[Puesto6]]=""),"?",Prueba[[#This Row],[Puesto6]]))</f>
        <v/>
      </c>
      <c r="Q163" s="31"/>
      <c r="R163" s="32"/>
      <c r="S163" s="14"/>
      <c r="T163" s="14"/>
      <c r="U163" s="31"/>
      <c r="V163" s="32" t="s">
        <v>1663</v>
      </c>
      <c r="X163" s="19" t="s">
        <v>1667</v>
      </c>
      <c r="Y163" s="19">
        <v>2</v>
      </c>
      <c r="Z163" s="19">
        <v>2</v>
      </c>
      <c r="AA163" s="19">
        <v>2</v>
      </c>
      <c r="AB163" s="19">
        <v>2</v>
      </c>
    </row>
    <row r="164" spans="1:28" s="18" customFormat="1">
      <c r="A164" s="18" t="s">
        <v>276</v>
      </c>
      <c r="B164" s="18" t="s">
        <v>9</v>
      </c>
      <c r="C164" s="18" t="s">
        <v>41</v>
      </c>
      <c r="D164" s="18" t="s">
        <v>277</v>
      </c>
      <c r="E164" s="19" t="s">
        <v>39</v>
      </c>
      <c r="F164" s="18" t="s">
        <v>13</v>
      </c>
      <c r="G164" s="29">
        <v>1</v>
      </c>
      <c r="H164" s="32">
        <f>IF(Prueba[[#This Row],[Cant.]]=0,"",IF(OR(Prueba[[#This Row],[Cant.2]]="",Prueba[[#This Row],[Puesto2]]=""),"?",Prueba[[#This Row],[Puesto2]]))</f>
        <v>0</v>
      </c>
      <c r="I164" s="31">
        <v>1</v>
      </c>
      <c r="J164" s="32">
        <v>0</v>
      </c>
      <c r="K164" s="14"/>
      <c r="L164" s="14"/>
      <c r="M164" s="31"/>
      <c r="N164" s="32" t="str">
        <f>IF(Prueba[[#This Row],[Cant.4]]=0,"",IF(OR(Prueba[[#This Row],[Cant.6]]="",Prueba[[#This Row],[Puesto6]]=""),"?",Prueba[[#This Row],[Puesto6]]))</f>
        <v/>
      </c>
      <c r="O164" s="31"/>
      <c r="P164" s="32" t="str">
        <f>IF(Prueba[[#This Row],[Cant.5]]=0,"",IF(OR(Prueba[[#This Row],[Cant.6]]="",Prueba[[#This Row],[Puesto6]]=""),"?",Prueba[[#This Row],[Puesto6]]))</f>
        <v/>
      </c>
      <c r="Q164" s="31"/>
      <c r="R164" s="32"/>
      <c r="S164" s="14"/>
      <c r="T164" s="14"/>
      <c r="U164" s="31"/>
      <c r="V164" s="32" t="s">
        <v>1663</v>
      </c>
      <c r="W164" s="19"/>
      <c r="X164" s="19" t="s">
        <v>1667</v>
      </c>
      <c r="Y164" s="19">
        <v>1</v>
      </c>
      <c r="Z164" s="19">
        <v>0</v>
      </c>
      <c r="AA164" s="19">
        <v>1</v>
      </c>
      <c r="AB164" s="19">
        <v>0</v>
      </c>
    </row>
    <row r="165" spans="1:28" s="18" customFormat="1">
      <c r="A165" s="18" t="s">
        <v>278</v>
      </c>
      <c r="B165" s="18" t="s">
        <v>9</v>
      </c>
      <c r="C165" s="18" t="s">
        <v>84</v>
      </c>
      <c r="D165" s="18" t="s">
        <v>277</v>
      </c>
      <c r="E165" s="19" t="s">
        <v>39</v>
      </c>
      <c r="F165" s="18" t="s">
        <v>13</v>
      </c>
      <c r="G165" s="29">
        <v>2</v>
      </c>
      <c r="H165" s="32">
        <f>IF(Prueba[[#This Row],[Cant.]]=0,"",IF(OR(Prueba[[#This Row],[Cant.2]]="",Prueba[[#This Row],[Puesto2]]=""),"?",Prueba[[#This Row],[Puesto2]]))</f>
        <v>0</v>
      </c>
      <c r="I165" s="31">
        <v>2</v>
      </c>
      <c r="J165" s="32">
        <v>0</v>
      </c>
      <c r="K165" s="14"/>
      <c r="L165" s="14"/>
      <c r="M165" s="31"/>
      <c r="N165" s="32" t="str">
        <f>IF(Prueba[[#This Row],[Cant.4]]=0,"",IF(OR(Prueba[[#This Row],[Cant.6]]="",Prueba[[#This Row],[Puesto6]]=""),"?",Prueba[[#This Row],[Puesto6]]))</f>
        <v/>
      </c>
      <c r="O165" s="31"/>
      <c r="P165" s="32" t="str">
        <f>IF(Prueba[[#This Row],[Cant.5]]=0,"",IF(OR(Prueba[[#This Row],[Cant.6]]="",Prueba[[#This Row],[Puesto6]]=""),"?",Prueba[[#This Row],[Puesto6]]))</f>
        <v/>
      </c>
      <c r="Q165" s="31"/>
      <c r="R165" s="32"/>
      <c r="S165" s="14"/>
      <c r="T165" s="14"/>
      <c r="U165" s="31"/>
      <c r="V165" s="32" t="s">
        <v>1663</v>
      </c>
      <c r="W165" s="19"/>
      <c r="X165" s="19" t="s">
        <v>1667</v>
      </c>
      <c r="Y165" s="19">
        <v>1</v>
      </c>
      <c r="Z165" s="19">
        <v>0</v>
      </c>
      <c r="AA165" s="19">
        <v>2</v>
      </c>
      <c r="AB165" s="19">
        <v>0</v>
      </c>
    </row>
    <row r="166" spans="1:28" s="18" customFormat="1">
      <c r="A166" s="18" t="s">
        <v>279</v>
      </c>
      <c r="B166" s="18" t="s">
        <v>9</v>
      </c>
      <c r="C166" s="18" t="s">
        <v>84</v>
      </c>
      <c r="D166" s="18" t="s">
        <v>277</v>
      </c>
      <c r="E166" s="19" t="s">
        <v>18</v>
      </c>
      <c r="F166" s="18" t="s">
        <v>13</v>
      </c>
      <c r="G166" s="29">
        <v>1</v>
      </c>
      <c r="H166" s="32">
        <f>IF(Prueba[[#This Row],[Cant.]]=0,"",IF(OR(Prueba[[#This Row],[Cant.2]]="",Prueba[[#This Row],[Puesto2]]=""),"?",Prueba[[#This Row],[Puesto2]]))</f>
        <v>0</v>
      </c>
      <c r="I166" s="31">
        <v>1</v>
      </c>
      <c r="J166" s="32">
        <v>0</v>
      </c>
      <c r="K166" s="14"/>
      <c r="L166" s="14"/>
      <c r="M166" s="31"/>
      <c r="N166" s="32" t="str">
        <f>IF(Prueba[[#This Row],[Cant.4]]=0,"",IF(OR(Prueba[[#This Row],[Cant.6]]="",Prueba[[#This Row],[Puesto6]]=""),"?",Prueba[[#This Row],[Puesto6]]))</f>
        <v/>
      </c>
      <c r="O166" s="31"/>
      <c r="P166" s="32" t="str">
        <f>IF(Prueba[[#This Row],[Cant.5]]=0,"",IF(OR(Prueba[[#This Row],[Cant.6]]="",Prueba[[#This Row],[Puesto6]]=""),"?",Prueba[[#This Row],[Puesto6]]))</f>
        <v/>
      </c>
      <c r="Q166" s="31"/>
      <c r="R166" s="32"/>
      <c r="S166" s="14"/>
      <c r="T166" s="14"/>
      <c r="U166" s="31"/>
      <c r="V166" s="32" t="s">
        <v>1663</v>
      </c>
      <c r="W166" s="19"/>
      <c r="X166" s="19" t="s">
        <v>1667</v>
      </c>
      <c r="Y166" s="19" t="s">
        <v>1663</v>
      </c>
      <c r="Z166" s="19" t="s">
        <v>1663</v>
      </c>
      <c r="AA166" s="19" t="s">
        <v>1663</v>
      </c>
      <c r="AB166" s="19" t="s">
        <v>1663</v>
      </c>
    </row>
    <row r="167" spans="1:28" s="18" customFormat="1">
      <c r="A167" s="18" t="s">
        <v>280</v>
      </c>
      <c r="B167" s="18" t="s">
        <v>9</v>
      </c>
      <c r="C167" s="18" t="s">
        <v>281</v>
      </c>
      <c r="D167" s="18" t="s">
        <v>282</v>
      </c>
      <c r="E167" s="19" t="s">
        <v>18</v>
      </c>
      <c r="F167" s="18" t="s">
        <v>13</v>
      </c>
      <c r="G167" s="29">
        <v>1</v>
      </c>
      <c r="H167" s="32">
        <f>IF(Prueba[[#This Row],[Cant.]]=0,"",IF(OR(Prueba[[#This Row],[Cant.2]]="",Prueba[[#This Row],[Puesto2]]=""),"?",Prueba[[#This Row],[Puesto2]]))</f>
        <v>0</v>
      </c>
      <c r="I167" s="31">
        <v>1</v>
      </c>
      <c r="J167" s="32">
        <v>0</v>
      </c>
      <c r="K167" s="14"/>
      <c r="L167" s="14"/>
      <c r="M167" s="31"/>
      <c r="N167" s="32" t="str">
        <f>IF(Prueba[[#This Row],[Cant.4]]=0,"",IF(OR(Prueba[[#This Row],[Cant.6]]="",Prueba[[#This Row],[Puesto6]]=""),"?",Prueba[[#This Row],[Puesto6]]))</f>
        <v/>
      </c>
      <c r="O167" s="31"/>
      <c r="P167" s="32" t="str">
        <f>IF(Prueba[[#This Row],[Cant.5]]=0,"",IF(OR(Prueba[[#This Row],[Cant.6]]="",Prueba[[#This Row],[Puesto6]]=""),"?",Prueba[[#This Row],[Puesto6]]))</f>
        <v/>
      </c>
      <c r="Q167" s="31"/>
      <c r="R167" s="32"/>
      <c r="S167" s="14"/>
      <c r="T167" s="14"/>
      <c r="U167" s="31"/>
      <c r="V167" s="32" t="s">
        <v>1663</v>
      </c>
      <c r="W167" s="19"/>
      <c r="X167" s="19" t="s">
        <v>1667</v>
      </c>
      <c r="Y167" s="19">
        <v>1</v>
      </c>
      <c r="Z167" s="19">
        <v>0</v>
      </c>
      <c r="AA167" s="19">
        <v>1</v>
      </c>
      <c r="AB167" s="19">
        <v>0</v>
      </c>
    </row>
    <row r="168" spans="1:28" s="18" customFormat="1">
      <c r="A168" s="18" t="s">
        <v>283</v>
      </c>
      <c r="B168" s="18" t="s">
        <v>9</v>
      </c>
      <c r="C168" s="18" t="s">
        <v>281</v>
      </c>
      <c r="D168" s="18" t="s">
        <v>284</v>
      </c>
      <c r="E168" s="19" t="s">
        <v>18</v>
      </c>
      <c r="F168" s="18" t="s">
        <v>13</v>
      </c>
      <c r="G168" s="29">
        <v>1</v>
      </c>
      <c r="H168" s="32">
        <f>IF(Prueba[[#This Row],[Cant.]]=0,"",IF(OR(Prueba[[#This Row],[Cant.2]]="",Prueba[[#This Row],[Puesto2]]=""),"?",Prueba[[#This Row],[Puesto2]]))</f>
        <v>0</v>
      </c>
      <c r="I168" s="31">
        <v>1</v>
      </c>
      <c r="J168" s="32">
        <v>0</v>
      </c>
      <c r="K168" s="14"/>
      <c r="L168" s="14"/>
      <c r="M168" s="31"/>
      <c r="N168" s="32" t="str">
        <f>IF(Prueba[[#This Row],[Cant.4]]=0,"",IF(OR(Prueba[[#This Row],[Cant.6]]="",Prueba[[#This Row],[Puesto6]]=""),"?",Prueba[[#This Row],[Puesto6]]))</f>
        <v/>
      </c>
      <c r="O168" s="31"/>
      <c r="P168" s="32" t="str">
        <f>IF(Prueba[[#This Row],[Cant.5]]=0,"",IF(OR(Prueba[[#This Row],[Cant.6]]="",Prueba[[#This Row],[Puesto6]]=""),"?",Prueba[[#This Row],[Puesto6]]))</f>
        <v/>
      </c>
      <c r="Q168" s="31"/>
      <c r="R168" s="32"/>
      <c r="S168" s="14"/>
      <c r="T168" s="14"/>
      <c r="U168" s="31"/>
      <c r="V168" s="32" t="s">
        <v>1663</v>
      </c>
      <c r="W168" s="19"/>
      <c r="X168" s="19" t="s">
        <v>1667</v>
      </c>
      <c r="Y168" s="19">
        <v>1</v>
      </c>
      <c r="Z168" s="19">
        <v>0</v>
      </c>
      <c r="AA168" s="19">
        <v>1</v>
      </c>
      <c r="AB168" s="19">
        <v>0</v>
      </c>
    </row>
    <row r="169" spans="1:28" s="18" customFormat="1">
      <c r="A169" s="101" t="s">
        <v>1755</v>
      </c>
      <c r="B169" s="18" t="s">
        <v>9</v>
      </c>
      <c r="C169" s="18" t="s">
        <v>262</v>
      </c>
      <c r="D169" s="18" t="s">
        <v>263</v>
      </c>
      <c r="E169" s="19" t="s">
        <v>18</v>
      </c>
      <c r="F169" s="18" t="s">
        <v>13</v>
      </c>
      <c r="G169" s="29"/>
      <c r="H169" s="32" t="str">
        <f>IF(Prueba[[#This Row],[Cant.]]=0,"",IF(OR(Prueba[[#This Row],[Cant.2]]="",Prueba[[#This Row],[Puesto2]]=""),"?",Prueba[[#This Row],[Puesto2]]))</f>
        <v/>
      </c>
      <c r="I169" s="31">
        <v>1</v>
      </c>
      <c r="J169" s="32">
        <v>2</v>
      </c>
      <c r="K169" s="14"/>
      <c r="L169" s="14"/>
      <c r="M169" s="31"/>
      <c r="N169" s="32" t="str">
        <f>IF(Prueba[[#This Row],[Cant.4]]=0,"",IF(OR(Prueba[[#This Row],[Cant.6]]="",Prueba[[#This Row],[Puesto6]]=""),"?",Prueba[[#This Row],[Puesto6]]))</f>
        <v/>
      </c>
      <c r="O169" s="31"/>
      <c r="P169" s="32" t="str">
        <f>IF(Prueba[[#This Row],[Cant.5]]=0,"",IF(OR(Prueba[[#This Row],[Cant.6]]="",Prueba[[#This Row],[Puesto6]]=""),"?",Prueba[[#This Row],[Puesto6]]))</f>
        <v/>
      </c>
      <c r="Q169" s="31"/>
      <c r="R169" s="32"/>
      <c r="S169" s="14"/>
      <c r="T169" s="14"/>
      <c r="U169" s="31"/>
      <c r="V169" s="32" t="s">
        <v>1663</v>
      </c>
      <c r="W169" s="19"/>
      <c r="X169" s="19" t="s">
        <v>1667</v>
      </c>
      <c r="Y169" s="19" t="s">
        <v>1663</v>
      </c>
      <c r="Z169" s="19" t="s">
        <v>1663</v>
      </c>
      <c r="AA169" s="19" t="s">
        <v>1663</v>
      </c>
      <c r="AB169" s="19" t="s">
        <v>1663</v>
      </c>
    </row>
    <row r="170" spans="1:28" s="18" customFormat="1">
      <c r="A170" s="18" t="s">
        <v>1756</v>
      </c>
      <c r="B170" s="18" t="s">
        <v>9</v>
      </c>
      <c r="D170" s="18" t="s">
        <v>1757</v>
      </c>
      <c r="E170" s="19" t="s">
        <v>3</v>
      </c>
      <c r="F170" s="18" t="s">
        <v>13</v>
      </c>
      <c r="G170" s="29">
        <v>1</v>
      </c>
      <c r="H170" s="32">
        <v>2</v>
      </c>
      <c r="I170" s="31"/>
      <c r="J170" s="32"/>
      <c r="K170" s="14"/>
      <c r="L170" s="14"/>
      <c r="M170" s="31"/>
      <c r="N170" s="32" t="str">
        <f>IF(Prueba[[#This Row],[Cant.4]]=0,"",IF(OR(Prueba[[#This Row],[Cant.6]]="",Prueba[[#This Row],[Puesto6]]=""),"?",Prueba[[#This Row],[Puesto6]]))</f>
        <v/>
      </c>
      <c r="O170" s="31"/>
      <c r="P170" s="32" t="str">
        <f>IF(Prueba[[#This Row],[Cant.5]]=0,"",IF(OR(Prueba[[#This Row],[Cant.6]]="",Prueba[[#This Row],[Puesto6]]=""),"?",Prueba[[#This Row],[Puesto6]]))</f>
        <v/>
      </c>
      <c r="Q170" s="31"/>
      <c r="R170" s="32"/>
      <c r="S170" s="14"/>
      <c r="T170" s="14"/>
      <c r="U170" s="31"/>
      <c r="V170" s="32" t="s">
        <v>1663</v>
      </c>
      <c r="W170" s="19"/>
      <c r="X170" s="19" t="s">
        <v>1667</v>
      </c>
      <c r="Y170" s="19">
        <v>1</v>
      </c>
      <c r="Z170" s="19">
        <v>2</v>
      </c>
      <c r="AA170" s="19">
        <v>1</v>
      </c>
      <c r="AB170" s="19">
        <v>2</v>
      </c>
    </row>
    <row r="171" spans="1:28" s="18" customFormat="1">
      <c r="A171" s="18" t="s">
        <v>1758</v>
      </c>
      <c r="C171" s="18" t="s">
        <v>262</v>
      </c>
      <c r="D171" s="18" t="s">
        <v>262</v>
      </c>
      <c r="E171" s="19" t="s">
        <v>39</v>
      </c>
      <c r="G171" s="29"/>
      <c r="H171" s="32" t="str">
        <f>IF(Prueba[[#This Row],[Cant.]]=0,"",IF(OR(Prueba[[#This Row],[Cant.2]]="",Prueba[[#This Row],[Puesto2]]=""),"?",Prueba[[#This Row],[Puesto2]]))</f>
        <v/>
      </c>
      <c r="I171" s="31"/>
      <c r="J171" s="32"/>
      <c r="K171" s="14"/>
      <c r="L171" s="14"/>
      <c r="M171" s="31"/>
      <c r="N171" s="32" t="str">
        <f>IF(Prueba[[#This Row],[Cant.4]]=0,"",IF(OR(Prueba[[#This Row],[Cant.6]]="",Prueba[[#This Row],[Puesto6]]=""),"?",Prueba[[#This Row],[Puesto6]]))</f>
        <v/>
      </c>
      <c r="O171" s="31"/>
      <c r="P171" s="32" t="str">
        <f>IF(Prueba[[#This Row],[Cant.5]]=0,"",IF(OR(Prueba[[#This Row],[Cant.6]]="",Prueba[[#This Row],[Puesto6]]=""),"?",Prueba[[#This Row],[Puesto6]]))</f>
        <v/>
      </c>
      <c r="Q171" s="31"/>
      <c r="R171" s="32"/>
      <c r="S171" s="14"/>
      <c r="T171" s="14"/>
      <c r="U171" s="31"/>
      <c r="V171" s="32" t="s">
        <v>1663</v>
      </c>
      <c r="X171" s="19" t="s">
        <v>1667</v>
      </c>
      <c r="Y171" s="19">
        <v>1</v>
      </c>
      <c r="Z171" s="19">
        <v>2</v>
      </c>
      <c r="AA171" s="19">
        <v>1</v>
      </c>
      <c r="AB171" s="19">
        <v>2</v>
      </c>
    </row>
    <row r="172" spans="1:28" s="18" customFormat="1">
      <c r="A172" s="18" t="s">
        <v>1759</v>
      </c>
      <c r="C172" s="18" t="s">
        <v>262</v>
      </c>
      <c r="D172" s="18" t="s">
        <v>262</v>
      </c>
      <c r="E172" s="19" t="s">
        <v>18</v>
      </c>
      <c r="G172" s="29"/>
      <c r="H172" s="32" t="str">
        <f>IF(Prueba[[#This Row],[Cant.]]=0,"",IF(OR(Prueba[[#This Row],[Cant.2]]="",Prueba[[#This Row],[Puesto2]]=""),"?",Prueba[[#This Row],[Puesto2]]))</f>
        <v/>
      </c>
      <c r="I172" s="31"/>
      <c r="J172" s="32"/>
      <c r="K172" s="14"/>
      <c r="L172" s="14"/>
      <c r="M172" s="31"/>
      <c r="N172" s="32" t="str">
        <f>IF(Prueba[[#This Row],[Cant.4]]=0,"",IF(OR(Prueba[[#This Row],[Cant.6]]="",Prueba[[#This Row],[Puesto6]]=""),"?",Prueba[[#This Row],[Puesto6]]))</f>
        <v/>
      </c>
      <c r="O172" s="31"/>
      <c r="P172" s="32" t="str">
        <f>IF(Prueba[[#This Row],[Cant.5]]=0,"",IF(OR(Prueba[[#This Row],[Cant.6]]="",Prueba[[#This Row],[Puesto6]]=""),"?",Prueba[[#This Row],[Puesto6]]))</f>
        <v/>
      </c>
      <c r="Q172" s="31"/>
      <c r="R172" s="32"/>
      <c r="S172" s="14"/>
      <c r="T172" s="14"/>
      <c r="U172" s="31"/>
      <c r="V172" s="32" t="s">
        <v>1663</v>
      </c>
      <c r="X172" s="19" t="s">
        <v>1667</v>
      </c>
      <c r="Y172" s="19">
        <v>1</v>
      </c>
      <c r="Z172" s="19">
        <v>2</v>
      </c>
      <c r="AA172" s="19" t="s">
        <v>1663</v>
      </c>
      <c r="AB172" s="19" t="s">
        <v>1663</v>
      </c>
    </row>
    <row r="173" spans="1:28" s="18" customFormat="1">
      <c r="A173" s="101" t="s">
        <v>1760</v>
      </c>
      <c r="B173" s="18" t="s">
        <v>9</v>
      </c>
      <c r="C173" s="18" t="s">
        <v>1761</v>
      </c>
      <c r="D173" s="18" t="s">
        <v>288</v>
      </c>
      <c r="E173" s="19" t="s">
        <v>289</v>
      </c>
      <c r="F173" s="18" t="s">
        <v>13</v>
      </c>
      <c r="G173" s="29"/>
      <c r="H173" s="32" t="str">
        <f>IF(Prueba[[#This Row],[Cant.]]=0,"",IF(OR(Prueba[[#This Row],[Cant.2]]="",Prueba[[#This Row],[Puesto2]]=""),"?",Prueba[[#This Row],[Puesto2]]))</f>
        <v/>
      </c>
      <c r="I173" s="31">
        <v>1</v>
      </c>
      <c r="J173" s="32">
        <v>0</v>
      </c>
      <c r="K173" s="14"/>
      <c r="L173" s="14"/>
      <c r="M173" s="31"/>
      <c r="N173" s="32" t="str">
        <f>IF(Prueba[[#This Row],[Cant.4]]=0,"",IF(OR(Prueba[[#This Row],[Cant.6]]="",Prueba[[#This Row],[Puesto6]]=""),"?",Prueba[[#This Row],[Puesto6]]))</f>
        <v/>
      </c>
      <c r="O173" s="31"/>
      <c r="P173" s="32" t="str">
        <f>IF(Prueba[[#This Row],[Cant.5]]=0,"",IF(OR(Prueba[[#This Row],[Cant.6]]="",Prueba[[#This Row],[Puesto6]]=""),"?",Prueba[[#This Row],[Puesto6]]))</f>
        <v/>
      </c>
      <c r="Q173" s="31"/>
      <c r="R173" s="32"/>
      <c r="S173" s="14"/>
      <c r="T173" s="14"/>
      <c r="U173" s="31"/>
      <c r="V173" s="32" t="s">
        <v>1663</v>
      </c>
      <c r="W173" s="19"/>
      <c r="X173" s="19" t="s">
        <v>1667</v>
      </c>
      <c r="Y173" s="19" t="s">
        <v>1663</v>
      </c>
      <c r="Z173" s="19" t="s">
        <v>1663</v>
      </c>
      <c r="AA173" s="19" t="s">
        <v>1663</v>
      </c>
      <c r="AB173" s="19" t="s">
        <v>1663</v>
      </c>
    </row>
    <row r="174" spans="1:28" s="18" customFormat="1">
      <c r="A174" s="18" t="s">
        <v>1762</v>
      </c>
      <c r="B174" s="18" t="s">
        <v>9</v>
      </c>
      <c r="C174" s="18" t="s">
        <v>1761</v>
      </c>
      <c r="D174" s="18" t="s">
        <v>1359</v>
      </c>
      <c r="E174" s="19" t="s">
        <v>289</v>
      </c>
      <c r="F174" s="18" t="s">
        <v>13</v>
      </c>
      <c r="G174" s="29">
        <v>1</v>
      </c>
      <c r="H174" s="32">
        <v>0</v>
      </c>
      <c r="I174" s="31"/>
      <c r="J174" s="32"/>
      <c r="K174" s="14"/>
      <c r="L174" s="14"/>
      <c r="M174" s="31"/>
      <c r="N174" s="32" t="str">
        <f>IF(Prueba[[#This Row],[Cant.4]]=0,"",IF(OR(Prueba[[#This Row],[Cant.6]]="",Prueba[[#This Row],[Puesto6]]=""),"?",Prueba[[#This Row],[Puesto6]]))</f>
        <v/>
      </c>
      <c r="O174" s="31"/>
      <c r="P174" s="32" t="str">
        <f>IF(Prueba[[#This Row],[Cant.5]]=0,"",IF(OR(Prueba[[#This Row],[Cant.6]]="",Prueba[[#This Row],[Puesto6]]=""),"?",Prueba[[#This Row],[Puesto6]]))</f>
        <v/>
      </c>
      <c r="Q174" s="31"/>
      <c r="R174" s="32"/>
      <c r="S174" s="14"/>
      <c r="T174" s="14"/>
      <c r="U174" s="31"/>
      <c r="V174" s="32" t="s">
        <v>1663</v>
      </c>
      <c r="W174" s="19"/>
      <c r="X174" s="19" t="s">
        <v>1667</v>
      </c>
      <c r="Y174" s="19">
        <v>1</v>
      </c>
      <c r="Z174" s="19">
        <v>0</v>
      </c>
      <c r="AA174" s="19">
        <v>1</v>
      </c>
      <c r="AB174" s="19">
        <v>0</v>
      </c>
    </row>
    <row r="175" spans="1:28" s="18" customFormat="1">
      <c r="A175" s="18" t="s">
        <v>1763</v>
      </c>
      <c r="C175" s="18" t="s">
        <v>287</v>
      </c>
      <c r="D175" s="18" t="s">
        <v>287</v>
      </c>
      <c r="E175" s="19" t="s">
        <v>289</v>
      </c>
      <c r="G175" s="29"/>
      <c r="H175" s="32" t="str">
        <f>IF(Prueba[[#This Row],[Cant.]]=0,"",IF(OR(Prueba[[#This Row],[Cant.2]]="",Prueba[[#This Row],[Puesto2]]=""),"?",Prueba[[#This Row],[Puesto2]]))</f>
        <v/>
      </c>
      <c r="I175" s="31"/>
      <c r="J175" s="32"/>
      <c r="K175" s="14"/>
      <c r="L175" s="14"/>
      <c r="M175" s="31"/>
      <c r="N175" s="32" t="str">
        <f>IF(Prueba[[#This Row],[Cant.4]]=0,"",IF(OR(Prueba[[#This Row],[Cant.6]]="",Prueba[[#This Row],[Puesto6]]=""),"?",Prueba[[#This Row],[Puesto6]]))</f>
        <v/>
      </c>
      <c r="O175" s="31"/>
      <c r="P175" s="32" t="str">
        <f>IF(Prueba[[#This Row],[Cant.5]]=0,"",IF(OR(Prueba[[#This Row],[Cant.6]]="",Prueba[[#This Row],[Puesto6]]=""),"?",Prueba[[#This Row],[Puesto6]]))</f>
        <v/>
      </c>
      <c r="Q175" s="31"/>
      <c r="R175" s="32"/>
      <c r="S175" s="14"/>
      <c r="T175" s="14"/>
      <c r="U175" s="31"/>
      <c r="V175" s="32" t="s">
        <v>1663</v>
      </c>
      <c r="X175" s="19" t="s">
        <v>1667</v>
      </c>
      <c r="Y175" s="19" t="s">
        <v>1663</v>
      </c>
      <c r="Z175" s="19" t="s">
        <v>1663</v>
      </c>
      <c r="AA175" s="19">
        <v>1</v>
      </c>
      <c r="AB175" s="19">
        <v>0</v>
      </c>
    </row>
    <row r="176" spans="1:28" s="18" customFormat="1">
      <c r="A176" s="18" t="s">
        <v>1764</v>
      </c>
      <c r="C176" s="18" t="s">
        <v>287</v>
      </c>
      <c r="D176" s="18" t="s">
        <v>287</v>
      </c>
      <c r="E176" s="19" t="s">
        <v>289</v>
      </c>
      <c r="G176" s="29"/>
      <c r="H176" s="32" t="str">
        <f>IF(Prueba[[#This Row],[Cant.]]=0,"",IF(OR(Prueba[[#This Row],[Cant.2]]="",Prueba[[#This Row],[Puesto2]]=""),"?",Prueba[[#This Row],[Puesto2]]))</f>
        <v/>
      </c>
      <c r="I176" s="31"/>
      <c r="J176" s="32"/>
      <c r="K176" s="14"/>
      <c r="L176" s="14"/>
      <c r="M176" s="31"/>
      <c r="N176" s="32" t="str">
        <f>IF(Prueba[[#This Row],[Cant.4]]=0,"",IF(OR(Prueba[[#This Row],[Cant.6]]="",Prueba[[#This Row],[Puesto6]]=""),"?",Prueba[[#This Row],[Puesto6]]))</f>
        <v/>
      </c>
      <c r="O176" s="31"/>
      <c r="P176" s="32" t="str">
        <f>IF(Prueba[[#This Row],[Cant.5]]=0,"",IF(OR(Prueba[[#This Row],[Cant.6]]="",Prueba[[#This Row],[Puesto6]]=""),"?",Prueba[[#This Row],[Puesto6]]))</f>
        <v/>
      </c>
      <c r="Q176" s="31"/>
      <c r="R176" s="32"/>
      <c r="S176" s="14"/>
      <c r="T176" s="14"/>
      <c r="U176" s="31"/>
      <c r="V176" s="32" t="s">
        <v>1663</v>
      </c>
      <c r="X176" s="19" t="s">
        <v>1667</v>
      </c>
      <c r="Y176" s="19">
        <v>1</v>
      </c>
      <c r="Z176" s="19">
        <v>0</v>
      </c>
      <c r="AA176" s="19" t="s">
        <v>1663</v>
      </c>
      <c r="AB176" s="19" t="s">
        <v>1663</v>
      </c>
    </row>
    <row r="177" spans="1:28" s="18" customFormat="1">
      <c r="A177" s="18" t="s">
        <v>290</v>
      </c>
      <c r="B177" s="18" t="s">
        <v>9</v>
      </c>
      <c r="C177" s="18" t="s">
        <v>291</v>
      </c>
      <c r="D177" s="18" t="s">
        <v>292</v>
      </c>
      <c r="E177" s="19" t="s">
        <v>18</v>
      </c>
      <c r="F177" s="18" t="s">
        <v>13</v>
      </c>
      <c r="G177" s="29">
        <v>2</v>
      </c>
      <c r="H177" s="32">
        <f>IF(Prueba[[#This Row],[Cant.]]=0,"",IF(OR(Prueba[[#This Row],[Cant.2]]="",Prueba[[#This Row],[Puesto2]]=""),"?",Prueba[[#This Row],[Puesto2]]))</f>
        <v>0</v>
      </c>
      <c r="I177" s="31">
        <v>2</v>
      </c>
      <c r="J177" s="32">
        <v>0</v>
      </c>
      <c r="K177" s="14"/>
      <c r="L177" s="14"/>
      <c r="M177" s="31"/>
      <c r="N177" s="32" t="str">
        <f>IF(Prueba[[#This Row],[Cant.4]]=0,"",IF(OR(Prueba[[#This Row],[Cant.6]]="",Prueba[[#This Row],[Puesto6]]=""),"?",Prueba[[#This Row],[Puesto6]]))</f>
        <v/>
      </c>
      <c r="O177" s="31"/>
      <c r="P177" s="32" t="str">
        <f>IF(Prueba[[#This Row],[Cant.5]]=0,"",IF(OR(Prueba[[#This Row],[Cant.6]]="",Prueba[[#This Row],[Puesto6]]=""),"?",Prueba[[#This Row],[Puesto6]]))</f>
        <v/>
      </c>
      <c r="Q177" s="31"/>
      <c r="R177" s="32"/>
      <c r="S177" s="14"/>
      <c r="T177" s="14"/>
      <c r="U177" s="31"/>
      <c r="V177" s="32" t="s">
        <v>1663</v>
      </c>
      <c r="W177" s="19"/>
      <c r="X177" s="19" t="s">
        <v>1667</v>
      </c>
      <c r="Y177" s="19">
        <v>2</v>
      </c>
      <c r="Z177" s="19">
        <v>0</v>
      </c>
      <c r="AA177" s="19">
        <v>2</v>
      </c>
      <c r="AB177" s="19">
        <v>0</v>
      </c>
    </row>
    <row r="178" spans="1:28" s="18" customFormat="1">
      <c r="A178" s="18" t="s">
        <v>294</v>
      </c>
      <c r="B178" s="18" t="s">
        <v>9</v>
      </c>
      <c r="C178" s="18" t="s">
        <v>84</v>
      </c>
      <c r="D178" s="18" t="s">
        <v>295</v>
      </c>
      <c r="E178" s="19" t="s">
        <v>39</v>
      </c>
      <c r="F178" s="18" t="s">
        <v>13</v>
      </c>
      <c r="G178" s="29">
        <v>1</v>
      </c>
      <c r="H178" s="32">
        <f>IF(Prueba[[#This Row],[Cant.]]=0,"",IF(OR(Prueba[[#This Row],[Cant.2]]="",Prueba[[#This Row],[Puesto2]]=""),"?",Prueba[[#This Row],[Puesto2]]))</f>
        <v>0</v>
      </c>
      <c r="I178" s="31">
        <v>1</v>
      </c>
      <c r="J178" s="32">
        <v>0</v>
      </c>
      <c r="K178" s="14"/>
      <c r="L178" s="14"/>
      <c r="M178" s="31"/>
      <c r="N178" s="32" t="str">
        <f>IF(Prueba[[#This Row],[Cant.4]]=0,"",IF(OR(Prueba[[#This Row],[Cant.6]]="",Prueba[[#This Row],[Puesto6]]=""),"?",Prueba[[#This Row],[Puesto6]]))</f>
        <v/>
      </c>
      <c r="O178" s="31"/>
      <c r="P178" s="32" t="str">
        <f>IF(Prueba[[#This Row],[Cant.5]]=0,"",IF(OR(Prueba[[#This Row],[Cant.6]]="",Prueba[[#This Row],[Puesto6]]=""),"?",Prueba[[#This Row],[Puesto6]]))</f>
        <v/>
      </c>
      <c r="Q178" s="31"/>
      <c r="R178" s="32"/>
      <c r="S178" s="14"/>
      <c r="T178" s="14"/>
      <c r="U178" s="31"/>
      <c r="V178" s="32" t="s">
        <v>1663</v>
      </c>
      <c r="W178" s="19"/>
      <c r="X178" s="19" t="s">
        <v>1667</v>
      </c>
      <c r="Y178" s="19">
        <v>1</v>
      </c>
      <c r="Z178" s="19">
        <v>0</v>
      </c>
      <c r="AA178" s="19">
        <v>1</v>
      </c>
      <c r="AB178" s="19">
        <v>0</v>
      </c>
    </row>
    <row r="179" spans="1:28" s="18" customFormat="1">
      <c r="A179" s="18" t="s">
        <v>296</v>
      </c>
      <c r="B179" s="18" t="s">
        <v>9</v>
      </c>
      <c r="C179" s="18" t="s">
        <v>41</v>
      </c>
      <c r="D179" s="18" t="s">
        <v>297</v>
      </c>
      <c r="E179" s="19" t="s">
        <v>39</v>
      </c>
      <c r="F179" s="18" t="s">
        <v>13</v>
      </c>
      <c r="G179" s="29">
        <v>1</v>
      </c>
      <c r="H179" s="32">
        <f>IF(Prueba[[#This Row],[Cant.]]=0,"",IF(OR(Prueba[[#This Row],[Cant.2]]="",Prueba[[#This Row],[Puesto2]]=""),"?",Prueba[[#This Row],[Puesto2]]))</f>
        <v>0</v>
      </c>
      <c r="I179" s="31">
        <v>1</v>
      </c>
      <c r="J179" s="32">
        <v>0</v>
      </c>
      <c r="K179" s="14"/>
      <c r="L179" s="14"/>
      <c r="M179" s="31"/>
      <c r="N179" s="32" t="str">
        <f>IF(Prueba[[#This Row],[Cant.4]]=0,"",IF(OR(Prueba[[#This Row],[Cant.6]]="",Prueba[[#This Row],[Puesto6]]=""),"?",Prueba[[#This Row],[Puesto6]]))</f>
        <v/>
      </c>
      <c r="O179" s="31"/>
      <c r="P179" s="32" t="str">
        <f>IF(Prueba[[#This Row],[Cant.5]]=0,"",IF(OR(Prueba[[#This Row],[Cant.6]]="",Prueba[[#This Row],[Puesto6]]=""),"?",Prueba[[#This Row],[Puesto6]]))</f>
        <v/>
      </c>
      <c r="Q179" s="31"/>
      <c r="R179" s="32"/>
      <c r="S179" s="14"/>
      <c r="T179" s="14"/>
      <c r="U179" s="31"/>
      <c r="V179" s="32" t="s">
        <v>1663</v>
      </c>
      <c r="W179" s="19"/>
      <c r="X179" s="19" t="s">
        <v>1667</v>
      </c>
      <c r="Y179" s="19">
        <v>1</v>
      </c>
      <c r="Z179" s="19">
        <v>0</v>
      </c>
      <c r="AA179" s="19">
        <v>1</v>
      </c>
      <c r="AB179" s="19">
        <v>0</v>
      </c>
    </row>
    <row r="180" spans="1:28" s="18" customFormat="1">
      <c r="A180" s="18" t="s">
        <v>298</v>
      </c>
      <c r="B180" s="18" t="s">
        <v>9</v>
      </c>
      <c r="C180" s="18" t="s">
        <v>299</v>
      </c>
      <c r="D180" s="18" t="s">
        <v>300</v>
      </c>
      <c r="E180" s="19" t="s">
        <v>22</v>
      </c>
      <c r="F180" s="18" t="s">
        <v>13</v>
      </c>
      <c r="G180" s="29"/>
      <c r="H180" s="32"/>
      <c r="I180" s="31">
        <v>2</v>
      </c>
      <c r="J180" s="32">
        <v>6</v>
      </c>
      <c r="K180" s="14"/>
      <c r="L180" s="14"/>
      <c r="M180" s="31"/>
      <c r="N180" s="32" t="str">
        <f>IF(Prueba[[#This Row],[Cant.4]]=0,"",IF(OR(Prueba[[#This Row],[Cant.6]]="",Prueba[[#This Row],[Puesto6]]=""),"?",Prueba[[#This Row],[Puesto6]]))</f>
        <v/>
      </c>
      <c r="O180" s="31"/>
      <c r="P180" s="32" t="str">
        <f>IF(Prueba[[#This Row],[Cant.5]]=0,"",IF(OR(Prueba[[#This Row],[Cant.6]]="",Prueba[[#This Row],[Puesto6]]=""),"?",Prueba[[#This Row],[Puesto6]]))</f>
        <v/>
      </c>
      <c r="Q180" s="31"/>
      <c r="R180" s="32"/>
      <c r="S180" s="14"/>
      <c r="T180" s="14"/>
      <c r="U180" s="31"/>
      <c r="V180" s="32" t="s">
        <v>1663</v>
      </c>
      <c r="W180" s="19">
        <v>16</v>
      </c>
      <c r="X180" s="19" t="s">
        <v>1664</v>
      </c>
      <c r="Y180" s="19" t="s">
        <v>1663</v>
      </c>
      <c r="Z180" s="19" t="s">
        <v>1663</v>
      </c>
      <c r="AA180" s="19" t="s">
        <v>1663</v>
      </c>
      <c r="AB180" s="19" t="s">
        <v>1663</v>
      </c>
    </row>
    <row r="181" spans="1:28" s="18" customFormat="1">
      <c r="A181" s="18" t="s">
        <v>1765</v>
      </c>
      <c r="B181" s="18" t="s">
        <v>9</v>
      </c>
      <c r="C181" s="18" t="s">
        <v>299</v>
      </c>
      <c r="D181" s="18" t="s">
        <v>1766</v>
      </c>
      <c r="E181" s="19" t="s">
        <v>22</v>
      </c>
      <c r="F181" s="18" t="s">
        <v>13</v>
      </c>
      <c r="G181" s="29">
        <v>2</v>
      </c>
      <c r="H181" s="32">
        <v>6</v>
      </c>
      <c r="I181" s="31"/>
      <c r="J181" s="32"/>
      <c r="K181" s="14">
        <v>2</v>
      </c>
      <c r="L181" s="14"/>
      <c r="M181" s="31"/>
      <c r="N181" s="32" t="str">
        <f>IF(Prueba[[#This Row],[Cant.4]]=0,"",IF(OR(Prueba[[#This Row],[Cant.6]]="",Prueba[[#This Row],[Puesto6]]=""),"?",Prueba[[#This Row],[Puesto6]]))</f>
        <v/>
      </c>
      <c r="O181" s="31">
        <v>2</v>
      </c>
      <c r="P181" s="32">
        <v>5</v>
      </c>
      <c r="Q181" s="31"/>
      <c r="R181" s="32"/>
      <c r="S181" s="14"/>
      <c r="T181" s="14"/>
      <c r="U181" s="31"/>
      <c r="V181" s="32" t="s">
        <v>1663</v>
      </c>
      <c r="W181" s="19">
        <v>16</v>
      </c>
      <c r="X181" s="19" t="s">
        <v>1664</v>
      </c>
      <c r="Y181" s="19">
        <v>3</v>
      </c>
      <c r="Z181" s="19">
        <v>6</v>
      </c>
      <c r="AA181" s="19">
        <v>3</v>
      </c>
      <c r="AB181" s="19">
        <v>6</v>
      </c>
    </row>
    <row r="182" spans="1:28" s="18" customFormat="1">
      <c r="A182" s="18" t="s">
        <v>301</v>
      </c>
      <c r="B182" s="18" t="s">
        <v>9</v>
      </c>
      <c r="C182" s="18" t="s">
        <v>179</v>
      </c>
      <c r="D182" s="18" t="s">
        <v>302</v>
      </c>
      <c r="E182" s="19" t="s">
        <v>18</v>
      </c>
      <c r="F182" s="18" t="s">
        <v>13</v>
      </c>
      <c r="G182" s="29">
        <v>1</v>
      </c>
      <c r="H182" s="32">
        <f>IF(Prueba[[#This Row],[Cant.]]=0,"",IF(OR(Prueba[[#This Row],[Cant.2]]="",Prueba[[#This Row],[Puesto2]]=""),"?",Prueba[[#This Row],[Puesto2]]))</f>
        <v>2</v>
      </c>
      <c r="I182" s="31">
        <v>1</v>
      </c>
      <c r="J182" s="32">
        <v>2</v>
      </c>
      <c r="K182" s="14"/>
      <c r="L182" s="14"/>
      <c r="M182" s="31"/>
      <c r="N182" s="32" t="str">
        <f>IF(Prueba[[#This Row],[Cant.4]]=0,"",IF(OR(Prueba[[#This Row],[Cant.6]]="",Prueba[[#This Row],[Puesto6]]=""),"?",Prueba[[#This Row],[Puesto6]]))</f>
        <v/>
      </c>
      <c r="O182" s="31"/>
      <c r="P182" s="32" t="str">
        <f>IF(Prueba[[#This Row],[Cant.5]]=0,"",IF(OR(Prueba[[#This Row],[Cant.6]]="",Prueba[[#This Row],[Puesto6]]=""),"?",Prueba[[#This Row],[Puesto6]]))</f>
        <v/>
      </c>
      <c r="Q182" s="31"/>
      <c r="R182" s="32"/>
      <c r="S182" s="14"/>
      <c r="T182" s="14"/>
      <c r="U182" s="31"/>
      <c r="V182" s="32" t="s">
        <v>1663</v>
      </c>
      <c r="W182" s="19"/>
      <c r="X182" s="19" t="s">
        <v>1667</v>
      </c>
      <c r="Y182" s="19">
        <v>1</v>
      </c>
      <c r="Z182" s="19">
        <v>2</v>
      </c>
      <c r="AA182" s="19">
        <v>1</v>
      </c>
      <c r="AB182" s="19">
        <v>2</v>
      </c>
    </row>
    <row r="183" spans="1:28" s="18" customFormat="1">
      <c r="A183" s="18" t="s">
        <v>303</v>
      </c>
      <c r="B183" s="18" t="s">
        <v>9</v>
      </c>
      <c r="C183" s="18" t="s">
        <v>84</v>
      </c>
      <c r="D183" s="18" t="s">
        <v>304</v>
      </c>
      <c r="E183" s="19" t="s">
        <v>39</v>
      </c>
      <c r="F183" s="18" t="s">
        <v>13</v>
      </c>
      <c r="G183" s="29">
        <v>2</v>
      </c>
      <c r="H183" s="32">
        <f>IF(Prueba[[#This Row],[Cant.]]=0,"",IF(OR(Prueba[[#This Row],[Cant.2]]="",Prueba[[#This Row],[Puesto2]]=""),"?",Prueba[[#This Row],[Puesto2]]))</f>
        <v>0</v>
      </c>
      <c r="I183" s="31">
        <v>2</v>
      </c>
      <c r="J183" s="32">
        <v>0</v>
      </c>
      <c r="K183" s="14"/>
      <c r="L183" s="14"/>
      <c r="M183" s="31"/>
      <c r="N183" s="32" t="str">
        <f>IF(Prueba[[#This Row],[Cant.4]]=0,"",IF(OR(Prueba[[#This Row],[Cant.6]]="",Prueba[[#This Row],[Puesto6]]=""),"?",Prueba[[#This Row],[Puesto6]]))</f>
        <v/>
      </c>
      <c r="O183" s="31"/>
      <c r="P183" s="32" t="str">
        <f>IF(Prueba[[#This Row],[Cant.5]]=0,"",IF(OR(Prueba[[#This Row],[Cant.6]]="",Prueba[[#This Row],[Puesto6]]=""),"?",Prueba[[#This Row],[Puesto6]]))</f>
        <v/>
      </c>
      <c r="Q183" s="31"/>
      <c r="R183" s="32"/>
      <c r="S183" s="14"/>
      <c r="T183" s="14"/>
      <c r="U183" s="31"/>
      <c r="V183" s="32" t="s">
        <v>1663</v>
      </c>
      <c r="W183" s="19"/>
      <c r="X183" s="19" t="s">
        <v>1667</v>
      </c>
      <c r="Y183" s="19">
        <v>2</v>
      </c>
      <c r="Z183" s="19">
        <v>0</v>
      </c>
      <c r="AA183" s="19">
        <v>2</v>
      </c>
      <c r="AB183" s="19">
        <v>0</v>
      </c>
    </row>
    <row r="184" spans="1:28" s="18" customFormat="1">
      <c r="A184" s="18" t="s">
        <v>305</v>
      </c>
      <c r="B184" s="18" t="s">
        <v>9</v>
      </c>
      <c r="C184" s="18" t="s">
        <v>306</v>
      </c>
      <c r="D184" s="18" t="s">
        <v>307</v>
      </c>
      <c r="E184" s="19" t="s">
        <v>308</v>
      </c>
      <c r="F184" s="18" t="s">
        <v>13</v>
      </c>
      <c r="G184" s="29">
        <v>1</v>
      </c>
      <c r="H184" s="32" t="str">
        <f>IF(Prueba[[#This Row],[Cant.]]=0,"",IF(OR(Prueba[[#This Row],[Cant.2]]="",Prueba[[#This Row],[Puesto2]]=""),"?",Prueba[[#This Row],[Puesto2]]))</f>
        <v>D</v>
      </c>
      <c r="I184" s="31">
        <v>1</v>
      </c>
      <c r="J184" s="32" t="s">
        <v>1399</v>
      </c>
      <c r="K184" s="14"/>
      <c r="L184" s="14"/>
      <c r="M184" s="31"/>
      <c r="N184" s="32" t="str">
        <f>IF(Prueba[[#This Row],[Cant.4]]=0,"",IF(OR(Prueba[[#This Row],[Cant.6]]="",Prueba[[#This Row],[Puesto6]]=""),"?",Prueba[[#This Row],[Puesto6]]))</f>
        <v/>
      </c>
      <c r="O184" s="31"/>
      <c r="P184" s="32" t="str">
        <f>IF(Prueba[[#This Row],[Cant.5]]=0,"",IF(OR(Prueba[[#This Row],[Cant.6]]="",Prueba[[#This Row],[Puesto6]]=""),"?",Prueba[[#This Row],[Puesto6]]))</f>
        <v/>
      </c>
      <c r="Q184" s="31"/>
      <c r="R184" s="32"/>
      <c r="S184" s="14"/>
      <c r="T184" s="14"/>
      <c r="U184" s="31"/>
      <c r="V184" s="32" t="s">
        <v>1663</v>
      </c>
      <c r="W184" s="19"/>
      <c r="X184" s="19" t="s">
        <v>1667</v>
      </c>
      <c r="Y184" s="19" t="s">
        <v>1663</v>
      </c>
      <c r="Z184" s="19" t="s">
        <v>1663</v>
      </c>
      <c r="AA184" s="19" t="s">
        <v>1663</v>
      </c>
      <c r="AB184" s="19" t="s">
        <v>1663</v>
      </c>
    </row>
    <row r="185" spans="1:28" s="18" customFormat="1">
      <c r="A185" s="18" t="s">
        <v>1767</v>
      </c>
      <c r="C185" s="18" t="s">
        <v>1768</v>
      </c>
      <c r="D185" s="18" t="s">
        <v>1768</v>
      </c>
      <c r="E185" s="19" t="s">
        <v>308</v>
      </c>
      <c r="G185" s="29"/>
      <c r="H185" s="32" t="str">
        <f>IF(Prueba[[#This Row],[Cant.]]=0,"",IF(OR(Prueba[[#This Row],[Cant.2]]="",Prueba[[#This Row],[Puesto2]]=""),"?",Prueba[[#This Row],[Puesto2]]))</f>
        <v/>
      </c>
      <c r="I185" s="31"/>
      <c r="J185" s="32"/>
      <c r="K185" s="14"/>
      <c r="L185" s="14"/>
      <c r="M185" s="31"/>
      <c r="N185" s="32" t="str">
        <f>IF(Prueba[[#This Row],[Cant.4]]=0,"",IF(OR(Prueba[[#This Row],[Cant.6]]="",Prueba[[#This Row],[Puesto6]]=""),"?",Prueba[[#This Row],[Puesto6]]))</f>
        <v/>
      </c>
      <c r="O185" s="31"/>
      <c r="P185" s="32" t="str">
        <f>IF(Prueba[[#This Row],[Cant.5]]=0,"",IF(OR(Prueba[[#This Row],[Cant.6]]="",Prueba[[#This Row],[Puesto6]]=""),"?",Prueba[[#This Row],[Puesto6]]))</f>
        <v/>
      </c>
      <c r="Q185" s="31"/>
      <c r="R185" s="32"/>
      <c r="S185" s="14"/>
      <c r="T185" s="14"/>
      <c r="U185" s="31"/>
      <c r="V185" s="32" t="s">
        <v>1663</v>
      </c>
      <c r="X185" s="19" t="s">
        <v>1667</v>
      </c>
      <c r="Y185" s="19">
        <v>1</v>
      </c>
      <c r="Z185" s="19" t="s">
        <v>1399</v>
      </c>
      <c r="AA185" s="19">
        <v>1</v>
      </c>
      <c r="AB185" s="19" t="s">
        <v>1399</v>
      </c>
    </row>
    <row r="186" spans="1:28" s="18" customFormat="1">
      <c r="A186" s="18" t="s">
        <v>309</v>
      </c>
      <c r="B186" s="18" t="s">
        <v>9</v>
      </c>
      <c r="C186" s="18" t="s">
        <v>84</v>
      </c>
      <c r="D186" s="18" t="s">
        <v>310</v>
      </c>
      <c r="E186" s="19" t="s">
        <v>18</v>
      </c>
      <c r="F186" s="18" t="s">
        <v>13</v>
      </c>
      <c r="G186" s="29">
        <v>2</v>
      </c>
      <c r="H186" s="32">
        <f>IF(Prueba[[#This Row],[Cant.]]=0,"",IF(OR(Prueba[[#This Row],[Cant.2]]="",Prueba[[#This Row],[Puesto2]]=""),"?",Prueba[[#This Row],[Puesto2]]))</f>
        <v>0</v>
      </c>
      <c r="I186" s="31">
        <v>2</v>
      </c>
      <c r="J186" s="32">
        <v>0</v>
      </c>
      <c r="K186" s="14"/>
      <c r="L186" s="14"/>
      <c r="M186" s="31"/>
      <c r="N186" s="32" t="str">
        <f>IF(Prueba[[#This Row],[Cant.4]]=0,"",IF(OR(Prueba[[#This Row],[Cant.6]]="",Prueba[[#This Row],[Puesto6]]=""),"?",Prueba[[#This Row],[Puesto6]]))</f>
        <v/>
      </c>
      <c r="O186" s="31"/>
      <c r="P186" s="32" t="str">
        <f>IF(Prueba[[#This Row],[Cant.5]]=0,"",IF(OR(Prueba[[#This Row],[Cant.6]]="",Prueba[[#This Row],[Puesto6]]=""),"?",Prueba[[#This Row],[Puesto6]]))</f>
        <v/>
      </c>
      <c r="Q186" s="31"/>
      <c r="R186" s="32"/>
      <c r="S186" s="14"/>
      <c r="T186" s="14"/>
      <c r="U186" s="31"/>
      <c r="V186" s="32" t="s">
        <v>1663</v>
      </c>
      <c r="W186" s="19"/>
      <c r="X186" s="19" t="s">
        <v>1667</v>
      </c>
      <c r="Y186" s="19">
        <v>2</v>
      </c>
      <c r="Z186" s="19">
        <v>0</v>
      </c>
      <c r="AA186" s="19">
        <v>2</v>
      </c>
      <c r="AB186" s="19">
        <v>0</v>
      </c>
    </row>
    <row r="187" spans="1:28" s="18" customFormat="1">
      <c r="A187" s="18" t="s">
        <v>311</v>
      </c>
      <c r="B187" s="18" t="s">
        <v>9</v>
      </c>
      <c r="C187" s="18" t="s">
        <v>312</v>
      </c>
      <c r="D187" s="18" t="s">
        <v>313</v>
      </c>
      <c r="E187" s="19" t="s">
        <v>18</v>
      </c>
      <c r="F187" s="18" t="s">
        <v>13</v>
      </c>
      <c r="G187" s="29">
        <v>1</v>
      </c>
      <c r="H187" s="32">
        <f>IF(Prueba[[#This Row],[Cant.]]=0,"",IF(OR(Prueba[[#This Row],[Cant.2]]="",Prueba[[#This Row],[Puesto2]]=""),"?",Prueba[[#This Row],[Puesto2]]))</f>
        <v>0</v>
      </c>
      <c r="I187" s="31">
        <v>1</v>
      </c>
      <c r="J187" s="32">
        <v>0</v>
      </c>
      <c r="K187" s="14"/>
      <c r="L187" s="14"/>
      <c r="M187" s="31"/>
      <c r="N187" s="32" t="str">
        <f>IF(Prueba[[#This Row],[Cant.4]]=0,"",IF(OR(Prueba[[#This Row],[Cant.6]]="",Prueba[[#This Row],[Puesto6]]=""),"?",Prueba[[#This Row],[Puesto6]]))</f>
        <v/>
      </c>
      <c r="O187" s="31"/>
      <c r="P187" s="32" t="str">
        <f>IF(Prueba[[#This Row],[Cant.5]]=0,"",IF(OR(Prueba[[#This Row],[Cant.6]]="",Prueba[[#This Row],[Puesto6]]=""),"?",Prueba[[#This Row],[Puesto6]]))</f>
        <v/>
      </c>
      <c r="Q187" s="31"/>
      <c r="R187" s="32"/>
      <c r="S187" s="14"/>
      <c r="T187" s="14"/>
      <c r="U187" s="31"/>
      <c r="V187" s="32" t="s">
        <v>1663</v>
      </c>
      <c r="W187" s="19"/>
      <c r="X187" s="19" t="s">
        <v>1667</v>
      </c>
      <c r="Y187" s="19">
        <v>1</v>
      </c>
      <c r="Z187" s="19">
        <v>0</v>
      </c>
      <c r="AA187" s="19">
        <v>1</v>
      </c>
      <c r="AB187" s="19">
        <v>0</v>
      </c>
    </row>
    <row r="188" spans="1:28" s="18" customFormat="1">
      <c r="A188" s="18" t="s">
        <v>314</v>
      </c>
      <c r="B188" s="18" t="s">
        <v>9</v>
      </c>
      <c r="C188" s="18" t="s">
        <v>315</v>
      </c>
      <c r="D188" s="18" t="s">
        <v>316</v>
      </c>
      <c r="E188" s="19" t="s">
        <v>12</v>
      </c>
      <c r="F188" s="18" t="s">
        <v>13</v>
      </c>
      <c r="G188" s="29">
        <v>1</v>
      </c>
      <c r="H188" s="32" t="str">
        <f>IF(Prueba[[#This Row],[Cant.]]=0,"",IF(OR(Prueba[[#This Row],[Cant.2]]="",Prueba[[#This Row],[Puesto2]]=""),"?",Prueba[[#This Row],[Puesto2]]))</f>
        <v>C</v>
      </c>
      <c r="I188" s="31">
        <v>1</v>
      </c>
      <c r="J188" s="32" t="s">
        <v>1402</v>
      </c>
      <c r="K188" s="14"/>
      <c r="L188" s="14"/>
      <c r="M188" s="31"/>
      <c r="N188" s="32" t="str">
        <f>IF(Prueba[[#This Row],[Cant.4]]=0,"",IF(OR(Prueba[[#This Row],[Cant.6]]="",Prueba[[#This Row],[Puesto6]]=""),"?",Prueba[[#This Row],[Puesto6]]))</f>
        <v/>
      </c>
      <c r="O188" s="31"/>
      <c r="P188" s="32" t="str">
        <f>IF(Prueba[[#This Row],[Cant.5]]=0,"",IF(OR(Prueba[[#This Row],[Cant.6]]="",Prueba[[#This Row],[Puesto6]]=""),"?",Prueba[[#This Row],[Puesto6]]))</f>
        <v/>
      </c>
      <c r="Q188" s="31"/>
      <c r="R188" s="32"/>
      <c r="S188" s="14"/>
      <c r="T188" s="14"/>
      <c r="U188" s="31"/>
      <c r="V188" s="32" t="s">
        <v>1663</v>
      </c>
      <c r="W188" s="19"/>
      <c r="X188" s="19" t="s">
        <v>1667</v>
      </c>
      <c r="Y188" s="19">
        <v>1</v>
      </c>
      <c r="Z188" s="19" t="s">
        <v>1402</v>
      </c>
      <c r="AA188" s="19">
        <v>1</v>
      </c>
      <c r="AB188" s="19" t="s">
        <v>1402</v>
      </c>
    </row>
    <row r="189" spans="1:28" s="18" customFormat="1">
      <c r="A189" s="18" t="s">
        <v>317</v>
      </c>
      <c r="B189" s="18" t="s">
        <v>9</v>
      </c>
      <c r="C189" s="18" t="s">
        <v>318</v>
      </c>
      <c r="D189" s="18" t="s">
        <v>319</v>
      </c>
      <c r="E189" s="19" t="s">
        <v>308</v>
      </c>
      <c r="F189" s="18" t="s">
        <v>13</v>
      </c>
      <c r="G189" s="29">
        <v>1</v>
      </c>
      <c r="H189" s="32">
        <f>IF(Prueba[[#This Row],[Cant.]]=0,"",IF(OR(Prueba[[#This Row],[Cant.2]]="",Prueba[[#This Row],[Puesto2]]=""),"?",Prueba[[#This Row],[Puesto2]]))</f>
        <v>6</v>
      </c>
      <c r="I189" s="31">
        <v>1</v>
      </c>
      <c r="J189" s="32">
        <v>6</v>
      </c>
      <c r="K189" s="14"/>
      <c r="L189" s="14"/>
      <c r="M189" s="31"/>
      <c r="N189" s="32" t="str">
        <f>IF(Prueba[[#This Row],[Cant.4]]=0,"",IF(OR(Prueba[[#This Row],[Cant.6]]="",Prueba[[#This Row],[Puesto6]]=""),"?",Prueba[[#This Row],[Puesto6]]))</f>
        <v/>
      </c>
      <c r="O189" s="31"/>
      <c r="P189" s="32" t="str">
        <f>IF(Prueba[[#This Row],[Cant.5]]=0,"",IF(OR(Prueba[[#This Row],[Cant.6]]="",Prueba[[#This Row],[Puesto6]]=""),"?",Prueba[[#This Row],[Puesto6]]))</f>
        <v/>
      </c>
      <c r="Q189" s="31"/>
      <c r="R189" s="32"/>
      <c r="S189" s="14"/>
      <c r="T189" s="14"/>
      <c r="U189" s="31"/>
      <c r="V189" s="32" t="s">
        <v>1663</v>
      </c>
      <c r="W189" s="19"/>
      <c r="X189" s="19" t="s">
        <v>1667</v>
      </c>
      <c r="Y189" s="19">
        <v>1</v>
      </c>
      <c r="Z189" s="19">
        <v>6</v>
      </c>
      <c r="AA189" s="19">
        <v>1</v>
      </c>
      <c r="AB189" s="19">
        <v>6</v>
      </c>
    </row>
    <row r="190" spans="1:28" s="18" customFormat="1">
      <c r="A190" s="18" t="s">
        <v>320</v>
      </c>
      <c r="B190" s="18" t="s">
        <v>9</v>
      </c>
      <c r="C190" s="18" t="s">
        <v>318</v>
      </c>
      <c r="D190" s="18" t="s">
        <v>321</v>
      </c>
      <c r="E190" s="19" t="s">
        <v>308</v>
      </c>
      <c r="F190" s="18" t="s">
        <v>13</v>
      </c>
      <c r="G190" s="29">
        <v>1</v>
      </c>
      <c r="H190" s="32" t="str">
        <f>IF(Prueba[[#This Row],[Cant.]]=0,"",IF(OR(Prueba[[#This Row],[Cant.2]]="",Prueba[[#This Row],[Puesto2]]=""),"?",Prueba[[#This Row],[Puesto2]]))</f>
        <v>D</v>
      </c>
      <c r="I190" s="31">
        <v>1</v>
      </c>
      <c r="J190" s="32" t="s">
        <v>1399</v>
      </c>
      <c r="K190" s="14"/>
      <c r="L190" s="14"/>
      <c r="M190" s="31"/>
      <c r="N190" s="32" t="str">
        <f>IF(Prueba[[#This Row],[Cant.4]]=0,"",IF(OR(Prueba[[#This Row],[Cant.6]]="",Prueba[[#This Row],[Puesto6]]=""),"?",Prueba[[#This Row],[Puesto6]]))</f>
        <v/>
      </c>
      <c r="O190" s="31"/>
      <c r="P190" s="32" t="str">
        <f>IF(Prueba[[#This Row],[Cant.5]]=0,"",IF(OR(Prueba[[#This Row],[Cant.6]]="",Prueba[[#This Row],[Puesto6]]=""),"?",Prueba[[#This Row],[Puesto6]]))</f>
        <v/>
      </c>
      <c r="Q190" s="31"/>
      <c r="R190" s="32"/>
      <c r="S190" s="14"/>
      <c r="T190" s="14"/>
      <c r="U190" s="31"/>
      <c r="V190" s="32" t="s">
        <v>1663</v>
      </c>
      <c r="W190" s="19"/>
      <c r="X190" s="19" t="s">
        <v>1667</v>
      </c>
      <c r="Y190" s="19">
        <v>1</v>
      </c>
      <c r="Z190" s="19" t="s">
        <v>1399</v>
      </c>
      <c r="AA190" s="19">
        <v>1</v>
      </c>
      <c r="AB190" s="19" t="s">
        <v>1399</v>
      </c>
    </row>
    <row r="191" spans="1:28" s="18" customFormat="1">
      <c r="A191" s="18" t="s">
        <v>323</v>
      </c>
      <c r="B191" s="18" t="s">
        <v>9</v>
      </c>
      <c r="C191" s="18" t="s">
        <v>318</v>
      </c>
      <c r="D191" s="18" t="s">
        <v>321</v>
      </c>
      <c r="E191" s="19" t="s">
        <v>308</v>
      </c>
      <c r="F191" s="18" t="s">
        <v>13</v>
      </c>
      <c r="G191" s="29">
        <v>1</v>
      </c>
      <c r="H191" s="32" t="str">
        <f>IF(Prueba[[#This Row],[Cant.]]=0,"",IF(OR(Prueba[[#This Row],[Cant.2]]="",Prueba[[#This Row],[Puesto2]]=""),"?",Prueba[[#This Row],[Puesto2]]))</f>
        <v>D</v>
      </c>
      <c r="I191" s="31">
        <v>1</v>
      </c>
      <c r="J191" s="32" t="s">
        <v>1399</v>
      </c>
      <c r="K191" s="14"/>
      <c r="L191" s="14"/>
      <c r="M191" s="31"/>
      <c r="N191" s="32" t="str">
        <f>IF(Prueba[[#This Row],[Cant.4]]=0,"",IF(OR(Prueba[[#This Row],[Cant.6]]="",Prueba[[#This Row],[Puesto6]]=""),"?",Prueba[[#This Row],[Puesto6]]))</f>
        <v/>
      </c>
      <c r="O191" s="31"/>
      <c r="P191" s="32" t="str">
        <f>IF(Prueba[[#This Row],[Cant.5]]=0,"",IF(OR(Prueba[[#This Row],[Cant.6]]="",Prueba[[#This Row],[Puesto6]]=""),"?",Prueba[[#This Row],[Puesto6]]))</f>
        <v/>
      </c>
      <c r="Q191" s="31"/>
      <c r="R191" s="32"/>
      <c r="S191" s="14"/>
      <c r="T191" s="14"/>
      <c r="U191" s="31"/>
      <c r="V191" s="32" t="s">
        <v>1663</v>
      </c>
      <c r="W191" s="19"/>
      <c r="X191" s="19" t="s">
        <v>1667</v>
      </c>
      <c r="Y191" s="19">
        <v>1</v>
      </c>
      <c r="Z191" s="19" t="s">
        <v>1399</v>
      </c>
      <c r="AA191" s="19">
        <v>1</v>
      </c>
      <c r="AB191" s="19" t="s">
        <v>1399</v>
      </c>
    </row>
    <row r="192" spans="1:28" s="18" customFormat="1">
      <c r="A192" s="18" t="s">
        <v>1769</v>
      </c>
      <c r="C192" s="18" t="s">
        <v>1770</v>
      </c>
      <c r="D192" s="18" t="s">
        <v>1770</v>
      </c>
      <c r="E192" s="19" t="s">
        <v>39</v>
      </c>
      <c r="G192" s="29"/>
      <c r="H192" s="32" t="str">
        <f>IF(Prueba[[#This Row],[Cant.]]=0,"",IF(OR(Prueba[[#This Row],[Cant.2]]="",Prueba[[#This Row],[Puesto2]]=""),"?",Prueba[[#This Row],[Puesto2]]))</f>
        <v/>
      </c>
      <c r="I192" s="31"/>
      <c r="J192" s="32"/>
      <c r="K192" s="14"/>
      <c r="L192" s="14"/>
      <c r="M192" s="31"/>
      <c r="N192" s="32" t="str">
        <f>IF(Prueba[[#This Row],[Cant.4]]=0,"",IF(OR(Prueba[[#This Row],[Cant.6]]="",Prueba[[#This Row],[Puesto6]]=""),"?",Prueba[[#This Row],[Puesto6]]))</f>
        <v/>
      </c>
      <c r="O192" s="31"/>
      <c r="P192" s="32" t="str">
        <f>IF(Prueba[[#This Row],[Cant.5]]=0,"",IF(OR(Prueba[[#This Row],[Cant.6]]="",Prueba[[#This Row],[Puesto6]]=""),"?",Prueba[[#This Row],[Puesto6]]))</f>
        <v/>
      </c>
      <c r="Q192" s="31"/>
      <c r="R192" s="32"/>
      <c r="S192" s="14"/>
      <c r="T192" s="14"/>
      <c r="U192" s="31"/>
      <c r="V192" s="32" t="s">
        <v>1663</v>
      </c>
      <c r="X192" s="19" t="s">
        <v>1667</v>
      </c>
      <c r="Y192" s="19">
        <v>1</v>
      </c>
      <c r="Z192" s="19">
        <v>0</v>
      </c>
      <c r="AA192" s="19">
        <v>1</v>
      </c>
      <c r="AB192" s="19">
        <v>0</v>
      </c>
    </row>
    <row r="193" spans="1:28" s="18" customFormat="1">
      <c r="A193" s="18" t="s">
        <v>324</v>
      </c>
      <c r="B193" s="18" t="s">
        <v>9</v>
      </c>
      <c r="C193" s="18" t="s">
        <v>325</v>
      </c>
      <c r="D193" s="18" t="s">
        <v>326</v>
      </c>
      <c r="E193" s="19" t="s">
        <v>39</v>
      </c>
      <c r="F193" s="18" t="s">
        <v>13</v>
      </c>
      <c r="G193" s="29">
        <v>1</v>
      </c>
      <c r="H193" s="32">
        <f>IF(Prueba[[#This Row],[Cant.]]=0,"",IF(OR(Prueba[[#This Row],[Cant.2]]="",Prueba[[#This Row],[Puesto2]]=""),"?",Prueba[[#This Row],[Puesto2]]))</f>
        <v>0</v>
      </c>
      <c r="I193" s="31">
        <v>1</v>
      </c>
      <c r="J193" s="32">
        <v>0</v>
      </c>
      <c r="K193" s="14"/>
      <c r="L193" s="14"/>
      <c r="M193" s="31"/>
      <c r="N193" s="32" t="str">
        <f>IF(Prueba[[#This Row],[Cant.4]]=0,"",IF(OR(Prueba[[#This Row],[Cant.6]]="",Prueba[[#This Row],[Puesto6]]=""),"?",Prueba[[#This Row],[Puesto6]]))</f>
        <v/>
      </c>
      <c r="O193" s="31"/>
      <c r="P193" s="32" t="str">
        <f>IF(Prueba[[#This Row],[Cant.5]]=0,"",IF(OR(Prueba[[#This Row],[Cant.6]]="",Prueba[[#This Row],[Puesto6]]=""),"?",Prueba[[#This Row],[Puesto6]]))</f>
        <v/>
      </c>
      <c r="Q193" s="31"/>
      <c r="R193" s="32"/>
      <c r="S193" s="14"/>
      <c r="T193" s="14"/>
      <c r="U193" s="31"/>
      <c r="V193" s="32" t="s">
        <v>1663</v>
      </c>
      <c r="W193" s="19"/>
      <c r="X193" s="19" t="s">
        <v>1667</v>
      </c>
      <c r="Y193" s="19" t="s">
        <v>1663</v>
      </c>
      <c r="Z193" s="19" t="s">
        <v>1663</v>
      </c>
      <c r="AA193" s="19" t="s">
        <v>1663</v>
      </c>
      <c r="AB193" s="19" t="s">
        <v>1663</v>
      </c>
    </row>
    <row r="194" spans="1:28" s="18" customFormat="1">
      <c r="A194" s="18" t="s">
        <v>327</v>
      </c>
      <c r="B194" s="18" t="s">
        <v>9</v>
      </c>
      <c r="C194" s="18" t="s">
        <v>328</v>
      </c>
      <c r="D194" s="18" t="s">
        <v>329</v>
      </c>
      <c r="E194" s="19" t="s">
        <v>39</v>
      </c>
      <c r="F194" s="18" t="s">
        <v>13</v>
      </c>
      <c r="G194" s="29">
        <v>1</v>
      </c>
      <c r="H194" s="32">
        <f>IF(Prueba[[#This Row],[Cant.]]=0,"",IF(OR(Prueba[[#This Row],[Cant.2]]="",Prueba[[#This Row],[Puesto2]]=""),"?",Prueba[[#This Row],[Puesto2]]))</f>
        <v>0</v>
      </c>
      <c r="I194" s="31">
        <v>1</v>
      </c>
      <c r="J194" s="32">
        <v>0</v>
      </c>
      <c r="K194" s="14"/>
      <c r="L194" s="14"/>
      <c r="M194" s="31"/>
      <c r="N194" s="32" t="str">
        <f>IF(Prueba[[#This Row],[Cant.4]]=0,"",IF(OR(Prueba[[#This Row],[Cant.6]]="",Prueba[[#This Row],[Puesto6]]=""),"?",Prueba[[#This Row],[Puesto6]]))</f>
        <v/>
      </c>
      <c r="O194" s="31"/>
      <c r="P194" s="32" t="str">
        <f>IF(Prueba[[#This Row],[Cant.5]]=0,"",IF(OR(Prueba[[#This Row],[Cant.6]]="",Prueba[[#This Row],[Puesto6]]=""),"?",Prueba[[#This Row],[Puesto6]]))</f>
        <v/>
      </c>
      <c r="Q194" s="31"/>
      <c r="R194" s="32"/>
      <c r="S194" s="14"/>
      <c r="T194" s="14"/>
      <c r="U194" s="31"/>
      <c r="V194" s="32" t="s">
        <v>1663</v>
      </c>
      <c r="W194" s="19"/>
      <c r="X194" s="19" t="s">
        <v>1667</v>
      </c>
      <c r="Y194" s="19">
        <v>1</v>
      </c>
      <c r="Z194" s="19">
        <v>0</v>
      </c>
      <c r="AA194" s="19">
        <v>1</v>
      </c>
      <c r="AB194" s="19">
        <v>0</v>
      </c>
    </row>
    <row r="195" spans="1:28" s="18" customFormat="1">
      <c r="A195" s="18" t="s">
        <v>330</v>
      </c>
      <c r="B195" s="18" t="s">
        <v>9</v>
      </c>
      <c r="C195" s="18" t="s">
        <v>10</v>
      </c>
      <c r="D195" s="18" t="s">
        <v>331</v>
      </c>
      <c r="E195" s="19" t="s">
        <v>308</v>
      </c>
      <c r="F195" s="18" t="s">
        <v>13</v>
      </c>
      <c r="G195" s="29">
        <v>1</v>
      </c>
      <c r="H195" s="32">
        <f>IF(Prueba[[#This Row],[Cant.]]=0,"",IF(OR(Prueba[[#This Row],[Cant.2]]="",Prueba[[#This Row],[Puesto2]]=""),"?",Prueba[[#This Row],[Puesto2]]))</f>
        <v>6</v>
      </c>
      <c r="I195" s="31">
        <v>1</v>
      </c>
      <c r="J195" s="32">
        <v>6</v>
      </c>
      <c r="K195" s="14"/>
      <c r="L195" s="14"/>
      <c r="M195" s="31"/>
      <c r="N195" s="32" t="str">
        <f>IF(Prueba[[#This Row],[Cant.4]]=0,"",IF(OR(Prueba[[#This Row],[Cant.6]]="",Prueba[[#This Row],[Puesto6]]=""),"?",Prueba[[#This Row],[Puesto6]]))</f>
        <v/>
      </c>
      <c r="O195" s="31"/>
      <c r="P195" s="32" t="str">
        <f>IF(Prueba[[#This Row],[Cant.5]]=0,"",IF(OR(Prueba[[#This Row],[Cant.6]]="",Prueba[[#This Row],[Puesto6]]=""),"?",Prueba[[#This Row],[Puesto6]]))</f>
        <v/>
      </c>
      <c r="Q195" s="31"/>
      <c r="R195" s="32"/>
      <c r="S195" s="14"/>
      <c r="T195" s="14"/>
      <c r="U195" s="31"/>
      <c r="V195" s="32" t="s">
        <v>1663</v>
      </c>
      <c r="W195" s="19"/>
      <c r="X195" s="19" t="s">
        <v>1667</v>
      </c>
      <c r="Y195" s="19">
        <v>1</v>
      </c>
      <c r="Z195" s="19">
        <v>6</v>
      </c>
      <c r="AA195" s="19">
        <v>1</v>
      </c>
      <c r="AB195" s="19">
        <v>6</v>
      </c>
    </row>
    <row r="196" spans="1:28" s="18" customFormat="1">
      <c r="A196" s="18" t="s">
        <v>332</v>
      </c>
      <c r="B196" s="18" t="s">
        <v>9</v>
      </c>
      <c r="C196" s="18" t="s">
        <v>10</v>
      </c>
      <c r="D196" s="18" t="s">
        <v>331</v>
      </c>
      <c r="E196" s="19" t="s">
        <v>308</v>
      </c>
      <c r="F196" s="18" t="s">
        <v>13</v>
      </c>
      <c r="G196" s="29">
        <v>1</v>
      </c>
      <c r="H196" s="32">
        <f>IF(Prueba[[#This Row],[Cant.]]=0,"",IF(OR(Prueba[[#This Row],[Cant.2]]="",Prueba[[#This Row],[Puesto2]]=""),"?",Prueba[[#This Row],[Puesto2]]))</f>
        <v>6</v>
      </c>
      <c r="I196" s="31">
        <v>1</v>
      </c>
      <c r="J196" s="32">
        <v>6</v>
      </c>
      <c r="K196" s="14"/>
      <c r="L196" s="14"/>
      <c r="M196" s="31"/>
      <c r="N196" s="32" t="str">
        <f>IF(Prueba[[#This Row],[Cant.4]]=0,"",IF(OR(Prueba[[#This Row],[Cant.6]]="",Prueba[[#This Row],[Puesto6]]=""),"?",Prueba[[#This Row],[Puesto6]]))</f>
        <v/>
      </c>
      <c r="O196" s="31"/>
      <c r="P196" s="32" t="str">
        <f>IF(Prueba[[#This Row],[Cant.5]]=0,"",IF(OR(Prueba[[#This Row],[Cant.6]]="",Prueba[[#This Row],[Puesto6]]=""),"?",Prueba[[#This Row],[Puesto6]]))</f>
        <v/>
      </c>
      <c r="Q196" s="31"/>
      <c r="R196" s="32"/>
      <c r="S196" s="14"/>
      <c r="T196" s="14"/>
      <c r="U196" s="31"/>
      <c r="V196" s="32" t="s">
        <v>1663</v>
      </c>
      <c r="W196" s="19"/>
      <c r="X196" s="19" t="s">
        <v>1667</v>
      </c>
      <c r="Y196" s="19">
        <v>1</v>
      </c>
      <c r="Z196" s="19">
        <v>6</v>
      </c>
      <c r="AA196" s="19">
        <v>1</v>
      </c>
      <c r="AB196" s="19">
        <v>6</v>
      </c>
    </row>
    <row r="197" spans="1:28" s="18" customFormat="1">
      <c r="A197" s="18" t="s">
        <v>333</v>
      </c>
      <c r="B197" s="18" t="s">
        <v>9</v>
      </c>
      <c r="C197" s="18" t="s">
        <v>10</v>
      </c>
      <c r="D197" s="18" t="s">
        <v>334</v>
      </c>
      <c r="E197" s="19" t="s">
        <v>308</v>
      </c>
      <c r="F197" s="18" t="s">
        <v>13</v>
      </c>
      <c r="G197" s="29">
        <v>1</v>
      </c>
      <c r="H197" s="32">
        <f>IF(Prueba[[#This Row],[Cant.]]=0,"",IF(OR(Prueba[[#This Row],[Cant.2]]="",Prueba[[#This Row],[Puesto2]]=""),"?",Prueba[[#This Row],[Puesto2]]))</f>
        <v>6</v>
      </c>
      <c r="I197" s="31">
        <v>1</v>
      </c>
      <c r="J197" s="32">
        <v>6</v>
      </c>
      <c r="K197" s="14"/>
      <c r="L197" s="14"/>
      <c r="M197" s="31"/>
      <c r="N197" s="32" t="str">
        <f>IF(Prueba[[#This Row],[Cant.4]]=0,"",IF(OR(Prueba[[#This Row],[Cant.6]]="",Prueba[[#This Row],[Puesto6]]=""),"?",Prueba[[#This Row],[Puesto6]]))</f>
        <v/>
      </c>
      <c r="O197" s="31"/>
      <c r="P197" s="32" t="str">
        <f>IF(Prueba[[#This Row],[Cant.5]]=0,"",IF(OR(Prueba[[#This Row],[Cant.6]]="",Prueba[[#This Row],[Puesto6]]=""),"?",Prueba[[#This Row],[Puesto6]]))</f>
        <v/>
      </c>
      <c r="Q197" s="31"/>
      <c r="R197" s="32"/>
      <c r="S197" s="14"/>
      <c r="T197" s="14"/>
      <c r="U197" s="31"/>
      <c r="V197" s="32" t="s">
        <v>1663</v>
      </c>
      <c r="W197" s="19"/>
      <c r="X197" s="19" t="s">
        <v>1667</v>
      </c>
      <c r="Y197" s="19">
        <v>1</v>
      </c>
      <c r="Z197" s="19">
        <v>6</v>
      </c>
      <c r="AA197" s="19">
        <v>1</v>
      </c>
      <c r="AB197" s="19">
        <v>6</v>
      </c>
    </row>
    <row r="198" spans="1:28" s="18" customFormat="1">
      <c r="A198" s="18" t="s">
        <v>335</v>
      </c>
      <c r="B198" s="18" t="s">
        <v>9</v>
      </c>
      <c r="C198" s="18" t="s">
        <v>10</v>
      </c>
      <c r="D198" s="18" t="s">
        <v>336</v>
      </c>
      <c r="E198" s="19" t="s">
        <v>308</v>
      </c>
      <c r="F198" s="18" t="s">
        <v>13</v>
      </c>
      <c r="G198" s="29">
        <v>1</v>
      </c>
      <c r="H198" s="32">
        <f>IF(Prueba[[#This Row],[Cant.]]=0,"",IF(OR(Prueba[[#This Row],[Cant.2]]="",Prueba[[#This Row],[Puesto2]]=""),"?",Prueba[[#This Row],[Puesto2]]))</f>
        <v>6</v>
      </c>
      <c r="I198" s="31">
        <v>1</v>
      </c>
      <c r="J198" s="32">
        <v>6</v>
      </c>
      <c r="K198" s="14"/>
      <c r="L198" s="14"/>
      <c r="M198" s="31"/>
      <c r="N198" s="32" t="str">
        <f>IF(Prueba[[#This Row],[Cant.4]]=0,"",IF(OR(Prueba[[#This Row],[Cant.6]]="",Prueba[[#This Row],[Puesto6]]=""),"?",Prueba[[#This Row],[Puesto6]]))</f>
        <v/>
      </c>
      <c r="O198" s="31"/>
      <c r="P198" s="32" t="str">
        <f>IF(Prueba[[#This Row],[Cant.5]]=0,"",IF(OR(Prueba[[#This Row],[Cant.6]]="",Prueba[[#This Row],[Puesto6]]=""),"?",Prueba[[#This Row],[Puesto6]]))</f>
        <v/>
      </c>
      <c r="Q198" s="31"/>
      <c r="R198" s="32"/>
      <c r="S198" s="14"/>
      <c r="T198" s="14"/>
      <c r="U198" s="31"/>
      <c r="V198" s="32" t="s">
        <v>1663</v>
      </c>
      <c r="W198" s="19"/>
      <c r="X198" s="19" t="s">
        <v>1667</v>
      </c>
      <c r="Y198" s="19">
        <v>1</v>
      </c>
      <c r="Z198" s="19">
        <v>6</v>
      </c>
      <c r="AA198" s="19">
        <v>1</v>
      </c>
      <c r="AB198" s="19">
        <v>6</v>
      </c>
    </row>
    <row r="199" spans="1:28" s="18" customFormat="1">
      <c r="A199" s="18" t="s">
        <v>337</v>
      </c>
      <c r="B199" s="18" t="s">
        <v>9</v>
      </c>
      <c r="C199" s="18" t="s">
        <v>338</v>
      </c>
      <c r="D199" s="18" t="s">
        <v>339</v>
      </c>
      <c r="E199" s="19" t="s">
        <v>308</v>
      </c>
      <c r="F199" s="18" t="s">
        <v>13</v>
      </c>
      <c r="G199" s="29">
        <v>1</v>
      </c>
      <c r="H199" s="32">
        <f>IF(Prueba[[#This Row],[Cant.]]=0,"",IF(OR(Prueba[[#This Row],[Cant.2]]="",Prueba[[#This Row],[Puesto2]]=""),"?",Prueba[[#This Row],[Puesto2]]))</f>
        <v>6</v>
      </c>
      <c r="I199" s="31">
        <v>1</v>
      </c>
      <c r="J199" s="32">
        <v>6</v>
      </c>
      <c r="K199" s="14"/>
      <c r="L199" s="14"/>
      <c r="M199" s="31"/>
      <c r="N199" s="32" t="str">
        <f>IF(Prueba[[#This Row],[Cant.4]]=0,"",IF(OR(Prueba[[#This Row],[Cant.6]]="",Prueba[[#This Row],[Puesto6]]=""),"?",Prueba[[#This Row],[Puesto6]]))</f>
        <v/>
      </c>
      <c r="O199" s="31"/>
      <c r="P199" s="32" t="str">
        <f>IF(Prueba[[#This Row],[Cant.5]]=0,"",IF(OR(Prueba[[#This Row],[Cant.6]]="",Prueba[[#This Row],[Puesto6]]=""),"?",Prueba[[#This Row],[Puesto6]]))</f>
        <v/>
      </c>
      <c r="Q199" s="31"/>
      <c r="R199" s="32"/>
      <c r="S199" s="14"/>
      <c r="T199" s="14"/>
      <c r="U199" s="31"/>
      <c r="V199" s="32" t="s">
        <v>1663</v>
      </c>
      <c r="W199" s="19"/>
      <c r="X199" s="19" t="s">
        <v>1667</v>
      </c>
      <c r="Y199" s="19">
        <v>1</v>
      </c>
      <c r="Z199" s="19">
        <v>6</v>
      </c>
      <c r="AA199" s="19">
        <v>1</v>
      </c>
      <c r="AB199" s="19">
        <v>6</v>
      </c>
    </row>
    <row r="200" spans="1:28" s="18" customFormat="1">
      <c r="A200" s="18" t="s">
        <v>340</v>
      </c>
      <c r="B200" s="18" t="s">
        <v>9</v>
      </c>
      <c r="C200" s="18" t="s">
        <v>338</v>
      </c>
      <c r="D200" s="18" t="s">
        <v>339</v>
      </c>
      <c r="E200" s="19" t="s">
        <v>308</v>
      </c>
      <c r="F200" s="18" t="s">
        <v>13</v>
      </c>
      <c r="G200" s="29">
        <v>1</v>
      </c>
      <c r="H200" s="32">
        <f>IF(Prueba[[#This Row],[Cant.]]=0,"",IF(OR(Prueba[[#This Row],[Cant.2]]="",Prueba[[#This Row],[Puesto2]]=""),"?",Prueba[[#This Row],[Puesto2]]))</f>
        <v>6</v>
      </c>
      <c r="I200" s="31">
        <v>1</v>
      </c>
      <c r="J200" s="32">
        <v>6</v>
      </c>
      <c r="K200" s="14"/>
      <c r="L200" s="14"/>
      <c r="M200" s="31"/>
      <c r="N200" s="32" t="str">
        <f>IF(Prueba[[#This Row],[Cant.4]]=0,"",IF(OR(Prueba[[#This Row],[Cant.6]]="",Prueba[[#This Row],[Puesto6]]=""),"?",Prueba[[#This Row],[Puesto6]]))</f>
        <v/>
      </c>
      <c r="O200" s="31"/>
      <c r="P200" s="32" t="str">
        <f>IF(Prueba[[#This Row],[Cant.5]]=0,"",IF(OR(Prueba[[#This Row],[Cant.6]]="",Prueba[[#This Row],[Puesto6]]=""),"?",Prueba[[#This Row],[Puesto6]]))</f>
        <v/>
      </c>
      <c r="Q200" s="31"/>
      <c r="R200" s="32"/>
      <c r="S200" s="14"/>
      <c r="T200" s="14"/>
      <c r="U200" s="31"/>
      <c r="V200" s="32" t="s">
        <v>1663</v>
      </c>
      <c r="W200" s="19"/>
      <c r="X200" s="19" t="s">
        <v>1667</v>
      </c>
      <c r="Y200" s="19">
        <v>1</v>
      </c>
      <c r="Z200" s="19">
        <v>6</v>
      </c>
      <c r="AA200" s="19">
        <v>1</v>
      </c>
      <c r="AB200" s="19">
        <v>6</v>
      </c>
    </row>
    <row r="201" spans="1:28" s="18" customFormat="1">
      <c r="A201" s="18" t="s">
        <v>341</v>
      </c>
      <c r="B201" s="18" t="s">
        <v>9</v>
      </c>
      <c r="C201" s="18" t="s">
        <v>342</v>
      </c>
      <c r="D201" s="18" t="s">
        <v>343</v>
      </c>
      <c r="E201" s="19" t="s">
        <v>308</v>
      </c>
      <c r="F201" s="18" t="s">
        <v>13</v>
      </c>
      <c r="G201" s="29">
        <v>1</v>
      </c>
      <c r="H201" s="32">
        <f>IF(Prueba[[#This Row],[Cant.]]=0,"",IF(OR(Prueba[[#This Row],[Cant.2]]="",Prueba[[#This Row],[Puesto2]]=""),"?",Prueba[[#This Row],[Puesto2]]))</f>
        <v>6</v>
      </c>
      <c r="I201" s="31">
        <v>1</v>
      </c>
      <c r="J201" s="32">
        <v>6</v>
      </c>
      <c r="K201" s="14"/>
      <c r="L201" s="14"/>
      <c r="M201" s="31"/>
      <c r="N201" s="32" t="str">
        <f>IF(Prueba[[#This Row],[Cant.4]]=0,"",IF(OR(Prueba[[#This Row],[Cant.6]]="",Prueba[[#This Row],[Puesto6]]=""),"?",Prueba[[#This Row],[Puesto6]]))</f>
        <v/>
      </c>
      <c r="O201" s="31"/>
      <c r="P201" s="32" t="str">
        <f>IF(Prueba[[#This Row],[Cant.5]]=0,"",IF(OR(Prueba[[#This Row],[Cant.6]]="",Prueba[[#This Row],[Puesto6]]=""),"?",Prueba[[#This Row],[Puesto6]]))</f>
        <v/>
      </c>
      <c r="Q201" s="31"/>
      <c r="R201" s="32"/>
      <c r="S201" s="14"/>
      <c r="T201" s="14"/>
      <c r="U201" s="31"/>
      <c r="V201" s="32" t="s">
        <v>1663</v>
      </c>
      <c r="W201" s="19"/>
      <c r="X201" s="19" t="s">
        <v>1667</v>
      </c>
      <c r="Y201" s="19">
        <v>1</v>
      </c>
      <c r="Z201" s="19">
        <v>6</v>
      </c>
      <c r="AA201" s="19">
        <v>1</v>
      </c>
      <c r="AB201" s="19">
        <v>6</v>
      </c>
    </row>
    <row r="202" spans="1:28" s="18" customFormat="1">
      <c r="A202" s="18" t="s">
        <v>344</v>
      </c>
      <c r="B202" s="18" t="s">
        <v>9</v>
      </c>
      <c r="C202" s="18" t="s">
        <v>345</v>
      </c>
      <c r="D202" s="18" t="s">
        <v>346</v>
      </c>
      <c r="E202" s="19" t="s">
        <v>308</v>
      </c>
      <c r="F202" s="18" t="s">
        <v>13</v>
      </c>
      <c r="G202" s="29">
        <v>1</v>
      </c>
      <c r="H202" s="32" t="str">
        <f>IF(Prueba[[#This Row],[Cant.]]=0,"",IF(OR(Prueba[[#This Row],[Cant.2]]="",Prueba[[#This Row],[Puesto2]]=""),"?",Prueba[[#This Row],[Puesto2]]))</f>
        <v>D</v>
      </c>
      <c r="I202" s="31">
        <v>1</v>
      </c>
      <c r="J202" s="32" t="s">
        <v>1399</v>
      </c>
      <c r="K202" s="14"/>
      <c r="L202" s="14"/>
      <c r="M202" s="31"/>
      <c r="N202" s="32" t="str">
        <f>IF(Prueba[[#This Row],[Cant.4]]=0,"",IF(OR(Prueba[[#This Row],[Cant.6]]="",Prueba[[#This Row],[Puesto6]]=""),"?",Prueba[[#This Row],[Puesto6]]))</f>
        <v/>
      </c>
      <c r="O202" s="31"/>
      <c r="P202" s="32" t="str">
        <f>IF(Prueba[[#This Row],[Cant.5]]=0,"",IF(OR(Prueba[[#This Row],[Cant.6]]="",Prueba[[#This Row],[Puesto6]]=""),"?",Prueba[[#This Row],[Puesto6]]))</f>
        <v/>
      </c>
      <c r="Q202" s="31"/>
      <c r="R202" s="32"/>
      <c r="S202" s="14"/>
      <c r="T202" s="14"/>
      <c r="U202" s="31"/>
      <c r="V202" s="32" t="s">
        <v>1663</v>
      </c>
      <c r="W202" s="19"/>
      <c r="X202" s="19" t="s">
        <v>1667</v>
      </c>
      <c r="Y202" s="19">
        <v>1</v>
      </c>
      <c r="Z202" s="19" t="s">
        <v>1399</v>
      </c>
      <c r="AA202" s="19">
        <v>1</v>
      </c>
      <c r="AB202" s="19" t="s">
        <v>1399</v>
      </c>
    </row>
    <row r="203" spans="1:28" s="18" customFormat="1">
      <c r="A203" s="18" t="s">
        <v>347</v>
      </c>
      <c r="B203" s="18" t="s">
        <v>9</v>
      </c>
      <c r="C203" s="18" t="s">
        <v>348</v>
      </c>
      <c r="D203" s="18" t="s">
        <v>349</v>
      </c>
      <c r="E203" s="19" t="s">
        <v>308</v>
      </c>
      <c r="F203" s="18" t="s">
        <v>13</v>
      </c>
      <c r="G203" s="29">
        <v>1</v>
      </c>
      <c r="H203" s="32" t="str">
        <f>IF(Prueba[[#This Row],[Cant.]]=0,"",IF(OR(Prueba[[#This Row],[Cant.2]]="",Prueba[[#This Row],[Puesto2]]=""),"?",Prueba[[#This Row],[Puesto2]]))</f>
        <v>D</v>
      </c>
      <c r="I203" s="31">
        <v>1</v>
      </c>
      <c r="J203" s="32" t="s">
        <v>1399</v>
      </c>
      <c r="K203" s="14"/>
      <c r="L203" s="14"/>
      <c r="M203" s="31"/>
      <c r="N203" s="32" t="str">
        <f>IF(Prueba[[#This Row],[Cant.4]]=0,"",IF(OR(Prueba[[#This Row],[Cant.6]]="",Prueba[[#This Row],[Puesto6]]=""),"?",Prueba[[#This Row],[Puesto6]]))</f>
        <v/>
      </c>
      <c r="O203" s="31"/>
      <c r="P203" s="32" t="str">
        <f>IF(Prueba[[#This Row],[Cant.5]]=0,"",IF(OR(Prueba[[#This Row],[Cant.6]]="",Prueba[[#This Row],[Puesto6]]=""),"?",Prueba[[#This Row],[Puesto6]]))</f>
        <v/>
      </c>
      <c r="Q203" s="31"/>
      <c r="R203" s="32"/>
      <c r="S203" s="14"/>
      <c r="T203" s="14"/>
      <c r="U203" s="31"/>
      <c r="V203" s="32" t="s">
        <v>1663</v>
      </c>
      <c r="W203" s="19"/>
      <c r="X203" s="19" t="s">
        <v>1667</v>
      </c>
      <c r="Y203" s="19">
        <v>1</v>
      </c>
      <c r="Z203" s="19" t="s">
        <v>1399</v>
      </c>
      <c r="AA203" s="19">
        <v>1</v>
      </c>
      <c r="AB203" s="19" t="s">
        <v>1399</v>
      </c>
    </row>
    <row r="204" spans="1:28" s="18" customFormat="1">
      <c r="A204" s="18" t="s">
        <v>350</v>
      </c>
      <c r="B204" s="18" t="s">
        <v>9</v>
      </c>
      <c r="C204" s="18" t="s">
        <v>351</v>
      </c>
      <c r="D204" s="18" t="s">
        <v>352</v>
      </c>
      <c r="E204" s="19" t="s">
        <v>12</v>
      </c>
      <c r="F204" s="18" t="s">
        <v>13</v>
      </c>
      <c r="G204" s="29">
        <v>1</v>
      </c>
      <c r="H204" s="32" t="str">
        <f>IF(Prueba[[#This Row],[Cant.]]=0,"",IF(OR(Prueba[[#This Row],[Cant.2]]="",Prueba[[#This Row],[Puesto2]]=""),"?",Prueba[[#This Row],[Puesto2]]))</f>
        <v>D</v>
      </c>
      <c r="I204" s="31">
        <v>1</v>
      </c>
      <c r="J204" s="32" t="s">
        <v>1399</v>
      </c>
      <c r="K204" s="14"/>
      <c r="L204" s="14"/>
      <c r="M204" s="31"/>
      <c r="N204" s="32" t="str">
        <f>IF(Prueba[[#This Row],[Cant.4]]=0,"",IF(OR(Prueba[[#This Row],[Cant.6]]="",Prueba[[#This Row],[Puesto6]]=""),"?",Prueba[[#This Row],[Puesto6]]))</f>
        <v/>
      </c>
      <c r="O204" s="31"/>
      <c r="P204" s="32" t="str">
        <f>IF(Prueba[[#This Row],[Cant.5]]=0,"",IF(OR(Prueba[[#This Row],[Cant.6]]="",Prueba[[#This Row],[Puesto6]]=""),"?",Prueba[[#This Row],[Puesto6]]))</f>
        <v/>
      </c>
      <c r="Q204" s="31"/>
      <c r="R204" s="32"/>
      <c r="S204" s="14"/>
      <c r="T204" s="14"/>
      <c r="U204" s="31"/>
      <c r="V204" s="32" t="s">
        <v>1663</v>
      </c>
      <c r="W204" s="19"/>
      <c r="X204" s="19" t="s">
        <v>1667</v>
      </c>
      <c r="Y204" s="19">
        <v>1</v>
      </c>
      <c r="Z204" s="19" t="s">
        <v>1399</v>
      </c>
      <c r="AA204" s="19">
        <v>1</v>
      </c>
      <c r="AB204" s="19" t="s">
        <v>1399</v>
      </c>
    </row>
    <row r="205" spans="1:28" s="18" customFormat="1">
      <c r="A205" s="18" t="s">
        <v>353</v>
      </c>
      <c r="B205" s="18" t="s">
        <v>9</v>
      </c>
      <c r="C205" s="18" t="s">
        <v>84</v>
      </c>
      <c r="D205" s="18" t="s">
        <v>354</v>
      </c>
      <c r="E205" s="19" t="s">
        <v>18</v>
      </c>
      <c r="F205" s="18" t="s">
        <v>13</v>
      </c>
      <c r="G205" s="29">
        <v>2</v>
      </c>
      <c r="H205" s="32">
        <f>IF(Prueba[[#This Row],[Cant.]]=0,"",IF(OR(Prueba[[#This Row],[Cant.2]]="",Prueba[[#This Row],[Puesto2]]=""),"?",Prueba[[#This Row],[Puesto2]]))</f>
        <v>6</v>
      </c>
      <c r="I205" s="31">
        <v>2</v>
      </c>
      <c r="J205" s="32">
        <v>6</v>
      </c>
      <c r="K205" s="14"/>
      <c r="L205" s="14"/>
      <c r="M205" s="31"/>
      <c r="N205" s="32" t="str">
        <f>IF(Prueba[[#This Row],[Cant.4]]=0,"",IF(OR(Prueba[[#This Row],[Cant.6]]="",Prueba[[#This Row],[Puesto6]]=""),"?",Prueba[[#This Row],[Puesto6]]))</f>
        <v/>
      </c>
      <c r="O205" s="31"/>
      <c r="P205" s="32" t="str">
        <f>IF(Prueba[[#This Row],[Cant.5]]=0,"",IF(OR(Prueba[[#This Row],[Cant.6]]="",Prueba[[#This Row],[Puesto6]]=""),"?",Prueba[[#This Row],[Puesto6]]))</f>
        <v/>
      </c>
      <c r="Q205" s="31"/>
      <c r="R205" s="32"/>
      <c r="S205" s="14"/>
      <c r="T205" s="14"/>
      <c r="U205" s="31"/>
      <c r="V205" s="32" t="s">
        <v>1663</v>
      </c>
      <c r="W205" s="19"/>
      <c r="X205" s="19" t="s">
        <v>1667</v>
      </c>
      <c r="Y205" s="19">
        <v>2</v>
      </c>
      <c r="Z205" s="19">
        <v>6</v>
      </c>
      <c r="AA205" s="19">
        <v>2</v>
      </c>
      <c r="AB205" s="19">
        <v>6</v>
      </c>
    </row>
    <row r="206" spans="1:28" s="18" customFormat="1">
      <c r="A206" s="18" t="s">
        <v>355</v>
      </c>
      <c r="B206" s="18" t="s">
        <v>9</v>
      </c>
      <c r="C206" s="18" t="s">
        <v>356</v>
      </c>
      <c r="D206" s="18" t="s">
        <v>357</v>
      </c>
      <c r="E206" s="19" t="s">
        <v>308</v>
      </c>
      <c r="F206" s="18" t="s">
        <v>13</v>
      </c>
      <c r="G206" s="29">
        <v>1</v>
      </c>
      <c r="H206" s="32">
        <f>IF(Prueba[[#This Row],[Cant.]]=0,"",IF(OR(Prueba[[#This Row],[Cant.2]]="",Prueba[[#This Row],[Puesto2]]=""),"?",Prueba[[#This Row],[Puesto2]]))</f>
        <v>6</v>
      </c>
      <c r="I206" s="31">
        <v>1</v>
      </c>
      <c r="J206" s="32">
        <v>6</v>
      </c>
      <c r="K206" s="14"/>
      <c r="L206" s="14"/>
      <c r="M206" s="31"/>
      <c r="N206" s="32" t="str">
        <f>IF(Prueba[[#This Row],[Cant.4]]=0,"",IF(OR(Prueba[[#This Row],[Cant.6]]="",Prueba[[#This Row],[Puesto6]]=""),"?",Prueba[[#This Row],[Puesto6]]))</f>
        <v/>
      </c>
      <c r="O206" s="31"/>
      <c r="P206" s="32" t="str">
        <f>IF(Prueba[[#This Row],[Cant.5]]=0,"",IF(OR(Prueba[[#This Row],[Cant.6]]="",Prueba[[#This Row],[Puesto6]]=""),"?",Prueba[[#This Row],[Puesto6]]))</f>
        <v/>
      </c>
      <c r="Q206" s="31"/>
      <c r="R206" s="32"/>
      <c r="S206" s="14"/>
      <c r="T206" s="14"/>
      <c r="U206" s="31"/>
      <c r="V206" s="32" t="s">
        <v>1663</v>
      </c>
      <c r="W206" s="19"/>
      <c r="X206" s="19" t="s">
        <v>1667</v>
      </c>
      <c r="Y206" s="19">
        <v>1</v>
      </c>
      <c r="Z206" s="19">
        <v>6</v>
      </c>
      <c r="AA206" s="19">
        <v>1</v>
      </c>
      <c r="AB206" s="19">
        <v>6</v>
      </c>
    </row>
    <row r="207" spans="1:28" s="18" customFormat="1">
      <c r="A207" s="18" t="s">
        <v>358</v>
      </c>
      <c r="B207" s="18" t="s">
        <v>9</v>
      </c>
      <c r="C207" s="18" t="s">
        <v>356</v>
      </c>
      <c r="D207" s="18" t="s">
        <v>357</v>
      </c>
      <c r="E207" s="19" t="s">
        <v>308</v>
      </c>
      <c r="F207" s="18" t="s">
        <v>13</v>
      </c>
      <c r="G207" s="29">
        <v>1</v>
      </c>
      <c r="H207" s="32">
        <f>IF(Prueba[[#This Row],[Cant.]]=0,"",IF(OR(Prueba[[#This Row],[Cant.2]]="",Prueba[[#This Row],[Puesto2]]=""),"?",Prueba[[#This Row],[Puesto2]]))</f>
        <v>6</v>
      </c>
      <c r="I207" s="31">
        <v>1</v>
      </c>
      <c r="J207" s="32">
        <v>6</v>
      </c>
      <c r="K207" s="14"/>
      <c r="L207" s="14"/>
      <c r="M207" s="31"/>
      <c r="N207" s="32" t="str">
        <f>IF(Prueba[[#This Row],[Cant.4]]=0,"",IF(OR(Prueba[[#This Row],[Cant.6]]="",Prueba[[#This Row],[Puesto6]]=""),"?",Prueba[[#This Row],[Puesto6]]))</f>
        <v/>
      </c>
      <c r="O207" s="31"/>
      <c r="P207" s="32" t="str">
        <f>IF(Prueba[[#This Row],[Cant.5]]=0,"",IF(OR(Prueba[[#This Row],[Cant.6]]="",Prueba[[#This Row],[Puesto6]]=""),"?",Prueba[[#This Row],[Puesto6]]))</f>
        <v/>
      </c>
      <c r="Q207" s="31"/>
      <c r="R207" s="32"/>
      <c r="S207" s="14"/>
      <c r="T207" s="14"/>
      <c r="U207" s="31"/>
      <c r="V207" s="32" t="s">
        <v>1663</v>
      </c>
      <c r="W207" s="19"/>
      <c r="X207" s="19" t="s">
        <v>1667</v>
      </c>
      <c r="Y207" s="19">
        <v>1</v>
      </c>
      <c r="Z207" s="19">
        <v>6</v>
      </c>
      <c r="AA207" s="19">
        <v>1</v>
      </c>
      <c r="AB207" s="19">
        <v>6</v>
      </c>
    </row>
    <row r="208" spans="1:28" s="18" customFormat="1">
      <c r="A208" s="18" t="s">
        <v>359</v>
      </c>
      <c r="B208" s="18" t="s">
        <v>9</v>
      </c>
      <c r="C208" s="18" t="s">
        <v>360</v>
      </c>
      <c r="D208" s="18" t="s">
        <v>361</v>
      </c>
      <c r="E208" s="19" t="s">
        <v>12</v>
      </c>
      <c r="F208" s="18" t="s">
        <v>13</v>
      </c>
      <c r="G208" s="29">
        <v>1</v>
      </c>
      <c r="H208" s="32">
        <f>IF(Prueba[[#This Row],[Cant.]]=0,"",IF(OR(Prueba[[#This Row],[Cant.2]]="",Prueba[[#This Row],[Puesto2]]=""),"?",Prueba[[#This Row],[Puesto2]]))</f>
        <v>6</v>
      </c>
      <c r="I208" s="31">
        <v>1</v>
      </c>
      <c r="J208" s="32">
        <v>6</v>
      </c>
      <c r="K208" s="14"/>
      <c r="L208" s="14"/>
      <c r="M208" s="31"/>
      <c r="N208" s="32" t="str">
        <f>IF(Prueba[[#This Row],[Cant.4]]=0,"",IF(OR(Prueba[[#This Row],[Cant.6]]="",Prueba[[#This Row],[Puesto6]]=""),"?",Prueba[[#This Row],[Puesto6]]))</f>
        <v/>
      </c>
      <c r="O208" s="31"/>
      <c r="P208" s="32" t="str">
        <f>IF(Prueba[[#This Row],[Cant.5]]=0,"",IF(OR(Prueba[[#This Row],[Cant.6]]="",Prueba[[#This Row],[Puesto6]]=""),"?",Prueba[[#This Row],[Puesto6]]))</f>
        <v/>
      </c>
      <c r="Q208" s="31"/>
      <c r="R208" s="32"/>
      <c r="S208" s="14"/>
      <c r="T208" s="14"/>
      <c r="U208" s="31"/>
      <c r="V208" s="32" t="s">
        <v>1663</v>
      </c>
      <c r="W208" s="19"/>
      <c r="X208" s="19" t="s">
        <v>1667</v>
      </c>
      <c r="Y208" s="19">
        <v>1</v>
      </c>
      <c r="Z208" s="19">
        <v>6</v>
      </c>
      <c r="AA208" s="19">
        <v>1</v>
      </c>
      <c r="AB208" s="19">
        <v>6</v>
      </c>
    </row>
    <row r="209" spans="1:28" s="18" customFormat="1">
      <c r="A209" s="18" t="s">
        <v>362</v>
      </c>
      <c r="B209" s="18" t="s">
        <v>9</v>
      </c>
      <c r="C209" s="18" t="s">
        <v>363</v>
      </c>
      <c r="D209" s="18" t="s">
        <v>364</v>
      </c>
      <c r="E209" s="19" t="s">
        <v>308</v>
      </c>
      <c r="F209" s="18" t="s">
        <v>13</v>
      </c>
      <c r="G209" s="29">
        <v>1</v>
      </c>
      <c r="H209" s="32">
        <f>IF(Prueba[[#This Row],[Cant.]]=0,"",IF(OR(Prueba[[#This Row],[Cant.2]]="",Prueba[[#This Row],[Puesto2]]=""),"?",Prueba[[#This Row],[Puesto2]]))</f>
        <v>7</v>
      </c>
      <c r="I209" s="31">
        <v>1</v>
      </c>
      <c r="J209" s="32">
        <v>7</v>
      </c>
      <c r="K209" s="14"/>
      <c r="L209" s="14"/>
      <c r="M209" s="31"/>
      <c r="N209" s="32" t="str">
        <f>IF(Prueba[[#This Row],[Cant.4]]=0,"",IF(OR(Prueba[[#This Row],[Cant.6]]="",Prueba[[#This Row],[Puesto6]]=""),"?",Prueba[[#This Row],[Puesto6]]))</f>
        <v/>
      </c>
      <c r="O209" s="31"/>
      <c r="P209" s="32" t="str">
        <f>IF(Prueba[[#This Row],[Cant.5]]=0,"",IF(OR(Prueba[[#This Row],[Cant.6]]="",Prueba[[#This Row],[Puesto6]]=""),"?",Prueba[[#This Row],[Puesto6]]))</f>
        <v/>
      </c>
      <c r="Q209" s="31"/>
      <c r="R209" s="32"/>
      <c r="S209" s="14"/>
      <c r="T209" s="14"/>
      <c r="U209" s="31"/>
      <c r="V209" s="32" t="s">
        <v>1663</v>
      </c>
      <c r="W209" s="19"/>
      <c r="X209" s="19" t="s">
        <v>1667</v>
      </c>
      <c r="Y209" s="19">
        <v>1</v>
      </c>
      <c r="Z209" s="19">
        <v>7</v>
      </c>
      <c r="AA209" s="19">
        <v>1</v>
      </c>
      <c r="AB209" s="19">
        <v>7</v>
      </c>
    </row>
    <row r="210" spans="1:28" s="18" customFormat="1">
      <c r="A210" s="18" t="s">
        <v>1771</v>
      </c>
      <c r="B210" s="18" t="s">
        <v>9</v>
      </c>
      <c r="C210" s="18" t="s">
        <v>10</v>
      </c>
      <c r="D210" s="18" t="s">
        <v>952</v>
      </c>
      <c r="E210" s="19" t="s">
        <v>308</v>
      </c>
      <c r="F210" s="18" t="s">
        <v>13</v>
      </c>
      <c r="G210" s="29">
        <v>1</v>
      </c>
      <c r="H210" s="32">
        <f>IF(Prueba[[#This Row],[Cant.]]=0,"",IF(OR(Prueba[[#This Row],[Cant.2]]="",Prueba[[#This Row],[Puesto2]]=""),"?",Prueba[[#This Row],[Puesto2]]))</f>
        <v>6</v>
      </c>
      <c r="I210" s="31">
        <v>1</v>
      </c>
      <c r="J210" s="32">
        <v>6</v>
      </c>
      <c r="K210" s="14"/>
      <c r="L210" s="14"/>
      <c r="M210" s="31"/>
      <c r="N210" s="32" t="str">
        <f>IF(Prueba[[#This Row],[Cant.4]]=0,"",IF(OR(Prueba[[#This Row],[Cant.6]]="",Prueba[[#This Row],[Puesto6]]=""),"?",Prueba[[#This Row],[Puesto6]]))</f>
        <v/>
      </c>
      <c r="O210" s="31"/>
      <c r="P210" s="32" t="str">
        <f>IF(Prueba[[#This Row],[Cant.5]]=0,"",IF(OR(Prueba[[#This Row],[Cant.6]]="",Prueba[[#This Row],[Puesto6]]=""),"?",Prueba[[#This Row],[Puesto6]]))</f>
        <v/>
      </c>
      <c r="Q210" s="31"/>
      <c r="R210" s="32"/>
      <c r="S210" s="14"/>
      <c r="T210" s="14"/>
      <c r="U210" s="31"/>
      <c r="V210" s="32" t="s">
        <v>1663</v>
      </c>
      <c r="W210" s="19"/>
      <c r="X210" s="19" t="s">
        <v>1667</v>
      </c>
      <c r="Y210" s="19">
        <v>1</v>
      </c>
      <c r="Z210" s="19">
        <v>6</v>
      </c>
      <c r="AA210" s="19">
        <v>1</v>
      </c>
      <c r="AB210" s="19">
        <v>6</v>
      </c>
    </row>
    <row r="211" spans="1:28" s="18" customFormat="1">
      <c r="A211" s="18" t="s">
        <v>1772</v>
      </c>
      <c r="B211" s="18" t="s">
        <v>9</v>
      </c>
      <c r="C211" s="18" t="s">
        <v>10</v>
      </c>
      <c r="D211" s="18" t="s">
        <v>952</v>
      </c>
      <c r="E211" s="19" t="s">
        <v>308</v>
      </c>
      <c r="F211" s="18" t="s">
        <v>13</v>
      </c>
      <c r="G211" s="29">
        <v>1</v>
      </c>
      <c r="H211" s="32">
        <f>IF(Prueba[[#This Row],[Cant.]]=0,"",IF(OR(Prueba[[#This Row],[Cant.2]]="",Prueba[[#This Row],[Puesto2]]=""),"?",Prueba[[#This Row],[Puesto2]]))</f>
        <v>6</v>
      </c>
      <c r="I211" s="31">
        <v>1</v>
      </c>
      <c r="J211" s="32">
        <v>6</v>
      </c>
      <c r="K211" s="14"/>
      <c r="L211" s="14"/>
      <c r="M211" s="31"/>
      <c r="N211" s="32" t="str">
        <f>IF(Prueba[[#This Row],[Cant.4]]=0,"",IF(OR(Prueba[[#This Row],[Cant.6]]="",Prueba[[#This Row],[Puesto6]]=""),"?",Prueba[[#This Row],[Puesto6]]))</f>
        <v/>
      </c>
      <c r="O211" s="31"/>
      <c r="P211" s="32" t="str">
        <f>IF(Prueba[[#This Row],[Cant.5]]=0,"",IF(OR(Prueba[[#This Row],[Cant.6]]="",Prueba[[#This Row],[Puesto6]]=""),"?",Prueba[[#This Row],[Puesto6]]))</f>
        <v/>
      </c>
      <c r="Q211" s="31"/>
      <c r="R211" s="32"/>
      <c r="S211" s="14"/>
      <c r="T211" s="14"/>
      <c r="U211" s="31"/>
      <c r="V211" s="32" t="s">
        <v>1663</v>
      </c>
      <c r="W211" s="19"/>
      <c r="X211" s="19" t="s">
        <v>1667</v>
      </c>
      <c r="Y211" s="19">
        <v>1</v>
      </c>
      <c r="Z211" s="19">
        <v>6</v>
      </c>
      <c r="AA211" s="19">
        <v>1</v>
      </c>
      <c r="AB211" s="19">
        <v>6</v>
      </c>
    </row>
    <row r="212" spans="1:28" s="18" customFormat="1">
      <c r="A212" s="18" t="s">
        <v>1773</v>
      </c>
      <c r="C212" s="18" t="s">
        <v>1774</v>
      </c>
      <c r="D212" s="18" t="s">
        <v>1774</v>
      </c>
      <c r="E212" s="19" t="s">
        <v>12</v>
      </c>
      <c r="G212" s="29"/>
      <c r="H212" s="32" t="str">
        <f>IF(Prueba[[#This Row],[Cant.]]=0,"",IF(OR(Prueba[[#This Row],[Cant.2]]="",Prueba[[#This Row],[Puesto2]]=""),"?",Prueba[[#This Row],[Puesto2]]))</f>
        <v/>
      </c>
      <c r="I212" s="31"/>
      <c r="J212" s="32"/>
      <c r="K212" s="14"/>
      <c r="L212" s="14"/>
      <c r="M212" s="31"/>
      <c r="N212" s="32" t="str">
        <f>IF(Prueba[[#This Row],[Cant.4]]=0,"",IF(OR(Prueba[[#This Row],[Cant.6]]="",Prueba[[#This Row],[Puesto6]]=""),"?",Prueba[[#This Row],[Puesto6]]))</f>
        <v/>
      </c>
      <c r="O212" s="31"/>
      <c r="P212" s="32" t="str">
        <f>IF(Prueba[[#This Row],[Cant.5]]=0,"",IF(OR(Prueba[[#This Row],[Cant.6]]="",Prueba[[#This Row],[Puesto6]]=""),"?",Prueba[[#This Row],[Puesto6]]))</f>
        <v/>
      </c>
      <c r="Q212" s="31"/>
      <c r="R212" s="32"/>
      <c r="S212" s="14"/>
      <c r="T212" s="14"/>
      <c r="U212" s="31"/>
      <c r="V212" s="32" t="s">
        <v>1663</v>
      </c>
      <c r="X212" s="19" t="s">
        <v>1667</v>
      </c>
      <c r="Y212" s="19">
        <v>1</v>
      </c>
      <c r="Z212" s="19">
        <v>6</v>
      </c>
      <c r="AA212" s="19">
        <v>1</v>
      </c>
      <c r="AB212" s="19">
        <v>6</v>
      </c>
    </row>
    <row r="213" spans="1:28" s="18" customFormat="1">
      <c r="A213" s="18" t="s">
        <v>1775</v>
      </c>
      <c r="C213" s="18" t="s">
        <v>1774</v>
      </c>
      <c r="D213" s="18" t="s">
        <v>1774</v>
      </c>
      <c r="E213" s="19" t="s">
        <v>12</v>
      </c>
      <c r="G213" s="29"/>
      <c r="H213" s="32" t="str">
        <f>IF(Prueba[[#This Row],[Cant.]]=0,"",IF(OR(Prueba[[#This Row],[Cant.2]]="",Prueba[[#This Row],[Puesto2]]=""),"?",Prueba[[#This Row],[Puesto2]]))</f>
        <v/>
      </c>
      <c r="I213" s="31"/>
      <c r="J213" s="32"/>
      <c r="K213" s="14"/>
      <c r="L213" s="14"/>
      <c r="M213" s="31"/>
      <c r="N213" s="32" t="str">
        <f>IF(Prueba[[#This Row],[Cant.4]]=0,"",IF(OR(Prueba[[#This Row],[Cant.6]]="",Prueba[[#This Row],[Puesto6]]=""),"?",Prueba[[#This Row],[Puesto6]]))</f>
        <v/>
      </c>
      <c r="O213" s="31"/>
      <c r="P213" s="32" t="str">
        <f>IF(Prueba[[#This Row],[Cant.5]]=0,"",IF(OR(Prueba[[#This Row],[Cant.6]]="",Prueba[[#This Row],[Puesto6]]=""),"?",Prueba[[#This Row],[Puesto6]]))</f>
        <v/>
      </c>
      <c r="Q213" s="31"/>
      <c r="R213" s="32"/>
      <c r="S213" s="14"/>
      <c r="T213" s="14"/>
      <c r="U213" s="31"/>
      <c r="V213" s="32" t="s">
        <v>1663</v>
      </c>
      <c r="X213" s="19" t="s">
        <v>1667</v>
      </c>
      <c r="Y213" s="19">
        <v>1</v>
      </c>
      <c r="Z213" s="19">
        <v>6</v>
      </c>
      <c r="AA213" s="19">
        <v>1</v>
      </c>
      <c r="AB213" s="19">
        <v>6</v>
      </c>
    </row>
    <row r="214" spans="1:28" s="18" customFormat="1">
      <c r="A214" s="18" t="s">
        <v>365</v>
      </c>
      <c r="B214" s="18" t="s">
        <v>9</v>
      </c>
      <c r="C214" s="18" t="s">
        <v>366</v>
      </c>
      <c r="D214" s="18" t="s">
        <v>367</v>
      </c>
      <c r="E214" s="19" t="s">
        <v>12</v>
      </c>
      <c r="F214" s="18" t="s">
        <v>13</v>
      </c>
      <c r="G214" s="29">
        <v>1</v>
      </c>
      <c r="H214" s="32">
        <f>IF(Prueba[[#This Row],[Cant.]]=0,"",IF(OR(Prueba[[#This Row],[Cant.2]]="",Prueba[[#This Row],[Puesto2]]=""),"?",Prueba[[#This Row],[Puesto2]]))</f>
        <v>6</v>
      </c>
      <c r="I214" s="31">
        <v>1</v>
      </c>
      <c r="J214" s="32">
        <v>6</v>
      </c>
      <c r="K214" s="14"/>
      <c r="L214" s="14"/>
      <c r="M214" s="31"/>
      <c r="N214" s="32" t="str">
        <f>IF(Prueba[[#This Row],[Cant.4]]=0,"",IF(OR(Prueba[[#This Row],[Cant.6]]="",Prueba[[#This Row],[Puesto6]]=""),"?",Prueba[[#This Row],[Puesto6]]))</f>
        <v/>
      </c>
      <c r="O214" s="31"/>
      <c r="P214" s="32" t="str">
        <f>IF(Prueba[[#This Row],[Cant.5]]=0,"",IF(OR(Prueba[[#This Row],[Cant.6]]="",Prueba[[#This Row],[Puesto6]]=""),"?",Prueba[[#This Row],[Puesto6]]))</f>
        <v/>
      </c>
      <c r="Q214" s="31"/>
      <c r="R214" s="32"/>
      <c r="S214" s="14"/>
      <c r="T214" s="14"/>
      <c r="U214" s="31"/>
      <c r="V214" s="32" t="s">
        <v>1663</v>
      </c>
      <c r="W214" s="19"/>
      <c r="X214" s="19" t="s">
        <v>1667</v>
      </c>
      <c r="Y214" s="19" t="s">
        <v>1663</v>
      </c>
      <c r="Z214" s="19" t="s">
        <v>1663</v>
      </c>
      <c r="AA214" s="19" t="s">
        <v>1663</v>
      </c>
      <c r="AB214" s="19" t="s">
        <v>1663</v>
      </c>
    </row>
    <row r="215" spans="1:28" s="18" customFormat="1">
      <c r="A215" s="18" t="s">
        <v>1776</v>
      </c>
      <c r="C215" s="18" t="s">
        <v>1774</v>
      </c>
      <c r="D215" s="18" t="s">
        <v>1774</v>
      </c>
      <c r="E215" s="19" t="s">
        <v>12</v>
      </c>
      <c r="G215" s="29"/>
      <c r="H215" s="32" t="str">
        <f>IF(Prueba[[#This Row],[Cant.]]=0,"",IF(OR(Prueba[[#This Row],[Cant.2]]="",Prueba[[#This Row],[Puesto2]]=""),"?",Prueba[[#This Row],[Puesto2]]))</f>
        <v/>
      </c>
      <c r="I215" s="31"/>
      <c r="J215" s="32"/>
      <c r="K215" s="14"/>
      <c r="L215" s="14"/>
      <c r="M215" s="31"/>
      <c r="N215" s="32" t="str">
        <f>IF(Prueba[[#This Row],[Cant.4]]=0,"",IF(OR(Prueba[[#This Row],[Cant.6]]="",Prueba[[#This Row],[Puesto6]]=""),"?",Prueba[[#This Row],[Puesto6]]))</f>
        <v/>
      </c>
      <c r="O215" s="31"/>
      <c r="P215" s="32" t="str">
        <f>IF(Prueba[[#This Row],[Cant.5]]=0,"",IF(OR(Prueba[[#This Row],[Cant.6]]="",Prueba[[#This Row],[Puesto6]]=""),"?",Prueba[[#This Row],[Puesto6]]))</f>
        <v/>
      </c>
      <c r="Q215" s="31"/>
      <c r="R215" s="32"/>
      <c r="S215" s="14"/>
      <c r="T215" s="14"/>
      <c r="U215" s="31"/>
      <c r="V215" s="32" t="s">
        <v>1663</v>
      </c>
      <c r="X215" s="19" t="s">
        <v>1667</v>
      </c>
      <c r="Y215" s="19">
        <v>1</v>
      </c>
      <c r="Z215" s="19">
        <v>6</v>
      </c>
      <c r="AA215" s="19">
        <v>1</v>
      </c>
      <c r="AB215" s="19">
        <v>6</v>
      </c>
    </row>
    <row r="216" spans="1:28" s="18" customFormat="1">
      <c r="A216" s="18" t="s">
        <v>368</v>
      </c>
      <c r="B216" s="18" t="s">
        <v>9</v>
      </c>
      <c r="C216" s="18" t="s">
        <v>366</v>
      </c>
      <c r="D216" s="18" t="s">
        <v>369</v>
      </c>
      <c r="E216" s="19" t="s">
        <v>12</v>
      </c>
      <c r="F216" s="18" t="s">
        <v>13</v>
      </c>
      <c r="G216" s="29">
        <v>1</v>
      </c>
      <c r="H216" s="32">
        <f>IF(Prueba[[#This Row],[Cant.]]=0,"",IF(OR(Prueba[[#This Row],[Cant.2]]="",Prueba[[#This Row],[Puesto2]]=""),"?",Prueba[[#This Row],[Puesto2]]))</f>
        <v>6</v>
      </c>
      <c r="I216" s="31">
        <v>1</v>
      </c>
      <c r="J216" s="32">
        <v>6</v>
      </c>
      <c r="K216" s="14"/>
      <c r="L216" s="14"/>
      <c r="M216" s="31"/>
      <c r="N216" s="32" t="str">
        <f>IF(Prueba[[#This Row],[Cant.4]]=0,"",IF(OR(Prueba[[#This Row],[Cant.6]]="",Prueba[[#This Row],[Puesto6]]=""),"?",Prueba[[#This Row],[Puesto6]]))</f>
        <v/>
      </c>
      <c r="O216" s="31"/>
      <c r="P216" s="32" t="str">
        <f>IF(Prueba[[#This Row],[Cant.5]]=0,"",IF(OR(Prueba[[#This Row],[Cant.6]]="",Prueba[[#This Row],[Puesto6]]=""),"?",Prueba[[#This Row],[Puesto6]]))</f>
        <v/>
      </c>
      <c r="Q216" s="31"/>
      <c r="R216" s="32"/>
      <c r="S216" s="14"/>
      <c r="T216" s="14"/>
      <c r="U216" s="31"/>
      <c r="V216" s="32" t="s">
        <v>1663</v>
      </c>
      <c r="W216" s="19"/>
      <c r="X216" s="19" t="s">
        <v>1667</v>
      </c>
      <c r="Y216" s="19" t="s">
        <v>1663</v>
      </c>
      <c r="Z216" s="19" t="s">
        <v>1663</v>
      </c>
      <c r="AA216" s="19" t="s">
        <v>1663</v>
      </c>
      <c r="AB216" s="19" t="s">
        <v>1663</v>
      </c>
    </row>
    <row r="217" spans="1:28" s="18" customFormat="1">
      <c r="A217" s="18" t="s">
        <v>370</v>
      </c>
      <c r="B217" s="18" t="s">
        <v>9</v>
      </c>
      <c r="C217" s="18" t="s">
        <v>371</v>
      </c>
      <c r="D217" s="18" t="s">
        <v>372</v>
      </c>
      <c r="E217" s="19" t="s">
        <v>18</v>
      </c>
      <c r="F217" s="18" t="s">
        <v>13</v>
      </c>
      <c r="G217" s="29">
        <v>1</v>
      </c>
      <c r="H217" s="32">
        <f>IF(Prueba[[#This Row],[Cant.]]=0,"",IF(OR(Prueba[[#This Row],[Cant.2]]="",Prueba[[#This Row],[Puesto2]]=""),"?",Prueba[[#This Row],[Puesto2]]))</f>
        <v>4</v>
      </c>
      <c r="I217" s="31">
        <v>1</v>
      </c>
      <c r="J217" s="32">
        <v>4</v>
      </c>
      <c r="K217" s="14"/>
      <c r="L217" s="14"/>
      <c r="M217" s="31"/>
      <c r="N217" s="32" t="str">
        <f>IF(Prueba[[#This Row],[Cant.4]]=0,"",IF(OR(Prueba[[#This Row],[Cant.6]]="",Prueba[[#This Row],[Puesto6]]=""),"?",Prueba[[#This Row],[Puesto6]]))</f>
        <v/>
      </c>
      <c r="O217" s="31"/>
      <c r="P217" s="32" t="str">
        <f>IF(Prueba[[#This Row],[Cant.5]]=0,"",IF(OR(Prueba[[#This Row],[Cant.6]]="",Prueba[[#This Row],[Puesto6]]=""),"?",Prueba[[#This Row],[Puesto6]]))</f>
        <v/>
      </c>
      <c r="Q217" s="31"/>
      <c r="R217" s="32"/>
      <c r="S217" s="14"/>
      <c r="T217" s="14"/>
      <c r="U217" s="31"/>
      <c r="V217" s="32" t="s">
        <v>1663</v>
      </c>
      <c r="W217" s="19"/>
      <c r="X217" s="19" t="s">
        <v>1667</v>
      </c>
      <c r="Y217" s="19">
        <v>1</v>
      </c>
      <c r="Z217" s="19">
        <v>4</v>
      </c>
      <c r="AA217" s="19">
        <v>1</v>
      </c>
      <c r="AB217" s="19">
        <v>4</v>
      </c>
    </row>
    <row r="218" spans="1:28" s="18" customFormat="1">
      <c r="A218" s="18" t="s">
        <v>373</v>
      </c>
      <c r="B218" s="18" t="s">
        <v>9</v>
      </c>
      <c r="C218" s="18" t="s">
        <v>371</v>
      </c>
      <c r="D218" s="18" t="s">
        <v>374</v>
      </c>
      <c r="E218" s="19" t="s">
        <v>18</v>
      </c>
      <c r="F218" s="18" t="s">
        <v>13</v>
      </c>
      <c r="G218" s="29">
        <v>1</v>
      </c>
      <c r="H218" s="32">
        <f>IF(Prueba[[#This Row],[Cant.]]=0,"",IF(OR(Prueba[[#This Row],[Cant.2]]="",Prueba[[#This Row],[Puesto2]]=""),"?",Prueba[[#This Row],[Puesto2]]))</f>
        <v>4</v>
      </c>
      <c r="I218" s="31">
        <v>1</v>
      </c>
      <c r="J218" s="32">
        <v>4</v>
      </c>
      <c r="K218" s="14"/>
      <c r="L218" s="14"/>
      <c r="M218" s="31"/>
      <c r="N218" s="32" t="str">
        <f>IF(Prueba[[#This Row],[Cant.4]]=0,"",IF(OR(Prueba[[#This Row],[Cant.6]]="",Prueba[[#This Row],[Puesto6]]=""),"?",Prueba[[#This Row],[Puesto6]]))</f>
        <v/>
      </c>
      <c r="O218" s="31"/>
      <c r="P218" s="32" t="str">
        <f>IF(Prueba[[#This Row],[Cant.5]]=0,"",IF(OR(Prueba[[#This Row],[Cant.6]]="",Prueba[[#This Row],[Puesto6]]=""),"?",Prueba[[#This Row],[Puesto6]]))</f>
        <v/>
      </c>
      <c r="Q218" s="31"/>
      <c r="R218" s="32"/>
      <c r="S218" s="14"/>
      <c r="T218" s="14"/>
      <c r="U218" s="31"/>
      <c r="V218" s="32" t="s">
        <v>1663</v>
      </c>
      <c r="W218" s="19"/>
      <c r="X218" s="19" t="s">
        <v>1667</v>
      </c>
      <c r="Y218" s="19">
        <v>1</v>
      </c>
      <c r="Z218" s="19">
        <v>4</v>
      </c>
      <c r="AA218" s="19">
        <v>1</v>
      </c>
      <c r="AB218" s="19">
        <v>4</v>
      </c>
    </row>
    <row r="219" spans="1:28" s="18" customFormat="1">
      <c r="A219" s="18" t="s">
        <v>375</v>
      </c>
      <c r="B219" s="18" t="s">
        <v>9</v>
      </c>
      <c r="C219" s="18" t="s">
        <v>174</v>
      </c>
      <c r="D219" s="18" t="s">
        <v>376</v>
      </c>
      <c r="E219" s="19" t="s">
        <v>18</v>
      </c>
      <c r="F219" s="18" t="s">
        <v>13</v>
      </c>
      <c r="G219" s="29">
        <v>2</v>
      </c>
      <c r="H219" s="32">
        <f>IF(Prueba[[#This Row],[Cant.]]=0,"",IF(OR(Prueba[[#This Row],[Cant.2]]="",Prueba[[#This Row],[Puesto2]]=""),"?",Prueba[[#This Row],[Puesto2]]))</f>
        <v>4</v>
      </c>
      <c r="I219" s="31">
        <v>2</v>
      </c>
      <c r="J219" s="32">
        <v>4</v>
      </c>
      <c r="K219" s="14"/>
      <c r="L219" s="14"/>
      <c r="M219" s="31"/>
      <c r="N219" s="32" t="str">
        <f>IF(Prueba[[#This Row],[Cant.4]]=0,"",IF(OR(Prueba[[#This Row],[Cant.6]]="",Prueba[[#This Row],[Puesto6]]=""),"?",Prueba[[#This Row],[Puesto6]]))</f>
        <v/>
      </c>
      <c r="O219" s="31"/>
      <c r="P219" s="32" t="str">
        <f>IF(Prueba[[#This Row],[Cant.5]]=0,"",IF(OR(Prueba[[#This Row],[Cant.6]]="",Prueba[[#This Row],[Puesto6]]=""),"?",Prueba[[#This Row],[Puesto6]]))</f>
        <v/>
      </c>
      <c r="Q219" s="31"/>
      <c r="R219" s="32"/>
      <c r="S219" s="14"/>
      <c r="T219" s="14"/>
      <c r="U219" s="31"/>
      <c r="V219" s="32" t="s">
        <v>1663</v>
      </c>
      <c r="W219" s="19"/>
      <c r="X219" s="19" t="s">
        <v>1667</v>
      </c>
      <c r="Y219" s="19">
        <v>2</v>
      </c>
      <c r="Z219" s="19">
        <v>4</v>
      </c>
      <c r="AA219" s="19">
        <v>2</v>
      </c>
      <c r="AB219" s="19">
        <v>4</v>
      </c>
    </row>
    <row r="220" spans="1:28" s="18" customFormat="1">
      <c r="A220" s="18" t="s">
        <v>377</v>
      </c>
      <c r="B220" s="18" t="s">
        <v>9</v>
      </c>
      <c r="C220" s="18" t="s">
        <v>84</v>
      </c>
      <c r="D220" s="18" t="s">
        <v>378</v>
      </c>
      <c r="E220" s="19" t="s">
        <v>39</v>
      </c>
      <c r="F220" s="18" t="s">
        <v>13</v>
      </c>
      <c r="G220" s="29">
        <v>2</v>
      </c>
      <c r="H220" s="32" t="str">
        <f>IF(Prueba[[#This Row],[Cant.]]=0,"",IF(OR(Prueba[[#This Row],[Cant.2]]="",Prueba[[#This Row],[Puesto2]]=""),"?",Prueba[[#This Row],[Puesto2]]))</f>
        <v>C</v>
      </c>
      <c r="I220" s="31">
        <v>2</v>
      </c>
      <c r="J220" s="32" t="s">
        <v>1402</v>
      </c>
      <c r="K220" s="14"/>
      <c r="L220" s="14"/>
      <c r="M220" s="31"/>
      <c r="N220" s="32" t="str">
        <f>IF(Prueba[[#This Row],[Cant.4]]=0,"",IF(OR(Prueba[[#This Row],[Cant.6]]="",Prueba[[#This Row],[Puesto6]]=""),"?",Prueba[[#This Row],[Puesto6]]))</f>
        <v/>
      </c>
      <c r="O220" s="31"/>
      <c r="P220" s="32" t="str">
        <f>IF(Prueba[[#This Row],[Cant.5]]=0,"",IF(OR(Prueba[[#This Row],[Cant.6]]="",Prueba[[#This Row],[Puesto6]]=""),"?",Prueba[[#This Row],[Puesto6]]))</f>
        <v/>
      </c>
      <c r="Q220" s="31"/>
      <c r="R220" s="32"/>
      <c r="S220" s="14"/>
      <c r="T220" s="14"/>
      <c r="U220" s="31"/>
      <c r="V220" s="32" t="s">
        <v>1663</v>
      </c>
      <c r="W220" s="19"/>
      <c r="X220" s="19" t="s">
        <v>1667</v>
      </c>
      <c r="Y220" s="19">
        <v>2</v>
      </c>
      <c r="Z220" s="19" t="s">
        <v>1402</v>
      </c>
      <c r="AA220" s="19">
        <v>2</v>
      </c>
      <c r="AB220" s="19" t="s">
        <v>1402</v>
      </c>
    </row>
    <row r="221" spans="1:28" s="18" customFormat="1">
      <c r="A221" s="18" t="s">
        <v>379</v>
      </c>
      <c r="B221" s="18" t="s">
        <v>9</v>
      </c>
      <c r="C221" s="18" t="s">
        <v>84</v>
      </c>
      <c r="D221" s="18" t="s">
        <v>380</v>
      </c>
      <c r="E221" s="19" t="s">
        <v>39</v>
      </c>
      <c r="F221" s="18" t="s">
        <v>13</v>
      </c>
      <c r="G221" s="29">
        <v>1</v>
      </c>
      <c r="H221" s="32">
        <f>IF(Prueba[[#This Row],[Cant.]]=0,"",IF(OR(Prueba[[#This Row],[Cant.2]]="",Prueba[[#This Row],[Puesto2]]=""),"?",Prueba[[#This Row],[Puesto2]]))</f>
        <v>3</v>
      </c>
      <c r="I221" s="31">
        <v>1</v>
      </c>
      <c r="J221" s="32">
        <v>3</v>
      </c>
      <c r="K221" s="14"/>
      <c r="L221" s="14"/>
      <c r="M221" s="31"/>
      <c r="N221" s="32" t="str">
        <f>IF(Prueba[[#This Row],[Cant.4]]=0,"",IF(OR(Prueba[[#This Row],[Cant.6]]="",Prueba[[#This Row],[Puesto6]]=""),"?",Prueba[[#This Row],[Puesto6]]))</f>
        <v/>
      </c>
      <c r="O221" s="31"/>
      <c r="P221" s="32" t="str">
        <f>IF(Prueba[[#This Row],[Cant.5]]=0,"",IF(OR(Prueba[[#This Row],[Cant.6]]="",Prueba[[#This Row],[Puesto6]]=""),"?",Prueba[[#This Row],[Puesto6]]))</f>
        <v/>
      </c>
      <c r="Q221" s="31"/>
      <c r="R221" s="32"/>
      <c r="S221" s="14"/>
      <c r="T221" s="14"/>
      <c r="U221" s="31"/>
      <c r="V221" s="32" t="s">
        <v>1663</v>
      </c>
      <c r="W221" s="19"/>
      <c r="X221" s="19" t="s">
        <v>1667</v>
      </c>
      <c r="Y221" s="19">
        <v>1</v>
      </c>
      <c r="Z221" s="19">
        <v>3</v>
      </c>
      <c r="AA221" s="19">
        <v>1</v>
      </c>
      <c r="AB221" s="19">
        <v>3</v>
      </c>
    </row>
    <row r="222" spans="1:28" s="18" customFormat="1">
      <c r="A222" s="18" t="s">
        <v>381</v>
      </c>
      <c r="B222" s="18" t="s">
        <v>9</v>
      </c>
      <c r="C222" s="18" t="s">
        <v>382</v>
      </c>
      <c r="D222" s="18" t="s">
        <v>383</v>
      </c>
      <c r="E222" s="19" t="s">
        <v>18</v>
      </c>
      <c r="F222" s="18" t="s">
        <v>13</v>
      </c>
      <c r="G222" s="29">
        <v>4</v>
      </c>
      <c r="H222" s="32" t="str">
        <f>IF(Prueba[[#This Row],[Cant.]]=0,"",IF(OR(Prueba[[#This Row],[Cant.2]]="",Prueba[[#This Row],[Puesto2]]=""),"?",Prueba[[#This Row],[Puesto2]]))</f>
        <v>C</v>
      </c>
      <c r="I222" s="31">
        <v>4</v>
      </c>
      <c r="J222" s="32" t="s">
        <v>1402</v>
      </c>
      <c r="K222" s="14"/>
      <c r="L222" s="14"/>
      <c r="M222" s="31"/>
      <c r="N222" s="32" t="str">
        <f>IF(Prueba[[#This Row],[Cant.4]]=0,"",IF(OR(Prueba[[#This Row],[Cant.6]]="",Prueba[[#This Row],[Puesto6]]=""),"?",Prueba[[#This Row],[Puesto6]]))</f>
        <v/>
      </c>
      <c r="O222" s="31"/>
      <c r="P222" s="32" t="str">
        <f>IF(Prueba[[#This Row],[Cant.5]]=0,"",IF(OR(Prueba[[#This Row],[Cant.6]]="",Prueba[[#This Row],[Puesto6]]=""),"?",Prueba[[#This Row],[Puesto6]]))</f>
        <v/>
      </c>
      <c r="Q222" s="31"/>
      <c r="R222" s="32"/>
      <c r="S222" s="14"/>
      <c r="T222" s="14"/>
      <c r="U222" s="31"/>
      <c r="V222" s="32" t="s">
        <v>1663</v>
      </c>
      <c r="W222" s="19"/>
      <c r="X222" s="19" t="s">
        <v>1667</v>
      </c>
      <c r="Y222" s="19">
        <v>4</v>
      </c>
      <c r="Z222" s="19" t="s">
        <v>1402</v>
      </c>
      <c r="AA222" s="19">
        <v>4</v>
      </c>
      <c r="AB222" s="19" t="s">
        <v>1402</v>
      </c>
    </row>
    <row r="223" spans="1:28" s="18" customFormat="1">
      <c r="A223" s="18" t="s">
        <v>384</v>
      </c>
      <c r="B223" s="18" t="s">
        <v>9</v>
      </c>
      <c r="C223" s="18" t="s">
        <v>385</v>
      </c>
      <c r="D223" s="18" t="s">
        <v>386</v>
      </c>
      <c r="E223" s="19" t="s">
        <v>22</v>
      </c>
      <c r="F223" s="18" t="s">
        <v>13</v>
      </c>
      <c r="G223" s="29">
        <v>4</v>
      </c>
      <c r="H223" s="32">
        <f>IF(Prueba[[#This Row],[Cant.]]=0,"",IF(OR(Prueba[[#This Row],[Cant.2]]="",Prueba[[#This Row],[Puesto2]]=""),"?",Prueba[[#This Row],[Puesto2]]))</f>
        <v>4</v>
      </c>
      <c r="I223" s="31">
        <v>4</v>
      </c>
      <c r="J223" s="32">
        <v>4</v>
      </c>
      <c r="K223" s="14"/>
      <c r="L223" s="14"/>
      <c r="M223" s="31"/>
      <c r="N223" s="32" t="str">
        <f>IF(Prueba[[#This Row],[Cant.4]]=0,"",IF(OR(Prueba[[#This Row],[Cant.6]]="",Prueba[[#This Row],[Puesto6]]=""),"?",Prueba[[#This Row],[Puesto6]]))</f>
        <v/>
      </c>
      <c r="O223" s="31"/>
      <c r="P223" s="32" t="str">
        <f>IF(Prueba[[#This Row],[Cant.5]]=0,"",IF(OR(Prueba[[#This Row],[Cant.6]]="",Prueba[[#This Row],[Puesto6]]=""),"?",Prueba[[#This Row],[Puesto6]]))</f>
        <v/>
      </c>
      <c r="Q223" s="31"/>
      <c r="R223" s="32"/>
      <c r="S223" s="14"/>
      <c r="T223" s="14"/>
      <c r="U223" s="31"/>
      <c r="V223" s="32" t="s">
        <v>1663</v>
      </c>
      <c r="W223" s="19">
        <v>32</v>
      </c>
      <c r="X223" s="19" t="s">
        <v>1664</v>
      </c>
      <c r="Y223" s="19">
        <v>5</v>
      </c>
      <c r="Z223" s="19">
        <v>4</v>
      </c>
      <c r="AA223" s="19">
        <v>5</v>
      </c>
      <c r="AB223" s="19">
        <v>4</v>
      </c>
    </row>
    <row r="224" spans="1:28" s="18" customFormat="1">
      <c r="A224" s="18" t="s">
        <v>387</v>
      </c>
      <c r="B224" s="18" t="s">
        <v>9</v>
      </c>
      <c r="C224" s="18" t="s">
        <v>388</v>
      </c>
      <c r="D224" s="18" t="s">
        <v>389</v>
      </c>
      <c r="E224" s="19" t="s">
        <v>39</v>
      </c>
      <c r="F224" s="18" t="s">
        <v>13</v>
      </c>
      <c r="G224" s="29">
        <v>1</v>
      </c>
      <c r="H224" s="32">
        <f>IF(Prueba[[#This Row],[Cant.]]=0,"",IF(OR(Prueba[[#This Row],[Cant.2]]="",Prueba[[#This Row],[Puesto2]]=""),"?",Prueba[[#This Row],[Puesto2]]))</f>
        <v>4</v>
      </c>
      <c r="I224" s="31">
        <v>1</v>
      </c>
      <c r="J224" s="32">
        <v>4</v>
      </c>
      <c r="K224" s="14"/>
      <c r="L224" s="14"/>
      <c r="M224" s="31"/>
      <c r="N224" s="32" t="str">
        <f>IF(Prueba[[#This Row],[Cant.4]]=0,"",IF(OR(Prueba[[#This Row],[Cant.6]]="",Prueba[[#This Row],[Puesto6]]=""),"?",Prueba[[#This Row],[Puesto6]]))</f>
        <v/>
      </c>
      <c r="O224" s="31"/>
      <c r="P224" s="32" t="str">
        <f>IF(Prueba[[#This Row],[Cant.5]]=0,"",IF(OR(Prueba[[#This Row],[Cant.6]]="",Prueba[[#This Row],[Puesto6]]=""),"?",Prueba[[#This Row],[Puesto6]]))</f>
        <v/>
      </c>
      <c r="Q224" s="31"/>
      <c r="R224" s="32"/>
      <c r="S224" s="14"/>
      <c r="T224" s="14"/>
      <c r="U224" s="31"/>
      <c r="V224" s="32" t="s">
        <v>1663</v>
      </c>
      <c r="W224" s="19"/>
      <c r="X224" s="19" t="s">
        <v>1667</v>
      </c>
      <c r="Y224" s="19">
        <v>1</v>
      </c>
      <c r="Z224" s="19">
        <v>4</v>
      </c>
      <c r="AA224" s="19">
        <v>1</v>
      </c>
      <c r="AB224" s="19">
        <v>4</v>
      </c>
    </row>
    <row r="225" spans="1:28" s="18" customFormat="1">
      <c r="A225" s="18" t="s">
        <v>390</v>
      </c>
      <c r="B225" s="18" t="s">
        <v>9</v>
      </c>
      <c r="C225" s="18" t="s">
        <v>388</v>
      </c>
      <c r="D225" s="18" t="s">
        <v>389</v>
      </c>
      <c r="E225" s="19" t="s">
        <v>39</v>
      </c>
      <c r="F225" s="18" t="s">
        <v>13</v>
      </c>
      <c r="G225" s="29">
        <v>1</v>
      </c>
      <c r="H225" s="32">
        <f>IF(Prueba[[#This Row],[Cant.]]=0,"",IF(OR(Prueba[[#This Row],[Cant.2]]="",Prueba[[#This Row],[Puesto2]]=""),"?",Prueba[[#This Row],[Puesto2]]))</f>
        <v>4</v>
      </c>
      <c r="I225" s="31">
        <v>1</v>
      </c>
      <c r="J225" s="32">
        <v>4</v>
      </c>
      <c r="K225" s="14"/>
      <c r="L225" s="14"/>
      <c r="M225" s="31"/>
      <c r="N225" s="32" t="str">
        <f>IF(Prueba[[#This Row],[Cant.4]]=0,"",IF(OR(Prueba[[#This Row],[Cant.6]]="",Prueba[[#This Row],[Puesto6]]=""),"?",Prueba[[#This Row],[Puesto6]]))</f>
        <v/>
      </c>
      <c r="O225" s="31"/>
      <c r="P225" s="32" t="str">
        <f>IF(Prueba[[#This Row],[Cant.5]]=0,"",IF(OR(Prueba[[#This Row],[Cant.6]]="",Prueba[[#This Row],[Puesto6]]=""),"?",Prueba[[#This Row],[Puesto6]]))</f>
        <v/>
      </c>
      <c r="Q225" s="31"/>
      <c r="R225" s="32"/>
      <c r="S225" s="14"/>
      <c r="T225" s="14"/>
      <c r="U225" s="31"/>
      <c r="V225" s="32" t="s">
        <v>1663</v>
      </c>
      <c r="W225" s="19"/>
      <c r="X225" s="19" t="s">
        <v>1667</v>
      </c>
      <c r="Y225" s="19">
        <v>1</v>
      </c>
      <c r="Z225" s="19">
        <v>4</v>
      </c>
      <c r="AA225" s="19">
        <v>1</v>
      </c>
      <c r="AB225" s="19">
        <v>4</v>
      </c>
    </row>
    <row r="226" spans="1:28" s="18" customFormat="1">
      <c r="A226" s="18" t="s">
        <v>391</v>
      </c>
      <c r="B226" s="18" t="s">
        <v>9</v>
      </c>
      <c r="C226" s="18" t="s">
        <v>161</v>
      </c>
      <c r="D226" s="18" t="s">
        <v>392</v>
      </c>
      <c r="E226" s="19" t="s">
        <v>12</v>
      </c>
      <c r="F226" s="18" t="s">
        <v>13</v>
      </c>
      <c r="G226" s="29">
        <v>2</v>
      </c>
      <c r="H226" s="32" t="str">
        <f>IF(Prueba[[#This Row],[Cant.]]=0,"",IF(OR(Prueba[[#This Row],[Cant.2]]="",Prueba[[#This Row],[Puesto2]]=""),"?",Prueba[[#This Row],[Puesto2]]))</f>
        <v>C</v>
      </c>
      <c r="I226" s="31">
        <v>2</v>
      </c>
      <c r="J226" s="32" t="s">
        <v>1402</v>
      </c>
      <c r="K226" s="14"/>
      <c r="L226" s="14"/>
      <c r="M226" s="31"/>
      <c r="N226" s="32" t="str">
        <f>IF(Prueba[[#This Row],[Cant.4]]=0,"",IF(OR(Prueba[[#This Row],[Cant.6]]="",Prueba[[#This Row],[Puesto6]]=""),"?",Prueba[[#This Row],[Puesto6]]))</f>
        <v/>
      </c>
      <c r="O226" s="31"/>
      <c r="P226" s="32" t="str">
        <f>IF(Prueba[[#This Row],[Cant.5]]=0,"",IF(OR(Prueba[[#This Row],[Cant.6]]="",Prueba[[#This Row],[Puesto6]]=""),"?",Prueba[[#This Row],[Puesto6]]))</f>
        <v/>
      </c>
      <c r="Q226" s="31"/>
      <c r="R226" s="32"/>
      <c r="S226" s="14"/>
      <c r="T226" s="14"/>
      <c r="U226" s="31"/>
      <c r="V226" s="32" t="s">
        <v>1663</v>
      </c>
      <c r="W226" s="19"/>
      <c r="X226" s="19" t="s">
        <v>1667</v>
      </c>
      <c r="Y226" s="19">
        <v>2</v>
      </c>
      <c r="Z226" s="19" t="s">
        <v>1402</v>
      </c>
      <c r="AA226" s="19">
        <v>2</v>
      </c>
      <c r="AB226" s="19" t="s">
        <v>1402</v>
      </c>
    </row>
    <row r="227" spans="1:28" s="18" customFormat="1">
      <c r="A227" s="18" t="s">
        <v>393</v>
      </c>
      <c r="B227" s="18" t="s">
        <v>9</v>
      </c>
      <c r="C227" s="18" t="s">
        <v>394</v>
      </c>
      <c r="D227" s="18" t="s">
        <v>395</v>
      </c>
      <c r="E227" s="19" t="s">
        <v>39</v>
      </c>
      <c r="F227" s="18" t="s">
        <v>13</v>
      </c>
      <c r="G227" s="29">
        <v>2</v>
      </c>
      <c r="H227" s="32" t="str">
        <f>IF(Prueba[[#This Row],[Cant.]]=0,"",IF(OR(Prueba[[#This Row],[Cant.2]]="",Prueba[[#This Row],[Puesto2]]=""),"?",Prueba[[#This Row],[Puesto2]]))</f>
        <v>C</v>
      </c>
      <c r="I227" s="31">
        <v>2</v>
      </c>
      <c r="J227" s="32" t="s">
        <v>1402</v>
      </c>
      <c r="K227" s="14"/>
      <c r="L227" s="14"/>
      <c r="M227" s="31"/>
      <c r="N227" s="32" t="str">
        <f>IF(Prueba[[#This Row],[Cant.4]]=0,"",IF(OR(Prueba[[#This Row],[Cant.6]]="",Prueba[[#This Row],[Puesto6]]=""),"?",Prueba[[#This Row],[Puesto6]]))</f>
        <v/>
      </c>
      <c r="O227" s="31"/>
      <c r="P227" s="32" t="str">
        <f>IF(Prueba[[#This Row],[Cant.5]]=0,"",IF(OR(Prueba[[#This Row],[Cant.6]]="",Prueba[[#This Row],[Puesto6]]=""),"?",Prueba[[#This Row],[Puesto6]]))</f>
        <v/>
      </c>
      <c r="Q227" s="31"/>
      <c r="R227" s="32"/>
      <c r="S227" s="14"/>
      <c r="T227" s="14"/>
      <c r="U227" s="31"/>
      <c r="V227" s="32" t="s">
        <v>1663</v>
      </c>
      <c r="W227" s="19"/>
      <c r="X227" s="19" t="s">
        <v>1667</v>
      </c>
      <c r="Y227" s="19">
        <v>2</v>
      </c>
      <c r="Z227" s="19" t="s">
        <v>1402</v>
      </c>
      <c r="AA227" s="19">
        <v>2</v>
      </c>
      <c r="AB227" s="19" t="s">
        <v>1402</v>
      </c>
    </row>
    <row r="228" spans="1:28" s="18" customFormat="1">
      <c r="A228" s="18" t="s">
        <v>396</v>
      </c>
      <c r="B228" s="18" t="s">
        <v>9</v>
      </c>
      <c r="C228" s="18" t="s">
        <v>397</v>
      </c>
      <c r="D228" s="18" t="s">
        <v>398</v>
      </c>
      <c r="E228" s="19" t="s">
        <v>39</v>
      </c>
      <c r="F228" s="18" t="s">
        <v>13</v>
      </c>
      <c r="G228" s="29">
        <v>1</v>
      </c>
      <c r="H228" s="32">
        <f>IF(Prueba[[#This Row],[Cant.]]=0,"",IF(OR(Prueba[[#This Row],[Cant.2]]="",Prueba[[#This Row],[Puesto2]]=""),"?",Prueba[[#This Row],[Puesto2]]))</f>
        <v>0</v>
      </c>
      <c r="I228" s="31">
        <v>1</v>
      </c>
      <c r="J228" s="32">
        <v>0</v>
      </c>
      <c r="K228" s="14"/>
      <c r="L228" s="14"/>
      <c r="M228" s="31"/>
      <c r="N228" s="32" t="str">
        <f>IF(Prueba[[#This Row],[Cant.4]]=0,"",IF(OR(Prueba[[#This Row],[Cant.6]]="",Prueba[[#This Row],[Puesto6]]=""),"?",Prueba[[#This Row],[Puesto6]]))</f>
        <v/>
      </c>
      <c r="O228" s="31"/>
      <c r="P228" s="32" t="str">
        <f>IF(Prueba[[#This Row],[Cant.5]]=0,"",IF(OR(Prueba[[#This Row],[Cant.6]]="",Prueba[[#This Row],[Puesto6]]=""),"?",Prueba[[#This Row],[Puesto6]]))</f>
        <v/>
      </c>
      <c r="Q228" s="31"/>
      <c r="R228" s="32"/>
      <c r="S228" s="14"/>
      <c r="T228" s="14"/>
      <c r="U228" s="31"/>
      <c r="V228" s="32" t="s">
        <v>1663</v>
      </c>
      <c r="W228" s="19"/>
      <c r="X228" s="19" t="s">
        <v>1667</v>
      </c>
      <c r="Y228" s="19">
        <v>1</v>
      </c>
      <c r="Z228" s="19">
        <v>0</v>
      </c>
      <c r="AA228" s="19">
        <v>1</v>
      </c>
      <c r="AB228" s="19">
        <v>0</v>
      </c>
    </row>
    <row r="229" spans="1:28" s="18" customFormat="1">
      <c r="A229" s="18" t="s">
        <v>1777</v>
      </c>
      <c r="C229" s="18" t="s">
        <v>1778</v>
      </c>
      <c r="D229" s="18" t="s">
        <v>1778</v>
      </c>
      <c r="E229" s="19" t="s">
        <v>12</v>
      </c>
      <c r="G229" s="29"/>
      <c r="H229" s="32" t="str">
        <f>IF(Prueba[[#This Row],[Cant.]]=0,"",IF(OR(Prueba[[#This Row],[Cant.2]]="",Prueba[[#This Row],[Puesto2]]=""),"?",Prueba[[#This Row],[Puesto2]]))</f>
        <v/>
      </c>
      <c r="I229" s="31"/>
      <c r="J229" s="32"/>
      <c r="K229" s="14"/>
      <c r="L229" s="14"/>
      <c r="M229" s="31"/>
      <c r="N229" s="32" t="str">
        <f>IF(Prueba[[#This Row],[Cant.4]]=0,"",IF(OR(Prueba[[#This Row],[Cant.6]]="",Prueba[[#This Row],[Puesto6]]=""),"?",Prueba[[#This Row],[Puesto6]]))</f>
        <v/>
      </c>
      <c r="O229" s="31"/>
      <c r="P229" s="32" t="str">
        <f>IF(Prueba[[#This Row],[Cant.5]]=0,"",IF(OR(Prueba[[#This Row],[Cant.6]]="",Prueba[[#This Row],[Puesto6]]=""),"?",Prueba[[#This Row],[Puesto6]]))</f>
        <v/>
      </c>
      <c r="Q229" s="31"/>
      <c r="R229" s="32"/>
      <c r="S229" s="14"/>
      <c r="T229" s="14"/>
      <c r="U229" s="31"/>
      <c r="V229" s="32" t="s">
        <v>1663</v>
      </c>
      <c r="X229" s="19" t="s">
        <v>1667</v>
      </c>
      <c r="Y229" s="19">
        <v>1</v>
      </c>
      <c r="Z229" s="19" t="s">
        <v>1402</v>
      </c>
      <c r="AA229" s="19">
        <v>1</v>
      </c>
      <c r="AB229" s="19" t="s">
        <v>1402</v>
      </c>
    </row>
    <row r="230" spans="1:28" s="18" customFormat="1">
      <c r="A230" s="18" t="s">
        <v>399</v>
      </c>
      <c r="B230" s="18" t="s">
        <v>9</v>
      </c>
      <c r="C230" s="18" t="s">
        <v>41</v>
      </c>
      <c r="D230" s="18" t="s">
        <v>400</v>
      </c>
      <c r="E230" s="19" t="s">
        <v>39</v>
      </c>
      <c r="F230" s="18" t="s">
        <v>13</v>
      </c>
      <c r="G230" s="29">
        <v>1</v>
      </c>
      <c r="H230" s="32">
        <f>IF(Prueba[[#This Row],[Cant.]]=0,"",IF(OR(Prueba[[#This Row],[Cant.2]]="",Prueba[[#This Row],[Puesto2]]=""),"?",Prueba[[#This Row],[Puesto2]]))</f>
        <v>0</v>
      </c>
      <c r="I230" s="31">
        <v>1</v>
      </c>
      <c r="J230" s="32">
        <v>0</v>
      </c>
      <c r="K230" s="14"/>
      <c r="L230" s="14"/>
      <c r="M230" s="31"/>
      <c r="N230" s="32" t="str">
        <f>IF(Prueba[[#This Row],[Cant.4]]=0,"",IF(OR(Prueba[[#This Row],[Cant.6]]="",Prueba[[#This Row],[Puesto6]]=""),"?",Prueba[[#This Row],[Puesto6]]))</f>
        <v/>
      </c>
      <c r="O230" s="31"/>
      <c r="P230" s="32" t="str">
        <f>IF(Prueba[[#This Row],[Cant.5]]=0,"",IF(OR(Prueba[[#This Row],[Cant.6]]="",Prueba[[#This Row],[Puesto6]]=""),"?",Prueba[[#This Row],[Puesto6]]))</f>
        <v/>
      </c>
      <c r="Q230" s="31"/>
      <c r="R230" s="32"/>
      <c r="S230" s="14"/>
      <c r="T230" s="14"/>
      <c r="U230" s="31"/>
      <c r="V230" s="32" t="s">
        <v>1663</v>
      </c>
      <c r="W230" s="19"/>
      <c r="X230" s="19" t="s">
        <v>1667</v>
      </c>
      <c r="Y230" s="19">
        <v>1</v>
      </c>
      <c r="Z230" s="19">
        <v>0</v>
      </c>
      <c r="AA230" s="19">
        <v>1</v>
      </c>
      <c r="AB230" s="19">
        <v>0</v>
      </c>
    </row>
    <row r="231" spans="1:28" s="18" customFormat="1">
      <c r="A231" s="18" t="s">
        <v>1779</v>
      </c>
      <c r="C231" s="18" t="s">
        <v>1780</v>
      </c>
      <c r="D231" s="18" t="s">
        <v>1780</v>
      </c>
      <c r="E231" s="19" t="s">
        <v>18</v>
      </c>
      <c r="G231" s="29"/>
      <c r="H231" s="32" t="str">
        <f>IF(Prueba[[#This Row],[Cant.]]=0,"",IF(OR(Prueba[[#This Row],[Cant.2]]="",Prueba[[#This Row],[Puesto2]]=""),"?",Prueba[[#This Row],[Puesto2]]))</f>
        <v/>
      </c>
      <c r="I231" s="31"/>
      <c r="J231" s="32"/>
      <c r="K231" s="14"/>
      <c r="L231" s="14"/>
      <c r="M231" s="31"/>
      <c r="N231" s="32" t="str">
        <f>IF(Prueba[[#This Row],[Cant.4]]=0,"",IF(OR(Prueba[[#This Row],[Cant.6]]="",Prueba[[#This Row],[Puesto6]]=""),"?",Prueba[[#This Row],[Puesto6]]))</f>
        <v/>
      </c>
      <c r="O231" s="31"/>
      <c r="P231" s="32" t="str">
        <f>IF(Prueba[[#This Row],[Cant.5]]=0,"",IF(OR(Prueba[[#This Row],[Cant.6]]="",Prueba[[#This Row],[Puesto6]]=""),"?",Prueba[[#This Row],[Puesto6]]))</f>
        <v/>
      </c>
      <c r="Q231" s="31"/>
      <c r="R231" s="32"/>
      <c r="S231" s="14"/>
      <c r="T231" s="14"/>
      <c r="U231" s="31"/>
      <c r="V231" s="32" t="s">
        <v>1663</v>
      </c>
      <c r="X231" s="19" t="s">
        <v>1667</v>
      </c>
      <c r="Y231" s="19">
        <v>1</v>
      </c>
      <c r="Z231" s="19">
        <v>0</v>
      </c>
      <c r="AA231" s="19">
        <v>1</v>
      </c>
      <c r="AB231" s="19">
        <v>0</v>
      </c>
    </row>
    <row r="232" spans="1:28" s="18" customFormat="1">
      <c r="A232" s="18" t="s">
        <v>401</v>
      </c>
      <c r="B232" s="18" t="s">
        <v>9</v>
      </c>
      <c r="C232" s="18" t="s">
        <v>402</v>
      </c>
      <c r="D232" s="18" t="s">
        <v>403</v>
      </c>
      <c r="E232" s="19" t="s">
        <v>18</v>
      </c>
      <c r="F232" s="18" t="s">
        <v>13</v>
      </c>
      <c r="G232" s="29">
        <v>1</v>
      </c>
      <c r="H232" s="32">
        <f>IF(Prueba[[#This Row],[Cant.]]=0,"",IF(OR(Prueba[[#This Row],[Cant.2]]="",Prueba[[#This Row],[Puesto2]]=""),"?",Prueba[[#This Row],[Puesto2]]))</f>
        <v>0</v>
      </c>
      <c r="I232" s="31">
        <v>1</v>
      </c>
      <c r="J232" s="32">
        <v>0</v>
      </c>
      <c r="K232" s="14"/>
      <c r="L232" s="14"/>
      <c r="M232" s="31"/>
      <c r="N232" s="32" t="str">
        <f>IF(Prueba[[#This Row],[Cant.4]]=0,"",IF(OR(Prueba[[#This Row],[Cant.6]]="",Prueba[[#This Row],[Puesto6]]=""),"?",Prueba[[#This Row],[Puesto6]]))</f>
        <v/>
      </c>
      <c r="O232" s="31"/>
      <c r="P232" s="32" t="str">
        <f>IF(Prueba[[#This Row],[Cant.5]]=0,"",IF(OR(Prueba[[#This Row],[Cant.6]]="",Prueba[[#This Row],[Puesto6]]=""),"?",Prueba[[#This Row],[Puesto6]]))</f>
        <v/>
      </c>
      <c r="Q232" s="31"/>
      <c r="R232" s="32"/>
      <c r="S232" s="14"/>
      <c r="T232" s="14"/>
      <c r="U232" s="31"/>
      <c r="V232" s="32" t="s">
        <v>1663</v>
      </c>
      <c r="W232" s="19"/>
      <c r="X232" s="19" t="s">
        <v>1667</v>
      </c>
      <c r="Y232" s="19">
        <v>1</v>
      </c>
      <c r="Z232" s="19">
        <v>0</v>
      </c>
      <c r="AA232" s="19">
        <v>1</v>
      </c>
      <c r="AB232" s="19">
        <v>0</v>
      </c>
    </row>
    <row r="233" spans="1:28" s="18" customFormat="1">
      <c r="A233" s="18" t="s">
        <v>404</v>
      </c>
      <c r="B233" s="18" t="s">
        <v>9</v>
      </c>
      <c r="C233" s="18" t="s">
        <v>84</v>
      </c>
      <c r="D233" s="18" t="s">
        <v>405</v>
      </c>
      <c r="E233" s="19" t="s">
        <v>12</v>
      </c>
      <c r="F233" s="18" t="s">
        <v>13</v>
      </c>
      <c r="G233" s="29">
        <v>1</v>
      </c>
      <c r="H233" s="32">
        <f>IF(Prueba[[#This Row],[Cant.]]=0,"",IF(OR(Prueba[[#This Row],[Cant.2]]="",Prueba[[#This Row],[Puesto2]]=""),"?",Prueba[[#This Row],[Puesto2]]))</f>
        <v>6</v>
      </c>
      <c r="I233" s="31">
        <v>1</v>
      </c>
      <c r="J233" s="32">
        <v>6</v>
      </c>
      <c r="K233" s="14"/>
      <c r="L233" s="14"/>
      <c r="M233" s="31"/>
      <c r="N233" s="32" t="str">
        <f>IF(Prueba[[#This Row],[Cant.4]]=0,"",IF(OR(Prueba[[#This Row],[Cant.6]]="",Prueba[[#This Row],[Puesto6]]=""),"?",Prueba[[#This Row],[Puesto6]]))</f>
        <v/>
      </c>
      <c r="O233" s="31"/>
      <c r="P233" s="32" t="str">
        <f>IF(Prueba[[#This Row],[Cant.5]]=0,"",IF(OR(Prueba[[#This Row],[Cant.6]]="",Prueba[[#This Row],[Puesto6]]=""),"?",Prueba[[#This Row],[Puesto6]]))</f>
        <v/>
      </c>
      <c r="Q233" s="31"/>
      <c r="R233" s="32"/>
      <c r="S233" s="14"/>
      <c r="T233" s="14"/>
      <c r="U233" s="31"/>
      <c r="V233" s="32" t="s">
        <v>1663</v>
      </c>
      <c r="W233" s="19"/>
      <c r="X233" s="19" t="s">
        <v>1667</v>
      </c>
      <c r="Y233" s="19">
        <v>1</v>
      </c>
      <c r="Z233" s="19">
        <v>6</v>
      </c>
      <c r="AA233" s="19">
        <v>1</v>
      </c>
      <c r="AB233" s="19">
        <v>6</v>
      </c>
    </row>
    <row r="234" spans="1:28" s="18" customFormat="1">
      <c r="A234" s="18" t="s">
        <v>406</v>
      </c>
      <c r="B234" s="18" t="s">
        <v>9</v>
      </c>
      <c r="C234" s="18" t="s">
        <v>84</v>
      </c>
      <c r="D234" s="18" t="s">
        <v>407</v>
      </c>
      <c r="E234" s="19" t="s">
        <v>18</v>
      </c>
      <c r="F234" s="18" t="s">
        <v>13</v>
      </c>
      <c r="G234" s="29">
        <v>1</v>
      </c>
      <c r="H234" s="32">
        <f>IF(Prueba[[#This Row],[Cant.]]=0,"",IF(OR(Prueba[[#This Row],[Cant.2]]="",Prueba[[#This Row],[Puesto2]]=""),"?",Prueba[[#This Row],[Puesto2]]))</f>
        <v>0</v>
      </c>
      <c r="I234" s="31">
        <v>1</v>
      </c>
      <c r="J234" s="32">
        <v>0</v>
      </c>
      <c r="K234" s="14"/>
      <c r="L234" s="14"/>
      <c r="M234" s="31"/>
      <c r="N234" s="32" t="str">
        <f>IF(Prueba[[#This Row],[Cant.4]]=0,"",IF(OR(Prueba[[#This Row],[Cant.6]]="",Prueba[[#This Row],[Puesto6]]=""),"?",Prueba[[#This Row],[Puesto6]]))</f>
        <v/>
      </c>
      <c r="O234" s="31"/>
      <c r="P234" s="32" t="str">
        <f>IF(Prueba[[#This Row],[Cant.5]]=0,"",IF(OR(Prueba[[#This Row],[Cant.6]]="",Prueba[[#This Row],[Puesto6]]=""),"?",Prueba[[#This Row],[Puesto6]]))</f>
        <v/>
      </c>
      <c r="Q234" s="31"/>
      <c r="R234" s="32"/>
      <c r="S234" s="14"/>
      <c r="T234" s="14"/>
      <c r="U234" s="31"/>
      <c r="V234" s="32" t="s">
        <v>1663</v>
      </c>
      <c r="W234" s="19"/>
      <c r="X234" s="19" t="s">
        <v>1667</v>
      </c>
      <c r="Y234" s="19">
        <v>1</v>
      </c>
      <c r="Z234" s="19">
        <v>0</v>
      </c>
      <c r="AA234" s="19">
        <v>1</v>
      </c>
      <c r="AB234" s="19">
        <v>0</v>
      </c>
    </row>
    <row r="235" spans="1:28" s="18" customFormat="1">
      <c r="A235" s="18" t="s">
        <v>408</v>
      </c>
      <c r="B235" s="18" t="s">
        <v>9</v>
      </c>
      <c r="C235" s="18" t="s">
        <v>409</v>
      </c>
      <c r="D235" s="18" t="s">
        <v>410</v>
      </c>
      <c r="E235" s="19" t="s">
        <v>22</v>
      </c>
      <c r="F235" s="18" t="s">
        <v>13</v>
      </c>
      <c r="G235" s="29">
        <v>1</v>
      </c>
      <c r="H235" s="32">
        <f>IF(Prueba[[#This Row],[Cant.]]=0,"",IF(OR(Prueba[[#This Row],[Cant.2]]="",Prueba[[#This Row],[Puesto2]]=""),"?",Prueba[[#This Row],[Puesto2]]))</f>
        <v>6</v>
      </c>
      <c r="I235" s="31">
        <v>1</v>
      </c>
      <c r="J235" s="32">
        <v>6</v>
      </c>
      <c r="K235" s="14"/>
      <c r="L235" s="14"/>
      <c r="M235" s="31"/>
      <c r="N235" s="32" t="str">
        <f>IF(Prueba[[#This Row],[Cant.4]]=0,"",IF(OR(Prueba[[#This Row],[Cant.6]]="",Prueba[[#This Row],[Puesto6]]=""),"?",Prueba[[#This Row],[Puesto6]]))</f>
        <v/>
      </c>
      <c r="O235" s="31"/>
      <c r="P235" s="32" t="str">
        <f>IF(Prueba[[#This Row],[Cant.5]]=0,"",IF(OR(Prueba[[#This Row],[Cant.6]]="",Prueba[[#This Row],[Puesto6]]=""),"?",Prueba[[#This Row],[Puesto6]]))</f>
        <v/>
      </c>
      <c r="Q235" s="31"/>
      <c r="R235" s="32"/>
      <c r="S235" s="14"/>
      <c r="T235" s="14"/>
      <c r="U235" s="31"/>
      <c r="V235" s="32" t="s">
        <v>1663</v>
      </c>
      <c r="W235" s="19">
        <v>8</v>
      </c>
      <c r="X235" s="19" t="s">
        <v>1664</v>
      </c>
      <c r="Y235" s="19">
        <v>2</v>
      </c>
      <c r="Z235" s="19">
        <v>6</v>
      </c>
      <c r="AA235" s="19">
        <v>2</v>
      </c>
      <c r="AB235" s="19">
        <v>6</v>
      </c>
    </row>
    <row r="236" spans="1:28" s="18" customFormat="1">
      <c r="A236" s="18" t="s">
        <v>411</v>
      </c>
      <c r="B236" s="18" t="s">
        <v>9</v>
      </c>
      <c r="C236" s="18" t="s">
        <v>41</v>
      </c>
      <c r="D236" s="18" t="s">
        <v>405</v>
      </c>
      <c r="E236" s="19" t="s">
        <v>12</v>
      </c>
      <c r="F236" s="18" t="s">
        <v>13</v>
      </c>
      <c r="G236" s="29">
        <v>1</v>
      </c>
      <c r="H236" s="32">
        <f>IF(Prueba[[#This Row],[Cant.]]=0,"",IF(OR(Prueba[[#This Row],[Cant.2]]="",Prueba[[#This Row],[Puesto2]]=""),"?",Prueba[[#This Row],[Puesto2]]))</f>
        <v>0</v>
      </c>
      <c r="I236" s="31">
        <v>1</v>
      </c>
      <c r="J236" s="32">
        <v>0</v>
      </c>
      <c r="K236" s="14"/>
      <c r="L236" s="14"/>
      <c r="M236" s="31"/>
      <c r="N236" s="32" t="str">
        <f>IF(Prueba[[#This Row],[Cant.4]]=0,"",IF(OR(Prueba[[#This Row],[Cant.6]]="",Prueba[[#This Row],[Puesto6]]=""),"?",Prueba[[#This Row],[Puesto6]]))</f>
        <v/>
      </c>
      <c r="O236" s="31"/>
      <c r="P236" s="32" t="str">
        <f>IF(Prueba[[#This Row],[Cant.5]]=0,"",IF(OR(Prueba[[#This Row],[Cant.6]]="",Prueba[[#This Row],[Puesto6]]=""),"?",Prueba[[#This Row],[Puesto6]]))</f>
        <v/>
      </c>
      <c r="Q236" s="31"/>
      <c r="R236" s="32"/>
      <c r="S236" s="14"/>
      <c r="T236" s="14"/>
      <c r="U236" s="31"/>
      <c r="V236" s="32" t="s">
        <v>1663</v>
      </c>
      <c r="W236" s="19"/>
      <c r="X236" s="19" t="s">
        <v>1667</v>
      </c>
      <c r="Y236" s="19">
        <v>1</v>
      </c>
      <c r="Z236" s="19">
        <v>0</v>
      </c>
      <c r="AA236" s="19">
        <v>1</v>
      </c>
      <c r="AB236" s="19">
        <v>0</v>
      </c>
    </row>
    <row r="237" spans="1:28" s="18" customFormat="1">
      <c r="A237" s="18" t="s">
        <v>412</v>
      </c>
      <c r="B237" s="18" t="s">
        <v>9</v>
      </c>
      <c r="C237" s="18" t="s">
        <v>413</v>
      </c>
      <c r="D237" s="18" t="s">
        <v>414</v>
      </c>
      <c r="E237" s="19" t="s">
        <v>39</v>
      </c>
      <c r="F237" s="18" t="s">
        <v>13</v>
      </c>
      <c r="G237" s="29">
        <v>1</v>
      </c>
      <c r="H237" s="32" t="str">
        <f>IF(Prueba[[#This Row],[Cant.]]=0,"",IF(OR(Prueba[[#This Row],[Cant.2]]="",Prueba[[#This Row],[Puesto2]]=""),"?",Prueba[[#This Row],[Puesto2]]))</f>
        <v>D</v>
      </c>
      <c r="I237" s="31">
        <v>1</v>
      </c>
      <c r="J237" s="32" t="s">
        <v>1399</v>
      </c>
      <c r="K237" s="14"/>
      <c r="L237" s="14"/>
      <c r="M237" s="31"/>
      <c r="N237" s="32" t="str">
        <f>IF(Prueba[[#This Row],[Cant.4]]=0,"",IF(OR(Prueba[[#This Row],[Cant.6]]="",Prueba[[#This Row],[Puesto6]]=""),"?",Prueba[[#This Row],[Puesto6]]))</f>
        <v/>
      </c>
      <c r="O237" s="31"/>
      <c r="P237" s="32" t="str">
        <f>IF(Prueba[[#This Row],[Cant.5]]=0,"",IF(OR(Prueba[[#This Row],[Cant.6]]="",Prueba[[#This Row],[Puesto6]]=""),"?",Prueba[[#This Row],[Puesto6]]))</f>
        <v/>
      </c>
      <c r="Q237" s="31"/>
      <c r="R237" s="32"/>
      <c r="S237" s="14"/>
      <c r="T237" s="14"/>
      <c r="U237" s="31"/>
      <c r="V237" s="32" t="s">
        <v>1663</v>
      </c>
      <c r="W237" s="19"/>
      <c r="X237" s="19" t="s">
        <v>1781</v>
      </c>
      <c r="Y237" s="19">
        <v>1</v>
      </c>
      <c r="Z237" s="19" t="s">
        <v>1399</v>
      </c>
      <c r="AA237" s="19">
        <v>1</v>
      </c>
      <c r="AB237" s="19" t="s">
        <v>1399</v>
      </c>
    </row>
    <row r="238" spans="1:28" s="18" customFormat="1">
      <c r="A238" s="18" t="s">
        <v>415</v>
      </c>
      <c r="B238" s="18" t="s">
        <v>9</v>
      </c>
      <c r="C238" s="18" t="s">
        <v>416</v>
      </c>
      <c r="D238" s="18" t="s">
        <v>417</v>
      </c>
      <c r="E238" s="19" t="s">
        <v>12</v>
      </c>
      <c r="F238" s="18" t="s">
        <v>13</v>
      </c>
      <c r="G238" s="29">
        <v>1</v>
      </c>
      <c r="H238" s="32">
        <f>IF(Prueba[[#This Row],[Cant.]]=0,"",IF(OR(Prueba[[#This Row],[Cant.2]]="",Prueba[[#This Row],[Puesto2]]=""),"?",Prueba[[#This Row],[Puesto2]]))</f>
        <v>6</v>
      </c>
      <c r="I238" s="31">
        <v>1</v>
      </c>
      <c r="J238" s="32">
        <v>6</v>
      </c>
      <c r="K238" s="14"/>
      <c r="L238" s="14"/>
      <c r="M238" s="31"/>
      <c r="N238" s="32" t="str">
        <f>IF(Prueba[[#This Row],[Cant.4]]=0,"",IF(OR(Prueba[[#This Row],[Cant.6]]="",Prueba[[#This Row],[Puesto6]]=""),"?",Prueba[[#This Row],[Puesto6]]))</f>
        <v/>
      </c>
      <c r="O238" s="31"/>
      <c r="P238" s="32" t="str">
        <f>IF(Prueba[[#This Row],[Cant.5]]=0,"",IF(OR(Prueba[[#This Row],[Cant.6]]="",Prueba[[#This Row],[Puesto6]]=""),"?",Prueba[[#This Row],[Puesto6]]))</f>
        <v/>
      </c>
      <c r="Q238" s="31"/>
      <c r="R238" s="32"/>
      <c r="S238" s="14"/>
      <c r="T238" s="14"/>
      <c r="U238" s="31"/>
      <c r="V238" s="32" t="s">
        <v>1663</v>
      </c>
      <c r="W238" s="19"/>
      <c r="X238" s="19" t="s">
        <v>1667</v>
      </c>
      <c r="Y238" s="19">
        <v>1</v>
      </c>
      <c r="Z238" s="19">
        <v>6</v>
      </c>
      <c r="AA238" s="19">
        <v>1</v>
      </c>
      <c r="AB238" s="19">
        <v>6</v>
      </c>
    </row>
    <row r="239" spans="1:28" s="18" customFormat="1">
      <c r="A239" s="18" t="s">
        <v>1782</v>
      </c>
      <c r="C239" s="18" t="s">
        <v>1783</v>
      </c>
      <c r="D239" s="18" t="s">
        <v>1783</v>
      </c>
      <c r="E239" s="19" t="s">
        <v>308</v>
      </c>
      <c r="G239" s="29"/>
      <c r="H239" s="32" t="str">
        <f>IF(Prueba[[#This Row],[Cant.]]=0,"",IF(OR(Prueba[[#This Row],[Cant.2]]="",Prueba[[#This Row],[Puesto2]]=""),"?",Prueba[[#This Row],[Puesto2]]))</f>
        <v/>
      </c>
      <c r="I239" s="31"/>
      <c r="J239" s="32"/>
      <c r="K239" s="14"/>
      <c r="L239" s="14"/>
      <c r="M239" s="31"/>
      <c r="N239" s="32" t="str">
        <f>IF(Prueba[[#This Row],[Cant.4]]=0,"",IF(OR(Prueba[[#This Row],[Cant.6]]="",Prueba[[#This Row],[Puesto6]]=""),"?",Prueba[[#This Row],[Puesto6]]))</f>
        <v/>
      </c>
      <c r="O239" s="31"/>
      <c r="P239" s="32" t="str">
        <f>IF(Prueba[[#This Row],[Cant.5]]=0,"",IF(OR(Prueba[[#This Row],[Cant.6]]="",Prueba[[#This Row],[Puesto6]]=""),"?",Prueba[[#This Row],[Puesto6]]))</f>
        <v/>
      </c>
      <c r="Q239" s="31"/>
      <c r="R239" s="32"/>
      <c r="S239" s="14"/>
      <c r="T239" s="14"/>
      <c r="U239" s="31"/>
      <c r="V239" s="32" t="s">
        <v>1663</v>
      </c>
      <c r="X239" s="19" t="s">
        <v>1667</v>
      </c>
      <c r="Y239" s="19">
        <v>1</v>
      </c>
      <c r="Z239" s="19" t="s">
        <v>1399</v>
      </c>
      <c r="AA239" s="19">
        <v>1</v>
      </c>
      <c r="AB239" s="19" t="s">
        <v>1399</v>
      </c>
    </row>
    <row r="240" spans="1:28" s="18" customFormat="1">
      <c r="A240" s="18" t="s">
        <v>418</v>
      </c>
      <c r="B240" s="18" t="s">
        <v>9</v>
      </c>
      <c r="C240" s="18" t="s">
        <v>419</v>
      </c>
      <c r="D240" s="18" t="s">
        <v>420</v>
      </c>
      <c r="E240" s="19" t="s">
        <v>308</v>
      </c>
      <c r="F240" s="18" t="s">
        <v>13</v>
      </c>
      <c r="G240" s="29">
        <v>1</v>
      </c>
      <c r="H240" s="32" t="str">
        <f>IF(Prueba[[#This Row],[Cant.]]=0,"",IF(OR(Prueba[[#This Row],[Cant.2]]="",Prueba[[#This Row],[Puesto2]]=""),"?",Prueba[[#This Row],[Puesto2]]))</f>
        <v>D</v>
      </c>
      <c r="I240" s="31">
        <v>1</v>
      </c>
      <c r="J240" s="32" t="s">
        <v>1399</v>
      </c>
      <c r="K240" s="14"/>
      <c r="L240" s="14"/>
      <c r="M240" s="31"/>
      <c r="N240" s="32" t="str">
        <f>IF(Prueba[[#This Row],[Cant.4]]=0,"",IF(OR(Prueba[[#This Row],[Cant.6]]="",Prueba[[#This Row],[Puesto6]]=""),"?",Prueba[[#This Row],[Puesto6]]))</f>
        <v/>
      </c>
      <c r="O240" s="31"/>
      <c r="P240" s="32" t="str">
        <f>IF(Prueba[[#This Row],[Cant.5]]=0,"",IF(OR(Prueba[[#This Row],[Cant.6]]="",Prueba[[#This Row],[Puesto6]]=""),"?",Prueba[[#This Row],[Puesto6]]))</f>
        <v/>
      </c>
      <c r="Q240" s="31"/>
      <c r="R240" s="32"/>
      <c r="S240" s="14"/>
      <c r="T240" s="14"/>
      <c r="U240" s="31"/>
      <c r="V240" s="32" t="s">
        <v>1663</v>
      </c>
      <c r="W240" s="19"/>
      <c r="X240" s="19" t="s">
        <v>1667</v>
      </c>
      <c r="Y240" s="19" t="s">
        <v>1663</v>
      </c>
      <c r="Z240" s="19" t="s">
        <v>1663</v>
      </c>
      <c r="AA240" s="19" t="s">
        <v>1663</v>
      </c>
      <c r="AB240" s="19" t="s">
        <v>1663</v>
      </c>
    </row>
    <row r="241" spans="1:28" s="18" customFormat="1">
      <c r="A241" s="18" t="s">
        <v>1784</v>
      </c>
      <c r="C241" s="18" t="s">
        <v>1783</v>
      </c>
      <c r="D241" s="18" t="s">
        <v>1783</v>
      </c>
      <c r="E241" s="19" t="s">
        <v>308</v>
      </c>
      <c r="G241" s="29"/>
      <c r="H241" s="32" t="str">
        <f>IF(Prueba[[#This Row],[Cant.]]=0,"",IF(OR(Prueba[[#This Row],[Cant.2]]="",Prueba[[#This Row],[Puesto2]]=""),"?",Prueba[[#This Row],[Puesto2]]))</f>
        <v/>
      </c>
      <c r="I241" s="31"/>
      <c r="J241" s="32"/>
      <c r="K241" s="14"/>
      <c r="L241" s="14"/>
      <c r="M241" s="31"/>
      <c r="N241" s="32" t="str">
        <f>IF(Prueba[[#This Row],[Cant.4]]=0,"",IF(OR(Prueba[[#This Row],[Cant.6]]="",Prueba[[#This Row],[Puesto6]]=""),"?",Prueba[[#This Row],[Puesto6]]))</f>
        <v/>
      </c>
      <c r="O241" s="31"/>
      <c r="P241" s="32" t="str">
        <f>IF(Prueba[[#This Row],[Cant.5]]=0,"",IF(OR(Prueba[[#This Row],[Cant.6]]="",Prueba[[#This Row],[Puesto6]]=""),"?",Prueba[[#This Row],[Puesto6]]))</f>
        <v/>
      </c>
      <c r="Q241" s="31"/>
      <c r="R241" s="32"/>
      <c r="S241" s="14"/>
      <c r="T241" s="14"/>
      <c r="U241" s="31"/>
      <c r="V241" s="32" t="s">
        <v>1663</v>
      </c>
      <c r="X241" s="19" t="s">
        <v>1667</v>
      </c>
      <c r="Y241" s="19">
        <v>1</v>
      </c>
      <c r="Z241" s="19" t="s">
        <v>1399</v>
      </c>
      <c r="AA241" s="19">
        <v>1</v>
      </c>
      <c r="AB241" s="19" t="s">
        <v>1399</v>
      </c>
    </row>
    <row r="242" spans="1:28" s="18" customFormat="1">
      <c r="A242" s="18" t="s">
        <v>421</v>
      </c>
      <c r="B242" s="18" t="s">
        <v>9</v>
      </c>
      <c r="C242" s="18" t="s">
        <v>419</v>
      </c>
      <c r="D242" s="18" t="s">
        <v>422</v>
      </c>
      <c r="E242" s="19" t="s">
        <v>308</v>
      </c>
      <c r="F242" s="18" t="s">
        <v>13</v>
      </c>
      <c r="G242" s="29">
        <v>1</v>
      </c>
      <c r="H242" s="32" t="str">
        <f>IF(Prueba[[#This Row],[Cant.]]=0,"",IF(OR(Prueba[[#This Row],[Cant.2]]="",Prueba[[#This Row],[Puesto2]]=""),"?",Prueba[[#This Row],[Puesto2]]))</f>
        <v>D</v>
      </c>
      <c r="I242" s="31">
        <v>1</v>
      </c>
      <c r="J242" s="32" t="s">
        <v>1399</v>
      </c>
      <c r="K242" s="14"/>
      <c r="L242" s="14"/>
      <c r="M242" s="31"/>
      <c r="N242" s="32" t="str">
        <f>IF(Prueba[[#This Row],[Cant.4]]=0,"",IF(OR(Prueba[[#This Row],[Cant.6]]="",Prueba[[#This Row],[Puesto6]]=""),"?",Prueba[[#This Row],[Puesto6]]))</f>
        <v/>
      </c>
      <c r="O242" s="31"/>
      <c r="P242" s="32" t="str">
        <f>IF(Prueba[[#This Row],[Cant.5]]=0,"",IF(OR(Prueba[[#This Row],[Cant.6]]="",Prueba[[#This Row],[Puesto6]]=""),"?",Prueba[[#This Row],[Puesto6]]))</f>
        <v/>
      </c>
      <c r="Q242" s="31"/>
      <c r="R242" s="32"/>
      <c r="S242" s="14"/>
      <c r="T242" s="14"/>
      <c r="U242" s="31"/>
      <c r="V242" s="32" t="s">
        <v>1663</v>
      </c>
      <c r="W242" s="19"/>
      <c r="X242" s="19" t="s">
        <v>1667</v>
      </c>
      <c r="Y242" s="19" t="s">
        <v>1663</v>
      </c>
      <c r="Z242" s="19" t="s">
        <v>1663</v>
      </c>
      <c r="AA242" s="19" t="s">
        <v>1663</v>
      </c>
      <c r="AB242" s="19" t="s">
        <v>1663</v>
      </c>
    </row>
    <row r="243" spans="1:28" s="18" customFormat="1">
      <c r="A243" s="18" t="s">
        <v>423</v>
      </c>
      <c r="B243" s="18" t="s">
        <v>9</v>
      </c>
      <c r="C243" s="18" t="s">
        <v>84</v>
      </c>
      <c r="D243" s="18" t="s">
        <v>424</v>
      </c>
      <c r="E243" s="19" t="s">
        <v>39</v>
      </c>
      <c r="F243" s="18" t="s">
        <v>13</v>
      </c>
      <c r="G243" s="29">
        <v>2</v>
      </c>
      <c r="H243" s="32">
        <f>IF(Prueba[[#This Row],[Cant.]]=0,"",IF(OR(Prueba[[#This Row],[Cant.2]]="",Prueba[[#This Row],[Puesto2]]=""),"?",Prueba[[#This Row],[Puesto2]]))</f>
        <v>0</v>
      </c>
      <c r="I243" s="31">
        <v>2</v>
      </c>
      <c r="J243" s="32">
        <v>0</v>
      </c>
      <c r="K243" s="14"/>
      <c r="L243" s="14"/>
      <c r="M243" s="31"/>
      <c r="N243" s="32" t="str">
        <f>IF(Prueba[[#This Row],[Cant.4]]=0,"",IF(OR(Prueba[[#This Row],[Cant.6]]="",Prueba[[#This Row],[Puesto6]]=""),"?",Prueba[[#This Row],[Puesto6]]))</f>
        <v/>
      </c>
      <c r="O243" s="31"/>
      <c r="P243" s="32" t="str">
        <f>IF(Prueba[[#This Row],[Cant.5]]=0,"",IF(OR(Prueba[[#This Row],[Cant.6]]="",Prueba[[#This Row],[Puesto6]]=""),"?",Prueba[[#This Row],[Puesto6]]))</f>
        <v/>
      </c>
      <c r="Q243" s="31"/>
      <c r="R243" s="32"/>
      <c r="S243" s="14"/>
      <c r="T243" s="14"/>
      <c r="U243" s="31"/>
      <c r="V243" s="32" t="s">
        <v>1663</v>
      </c>
      <c r="W243" s="19"/>
      <c r="X243" s="19" t="s">
        <v>1667</v>
      </c>
      <c r="Y243" s="19" t="s">
        <v>1663</v>
      </c>
      <c r="Z243" s="19" t="s">
        <v>1663</v>
      </c>
      <c r="AA243" s="19" t="s">
        <v>1663</v>
      </c>
      <c r="AB243" s="19" t="s">
        <v>1663</v>
      </c>
    </row>
    <row r="244" spans="1:28" s="18" customFormat="1">
      <c r="A244" s="18" t="s">
        <v>425</v>
      </c>
      <c r="B244" s="18" t="s">
        <v>9</v>
      </c>
      <c r="C244" s="18" t="s">
        <v>426</v>
      </c>
      <c r="D244" s="18" t="s">
        <v>427</v>
      </c>
      <c r="E244" s="19" t="s">
        <v>12</v>
      </c>
      <c r="F244" s="18" t="s">
        <v>13</v>
      </c>
      <c r="G244" s="29">
        <v>1</v>
      </c>
      <c r="H244" s="32" t="str">
        <f>IF(Prueba[[#This Row],[Cant.]]=0,"",IF(OR(Prueba[[#This Row],[Cant.2]]="",Prueba[[#This Row],[Puesto2]]=""),"?",Prueba[[#This Row],[Puesto2]]))</f>
        <v>D</v>
      </c>
      <c r="I244" s="31">
        <v>1</v>
      </c>
      <c r="J244" s="32" t="s">
        <v>1399</v>
      </c>
      <c r="K244" s="14"/>
      <c r="L244" s="14"/>
      <c r="M244" s="31"/>
      <c r="N244" s="32" t="str">
        <f>IF(Prueba[[#This Row],[Cant.4]]=0,"",IF(OR(Prueba[[#This Row],[Cant.6]]="",Prueba[[#This Row],[Puesto6]]=""),"?",Prueba[[#This Row],[Puesto6]]))</f>
        <v/>
      </c>
      <c r="O244" s="31"/>
      <c r="P244" s="32" t="str">
        <f>IF(Prueba[[#This Row],[Cant.5]]=0,"",IF(OR(Prueba[[#This Row],[Cant.6]]="",Prueba[[#This Row],[Puesto6]]=""),"?",Prueba[[#This Row],[Puesto6]]))</f>
        <v/>
      </c>
      <c r="Q244" s="31"/>
      <c r="R244" s="32"/>
      <c r="S244" s="14"/>
      <c r="T244" s="14"/>
      <c r="U244" s="31"/>
      <c r="V244" s="32" t="s">
        <v>1663</v>
      </c>
      <c r="W244" s="19"/>
      <c r="X244" s="19" t="s">
        <v>1667</v>
      </c>
      <c r="Y244" s="19">
        <v>1</v>
      </c>
      <c r="Z244" s="19" t="s">
        <v>1399</v>
      </c>
      <c r="AA244" s="19">
        <v>1</v>
      </c>
      <c r="AB244" s="19" t="s">
        <v>1399</v>
      </c>
    </row>
    <row r="245" spans="1:28" s="18" customFormat="1">
      <c r="A245" s="18" t="s">
        <v>428</v>
      </c>
      <c r="B245" s="18" t="s">
        <v>9</v>
      </c>
      <c r="C245" s="18" t="s">
        <v>426</v>
      </c>
      <c r="D245" s="18" t="s">
        <v>427</v>
      </c>
      <c r="E245" s="19" t="s">
        <v>12</v>
      </c>
      <c r="F245" s="18" t="s">
        <v>13</v>
      </c>
      <c r="G245" s="29">
        <v>1</v>
      </c>
      <c r="H245" s="32" t="str">
        <f>IF(Prueba[[#This Row],[Cant.]]=0,"",IF(OR(Prueba[[#This Row],[Cant.2]]="",Prueba[[#This Row],[Puesto2]]=""),"?",Prueba[[#This Row],[Puesto2]]))</f>
        <v>D</v>
      </c>
      <c r="I245" s="31">
        <v>1</v>
      </c>
      <c r="J245" s="32" t="s">
        <v>1399</v>
      </c>
      <c r="K245" s="14"/>
      <c r="L245" s="14"/>
      <c r="M245" s="31"/>
      <c r="N245" s="32" t="str">
        <f>IF(Prueba[[#This Row],[Cant.4]]=0,"",IF(OR(Prueba[[#This Row],[Cant.6]]="",Prueba[[#This Row],[Puesto6]]=""),"?",Prueba[[#This Row],[Puesto6]]))</f>
        <v/>
      </c>
      <c r="O245" s="31"/>
      <c r="P245" s="32" t="str">
        <f>IF(Prueba[[#This Row],[Cant.5]]=0,"",IF(OR(Prueba[[#This Row],[Cant.6]]="",Prueba[[#This Row],[Puesto6]]=""),"?",Prueba[[#This Row],[Puesto6]]))</f>
        <v/>
      </c>
      <c r="Q245" s="31"/>
      <c r="R245" s="32"/>
      <c r="S245" s="14"/>
      <c r="T245" s="14"/>
      <c r="U245" s="31"/>
      <c r="V245" s="32" t="s">
        <v>1663</v>
      </c>
      <c r="W245" s="19"/>
      <c r="X245" s="19" t="s">
        <v>1667</v>
      </c>
      <c r="Y245" s="19">
        <v>1</v>
      </c>
      <c r="Z245" s="19" t="s">
        <v>1399</v>
      </c>
      <c r="AA245" s="19">
        <v>1</v>
      </c>
      <c r="AB245" s="19" t="s">
        <v>1399</v>
      </c>
    </row>
    <row r="246" spans="1:28" s="18" customFormat="1">
      <c r="A246" s="18" t="s">
        <v>429</v>
      </c>
      <c r="B246" s="18" t="s">
        <v>9</v>
      </c>
      <c r="C246" s="18" t="s">
        <v>430</v>
      </c>
      <c r="D246" s="18" t="s">
        <v>431</v>
      </c>
      <c r="E246" s="19" t="s">
        <v>18</v>
      </c>
      <c r="F246" s="18" t="s">
        <v>13</v>
      </c>
      <c r="G246" s="29">
        <v>1</v>
      </c>
      <c r="H246" s="32">
        <f>IF(Prueba[[#This Row],[Cant.]]=0,"",IF(OR(Prueba[[#This Row],[Cant.2]]="",Prueba[[#This Row],[Puesto2]]=""),"?",Prueba[[#This Row],[Puesto2]]))</f>
        <v>0</v>
      </c>
      <c r="I246" s="31">
        <v>1</v>
      </c>
      <c r="J246" s="32">
        <v>0</v>
      </c>
      <c r="K246" s="14"/>
      <c r="L246" s="14"/>
      <c r="M246" s="31"/>
      <c r="N246" s="32" t="str">
        <f>IF(Prueba[[#This Row],[Cant.4]]=0,"",IF(OR(Prueba[[#This Row],[Cant.6]]="",Prueba[[#This Row],[Puesto6]]=""),"?",Prueba[[#This Row],[Puesto6]]))</f>
        <v/>
      </c>
      <c r="O246" s="31"/>
      <c r="P246" s="32" t="str">
        <f>IF(Prueba[[#This Row],[Cant.5]]=0,"",IF(OR(Prueba[[#This Row],[Cant.6]]="",Prueba[[#This Row],[Puesto6]]=""),"?",Prueba[[#This Row],[Puesto6]]))</f>
        <v/>
      </c>
      <c r="Q246" s="31"/>
      <c r="R246" s="32"/>
      <c r="S246" s="14"/>
      <c r="T246" s="14"/>
      <c r="U246" s="31"/>
      <c r="V246" s="32" t="s">
        <v>1663</v>
      </c>
      <c r="W246" s="19"/>
      <c r="X246" s="19" t="s">
        <v>1667</v>
      </c>
      <c r="Y246" s="19">
        <v>1</v>
      </c>
      <c r="Z246" s="19">
        <v>0</v>
      </c>
      <c r="AA246" s="19">
        <v>1</v>
      </c>
      <c r="AB246" s="19">
        <v>0</v>
      </c>
    </row>
    <row r="247" spans="1:28" s="18" customFormat="1">
      <c r="A247" s="18" t="s">
        <v>432</v>
      </c>
      <c r="B247" s="18" t="s">
        <v>9</v>
      </c>
      <c r="C247" s="18" t="s">
        <v>433</v>
      </c>
      <c r="D247" s="18" t="s">
        <v>433</v>
      </c>
      <c r="E247" s="19" t="s">
        <v>12</v>
      </c>
      <c r="F247" s="18" t="s">
        <v>13</v>
      </c>
      <c r="G247" s="29">
        <v>2</v>
      </c>
      <c r="H247" s="32" t="str">
        <f>IF(Prueba[[#This Row],[Cant.]]=0,"",IF(OR(Prueba[[#This Row],[Cant.2]]="",Prueba[[#This Row],[Puesto2]]=""),"?",Prueba[[#This Row],[Puesto2]]))</f>
        <v>D</v>
      </c>
      <c r="I247" s="31">
        <v>2</v>
      </c>
      <c r="J247" s="32" t="s">
        <v>1399</v>
      </c>
      <c r="K247" s="14"/>
      <c r="L247" s="14"/>
      <c r="M247" s="31"/>
      <c r="N247" s="32" t="str">
        <f>IF(Prueba[[#This Row],[Cant.4]]=0,"",IF(OR(Prueba[[#This Row],[Cant.6]]="",Prueba[[#This Row],[Puesto6]]=""),"?",Prueba[[#This Row],[Puesto6]]))</f>
        <v/>
      </c>
      <c r="O247" s="31"/>
      <c r="P247" s="32" t="str">
        <f>IF(Prueba[[#This Row],[Cant.5]]=0,"",IF(OR(Prueba[[#This Row],[Cant.6]]="",Prueba[[#This Row],[Puesto6]]=""),"?",Prueba[[#This Row],[Puesto6]]))</f>
        <v/>
      </c>
      <c r="Q247" s="31"/>
      <c r="R247" s="32"/>
      <c r="S247" s="14"/>
      <c r="T247" s="14"/>
      <c r="U247" s="31"/>
      <c r="V247" s="32" t="s">
        <v>1663</v>
      </c>
      <c r="W247" s="19"/>
      <c r="X247" s="19" t="s">
        <v>1667</v>
      </c>
      <c r="Y247" s="19">
        <v>2</v>
      </c>
      <c r="Z247" s="19" t="s">
        <v>1399</v>
      </c>
      <c r="AA247" s="19">
        <v>2</v>
      </c>
      <c r="AB247" s="19" t="s">
        <v>1399</v>
      </c>
    </row>
    <row r="248" spans="1:28" s="18" customFormat="1">
      <c r="A248" s="18" t="s">
        <v>434</v>
      </c>
      <c r="B248" s="18" t="s">
        <v>9</v>
      </c>
      <c r="C248" s="18" t="s">
        <v>435</v>
      </c>
      <c r="D248" s="18" t="s">
        <v>436</v>
      </c>
      <c r="E248" s="19" t="s">
        <v>308</v>
      </c>
      <c r="F248" s="18" t="s">
        <v>13</v>
      </c>
      <c r="G248" s="29">
        <v>1</v>
      </c>
      <c r="H248" s="32">
        <f>IF(Prueba[[#This Row],[Cant.]]=0,"",IF(OR(Prueba[[#This Row],[Cant.2]]="",Prueba[[#This Row],[Puesto2]]=""),"?",Prueba[[#This Row],[Puesto2]]))</f>
        <v>6</v>
      </c>
      <c r="I248" s="31">
        <v>1</v>
      </c>
      <c r="J248" s="32">
        <v>6</v>
      </c>
      <c r="K248" s="14"/>
      <c r="L248" s="14"/>
      <c r="M248" s="31"/>
      <c r="N248" s="32" t="str">
        <f>IF(Prueba[[#This Row],[Cant.4]]=0,"",IF(OR(Prueba[[#This Row],[Cant.6]]="",Prueba[[#This Row],[Puesto6]]=""),"?",Prueba[[#This Row],[Puesto6]]))</f>
        <v/>
      </c>
      <c r="O248" s="31"/>
      <c r="P248" s="32" t="str">
        <f>IF(Prueba[[#This Row],[Cant.5]]=0,"",IF(OR(Prueba[[#This Row],[Cant.6]]="",Prueba[[#This Row],[Puesto6]]=""),"?",Prueba[[#This Row],[Puesto6]]))</f>
        <v/>
      </c>
      <c r="Q248" s="31"/>
      <c r="R248" s="32"/>
      <c r="S248" s="14"/>
      <c r="T248" s="14"/>
      <c r="U248" s="31"/>
      <c r="V248" s="32" t="s">
        <v>1663</v>
      </c>
      <c r="W248" s="19"/>
      <c r="X248" s="19" t="s">
        <v>1667</v>
      </c>
      <c r="Y248" s="19">
        <v>1</v>
      </c>
      <c r="Z248" s="19">
        <v>6</v>
      </c>
      <c r="AA248" s="19">
        <v>1</v>
      </c>
      <c r="AB248" s="19">
        <v>6</v>
      </c>
    </row>
    <row r="249" spans="1:28" s="18" customFormat="1">
      <c r="A249" s="18" t="s">
        <v>437</v>
      </c>
      <c r="B249" s="18" t="s">
        <v>9</v>
      </c>
      <c r="C249" s="18" t="s">
        <v>438</v>
      </c>
      <c r="D249" s="18" t="s">
        <v>439</v>
      </c>
      <c r="E249" s="19" t="s">
        <v>18</v>
      </c>
      <c r="F249" s="18" t="s">
        <v>13</v>
      </c>
      <c r="G249" s="29">
        <v>1</v>
      </c>
      <c r="H249" s="32">
        <f>IF(Prueba[[#This Row],[Cant.]]=0,"",IF(OR(Prueba[[#This Row],[Cant.2]]="",Prueba[[#This Row],[Puesto2]]=""),"?",Prueba[[#This Row],[Puesto2]]))</f>
        <v>0</v>
      </c>
      <c r="I249" s="31">
        <v>1</v>
      </c>
      <c r="J249" s="32">
        <v>0</v>
      </c>
      <c r="K249" s="14"/>
      <c r="L249" s="14"/>
      <c r="M249" s="31"/>
      <c r="N249" s="32" t="str">
        <f>IF(Prueba[[#This Row],[Cant.4]]=0,"",IF(OR(Prueba[[#This Row],[Cant.6]]="",Prueba[[#This Row],[Puesto6]]=""),"?",Prueba[[#This Row],[Puesto6]]))</f>
        <v/>
      </c>
      <c r="O249" s="31"/>
      <c r="P249" s="32" t="str">
        <f>IF(Prueba[[#This Row],[Cant.5]]=0,"",IF(OR(Prueba[[#This Row],[Cant.6]]="",Prueba[[#This Row],[Puesto6]]=""),"?",Prueba[[#This Row],[Puesto6]]))</f>
        <v/>
      </c>
      <c r="Q249" s="31"/>
      <c r="R249" s="32"/>
      <c r="S249" s="14"/>
      <c r="T249" s="14"/>
      <c r="U249" s="31"/>
      <c r="V249" s="32" t="s">
        <v>1663</v>
      </c>
      <c r="W249" s="19"/>
      <c r="X249" s="19" t="s">
        <v>1667</v>
      </c>
      <c r="Y249" s="19">
        <v>1</v>
      </c>
      <c r="Z249" s="19">
        <v>0</v>
      </c>
      <c r="AA249" s="19">
        <v>1</v>
      </c>
      <c r="AB249" s="19">
        <v>0</v>
      </c>
    </row>
    <row r="250" spans="1:28" s="18" customFormat="1">
      <c r="A250" s="18" t="s">
        <v>1785</v>
      </c>
      <c r="B250" s="18" t="s">
        <v>9</v>
      </c>
      <c r="D250" s="18" t="s">
        <v>1786</v>
      </c>
      <c r="E250" s="19" t="s">
        <v>3</v>
      </c>
      <c r="F250" s="18" t="s">
        <v>13</v>
      </c>
      <c r="G250" s="29">
        <v>1</v>
      </c>
      <c r="H250" s="32">
        <v>2</v>
      </c>
      <c r="I250" s="31"/>
      <c r="J250" s="32"/>
      <c r="K250" s="14"/>
      <c r="L250" s="14"/>
      <c r="M250" s="31"/>
      <c r="N250" s="32" t="str">
        <f>IF(Prueba[[#This Row],[Cant.4]]=0,"",IF(OR(Prueba[[#This Row],[Cant.6]]="",Prueba[[#This Row],[Puesto6]]=""),"?",Prueba[[#This Row],[Puesto6]]))</f>
        <v/>
      </c>
      <c r="O250" s="31"/>
      <c r="P250" s="32" t="str">
        <f>IF(Prueba[[#This Row],[Cant.5]]=0,"",IF(OR(Prueba[[#This Row],[Cant.6]]="",Prueba[[#This Row],[Puesto6]]=""),"?",Prueba[[#This Row],[Puesto6]]))</f>
        <v/>
      </c>
      <c r="Q250" s="31"/>
      <c r="R250" s="32"/>
      <c r="S250" s="14"/>
      <c r="T250" s="14"/>
      <c r="U250" s="31"/>
      <c r="V250" s="32" t="s">
        <v>1663</v>
      </c>
      <c r="W250" s="19"/>
      <c r="X250" s="19" t="s">
        <v>1667</v>
      </c>
      <c r="Y250" s="19" t="s">
        <v>1663</v>
      </c>
      <c r="Z250" s="19" t="s">
        <v>1663</v>
      </c>
      <c r="AA250" s="19" t="s">
        <v>1663</v>
      </c>
      <c r="AB250" s="19" t="s">
        <v>1663</v>
      </c>
    </row>
    <row r="251" spans="1:28" s="18" customFormat="1">
      <c r="A251" s="18" t="s">
        <v>440</v>
      </c>
      <c r="B251" s="18" t="s">
        <v>9</v>
      </c>
      <c r="C251" s="18" t="s">
        <v>441</v>
      </c>
      <c r="D251" s="18" t="s">
        <v>442</v>
      </c>
      <c r="E251" s="19" t="s">
        <v>18</v>
      </c>
      <c r="F251" s="18" t="s">
        <v>13</v>
      </c>
      <c r="G251" s="29"/>
      <c r="H251" s="32" t="str">
        <f>IF(Prueba[[#This Row],[Cant.]]=0,"",IF(OR(Prueba[[#This Row],[Cant.2]]="",Prueba[[#This Row],[Puesto2]]=""),"?",Prueba[[#This Row],[Puesto2]]))</f>
        <v/>
      </c>
      <c r="I251" s="31">
        <v>1</v>
      </c>
      <c r="J251" s="32">
        <v>2</v>
      </c>
      <c r="K251" s="14"/>
      <c r="L251" s="14"/>
      <c r="M251" s="31"/>
      <c r="N251" s="32" t="str">
        <f>IF(Prueba[[#This Row],[Cant.4]]=0,"",IF(OR(Prueba[[#This Row],[Cant.6]]="",Prueba[[#This Row],[Puesto6]]=""),"?",Prueba[[#This Row],[Puesto6]]))</f>
        <v/>
      </c>
      <c r="O251" s="31"/>
      <c r="P251" s="32" t="str">
        <f>IF(Prueba[[#This Row],[Cant.5]]=0,"",IF(OR(Prueba[[#This Row],[Cant.6]]="",Prueba[[#This Row],[Puesto6]]=""),"?",Prueba[[#This Row],[Puesto6]]))</f>
        <v/>
      </c>
      <c r="Q251" s="31"/>
      <c r="R251" s="32"/>
      <c r="S251" s="14"/>
      <c r="T251" s="14"/>
      <c r="U251" s="31"/>
      <c r="V251" s="32" t="s">
        <v>1663</v>
      </c>
      <c r="W251" s="19"/>
      <c r="X251" s="19" t="s">
        <v>1667</v>
      </c>
      <c r="Y251" s="19" t="s">
        <v>1663</v>
      </c>
      <c r="Z251" s="19" t="s">
        <v>1663</v>
      </c>
      <c r="AA251" s="19" t="s">
        <v>1663</v>
      </c>
      <c r="AB251" s="19" t="s">
        <v>1663</v>
      </c>
    </row>
    <row r="252" spans="1:28" s="18" customFormat="1">
      <c r="A252" s="18" t="s">
        <v>1787</v>
      </c>
      <c r="C252" s="18" t="s">
        <v>1788</v>
      </c>
      <c r="D252" s="18" t="s">
        <v>1788</v>
      </c>
      <c r="E252" s="19" t="s">
        <v>18</v>
      </c>
      <c r="G252" s="29"/>
      <c r="H252" s="32" t="str">
        <f>IF(Prueba[[#This Row],[Cant.]]=0,"",IF(OR(Prueba[[#This Row],[Cant.2]]="",Prueba[[#This Row],[Puesto2]]=""),"?",Prueba[[#This Row],[Puesto2]]))</f>
        <v/>
      </c>
      <c r="I252" s="31"/>
      <c r="J252" s="32"/>
      <c r="K252" s="14"/>
      <c r="L252" s="14"/>
      <c r="M252" s="31"/>
      <c r="N252" s="32" t="str">
        <f>IF(Prueba[[#This Row],[Cant.4]]=0,"",IF(OR(Prueba[[#This Row],[Cant.6]]="",Prueba[[#This Row],[Puesto6]]=""),"?",Prueba[[#This Row],[Puesto6]]))</f>
        <v/>
      </c>
      <c r="O252" s="31"/>
      <c r="P252" s="32" t="str">
        <f>IF(Prueba[[#This Row],[Cant.5]]=0,"",IF(OR(Prueba[[#This Row],[Cant.6]]="",Prueba[[#This Row],[Puesto6]]=""),"?",Prueba[[#This Row],[Puesto6]]))</f>
        <v/>
      </c>
      <c r="Q252" s="31"/>
      <c r="R252" s="32"/>
      <c r="S252" s="14"/>
      <c r="T252" s="14"/>
      <c r="U252" s="31"/>
      <c r="V252" s="32" t="s">
        <v>1663</v>
      </c>
      <c r="X252" s="19" t="s">
        <v>1667</v>
      </c>
      <c r="Y252" s="19">
        <v>1</v>
      </c>
      <c r="Z252" s="19">
        <v>2</v>
      </c>
      <c r="AA252" s="19">
        <v>1</v>
      </c>
      <c r="AB252" s="19">
        <v>2</v>
      </c>
    </row>
    <row r="253" spans="1:28" s="18" customFormat="1">
      <c r="A253" s="18" t="s">
        <v>1789</v>
      </c>
      <c r="C253" s="18" t="s">
        <v>1788</v>
      </c>
      <c r="D253" s="18" t="s">
        <v>1788</v>
      </c>
      <c r="E253" s="19" t="s">
        <v>18</v>
      </c>
      <c r="G253" s="29"/>
      <c r="H253" s="32" t="str">
        <f>IF(Prueba[[#This Row],[Cant.]]=0,"",IF(OR(Prueba[[#This Row],[Cant.2]]="",Prueba[[#This Row],[Puesto2]]=""),"?",Prueba[[#This Row],[Puesto2]]))</f>
        <v/>
      </c>
      <c r="I253" s="31"/>
      <c r="J253" s="32"/>
      <c r="K253" s="14"/>
      <c r="L253" s="14"/>
      <c r="M253" s="31"/>
      <c r="N253" s="32" t="str">
        <f>IF(Prueba[[#This Row],[Cant.4]]=0,"",IF(OR(Prueba[[#This Row],[Cant.6]]="",Prueba[[#This Row],[Puesto6]]=""),"?",Prueba[[#This Row],[Puesto6]]))</f>
        <v/>
      </c>
      <c r="O253" s="31"/>
      <c r="P253" s="32" t="str">
        <f>IF(Prueba[[#This Row],[Cant.5]]=0,"",IF(OR(Prueba[[#This Row],[Cant.6]]="",Prueba[[#This Row],[Puesto6]]=""),"?",Prueba[[#This Row],[Puesto6]]))</f>
        <v/>
      </c>
      <c r="Q253" s="31"/>
      <c r="R253" s="32"/>
      <c r="S253" s="14"/>
      <c r="T253" s="14"/>
      <c r="U253" s="31"/>
      <c r="V253" s="32" t="s">
        <v>1663</v>
      </c>
      <c r="X253" s="19" t="s">
        <v>1667</v>
      </c>
      <c r="Y253" s="19" t="s">
        <v>1663</v>
      </c>
      <c r="Z253" s="19" t="s">
        <v>1663</v>
      </c>
      <c r="AA253" s="19">
        <v>1</v>
      </c>
      <c r="AB253" s="19">
        <v>2</v>
      </c>
    </row>
    <row r="254" spans="1:28" s="18" customFormat="1">
      <c r="A254" s="18" t="s">
        <v>443</v>
      </c>
      <c r="B254" s="18" t="s">
        <v>9</v>
      </c>
      <c r="C254" s="18" t="s">
        <v>444</v>
      </c>
      <c r="D254" s="18" t="s">
        <v>445</v>
      </c>
      <c r="E254" s="19" t="s">
        <v>12</v>
      </c>
      <c r="F254" s="18" t="s">
        <v>13</v>
      </c>
      <c r="G254" s="29">
        <v>1</v>
      </c>
      <c r="H254" s="32">
        <f>IF(Prueba[[#This Row],[Cant.]]=0,"",IF(OR(Prueba[[#This Row],[Cant.2]]="",Prueba[[#This Row],[Puesto2]]=""),"?",Prueba[[#This Row],[Puesto2]]))</f>
        <v>5</v>
      </c>
      <c r="I254" s="31">
        <v>1</v>
      </c>
      <c r="J254" s="32">
        <v>5</v>
      </c>
      <c r="K254" s="14"/>
      <c r="L254" s="14"/>
      <c r="M254" s="31"/>
      <c r="N254" s="32" t="str">
        <f>IF(Prueba[[#This Row],[Cant.4]]=0,"",IF(OR(Prueba[[#This Row],[Cant.6]]="",Prueba[[#This Row],[Puesto6]]=""),"?",Prueba[[#This Row],[Puesto6]]))</f>
        <v/>
      </c>
      <c r="O254" s="31"/>
      <c r="P254" s="32" t="str">
        <f>IF(Prueba[[#This Row],[Cant.5]]=0,"",IF(OR(Prueba[[#This Row],[Cant.6]]="",Prueba[[#This Row],[Puesto6]]=""),"?",Prueba[[#This Row],[Puesto6]]))</f>
        <v/>
      </c>
      <c r="Q254" s="31"/>
      <c r="R254" s="32"/>
      <c r="S254" s="14"/>
      <c r="T254" s="14"/>
      <c r="U254" s="31"/>
      <c r="V254" s="32" t="s">
        <v>1663</v>
      </c>
      <c r="W254" s="19"/>
      <c r="X254" s="19" t="s">
        <v>1667</v>
      </c>
      <c r="Y254" s="19">
        <v>1</v>
      </c>
      <c r="Z254" s="19">
        <v>5</v>
      </c>
      <c r="AA254" s="19">
        <v>1</v>
      </c>
      <c r="AB254" s="19">
        <v>5</v>
      </c>
    </row>
    <row r="255" spans="1:28" s="18" customFormat="1">
      <c r="A255" s="18" t="s">
        <v>446</v>
      </c>
      <c r="B255" s="18" t="s">
        <v>9</v>
      </c>
      <c r="C255" s="18" t="s">
        <v>24</v>
      </c>
      <c r="D255" s="18" t="s">
        <v>447</v>
      </c>
      <c r="E255" s="19" t="s">
        <v>12</v>
      </c>
      <c r="F255" s="18" t="s">
        <v>13</v>
      </c>
      <c r="G255" s="29">
        <v>1</v>
      </c>
      <c r="H255" s="32">
        <f>IF(Prueba[[#This Row],[Cant.]]=0,"",IF(OR(Prueba[[#This Row],[Cant.2]]="",Prueba[[#This Row],[Puesto2]]=""),"?",Prueba[[#This Row],[Puesto2]]))</f>
        <v>6</v>
      </c>
      <c r="I255" s="31">
        <v>1</v>
      </c>
      <c r="J255" s="32">
        <v>6</v>
      </c>
      <c r="K255" s="14"/>
      <c r="L255" s="14"/>
      <c r="M255" s="31"/>
      <c r="N255" s="32" t="str">
        <f>IF(Prueba[[#This Row],[Cant.4]]=0,"",IF(OR(Prueba[[#This Row],[Cant.6]]="",Prueba[[#This Row],[Puesto6]]=""),"?",Prueba[[#This Row],[Puesto6]]))</f>
        <v/>
      </c>
      <c r="O255" s="31"/>
      <c r="P255" s="32" t="str">
        <f>IF(Prueba[[#This Row],[Cant.5]]=0,"",IF(OR(Prueba[[#This Row],[Cant.6]]="",Prueba[[#This Row],[Puesto6]]=""),"?",Prueba[[#This Row],[Puesto6]]))</f>
        <v/>
      </c>
      <c r="Q255" s="31"/>
      <c r="R255" s="32"/>
      <c r="S255" s="14"/>
      <c r="T255" s="14"/>
      <c r="U255" s="31"/>
      <c r="V255" s="32" t="s">
        <v>1663</v>
      </c>
      <c r="W255" s="19"/>
      <c r="X255" s="19" t="s">
        <v>1667</v>
      </c>
      <c r="Y255" s="19">
        <v>1</v>
      </c>
      <c r="Z255" s="19">
        <v>6</v>
      </c>
      <c r="AA255" s="19">
        <v>1</v>
      </c>
      <c r="AB255" s="19">
        <v>6</v>
      </c>
    </row>
    <row r="256" spans="1:28" s="18" customFormat="1">
      <c r="A256" s="18" t="s">
        <v>448</v>
      </c>
      <c r="B256" s="18" t="s">
        <v>9</v>
      </c>
      <c r="C256" s="18" t="s">
        <v>449</v>
      </c>
      <c r="D256" s="18" t="s">
        <v>450</v>
      </c>
      <c r="E256" s="19" t="s">
        <v>22</v>
      </c>
      <c r="F256" s="18" t="s">
        <v>13</v>
      </c>
      <c r="G256" s="29">
        <v>1</v>
      </c>
      <c r="H256" s="32">
        <f>IF(Prueba[[#This Row],[Cant.]]=0,"",IF(OR(Prueba[[#This Row],[Cant.2]]="",Prueba[[#This Row],[Puesto2]]=""),"?",Prueba[[#This Row],[Puesto2]]))</f>
        <v>1</v>
      </c>
      <c r="I256" s="31">
        <v>1</v>
      </c>
      <c r="J256" s="32">
        <v>1</v>
      </c>
      <c r="K256" s="14"/>
      <c r="L256" s="14"/>
      <c r="M256" s="31"/>
      <c r="N256" s="32" t="str">
        <f>IF(Prueba[[#This Row],[Cant.4]]=0,"",IF(OR(Prueba[[#This Row],[Cant.6]]="",Prueba[[#This Row],[Puesto6]]=""),"?",Prueba[[#This Row],[Puesto6]]))</f>
        <v/>
      </c>
      <c r="O256" s="31"/>
      <c r="P256" s="32" t="str">
        <f>IF(Prueba[[#This Row],[Cant.5]]=0,"",IF(OR(Prueba[[#This Row],[Cant.6]]="",Prueba[[#This Row],[Puesto6]]=""),"?",Prueba[[#This Row],[Puesto6]]))</f>
        <v/>
      </c>
      <c r="Q256" s="31"/>
      <c r="R256" s="32"/>
      <c r="S256" s="14"/>
      <c r="T256" s="14"/>
      <c r="U256" s="31"/>
      <c r="V256" s="32" t="s">
        <v>1663</v>
      </c>
      <c r="W256" s="19">
        <v>8</v>
      </c>
      <c r="X256" s="19" t="s">
        <v>1664</v>
      </c>
      <c r="Y256" s="19">
        <v>2</v>
      </c>
      <c r="Z256" s="19">
        <v>1</v>
      </c>
      <c r="AA256" s="19">
        <v>2</v>
      </c>
      <c r="AB256" s="19">
        <v>1</v>
      </c>
    </row>
    <row r="257" spans="1:28" s="18" customFormat="1">
      <c r="A257" s="18" t="s">
        <v>451</v>
      </c>
      <c r="B257" s="18" t="s">
        <v>9</v>
      </c>
      <c r="C257" s="18" t="s">
        <v>452</v>
      </c>
      <c r="D257" s="18" t="s">
        <v>453</v>
      </c>
      <c r="E257" s="19" t="s">
        <v>22</v>
      </c>
      <c r="F257" s="18" t="s">
        <v>13</v>
      </c>
      <c r="G257" s="29">
        <v>6</v>
      </c>
      <c r="H257" s="32">
        <f>IF(Prueba[[#This Row],[Cant.]]=0,"",IF(OR(Prueba[[#This Row],[Cant.2]]="",Prueba[[#This Row],[Puesto2]]=""),"?",Prueba[[#This Row],[Puesto2]]))</f>
        <v>1</v>
      </c>
      <c r="I257" s="31">
        <v>6</v>
      </c>
      <c r="J257" s="32">
        <v>1</v>
      </c>
      <c r="K257" s="14"/>
      <c r="L257" s="14"/>
      <c r="M257" s="31"/>
      <c r="N257" s="32" t="str">
        <f>IF(Prueba[[#This Row],[Cant.4]]=0,"",IF(OR(Prueba[[#This Row],[Cant.6]]="",Prueba[[#This Row],[Puesto6]]=""),"?",Prueba[[#This Row],[Puesto6]]))</f>
        <v/>
      </c>
      <c r="O257" s="31"/>
      <c r="P257" s="32" t="str">
        <f>IF(Prueba[[#This Row],[Cant.5]]=0,"",IF(OR(Prueba[[#This Row],[Cant.6]]="",Prueba[[#This Row],[Puesto6]]=""),"?",Prueba[[#This Row],[Puesto6]]))</f>
        <v/>
      </c>
      <c r="Q257" s="31"/>
      <c r="R257" s="32"/>
      <c r="S257" s="14"/>
      <c r="T257" s="14"/>
      <c r="U257" s="31"/>
      <c r="V257" s="32" t="s">
        <v>1663</v>
      </c>
      <c r="W257" s="19">
        <v>48</v>
      </c>
      <c r="X257" s="19" t="s">
        <v>1664</v>
      </c>
      <c r="Y257" s="19">
        <v>7</v>
      </c>
      <c r="Z257" s="19">
        <v>1</v>
      </c>
      <c r="AA257" s="19">
        <v>7</v>
      </c>
      <c r="AB257" s="19">
        <v>1</v>
      </c>
    </row>
    <row r="258" spans="1:28" s="18" customFormat="1">
      <c r="A258" s="18" t="s">
        <v>1790</v>
      </c>
      <c r="C258" s="18" t="s">
        <v>1791</v>
      </c>
      <c r="D258" s="18" t="s">
        <v>1791</v>
      </c>
      <c r="E258" s="19" t="s">
        <v>308</v>
      </c>
      <c r="G258" s="29"/>
      <c r="H258" s="32" t="str">
        <f>IF(Prueba[[#This Row],[Cant.]]=0,"",IF(OR(Prueba[[#This Row],[Cant.2]]="",Prueba[[#This Row],[Puesto2]]=""),"?",Prueba[[#This Row],[Puesto2]]))</f>
        <v/>
      </c>
      <c r="I258" s="31"/>
      <c r="J258" s="32"/>
      <c r="K258" s="14"/>
      <c r="L258" s="14"/>
      <c r="M258" s="31"/>
      <c r="N258" s="32" t="str">
        <f>IF(Prueba[[#This Row],[Cant.4]]=0,"",IF(OR(Prueba[[#This Row],[Cant.6]]="",Prueba[[#This Row],[Puesto6]]=""),"?",Prueba[[#This Row],[Puesto6]]))</f>
        <v/>
      </c>
      <c r="O258" s="31"/>
      <c r="P258" s="32" t="str">
        <f>IF(Prueba[[#This Row],[Cant.5]]=0,"",IF(OR(Prueba[[#This Row],[Cant.6]]="",Prueba[[#This Row],[Puesto6]]=""),"?",Prueba[[#This Row],[Puesto6]]))</f>
        <v/>
      </c>
      <c r="Q258" s="31"/>
      <c r="R258" s="32"/>
      <c r="S258" s="14"/>
      <c r="T258" s="14"/>
      <c r="U258" s="31"/>
      <c r="V258" s="32" t="s">
        <v>1663</v>
      </c>
      <c r="X258" s="19" t="s">
        <v>1667</v>
      </c>
      <c r="Y258" s="19">
        <v>1</v>
      </c>
      <c r="Z258" s="19" t="s">
        <v>1399</v>
      </c>
      <c r="AA258" s="19">
        <v>1</v>
      </c>
      <c r="AB258" s="19" t="s">
        <v>1399</v>
      </c>
    </row>
    <row r="259" spans="1:28" s="18" customFormat="1">
      <c r="A259" s="18" t="s">
        <v>1792</v>
      </c>
      <c r="C259" s="18" t="s">
        <v>1791</v>
      </c>
      <c r="D259" s="18" t="s">
        <v>1791</v>
      </c>
      <c r="E259" s="19" t="s">
        <v>308</v>
      </c>
      <c r="G259" s="29"/>
      <c r="H259" s="32" t="str">
        <f>IF(Prueba[[#This Row],[Cant.]]=0,"",IF(OR(Prueba[[#This Row],[Cant.2]]="",Prueba[[#This Row],[Puesto2]]=""),"?",Prueba[[#This Row],[Puesto2]]))</f>
        <v/>
      </c>
      <c r="I259" s="31"/>
      <c r="J259" s="32"/>
      <c r="K259" s="14"/>
      <c r="L259" s="14"/>
      <c r="M259" s="31"/>
      <c r="N259" s="32" t="str">
        <f>IF(Prueba[[#This Row],[Cant.4]]=0,"",IF(OR(Prueba[[#This Row],[Cant.6]]="",Prueba[[#This Row],[Puesto6]]=""),"?",Prueba[[#This Row],[Puesto6]]))</f>
        <v/>
      </c>
      <c r="O259" s="31"/>
      <c r="P259" s="32" t="str">
        <f>IF(Prueba[[#This Row],[Cant.5]]=0,"",IF(OR(Prueba[[#This Row],[Cant.6]]="",Prueba[[#This Row],[Puesto6]]=""),"?",Prueba[[#This Row],[Puesto6]]))</f>
        <v/>
      </c>
      <c r="Q259" s="31"/>
      <c r="R259" s="32"/>
      <c r="S259" s="14"/>
      <c r="T259" s="14"/>
      <c r="U259" s="31"/>
      <c r="V259" s="32" t="s">
        <v>1663</v>
      </c>
      <c r="X259" s="19" t="s">
        <v>1667</v>
      </c>
      <c r="Y259" s="19">
        <v>1</v>
      </c>
      <c r="Z259" s="19" t="s">
        <v>1399</v>
      </c>
      <c r="AA259" s="19">
        <v>1</v>
      </c>
      <c r="AB259" s="19" t="s">
        <v>1399</v>
      </c>
    </row>
    <row r="260" spans="1:28" s="18" customFormat="1">
      <c r="A260" s="18" t="s">
        <v>1793</v>
      </c>
      <c r="C260" s="18" t="s">
        <v>1794</v>
      </c>
      <c r="D260" s="18" t="s">
        <v>1794</v>
      </c>
      <c r="E260" s="19" t="s">
        <v>39</v>
      </c>
      <c r="G260" s="29"/>
      <c r="H260" s="32" t="str">
        <f>IF(Prueba[[#This Row],[Cant.]]=0,"",IF(OR(Prueba[[#This Row],[Cant.2]]="",Prueba[[#This Row],[Puesto2]]=""),"?",Prueba[[#This Row],[Puesto2]]))</f>
        <v/>
      </c>
      <c r="I260" s="31"/>
      <c r="J260" s="32"/>
      <c r="K260" s="14"/>
      <c r="L260" s="14"/>
      <c r="M260" s="31"/>
      <c r="N260" s="32" t="str">
        <f>IF(Prueba[[#This Row],[Cant.4]]=0,"",IF(OR(Prueba[[#This Row],[Cant.6]]="",Prueba[[#This Row],[Puesto6]]=""),"?",Prueba[[#This Row],[Puesto6]]))</f>
        <v/>
      </c>
      <c r="O260" s="31"/>
      <c r="P260" s="32" t="str">
        <f>IF(Prueba[[#This Row],[Cant.5]]=0,"",IF(OR(Prueba[[#This Row],[Cant.6]]="",Prueba[[#This Row],[Puesto6]]=""),"?",Prueba[[#This Row],[Puesto6]]))</f>
        <v/>
      </c>
      <c r="Q260" s="31"/>
      <c r="R260" s="32"/>
      <c r="S260" s="14"/>
      <c r="T260" s="14"/>
      <c r="U260" s="31"/>
      <c r="V260" s="32" t="s">
        <v>1663</v>
      </c>
      <c r="X260" s="19" t="s">
        <v>1667</v>
      </c>
      <c r="Y260" s="19">
        <v>1</v>
      </c>
      <c r="Z260" s="19">
        <v>5</v>
      </c>
      <c r="AA260" s="19">
        <v>1</v>
      </c>
      <c r="AB260" s="19">
        <v>5</v>
      </c>
    </row>
    <row r="261" spans="1:28" s="18" customFormat="1">
      <c r="A261" s="18" t="s">
        <v>1795</v>
      </c>
      <c r="C261" s="18" t="s">
        <v>1796</v>
      </c>
      <c r="D261" s="18" t="s">
        <v>1796</v>
      </c>
      <c r="E261" s="19" t="s">
        <v>12</v>
      </c>
      <c r="G261" s="29"/>
      <c r="H261" s="32" t="str">
        <f>IF(Prueba[[#This Row],[Cant.]]=0,"",IF(OR(Prueba[[#This Row],[Cant.2]]="",Prueba[[#This Row],[Puesto2]]=""),"?",Prueba[[#This Row],[Puesto2]]))</f>
        <v/>
      </c>
      <c r="I261" s="31"/>
      <c r="J261" s="32"/>
      <c r="K261" s="14"/>
      <c r="L261" s="14"/>
      <c r="M261" s="31"/>
      <c r="N261" s="32" t="str">
        <f>IF(Prueba[[#This Row],[Cant.4]]=0,"",IF(OR(Prueba[[#This Row],[Cant.6]]="",Prueba[[#This Row],[Puesto6]]=""),"?",Prueba[[#This Row],[Puesto6]]))</f>
        <v/>
      </c>
      <c r="O261" s="31"/>
      <c r="P261" s="32" t="str">
        <f>IF(Prueba[[#This Row],[Cant.5]]=0,"",IF(OR(Prueba[[#This Row],[Cant.6]]="",Prueba[[#This Row],[Puesto6]]=""),"?",Prueba[[#This Row],[Puesto6]]))</f>
        <v/>
      </c>
      <c r="Q261" s="31"/>
      <c r="R261" s="32"/>
      <c r="S261" s="14"/>
      <c r="T261" s="14"/>
      <c r="U261" s="31"/>
      <c r="V261" s="32" t="s">
        <v>1663</v>
      </c>
      <c r="X261" s="19" t="s">
        <v>1667</v>
      </c>
      <c r="Y261" s="19">
        <v>1</v>
      </c>
      <c r="Z261" s="19">
        <v>0</v>
      </c>
      <c r="AA261" s="19">
        <v>1</v>
      </c>
      <c r="AB261" s="19">
        <v>0</v>
      </c>
    </row>
    <row r="262" spans="1:28" s="18" customFormat="1">
      <c r="A262" s="18" t="s">
        <v>1797</v>
      </c>
      <c r="B262" s="18" t="s">
        <v>9</v>
      </c>
      <c r="C262" s="18" t="s">
        <v>37</v>
      </c>
      <c r="D262" s="18" t="s">
        <v>38</v>
      </c>
      <c r="E262" s="19" t="s">
        <v>39</v>
      </c>
      <c r="F262" s="18" t="s">
        <v>13</v>
      </c>
      <c r="G262" s="29">
        <v>1</v>
      </c>
      <c r="H262" s="32">
        <f>IF(Prueba[[#This Row],[Cant.]]=0,"",IF(OR(Prueba[[#This Row],[Cant.2]]="",Prueba[[#This Row],[Puesto2]]=""),"?",Prueba[[#This Row],[Puesto2]]))</f>
        <v>0</v>
      </c>
      <c r="I262" s="31">
        <v>1</v>
      </c>
      <c r="J262" s="32">
        <v>0</v>
      </c>
      <c r="K262" s="14"/>
      <c r="L262" s="14"/>
      <c r="M262" s="31"/>
      <c r="N262" s="32" t="str">
        <f>IF(Prueba[[#This Row],[Cant.4]]=0,"",IF(OR(Prueba[[#This Row],[Cant.6]]="",Prueba[[#This Row],[Puesto6]]=""),"?",Prueba[[#This Row],[Puesto6]]))</f>
        <v/>
      </c>
      <c r="O262" s="31"/>
      <c r="P262" s="32" t="str">
        <f>IF(Prueba[[#This Row],[Cant.5]]=0,"",IF(OR(Prueba[[#This Row],[Cant.6]]="",Prueba[[#This Row],[Puesto6]]=""),"?",Prueba[[#This Row],[Puesto6]]))</f>
        <v/>
      </c>
      <c r="Q262" s="31"/>
      <c r="R262" s="32"/>
      <c r="S262" s="14"/>
      <c r="T262" s="14"/>
      <c r="U262" s="31"/>
      <c r="V262" s="32" t="s">
        <v>1663</v>
      </c>
      <c r="W262" s="19"/>
      <c r="X262" s="19" t="s">
        <v>1667</v>
      </c>
      <c r="Y262" s="19">
        <v>1</v>
      </c>
      <c r="Z262" s="19">
        <v>0</v>
      </c>
      <c r="AA262" s="19">
        <v>1</v>
      </c>
      <c r="AB262" s="19">
        <v>0</v>
      </c>
    </row>
    <row r="263" spans="1:28" s="18" customFormat="1">
      <c r="A263" s="18" t="s">
        <v>1798</v>
      </c>
      <c r="C263" s="18" t="s">
        <v>1799</v>
      </c>
      <c r="D263" s="18" t="s">
        <v>1799</v>
      </c>
      <c r="E263" s="19" t="s">
        <v>18</v>
      </c>
      <c r="G263" s="29"/>
      <c r="H263" s="32" t="str">
        <f>IF(Prueba[[#This Row],[Cant.]]=0,"",IF(OR(Prueba[[#This Row],[Cant.2]]="",Prueba[[#This Row],[Puesto2]]=""),"?",Prueba[[#This Row],[Puesto2]]))</f>
        <v/>
      </c>
      <c r="I263" s="31"/>
      <c r="J263" s="32"/>
      <c r="K263" s="14"/>
      <c r="L263" s="14"/>
      <c r="M263" s="31"/>
      <c r="N263" s="32" t="str">
        <f>IF(Prueba[[#This Row],[Cant.4]]=0,"",IF(OR(Prueba[[#This Row],[Cant.6]]="",Prueba[[#This Row],[Puesto6]]=""),"?",Prueba[[#This Row],[Puesto6]]))</f>
        <v/>
      </c>
      <c r="O263" s="31"/>
      <c r="P263" s="32" t="str">
        <f>IF(Prueba[[#This Row],[Cant.5]]=0,"",IF(OR(Prueba[[#This Row],[Cant.6]]="",Prueba[[#This Row],[Puesto6]]=""),"?",Prueba[[#This Row],[Puesto6]]))</f>
        <v/>
      </c>
      <c r="Q263" s="31"/>
      <c r="R263" s="32"/>
      <c r="S263" s="14"/>
      <c r="T263" s="14"/>
      <c r="U263" s="31"/>
      <c r="V263" s="32" t="s">
        <v>1663</v>
      </c>
      <c r="X263" s="19" t="s">
        <v>1667</v>
      </c>
      <c r="Y263" s="19">
        <v>1</v>
      </c>
      <c r="Z263" s="19" t="s">
        <v>1402</v>
      </c>
      <c r="AA263" s="19">
        <v>1</v>
      </c>
      <c r="AB263" s="19" t="s">
        <v>1402</v>
      </c>
    </row>
    <row r="264" spans="1:28" s="18" customFormat="1">
      <c r="A264" s="18" t="s">
        <v>1800</v>
      </c>
      <c r="C264" s="18" t="s">
        <v>1801</v>
      </c>
      <c r="D264" s="18" t="s">
        <v>1801</v>
      </c>
      <c r="E264" s="19" t="s">
        <v>18</v>
      </c>
      <c r="G264" s="29"/>
      <c r="H264" s="32" t="str">
        <f>IF(Prueba[[#This Row],[Cant.]]=0,"",IF(OR(Prueba[[#This Row],[Cant.2]]="",Prueba[[#This Row],[Puesto2]]=""),"?",Prueba[[#This Row],[Puesto2]]))</f>
        <v/>
      </c>
      <c r="I264" s="31"/>
      <c r="J264" s="32"/>
      <c r="K264" s="14"/>
      <c r="L264" s="14"/>
      <c r="M264" s="31"/>
      <c r="N264" s="32" t="str">
        <f>IF(Prueba[[#This Row],[Cant.4]]=0,"",IF(OR(Prueba[[#This Row],[Cant.6]]="",Prueba[[#This Row],[Puesto6]]=""),"?",Prueba[[#This Row],[Puesto6]]))</f>
        <v/>
      </c>
      <c r="O264" s="31"/>
      <c r="P264" s="32" t="str">
        <f>IF(Prueba[[#This Row],[Cant.5]]=0,"",IF(OR(Prueba[[#This Row],[Cant.6]]="",Prueba[[#This Row],[Puesto6]]=""),"?",Prueba[[#This Row],[Puesto6]]))</f>
        <v/>
      </c>
      <c r="Q264" s="31"/>
      <c r="R264" s="32"/>
      <c r="S264" s="14"/>
      <c r="T264" s="14"/>
      <c r="U264" s="31"/>
      <c r="V264" s="32" t="s">
        <v>1663</v>
      </c>
      <c r="X264" s="19" t="s">
        <v>1667</v>
      </c>
      <c r="Y264" s="19">
        <v>1</v>
      </c>
      <c r="Z264" s="19">
        <v>0</v>
      </c>
      <c r="AA264" s="19">
        <v>1</v>
      </c>
      <c r="AB264" s="19">
        <v>0</v>
      </c>
    </row>
    <row r="265" spans="1:28" s="18" customFormat="1">
      <c r="A265" s="18" t="s">
        <v>1802</v>
      </c>
      <c r="C265" s="18" t="s">
        <v>1803</v>
      </c>
      <c r="D265" s="18" t="s">
        <v>1803</v>
      </c>
      <c r="E265" s="19" t="s">
        <v>308</v>
      </c>
      <c r="G265" s="29"/>
      <c r="H265" s="32" t="str">
        <f>IF(Prueba[[#This Row],[Cant.]]=0,"",IF(OR(Prueba[[#This Row],[Cant.2]]="",Prueba[[#This Row],[Puesto2]]=""),"?",Prueba[[#This Row],[Puesto2]]))</f>
        <v/>
      </c>
      <c r="I265" s="31"/>
      <c r="J265" s="32"/>
      <c r="K265" s="14"/>
      <c r="L265" s="14"/>
      <c r="M265" s="31"/>
      <c r="N265" s="32" t="str">
        <f>IF(Prueba[[#This Row],[Cant.4]]=0,"",IF(OR(Prueba[[#This Row],[Cant.6]]="",Prueba[[#This Row],[Puesto6]]=""),"?",Prueba[[#This Row],[Puesto6]]))</f>
        <v/>
      </c>
      <c r="O265" s="31"/>
      <c r="P265" s="32" t="str">
        <f>IF(Prueba[[#This Row],[Cant.5]]=0,"",IF(OR(Prueba[[#This Row],[Cant.6]]="",Prueba[[#This Row],[Puesto6]]=""),"?",Prueba[[#This Row],[Puesto6]]))</f>
        <v/>
      </c>
      <c r="Q265" s="31"/>
      <c r="R265" s="32"/>
      <c r="S265" s="14"/>
      <c r="T265" s="14"/>
      <c r="U265" s="31"/>
      <c r="V265" s="32" t="s">
        <v>1663</v>
      </c>
      <c r="X265" s="19" t="s">
        <v>1667</v>
      </c>
      <c r="Y265" s="19">
        <v>1</v>
      </c>
      <c r="Z265" s="19">
        <v>0</v>
      </c>
      <c r="AA265" s="19">
        <v>1</v>
      </c>
      <c r="AB265" s="19">
        <v>0</v>
      </c>
    </row>
    <row r="266" spans="1:28" s="18" customFormat="1">
      <c r="A266" s="18" t="s">
        <v>1804</v>
      </c>
      <c r="C266" s="18" t="s">
        <v>1803</v>
      </c>
      <c r="D266" s="18" t="s">
        <v>1803</v>
      </c>
      <c r="E266" s="19" t="s">
        <v>308</v>
      </c>
      <c r="G266" s="29"/>
      <c r="H266" s="32" t="str">
        <f>IF(Prueba[[#This Row],[Cant.]]=0,"",IF(OR(Prueba[[#This Row],[Cant.2]]="",Prueba[[#This Row],[Puesto2]]=""),"?",Prueba[[#This Row],[Puesto2]]))</f>
        <v/>
      </c>
      <c r="I266" s="31"/>
      <c r="J266" s="32"/>
      <c r="K266" s="14"/>
      <c r="L266" s="14"/>
      <c r="M266" s="31"/>
      <c r="N266" s="32" t="str">
        <f>IF(Prueba[[#This Row],[Cant.4]]=0,"",IF(OR(Prueba[[#This Row],[Cant.6]]="",Prueba[[#This Row],[Puesto6]]=""),"?",Prueba[[#This Row],[Puesto6]]))</f>
        <v/>
      </c>
      <c r="O266" s="31"/>
      <c r="P266" s="32" t="str">
        <f>IF(Prueba[[#This Row],[Cant.5]]=0,"",IF(OR(Prueba[[#This Row],[Cant.6]]="",Prueba[[#This Row],[Puesto6]]=""),"?",Prueba[[#This Row],[Puesto6]]))</f>
        <v/>
      </c>
      <c r="Q266" s="31"/>
      <c r="R266" s="32"/>
      <c r="S266" s="14"/>
      <c r="T266" s="14"/>
      <c r="U266" s="31"/>
      <c r="V266" s="32" t="s">
        <v>1663</v>
      </c>
      <c r="X266" s="19" t="s">
        <v>1667</v>
      </c>
      <c r="Y266" s="19">
        <v>1</v>
      </c>
      <c r="Z266" s="19">
        <v>0</v>
      </c>
      <c r="AA266" s="19">
        <v>1</v>
      </c>
      <c r="AB266" s="19">
        <v>0</v>
      </c>
    </row>
    <row r="267" spans="1:28" s="18" customFormat="1">
      <c r="A267" s="18" t="s">
        <v>1805</v>
      </c>
      <c r="B267" s="18" t="s">
        <v>1806</v>
      </c>
      <c r="C267" s="18" t="s">
        <v>1807</v>
      </c>
      <c r="D267" s="18" t="s">
        <v>1808</v>
      </c>
      <c r="E267" s="19" t="s">
        <v>39</v>
      </c>
      <c r="F267" s="18" t="s">
        <v>13</v>
      </c>
      <c r="G267" s="29"/>
      <c r="H267" s="32" t="str">
        <f>IF(Prueba[[#This Row],[Cant.]]=0,"",IF(OR(Prueba[[#This Row],[Cant.2]]="",Prueba[[#This Row],[Puesto2]]=""),"?",Prueba[[#This Row],[Puesto2]]))</f>
        <v/>
      </c>
      <c r="I267" s="31"/>
      <c r="J267" s="32"/>
      <c r="K267" s="14"/>
      <c r="L267" s="14"/>
      <c r="M267" s="31">
        <v>1</v>
      </c>
      <c r="N267" s="32">
        <f>IF(Prueba[[#This Row],[Cant.4]]=0,"",IF(OR(Prueba[[#This Row],[Cant.6]]="",Prueba[[#This Row],[Puesto6]]=""),"?",Prueba[[#This Row],[Puesto6]]))</f>
        <v>5</v>
      </c>
      <c r="O267" s="31">
        <v>1</v>
      </c>
      <c r="P267" s="32">
        <f>IF(Prueba[[#This Row],[Cant.5]]=0,"",IF(OR(Prueba[[#This Row],[Cant.6]]="",Prueba[[#This Row],[Puesto6]]=""),"?",Prueba[[#This Row],[Puesto6]]))</f>
        <v>5</v>
      </c>
      <c r="Q267" s="31">
        <v>1</v>
      </c>
      <c r="R267" s="32">
        <v>5</v>
      </c>
      <c r="S267" s="14">
        <v>1</v>
      </c>
      <c r="T267" s="14">
        <v>5</v>
      </c>
      <c r="U267" s="31"/>
      <c r="V267" s="32" t="s">
        <v>1663</v>
      </c>
      <c r="W267" s="19"/>
      <c r="X267" s="19" t="s">
        <v>1667</v>
      </c>
      <c r="Y267" s="19" t="s">
        <v>1663</v>
      </c>
      <c r="Z267" s="19" t="s">
        <v>1663</v>
      </c>
      <c r="AA267" s="19" t="s">
        <v>1663</v>
      </c>
      <c r="AB267" s="19" t="s">
        <v>1663</v>
      </c>
    </row>
    <row r="268" spans="1:28" s="18" customFormat="1">
      <c r="A268" s="18" t="s">
        <v>1809</v>
      </c>
      <c r="C268" s="18" t="s">
        <v>1794</v>
      </c>
      <c r="D268" s="18" t="s">
        <v>1794</v>
      </c>
      <c r="E268" s="19" t="s">
        <v>39</v>
      </c>
      <c r="G268" s="29"/>
      <c r="H268" s="32" t="str">
        <f>IF(Prueba[[#This Row],[Cant.]]=0,"",IF(OR(Prueba[[#This Row],[Cant.2]]="",Prueba[[#This Row],[Puesto2]]=""),"?",Prueba[[#This Row],[Puesto2]]))</f>
        <v/>
      </c>
      <c r="I268" s="31"/>
      <c r="J268" s="32"/>
      <c r="K268" s="14"/>
      <c r="L268" s="14"/>
      <c r="M268" s="31"/>
      <c r="N268" s="32" t="str">
        <f>IF(Prueba[[#This Row],[Cant.4]]=0,"",IF(OR(Prueba[[#This Row],[Cant.6]]="",Prueba[[#This Row],[Puesto6]]=""),"?",Prueba[[#This Row],[Puesto6]]))</f>
        <v/>
      </c>
      <c r="O268" s="31"/>
      <c r="P268" s="32" t="str">
        <f>IF(Prueba[[#This Row],[Cant.5]]=0,"",IF(OR(Prueba[[#This Row],[Cant.6]]="",Prueba[[#This Row],[Puesto6]]=""),"?",Prueba[[#This Row],[Puesto6]]))</f>
        <v/>
      </c>
      <c r="Q268" s="31"/>
      <c r="R268" s="32"/>
      <c r="S268" s="14"/>
      <c r="T268" s="14"/>
      <c r="U268" s="31"/>
      <c r="V268" s="32" t="s">
        <v>1663</v>
      </c>
      <c r="X268" s="19" t="s">
        <v>1667</v>
      </c>
      <c r="Y268" s="19">
        <v>2</v>
      </c>
      <c r="Z268" s="19">
        <v>0</v>
      </c>
      <c r="AA268" s="19">
        <v>2</v>
      </c>
      <c r="AB268" s="19">
        <v>0</v>
      </c>
    </row>
    <row r="269" spans="1:28" s="18" customFormat="1">
      <c r="A269" s="18" t="s">
        <v>1810</v>
      </c>
      <c r="C269" s="18" t="s">
        <v>1794</v>
      </c>
      <c r="D269" s="18" t="s">
        <v>1794</v>
      </c>
      <c r="E269" s="19" t="s">
        <v>308</v>
      </c>
      <c r="G269" s="29"/>
      <c r="H269" s="32" t="str">
        <f>IF(Prueba[[#This Row],[Cant.]]=0,"",IF(OR(Prueba[[#This Row],[Cant.2]]="",Prueba[[#This Row],[Puesto2]]=""),"?",Prueba[[#This Row],[Puesto2]]))</f>
        <v/>
      </c>
      <c r="I269" s="31"/>
      <c r="J269" s="32"/>
      <c r="K269" s="14"/>
      <c r="L269" s="14"/>
      <c r="M269" s="31"/>
      <c r="N269" s="32" t="str">
        <f>IF(Prueba[[#This Row],[Cant.4]]=0,"",IF(OR(Prueba[[#This Row],[Cant.6]]="",Prueba[[#This Row],[Puesto6]]=""),"?",Prueba[[#This Row],[Puesto6]]))</f>
        <v/>
      </c>
      <c r="O269" s="31"/>
      <c r="P269" s="32" t="str">
        <f>IF(Prueba[[#This Row],[Cant.5]]=0,"",IF(OR(Prueba[[#This Row],[Cant.6]]="",Prueba[[#This Row],[Puesto6]]=""),"?",Prueba[[#This Row],[Puesto6]]))</f>
        <v/>
      </c>
      <c r="Q269" s="31"/>
      <c r="R269" s="32"/>
      <c r="S269" s="14"/>
      <c r="T269" s="14"/>
      <c r="U269" s="31"/>
      <c r="V269" s="32" t="s">
        <v>1663</v>
      </c>
      <c r="X269" s="19" t="s">
        <v>1667</v>
      </c>
      <c r="Y269" s="19">
        <v>1</v>
      </c>
      <c r="Z269" s="19">
        <v>0</v>
      </c>
      <c r="AA269" s="19">
        <v>1</v>
      </c>
      <c r="AB269" s="19">
        <v>0</v>
      </c>
    </row>
    <row r="270" spans="1:28" s="18" customFormat="1">
      <c r="A270" s="21" t="s">
        <v>1407</v>
      </c>
      <c r="B270" s="22" t="s">
        <v>9</v>
      </c>
      <c r="C270" s="22" t="s">
        <v>1731</v>
      </c>
      <c r="D270" s="22" t="s">
        <v>1811</v>
      </c>
      <c r="E270" s="23" t="s">
        <v>22</v>
      </c>
      <c r="F270" s="22" t="s">
        <v>13</v>
      </c>
      <c r="G270" s="30"/>
      <c r="H270" s="32" t="str">
        <f>IF(Prueba[[#This Row],[Cant.]]=0,"",IF(OR(Prueba[[#This Row],[Cant.2]]="",Prueba[[#This Row],[Puesto2]]=""),"?",Prueba[[#This Row],[Puesto2]]))</f>
        <v/>
      </c>
      <c r="I270" s="33"/>
      <c r="J270" s="34"/>
      <c r="K270" s="83"/>
      <c r="L270" s="83"/>
      <c r="M270" s="33"/>
      <c r="N270" s="32" t="str">
        <f>IF(Prueba[[#This Row],[Cant.4]]=0,"",IF(OR(Prueba[[#This Row],[Cant.6]]="",Prueba[[#This Row],[Puesto6]]=""),"?",Prueba[[#This Row],[Puesto6]]))</f>
        <v/>
      </c>
      <c r="O270" s="33"/>
      <c r="P270" s="32" t="str">
        <f>IF(Prueba[[#This Row],[Cant.5]]=0,"",IF(OR(Prueba[[#This Row],[Cant.6]]="",Prueba[[#This Row],[Puesto6]]=""),"?",Prueba[[#This Row],[Puesto6]]))</f>
        <v/>
      </c>
      <c r="Q270" s="33"/>
      <c r="R270" s="34"/>
      <c r="S270" s="83"/>
      <c r="T270" s="83"/>
      <c r="U270" s="33">
        <v>2</v>
      </c>
      <c r="V270" s="32" t="s">
        <v>1402</v>
      </c>
      <c r="W270" s="23">
        <v>16</v>
      </c>
      <c r="X270" s="19" t="s">
        <v>1664</v>
      </c>
      <c r="Y270" s="19" t="s">
        <v>1663</v>
      </c>
      <c r="Z270" s="19" t="s">
        <v>1663</v>
      </c>
      <c r="AA270" s="19" t="s">
        <v>1663</v>
      </c>
      <c r="AB270" s="19" t="s">
        <v>1663</v>
      </c>
    </row>
    <row r="271" spans="1:28" s="35" customFormat="1">
      <c r="A271" s="18" t="s">
        <v>1812</v>
      </c>
      <c r="B271" s="18"/>
      <c r="C271" s="18" t="s">
        <v>1794</v>
      </c>
      <c r="D271" s="18" t="s">
        <v>1794</v>
      </c>
      <c r="E271" s="19" t="s">
        <v>18</v>
      </c>
      <c r="F271" s="18"/>
      <c r="G271" s="29"/>
      <c r="H271" s="32" t="str">
        <f>IF(Prueba[[#This Row],[Cant.]]=0,"",IF(OR(Prueba[[#This Row],[Cant.2]]="",Prueba[[#This Row],[Puesto2]]=""),"?",Prueba[[#This Row],[Puesto2]]))</f>
        <v/>
      </c>
      <c r="I271" s="31"/>
      <c r="J271" s="32"/>
      <c r="K271" s="14"/>
      <c r="L271" s="14"/>
      <c r="M271" s="31"/>
      <c r="N271" s="32" t="str">
        <f>IF(Prueba[[#This Row],[Cant.4]]=0,"",IF(OR(Prueba[[#This Row],[Cant.6]]="",Prueba[[#This Row],[Puesto6]]=""),"?",Prueba[[#This Row],[Puesto6]]))</f>
        <v/>
      </c>
      <c r="O271" s="31"/>
      <c r="P271" s="32" t="str">
        <f>IF(Prueba[[#This Row],[Cant.5]]=0,"",IF(OR(Prueba[[#This Row],[Cant.6]]="",Prueba[[#This Row],[Puesto6]]=""),"?",Prueba[[#This Row],[Puesto6]]))</f>
        <v/>
      </c>
      <c r="Q271" s="31"/>
      <c r="R271" s="32"/>
      <c r="S271" s="14"/>
      <c r="T271" s="14"/>
      <c r="U271" s="31"/>
      <c r="V271" s="32" t="s">
        <v>1663</v>
      </c>
      <c r="W271" s="18"/>
      <c r="X271" s="19" t="s">
        <v>1667</v>
      </c>
      <c r="Y271" s="19">
        <v>1</v>
      </c>
      <c r="Z271" s="19" t="s">
        <v>1402</v>
      </c>
      <c r="AA271" s="19">
        <v>1</v>
      </c>
      <c r="AB271" s="19" t="s">
        <v>1402</v>
      </c>
    </row>
    <row r="272" spans="1:28" s="18" customFormat="1">
      <c r="A272" s="18" t="s">
        <v>454</v>
      </c>
      <c r="B272" s="18" t="s">
        <v>9</v>
      </c>
      <c r="C272" s="18" t="s">
        <v>455</v>
      </c>
      <c r="D272" s="18" t="s">
        <v>456</v>
      </c>
      <c r="E272" s="19" t="s">
        <v>12</v>
      </c>
      <c r="F272" s="18" t="s">
        <v>13</v>
      </c>
      <c r="G272" s="29">
        <v>1</v>
      </c>
      <c r="H272" s="32">
        <f>IF(Prueba[[#This Row],[Cant.]]=0,"",IF(OR(Prueba[[#This Row],[Cant.2]]="",Prueba[[#This Row],[Puesto2]]=""),"?",Prueba[[#This Row],[Puesto2]]))</f>
        <v>0</v>
      </c>
      <c r="I272" s="31">
        <v>1</v>
      </c>
      <c r="J272" s="32">
        <v>0</v>
      </c>
      <c r="K272" s="14"/>
      <c r="L272" s="14"/>
      <c r="M272" s="31"/>
      <c r="N272" s="32" t="str">
        <f>IF(Prueba[[#This Row],[Cant.4]]=0,"",IF(OR(Prueba[[#This Row],[Cant.6]]="",Prueba[[#This Row],[Puesto6]]=""),"?",Prueba[[#This Row],[Puesto6]]))</f>
        <v/>
      </c>
      <c r="O272" s="31"/>
      <c r="P272" s="32" t="str">
        <f>IF(Prueba[[#This Row],[Cant.5]]=0,"",IF(OR(Prueba[[#This Row],[Cant.6]]="",Prueba[[#This Row],[Puesto6]]=""),"?",Prueba[[#This Row],[Puesto6]]))</f>
        <v/>
      </c>
      <c r="Q272" s="31"/>
      <c r="R272" s="32"/>
      <c r="S272" s="14"/>
      <c r="T272" s="14"/>
      <c r="U272" s="31"/>
      <c r="V272" s="32" t="s">
        <v>1663</v>
      </c>
      <c r="W272" s="19"/>
      <c r="X272" s="19" t="s">
        <v>1667</v>
      </c>
      <c r="Y272" s="19" t="s">
        <v>1663</v>
      </c>
      <c r="Z272" s="19" t="s">
        <v>1663</v>
      </c>
      <c r="AA272" s="19" t="s">
        <v>1663</v>
      </c>
      <c r="AB272" s="19" t="s">
        <v>1663</v>
      </c>
    </row>
    <row r="273" spans="1:28" s="18" customFormat="1">
      <c r="A273" s="18" t="s">
        <v>457</v>
      </c>
      <c r="B273" s="18" t="s">
        <v>9</v>
      </c>
      <c r="C273" s="18" t="s">
        <v>21</v>
      </c>
      <c r="D273" s="18" t="s">
        <v>21</v>
      </c>
      <c r="E273" s="19" t="s">
        <v>12</v>
      </c>
      <c r="F273" s="18" t="s">
        <v>13</v>
      </c>
      <c r="G273" s="29">
        <v>1</v>
      </c>
      <c r="H273" s="32">
        <f>IF(Prueba[[#This Row],[Cant.]]=0,"",IF(OR(Prueba[[#This Row],[Cant.2]]="",Prueba[[#This Row],[Puesto2]]=""),"?",Prueba[[#This Row],[Puesto2]]))</f>
        <v>5</v>
      </c>
      <c r="I273" s="31">
        <v>1</v>
      </c>
      <c r="J273" s="32">
        <v>5</v>
      </c>
      <c r="K273" s="14"/>
      <c r="L273" s="14"/>
      <c r="M273" s="31"/>
      <c r="N273" s="32" t="str">
        <f>IF(Prueba[[#This Row],[Cant.4]]=0,"",IF(OR(Prueba[[#This Row],[Cant.6]]="",Prueba[[#This Row],[Puesto6]]=""),"?",Prueba[[#This Row],[Puesto6]]))</f>
        <v/>
      </c>
      <c r="O273" s="31"/>
      <c r="P273" s="32" t="str">
        <f>IF(Prueba[[#This Row],[Cant.5]]=0,"",IF(OR(Prueba[[#This Row],[Cant.6]]="",Prueba[[#This Row],[Puesto6]]=""),"?",Prueba[[#This Row],[Puesto6]]))</f>
        <v/>
      </c>
      <c r="Q273" s="31"/>
      <c r="R273" s="32"/>
      <c r="S273" s="14"/>
      <c r="T273" s="14"/>
      <c r="U273" s="31"/>
      <c r="V273" s="32" t="s">
        <v>1663</v>
      </c>
      <c r="W273" s="19"/>
      <c r="X273" s="19" t="s">
        <v>1667</v>
      </c>
      <c r="Y273" s="19">
        <v>1</v>
      </c>
      <c r="Z273" s="19">
        <v>5</v>
      </c>
      <c r="AA273" s="19">
        <v>1</v>
      </c>
      <c r="AB273" s="19">
        <v>5</v>
      </c>
    </row>
    <row r="274" spans="1:28" s="18" customFormat="1">
      <c r="A274" s="18" t="s">
        <v>1408</v>
      </c>
      <c r="B274" s="18" t="s">
        <v>9</v>
      </c>
      <c r="C274" s="18" t="s">
        <v>1813</v>
      </c>
      <c r="D274" s="18" t="s">
        <v>1814</v>
      </c>
      <c r="E274" s="19" t="s">
        <v>1815</v>
      </c>
      <c r="F274" s="18" t="s">
        <v>13</v>
      </c>
      <c r="G274" s="29"/>
      <c r="H274" s="32" t="str">
        <f>IF(Prueba[[#This Row],[Cant.]]=0,"",IF(OR(Prueba[[#This Row],[Cant.2]]="",Prueba[[#This Row],[Puesto2]]=""),"?",Prueba[[#This Row],[Puesto2]]))</f>
        <v/>
      </c>
      <c r="I274" s="31"/>
      <c r="J274" s="32"/>
      <c r="K274" s="14"/>
      <c r="L274" s="14"/>
      <c r="M274" s="31"/>
      <c r="N274" s="32" t="str">
        <f>IF(Prueba[[#This Row],[Cant.4]]=0,"",IF(OR(Prueba[[#This Row],[Cant.6]]="",Prueba[[#This Row],[Puesto6]]=""),"?",Prueba[[#This Row],[Puesto6]]))</f>
        <v/>
      </c>
      <c r="O274" s="31"/>
      <c r="P274" s="32" t="str">
        <f>IF(Prueba[[#This Row],[Cant.5]]=0,"",IF(OR(Prueba[[#This Row],[Cant.6]]="",Prueba[[#This Row],[Puesto6]]=""),"?",Prueba[[#This Row],[Puesto6]]))</f>
        <v/>
      </c>
      <c r="Q274" s="31"/>
      <c r="R274" s="32"/>
      <c r="S274" s="14"/>
      <c r="T274" s="14"/>
      <c r="U274" s="31">
        <v>1</v>
      </c>
      <c r="V274" s="32">
        <v>0</v>
      </c>
      <c r="W274" s="19"/>
      <c r="X274" s="19" t="s">
        <v>1667</v>
      </c>
      <c r="Y274" s="19" t="s">
        <v>1663</v>
      </c>
      <c r="Z274" s="19" t="s">
        <v>1663</v>
      </c>
      <c r="AA274" s="19" t="s">
        <v>1663</v>
      </c>
      <c r="AB274" s="19" t="s">
        <v>1663</v>
      </c>
    </row>
    <row r="275" spans="1:28" s="18" customFormat="1">
      <c r="A275" s="24" t="s">
        <v>1409</v>
      </c>
      <c r="B275" s="22" t="s">
        <v>9</v>
      </c>
      <c r="C275" s="22" t="s">
        <v>10</v>
      </c>
      <c r="D275" s="22" t="s">
        <v>1816</v>
      </c>
      <c r="E275" s="19" t="s">
        <v>39</v>
      </c>
      <c r="F275" s="22" t="s">
        <v>13</v>
      </c>
      <c r="G275" s="30"/>
      <c r="H275" s="32" t="str">
        <f>IF(Prueba[[#This Row],[Cant.]]=0,"",IF(OR(Prueba[[#This Row],[Cant.2]]="",Prueba[[#This Row],[Puesto2]]=""),"?",Prueba[[#This Row],[Puesto2]]))</f>
        <v/>
      </c>
      <c r="I275" s="33"/>
      <c r="J275" s="34"/>
      <c r="K275" s="83"/>
      <c r="L275" s="83"/>
      <c r="M275" s="33"/>
      <c r="N275" s="32" t="str">
        <f>IF(Prueba[[#This Row],[Cant.4]]=0,"",IF(OR(Prueba[[#This Row],[Cant.6]]="",Prueba[[#This Row],[Puesto6]]=""),"?",Prueba[[#This Row],[Puesto6]]))</f>
        <v/>
      </c>
      <c r="O275" s="33"/>
      <c r="P275" s="32" t="str">
        <f>IF(Prueba[[#This Row],[Cant.5]]=0,"",IF(OR(Prueba[[#This Row],[Cant.6]]="",Prueba[[#This Row],[Puesto6]]=""),"?",Prueba[[#This Row],[Puesto6]]))</f>
        <v/>
      </c>
      <c r="Q275" s="33"/>
      <c r="R275" s="34"/>
      <c r="S275" s="83"/>
      <c r="T275" s="83"/>
      <c r="U275" s="33">
        <v>1</v>
      </c>
      <c r="V275" s="34">
        <v>6</v>
      </c>
      <c r="W275" s="23"/>
      <c r="X275" s="19" t="s">
        <v>1667</v>
      </c>
      <c r="Y275" s="19" t="s">
        <v>1663</v>
      </c>
      <c r="Z275" s="19" t="s">
        <v>1663</v>
      </c>
      <c r="AA275" s="19" t="s">
        <v>1663</v>
      </c>
      <c r="AB275" s="19" t="s">
        <v>1663</v>
      </c>
    </row>
    <row r="276" spans="1:28" s="18" customFormat="1">
      <c r="A276" s="22" t="s">
        <v>1410</v>
      </c>
      <c r="B276" s="22" t="s">
        <v>9</v>
      </c>
      <c r="C276" t="s">
        <v>1817</v>
      </c>
      <c r="D276" t="s">
        <v>1818</v>
      </c>
      <c r="E276" s="23" t="s">
        <v>18</v>
      </c>
      <c r="F276" s="22" t="s">
        <v>13</v>
      </c>
      <c r="G276" s="30"/>
      <c r="H276" s="32" t="str">
        <f>IF(Prueba[[#This Row],[Cant.]]=0,"",IF(OR(Prueba[[#This Row],[Cant.2]]="",Prueba[[#This Row],[Puesto2]]=""),"?",Prueba[[#This Row],[Puesto2]]))</f>
        <v/>
      </c>
      <c r="I276" s="33"/>
      <c r="J276" s="34"/>
      <c r="K276" s="83"/>
      <c r="L276" s="83"/>
      <c r="M276" s="33"/>
      <c r="N276" s="32" t="str">
        <f>IF(Prueba[[#This Row],[Cant.4]]=0,"",IF(OR(Prueba[[#This Row],[Cant.6]]="",Prueba[[#This Row],[Puesto6]]=""),"?",Prueba[[#This Row],[Puesto6]]))</f>
        <v/>
      </c>
      <c r="O276" s="33"/>
      <c r="P276" s="32" t="str">
        <f>IF(Prueba[[#This Row],[Cant.5]]=0,"",IF(OR(Prueba[[#This Row],[Cant.6]]="",Prueba[[#This Row],[Puesto6]]=""),"?",Prueba[[#This Row],[Puesto6]]))</f>
        <v/>
      </c>
      <c r="Q276" s="33"/>
      <c r="R276" s="34"/>
      <c r="S276" s="83"/>
      <c r="T276" s="83"/>
      <c r="U276" s="33">
        <v>1</v>
      </c>
      <c r="V276" s="34">
        <v>6</v>
      </c>
      <c r="W276" s="23"/>
      <c r="X276" s="19" t="s">
        <v>1667</v>
      </c>
      <c r="Y276" s="19" t="s">
        <v>1663</v>
      </c>
      <c r="Z276" s="19" t="s">
        <v>1663</v>
      </c>
      <c r="AA276" s="19" t="s">
        <v>1663</v>
      </c>
      <c r="AB276" s="19" t="s">
        <v>1663</v>
      </c>
    </row>
    <row r="277" spans="1:28" s="18" customFormat="1">
      <c r="A277" s="18" t="s">
        <v>458</v>
      </c>
      <c r="B277" s="18" t="s">
        <v>9</v>
      </c>
      <c r="C277" s="18" t="s">
        <v>459</v>
      </c>
      <c r="D277" s="18" t="s">
        <v>460</v>
      </c>
      <c r="E277" s="19" t="s">
        <v>12</v>
      </c>
      <c r="F277" s="18" t="s">
        <v>13</v>
      </c>
      <c r="G277" s="29">
        <v>1</v>
      </c>
      <c r="H277" s="32">
        <f>IF(Prueba[[#This Row],[Cant.]]=0,"",IF(OR(Prueba[[#This Row],[Cant.2]]="",Prueba[[#This Row],[Puesto2]]=""),"?",Prueba[[#This Row],[Puesto2]]))</f>
        <v>1</v>
      </c>
      <c r="I277" s="31">
        <v>1</v>
      </c>
      <c r="J277" s="32">
        <v>1</v>
      </c>
      <c r="K277" s="14"/>
      <c r="L277" s="14"/>
      <c r="M277" s="31"/>
      <c r="N277" s="32" t="str">
        <f>IF(Prueba[[#This Row],[Cant.4]]=0,"",IF(OR(Prueba[[#This Row],[Cant.6]]="",Prueba[[#This Row],[Puesto6]]=""),"?",Prueba[[#This Row],[Puesto6]]))</f>
        <v/>
      </c>
      <c r="O277" s="31"/>
      <c r="P277" s="32" t="str">
        <f>IF(Prueba[[#This Row],[Cant.5]]=0,"",IF(OR(Prueba[[#This Row],[Cant.6]]="",Prueba[[#This Row],[Puesto6]]=""),"?",Prueba[[#This Row],[Puesto6]]))</f>
        <v/>
      </c>
      <c r="Q277" s="31"/>
      <c r="R277" s="32"/>
      <c r="S277" s="14"/>
      <c r="T277" s="14"/>
      <c r="U277" s="31"/>
      <c r="V277" s="32" t="s">
        <v>1663</v>
      </c>
      <c r="W277" s="19"/>
      <c r="X277" s="19" t="s">
        <v>1667</v>
      </c>
      <c r="Y277" s="19">
        <v>1</v>
      </c>
      <c r="Z277" s="19">
        <v>1</v>
      </c>
      <c r="AA277" s="19">
        <v>1</v>
      </c>
      <c r="AB277" s="19">
        <v>1</v>
      </c>
    </row>
    <row r="278" spans="1:28" s="18" customFormat="1">
      <c r="A278" s="18" t="s">
        <v>461</v>
      </c>
      <c r="B278" s="18" t="s">
        <v>9</v>
      </c>
      <c r="C278" s="18" t="s">
        <v>462</v>
      </c>
      <c r="D278" s="18" t="s">
        <v>463</v>
      </c>
      <c r="E278" s="19" t="s">
        <v>12</v>
      </c>
      <c r="F278" s="18" t="s">
        <v>13</v>
      </c>
      <c r="G278" s="29">
        <v>2</v>
      </c>
      <c r="H278" s="32">
        <f>IF(Prueba[[#This Row],[Cant.]]=0,"",IF(OR(Prueba[[#This Row],[Cant.2]]="",Prueba[[#This Row],[Puesto2]]=""),"?",Prueba[[#This Row],[Puesto2]]))</f>
        <v>6</v>
      </c>
      <c r="I278" s="31">
        <v>2</v>
      </c>
      <c r="J278" s="32">
        <v>6</v>
      </c>
      <c r="K278" s="14"/>
      <c r="L278" s="14"/>
      <c r="M278" s="31"/>
      <c r="N278" s="32" t="str">
        <f>IF(Prueba[[#This Row],[Cant.4]]=0,"",IF(OR(Prueba[[#This Row],[Cant.6]]="",Prueba[[#This Row],[Puesto6]]=""),"?",Prueba[[#This Row],[Puesto6]]))</f>
        <v/>
      </c>
      <c r="O278" s="31"/>
      <c r="P278" s="32" t="str">
        <f>IF(Prueba[[#This Row],[Cant.5]]=0,"",IF(OR(Prueba[[#This Row],[Cant.6]]="",Prueba[[#This Row],[Puesto6]]=""),"?",Prueba[[#This Row],[Puesto6]]))</f>
        <v/>
      </c>
      <c r="Q278" s="31"/>
      <c r="R278" s="32"/>
      <c r="S278" s="14"/>
      <c r="T278" s="14"/>
      <c r="U278" s="31"/>
      <c r="V278" s="32" t="s">
        <v>1663</v>
      </c>
      <c r="W278" s="19"/>
      <c r="X278" s="19" t="s">
        <v>1667</v>
      </c>
      <c r="Y278" s="19">
        <v>2</v>
      </c>
      <c r="Z278" s="19">
        <v>6</v>
      </c>
      <c r="AA278" s="19">
        <v>2</v>
      </c>
      <c r="AB278" s="19">
        <v>6</v>
      </c>
    </row>
    <row r="279" spans="1:28" s="18" customFormat="1">
      <c r="A279" s="18" t="s">
        <v>1819</v>
      </c>
      <c r="B279" s="18" t="s">
        <v>9</v>
      </c>
      <c r="C279" s="18" t="s">
        <v>462</v>
      </c>
      <c r="D279" s="18" t="s">
        <v>1820</v>
      </c>
      <c r="E279" s="19" t="s">
        <v>12</v>
      </c>
      <c r="F279" s="18" t="s">
        <v>13</v>
      </c>
      <c r="G279" s="29"/>
      <c r="H279" s="32"/>
      <c r="I279" s="31"/>
      <c r="J279" s="32"/>
      <c r="K279" s="14"/>
      <c r="L279" s="14"/>
      <c r="M279" s="31"/>
      <c r="N279" s="32"/>
      <c r="O279" s="119">
        <v>2</v>
      </c>
      <c r="P279" s="120">
        <v>6</v>
      </c>
      <c r="Q279" s="31"/>
      <c r="R279" s="32"/>
      <c r="S279" s="14"/>
      <c r="T279" s="14"/>
      <c r="U279" s="31"/>
      <c r="V279" s="32" t="s">
        <v>1663</v>
      </c>
      <c r="W279" s="19"/>
      <c r="X279" s="19" t="s">
        <v>1667</v>
      </c>
      <c r="Y279" s="19" t="s">
        <v>1663</v>
      </c>
      <c r="Z279" s="19" t="s">
        <v>1663</v>
      </c>
      <c r="AA279" s="19" t="s">
        <v>1663</v>
      </c>
      <c r="AB279" s="19" t="s">
        <v>1663</v>
      </c>
    </row>
    <row r="280" spans="1:28" s="18" customFormat="1">
      <c r="A280" s="18" t="s">
        <v>1299</v>
      </c>
      <c r="B280" s="18" t="s">
        <v>9</v>
      </c>
      <c r="C280" s="18" t="s">
        <v>1300</v>
      </c>
      <c r="D280" s="18" t="s">
        <v>1301</v>
      </c>
      <c r="E280" s="19" t="s">
        <v>12</v>
      </c>
      <c r="F280" s="18" t="s">
        <v>13</v>
      </c>
      <c r="G280" s="29"/>
      <c r="H280" s="32" t="str">
        <f>IF(Prueba[[#This Row],[Cant.]]=0,"",IF(OR(Prueba[[#This Row],[Cant.2]]="",Prueba[[#This Row],[Puesto2]]=""),"?",Prueba[[#This Row],[Puesto2]]))</f>
        <v/>
      </c>
      <c r="I280" s="31"/>
      <c r="J280" s="32"/>
      <c r="K280" s="14">
        <v>2</v>
      </c>
      <c r="L280" s="14"/>
      <c r="M280" s="31">
        <v>2</v>
      </c>
      <c r="N280" s="32">
        <f>IF(Prueba[[#This Row],[Cant.4]]=0,"",IF(OR(Prueba[[#This Row],[Cant.6]]="",Prueba[[#This Row],[Puesto6]]=""),"?",Prueba[[#This Row],[Puesto6]]))</f>
        <v>6</v>
      </c>
      <c r="O280" s="31"/>
      <c r="P280" s="32" t="str">
        <f>IF(Prueba[[#This Row],[Cant.5]]=0,"",IF(OR(Prueba[[#This Row],[Cant.6]]="",Prueba[[#This Row],[Puesto6]]=""),"?",Prueba[[#This Row],[Puesto6]]))</f>
        <v/>
      </c>
      <c r="Q280" s="31">
        <v>2</v>
      </c>
      <c r="R280" s="32">
        <v>6</v>
      </c>
      <c r="S280" s="14">
        <v>2</v>
      </c>
      <c r="T280" s="14">
        <v>6</v>
      </c>
      <c r="U280" s="31"/>
      <c r="V280" s="32" t="s">
        <v>1663</v>
      </c>
      <c r="W280" s="19"/>
      <c r="X280" s="19" t="s">
        <v>1667</v>
      </c>
      <c r="Y280" s="19" t="s">
        <v>1663</v>
      </c>
      <c r="Z280" s="19" t="s">
        <v>1663</v>
      </c>
      <c r="AA280" s="19" t="s">
        <v>1663</v>
      </c>
      <c r="AB280" s="19" t="s">
        <v>1663</v>
      </c>
    </row>
    <row r="281" spans="1:28" s="18" customFormat="1">
      <c r="A281" s="18" t="s">
        <v>1412</v>
      </c>
      <c r="B281" s="18" t="s">
        <v>9</v>
      </c>
      <c r="C281" s="18" t="s">
        <v>1821</v>
      </c>
      <c r="D281" s="18" t="s">
        <v>1822</v>
      </c>
      <c r="E281" s="19" t="s">
        <v>12</v>
      </c>
      <c r="F281" s="18" t="s">
        <v>13</v>
      </c>
      <c r="G281" s="29"/>
      <c r="H281" s="32" t="str">
        <f>IF(Prueba[[#This Row],[Cant.]]=0,"",IF(OR(Prueba[[#This Row],[Cant.2]]="",Prueba[[#This Row],[Puesto2]]=""),"?",Prueba[[#This Row],[Puesto2]]))</f>
        <v/>
      </c>
      <c r="I281" s="31"/>
      <c r="J281" s="32"/>
      <c r="K281" s="14"/>
      <c r="L281" s="14"/>
      <c r="M281" s="31"/>
      <c r="N281" s="32" t="str">
        <f>IF(Prueba[[#This Row],[Cant.4]]=0,"",IF(OR(Prueba[[#This Row],[Cant.6]]="",Prueba[[#This Row],[Puesto6]]=""),"?",Prueba[[#This Row],[Puesto6]]))</f>
        <v/>
      </c>
      <c r="O281" s="31"/>
      <c r="P281" s="32" t="str">
        <f>IF(Prueba[[#This Row],[Cant.5]]=0,"",IF(OR(Prueba[[#This Row],[Cant.6]]="",Prueba[[#This Row],[Puesto6]]=""),"?",Prueba[[#This Row],[Puesto6]]))</f>
        <v/>
      </c>
      <c r="Q281" s="31"/>
      <c r="R281" s="32"/>
      <c r="S281" s="14"/>
      <c r="T281" s="14"/>
      <c r="U281" s="31">
        <v>2</v>
      </c>
      <c r="V281" s="32">
        <v>6</v>
      </c>
      <c r="W281" s="19"/>
      <c r="X281" s="19" t="s">
        <v>1667</v>
      </c>
      <c r="Y281" s="19" t="s">
        <v>1663</v>
      </c>
      <c r="Z281" s="19" t="s">
        <v>1663</v>
      </c>
      <c r="AA281" s="19" t="s">
        <v>1663</v>
      </c>
      <c r="AB281" s="19" t="s">
        <v>1663</v>
      </c>
    </row>
    <row r="282" spans="1:28" s="18" customFormat="1">
      <c r="A282" s="18" t="s">
        <v>770</v>
      </c>
      <c r="B282" s="18" t="s">
        <v>9</v>
      </c>
      <c r="C282" s="18" t="s">
        <v>771</v>
      </c>
      <c r="D282" s="18" t="s">
        <v>772</v>
      </c>
      <c r="E282" s="19" t="s">
        <v>22</v>
      </c>
      <c r="F282" s="18" t="s">
        <v>13</v>
      </c>
      <c r="G282" s="29"/>
      <c r="H282" s="32" t="str">
        <f>IF(Prueba[[#This Row],[Cant.]]=0,"",IF(OR(Prueba[[#This Row],[Cant.2]]="",Prueba[[#This Row],[Puesto2]]=""),"?",Prueba[[#This Row],[Puesto2]]))</f>
        <v/>
      </c>
      <c r="I282" s="31"/>
      <c r="J282" s="32"/>
      <c r="K282" s="14">
        <v>1</v>
      </c>
      <c r="L282" s="14"/>
      <c r="M282" s="31">
        <v>1</v>
      </c>
      <c r="N282" s="32">
        <f>IF(Prueba[[#This Row],[Cant.4]]=0,"",IF(OR(Prueba[[#This Row],[Cant.6]]="",Prueba[[#This Row],[Puesto6]]=""),"?",Prueba[[#This Row],[Puesto6]]))</f>
        <v>4</v>
      </c>
      <c r="O282" s="31">
        <v>1</v>
      </c>
      <c r="P282" s="32">
        <f>IF(Prueba[[#This Row],[Cant.5]]=0,"",IF(OR(Prueba[[#This Row],[Cant.6]]="",Prueba[[#This Row],[Puesto6]]=""),"?",Prueba[[#This Row],[Puesto6]]))</f>
        <v>4</v>
      </c>
      <c r="Q282" s="31">
        <v>1</v>
      </c>
      <c r="R282" s="32">
        <v>4</v>
      </c>
      <c r="S282" s="14">
        <v>1</v>
      </c>
      <c r="T282" s="14">
        <v>4</v>
      </c>
      <c r="U282" s="31"/>
      <c r="V282" s="32" t="s">
        <v>1663</v>
      </c>
      <c r="W282" s="19">
        <v>8</v>
      </c>
      <c r="X282" s="19" t="s">
        <v>1664</v>
      </c>
      <c r="Y282" s="19" t="s">
        <v>1663</v>
      </c>
      <c r="Z282" s="19" t="s">
        <v>1663</v>
      </c>
      <c r="AA282" s="19" t="s">
        <v>1663</v>
      </c>
      <c r="AB282" s="19" t="s">
        <v>1663</v>
      </c>
    </row>
    <row r="283" spans="1:28" s="18" customFormat="1">
      <c r="A283" s="18" t="s">
        <v>773</v>
      </c>
      <c r="B283" s="18" t="s">
        <v>9</v>
      </c>
      <c r="C283" s="18" t="s">
        <v>774</v>
      </c>
      <c r="D283" s="18" t="s">
        <v>775</v>
      </c>
      <c r="E283" s="19" t="s">
        <v>12</v>
      </c>
      <c r="F283" s="18" t="s">
        <v>13</v>
      </c>
      <c r="G283" s="29"/>
      <c r="H283" s="32" t="str">
        <f>IF(Prueba[[#This Row],[Cant.]]=0,"",IF(OR(Prueba[[#This Row],[Cant.2]]="",Prueba[[#This Row],[Puesto2]]=""),"?",Prueba[[#This Row],[Puesto2]]))</f>
        <v/>
      </c>
      <c r="I283" s="31"/>
      <c r="J283" s="32"/>
      <c r="K283" s="14">
        <v>1</v>
      </c>
      <c r="L283" s="14"/>
      <c r="M283" s="31">
        <v>1</v>
      </c>
      <c r="N283" s="32">
        <f>IF(Prueba[[#This Row],[Cant.4]]=0,"",IF(OR(Prueba[[#This Row],[Cant.6]]="",Prueba[[#This Row],[Puesto6]]=""),"?",Prueba[[#This Row],[Puesto6]]))</f>
        <v>6</v>
      </c>
      <c r="O283" s="31">
        <v>1</v>
      </c>
      <c r="P283" s="32">
        <f>IF(Prueba[[#This Row],[Cant.5]]=0,"",IF(OR(Prueba[[#This Row],[Cant.6]]="",Prueba[[#This Row],[Puesto6]]=""),"?",Prueba[[#This Row],[Puesto6]]))</f>
        <v>6</v>
      </c>
      <c r="Q283" s="31">
        <v>1</v>
      </c>
      <c r="R283" s="32">
        <v>6</v>
      </c>
      <c r="S283" s="14">
        <v>1</v>
      </c>
      <c r="T283" s="14">
        <v>6</v>
      </c>
      <c r="U283" s="31">
        <v>1</v>
      </c>
      <c r="V283" s="32">
        <v>6</v>
      </c>
      <c r="W283" s="19"/>
      <c r="X283" s="19" t="s">
        <v>1667</v>
      </c>
      <c r="Y283" s="19" t="s">
        <v>1663</v>
      </c>
      <c r="Z283" s="19" t="s">
        <v>1663</v>
      </c>
      <c r="AA283" s="19" t="s">
        <v>1663</v>
      </c>
      <c r="AB283" s="19" t="s">
        <v>1663</v>
      </c>
    </row>
    <row r="284" spans="1:28" s="18" customFormat="1">
      <c r="A284" s="18" t="s">
        <v>776</v>
      </c>
      <c r="B284" s="18" t="s">
        <v>9</v>
      </c>
      <c r="C284" s="18" t="s">
        <v>312</v>
      </c>
      <c r="D284" s="18" t="s">
        <v>739</v>
      </c>
      <c r="E284" s="19" t="s">
        <v>22</v>
      </c>
      <c r="F284" s="18" t="s">
        <v>13</v>
      </c>
      <c r="G284" s="29"/>
      <c r="H284" s="32" t="str">
        <f>IF(Prueba[[#This Row],[Cant.]]=0,"",IF(OR(Prueba[[#This Row],[Cant.2]]="",Prueba[[#This Row],[Puesto2]]=""),"?",Prueba[[#This Row],[Puesto2]]))</f>
        <v/>
      </c>
      <c r="I284" s="31"/>
      <c r="J284" s="32"/>
      <c r="K284" s="14">
        <v>2</v>
      </c>
      <c r="L284" s="14"/>
      <c r="M284" s="31">
        <v>2</v>
      </c>
      <c r="N284" s="32" t="str">
        <f>IF(Prueba[[#This Row],[Cant.4]]=0,"",IF(OR(Prueba[[#This Row],[Cant.6]]="",Prueba[[#This Row],[Puesto6]]=""),"?",Prueba[[#This Row],[Puesto6]]))</f>
        <v>1x2 + 1x5</v>
      </c>
      <c r="O284" s="31">
        <v>2</v>
      </c>
      <c r="P284" s="32" t="str">
        <f>IF(Prueba[[#This Row],[Cant.5]]=0,"",IF(OR(Prueba[[#This Row],[Cant.6]]="",Prueba[[#This Row],[Puesto6]]=""),"?",Prueba[[#This Row],[Puesto6]]))</f>
        <v>1x2 + 1x5</v>
      </c>
      <c r="Q284" s="31">
        <v>2</v>
      </c>
      <c r="R284" s="32" t="s">
        <v>1823</v>
      </c>
      <c r="S284" s="14">
        <v>2</v>
      </c>
      <c r="T284" s="14" t="s">
        <v>1824</v>
      </c>
      <c r="U284" s="31"/>
      <c r="V284" s="32" t="s">
        <v>1663</v>
      </c>
      <c r="W284" s="19">
        <v>8</v>
      </c>
      <c r="X284" s="19" t="s">
        <v>1664</v>
      </c>
      <c r="Y284" s="19" t="s">
        <v>1663</v>
      </c>
      <c r="Z284" s="19" t="s">
        <v>1663</v>
      </c>
      <c r="AA284" s="19" t="s">
        <v>1663</v>
      </c>
      <c r="AB284" s="19" t="s">
        <v>1663</v>
      </c>
    </row>
    <row r="285" spans="1:28" s="18" customFormat="1">
      <c r="A285" s="18" t="s">
        <v>777</v>
      </c>
      <c r="B285" s="18" t="s">
        <v>9</v>
      </c>
      <c r="C285" s="18" t="s">
        <v>312</v>
      </c>
      <c r="D285" s="18" t="s">
        <v>778</v>
      </c>
      <c r="E285" s="19" t="s">
        <v>22</v>
      </c>
      <c r="F285" s="18" t="s">
        <v>13</v>
      </c>
      <c r="G285" s="29"/>
      <c r="H285" s="32" t="str">
        <f>IF(Prueba[[#This Row],[Cant.]]=0,"",IF(OR(Prueba[[#This Row],[Cant.2]]="",Prueba[[#This Row],[Puesto2]]=""),"?",Prueba[[#This Row],[Puesto2]]))</f>
        <v/>
      </c>
      <c r="I285" s="31"/>
      <c r="J285" s="32"/>
      <c r="K285" s="14">
        <v>3</v>
      </c>
      <c r="L285" s="14"/>
      <c r="M285" s="31">
        <v>3</v>
      </c>
      <c r="N285" s="32">
        <f>IF(Prueba[[#This Row],[Cant.4]]=0,"",IF(OR(Prueba[[#This Row],[Cant.6]]="",Prueba[[#This Row],[Puesto6]]=""),"?",Prueba[[#This Row],[Puesto6]]))</f>
        <v>2</v>
      </c>
      <c r="O285" s="31">
        <v>3</v>
      </c>
      <c r="P285" s="32">
        <f>IF(Prueba[[#This Row],[Cant.5]]=0,"",IF(OR(Prueba[[#This Row],[Cant.6]]="",Prueba[[#This Row],[Puesto6]]=""),"?",Prueba[[#This Row],[Puesto6]]))</f>
        <v>2</v>
      </c>
      <c r="Q285" s="31">
        <v>3</v>
      </c>
      <c r="R285" s="32">
        <v>2</v>
      </c>
      <c r="S285" s="14">
        <v>3</v>
      </c>
      <c r="T285" s="14">
        <v>2</v>
      </c>
      <c r="U285" s="31"/>
      <c r="V285" s="32" t="s">
        <v>1663</v>
      </c>
      <c r="W285" s="19">
        <v>24</v>
      </c>
      <c r="X285" s="19" t="s">
        <v>1664</v>
      </c>
      <c r="Y285" s="19" t="s">
        <v>1663</v>
      </c>
      <c r="Z285" s="19" t="s">
        <v>1663</v>
      </c>
      <c r="AA285" s="19" t="s">
        <v>1663</v>
      </c>
      <c r="AB285" s="19" t="s">
        <v>1663</v>
      </c>
    </row>
    <row r="286" spans="1:28" s="18" customFormat="1">
      <c r="A286" s="18" t="s">
        <v>779</v>
      </c>
      <c r="B286" s="18" t="s">
        <v>9</v>
      </c>
      <c r="C286" s="18" t="s">
        <v>110</v>
      </c>
      <c r="D286" s="18" t="s">
        <v>111</v>
      </c>
      <c r="E286" s="19" t="s">
        <v>22</v>
      </c>
      <c r="F286" s="18" t="s">
        <v>13</v>
      </c>
      <c r="G286" s="29"/>
      <c r="H286" s="32" t="str">
        <f>IF(Prueba[[#This Row],[Cant.]]=0,"",IF(OR(Prueba[[#This Row],[Cant.2]]="",Prueba[[#This Row],[Puesto2]]=""),"?",Prueba[[#This Row],[Puesto2]]))</f>
        <v/>
      </c>
      <c r="I286" s="31"/>
      <c r="J286" s="32"/>
      <c r="K286" s="14"/>
      <c r="L286" s="14"/>
      <c r="M286" s="31"/>
      <c r="N286" s="32" t="str">
        <f>IF(Prueba[[#This Row],[Cant.4]]=0,"",IF(OR(Prueba[[#This Row],[Cant.6]]="",Prueba[[#This Row],[Puesto6]]=""),"?",Prueba[[#This Row],[Puesto6]]))</f>
        <v/>
      </c>
      <c r="O286" s="31"/>
      <c r="P286" s="32" t="str">
        <f>IF(Prueba[[#This Row],[Cant.5]]=0,"",IF(OR(Prueba[[#This Row],[Cant.6]]="",Prueba[[#This Row],[Puesto6]]=""),"?",Prueba[[#This Row],[Puesto6]]))</f>
        <v/>
      </c>
      <c r="Q286" s="31"/>
      <c r="R286" s="32"/>
      <c r="S286" s="14"/>
      <c r="T286" s="14"/>
      <c r="U286" s="31"/>
      <c r="V286" s="32" t="s">
        <v>1663</v>
      </c>
      <c r="W286" s="19">
        <v>0</v>
      </c>
      <c r="X286" s="19" t="s">
        <v>1664</v>
      </c>
      <c r="Y286" s="19" t="s">
        <v>1663</v>
      </c>
      <c r="Z286" s="19" t="s">
        <v>1663</v>
      </c>
      <c r="AA286" s="19" t="s">
        <v>1663</v>
      </c>
      <c r="AB286" s="19" t="s">
        <v>1663</v>
      </c>
    </row>
    <row r="287" spans="1:28" s="18" customFormat="1">
      <c r="A287" s="18" t="s">
        <v>464</v>
      </c>
      <c r="B287" s="18" t="s">
        <v>9</v>
      </c>
      <c r="C287" s="18" t="s">
        <v>465</v>
      </c>
      <c r="D287" s="18" t="s">
        <v>465</v>
      </c>
      <c r="E287" s="19" t="s">
        <v>18</v>
      </c>
      <c r="F287" s="18" t="s">
        <v>13</v>
      </c>
      <c r="G287" s="29">
        <v>2</v>
      </c>
      <c r="H287" s="32">
        <f>IF(Prueba[[#This Row],[Cant.]]=0,"",IF(OR(Prueba[[#This Row],[Cant.2]]="",Prueba[[#This Row],[Puesto2]]=""),"?",Prueba[[#This Row],[Puesto2]]))</f>
        <v>3</v>
      </c>
      <c r="I287" s="31">
        <v>2</v>
      </c>
      <c r="J287" s="32">
        <v>3</v>
      </c>
      <c r="K287" s="14"/>
      <c r="L287" s="14"/>
      <c r="M287" s="31"/>
      <c r="N287" s="32" t="str">
        <f>IF(Prueba[[#This Row],[Cant.4]]=0,"",IF(OR(Prueba[[#This Row],[Cant.6]]="",Prueba[[#This Row],[Puesto6]]=""),"?",Prueba[[#This Row],[Puesto6]]))</f>
        <v/>
      </c>
      <c r="O287" s="31"/>
      <c r="P287" s="32" t="str">
        <f>IF(Prueba[[#This Row],[Cant.5]]=0,"",IF(OR(Prueba[[#This Row],[Cant.6]]="",Prueba[[#This Row],[Puesto6]]=""),"?",Prueba[[#This Row],[Puesto6]]))</f>
        <v/>
      </c>
      <c r="Q287" s="31"/>
      <c r="R287" s="32"/>
      <c r="S287" s="14"/>
      <c r="T287" s="14"/>
      <c r="U287" s="31"/>
      <c r="V287" s="32" t="s">
        <v>1663</v>
      </c>
      <c r="W287" s="19"/>
      <c r="X287" s="19" t="s">
        <v>1667</v>
      </c>
      <c r="Y287" s="19">
        <v>2</v>
      </c>
      <c r="Z287" s="19">
        <v>3</v>
      </c>
      <c r="AA287" s="19">
        <v>2</v>
      </c>
      <c r="AB287" s="19">
        <v>3</v>
      </c>
    </row>
    <row r="288" spans="1:28" s="18" customFormat="1">
      <c r="A288" s="18" t="s">
        <v>466</v>
      </c>
      <c r="B288" s="18" t="s">
        <v>9</v>
      </c>
      <c r="C288" s="18" t="s">
        <v>467</v>
      </c>
      <c r="D288" s="18" t="s">
        <v>468</v>
      </c>
      <c r="E288" s="19" t="s">
        <v>22</v>
      </c>
      <c r="F288" s="18" t="s">
        <v>13</v>
      </c>
      <c r="G288" s="29">
        <v>1</v>
      </c>
      <c r="H288" s="32">
        <f>IF(Prueba[[#This Row],[Cant.]]=0,"",IF(OR(Prueba[[#This Row],[Cant.2]]="",Prueba[[#This Row],[Puesto2]]=""),"?",Prueba[[#This Row],[Puesto2]]))</f>
        <v>6</v>
      </c>
      <c r="I288" s="31">
        <v>1</v>
      </c>
      <c r="J288" s="32">
        <v>6</v>
      </c>
      <c r="K288" s="14">
        <v>1</v>
      </c>
      <c r="L288" s="14"/>
      <c r="M288" s="31">
        <v>1</v>
      </c>
      <c r="N288" s="32">
        <f>IF(Prueba[[#This Row],[Cant.4]]=0,"",IF(OR(Prueba[[#This Row],[Cant.6]]="",Prueba[[#This Row],[Puesto6]]=""),"?",Prueba[[#This Row],[Puesto6]]))</f>
        <v>6</v>
      </c>
      <c r="O288" s="31">
        <v>1</v>
      </c>
      <c r="P288" s="32">
        <f>IF(Prueba[[#This Row],[Cant.5]]=0,"",IF(OR(Prueba[[#This Row],[Cant.6]]="",Prueba[[#This Row],[Puesto6]]=""),"?",Prueba[[#This Row],[Puesto6]]))</f>
        <v>6</v>
      </c>
      <c r="Q288" s="31">
        <v>1</v>
      </c>
      <c r="R288" s="32">
        <v>6</v>
      </c>
      <c r="S288" s="14">
        <v>1</v>
      </c>
      <c r="T288" s="14">
        <v>6</v>
      </c>
      <c r="U288" s="31">
        <v>1</v>
      </c>
      <c r="V288" s="32">
        <v>6</v>
      </c>
      <c r="W288" s="19">
        <v>8</v>
      </c>
      <c r="X288" s="19" t="s">
        <v>1664</v>
      </c>
      <c r="Y288" s="19">
        <v>2</v>
      </c>
      <c r="Z288" s="19">
        <v>6</v>
      </c>
      <c r="AA288" s="19">
        <v>2</v>
      </c>
      <c r="AB288" s="19">
        <v>6</v>
      </c>
    </row>
    <row r="289" spans="1:28" s="40" customFormat="1">
      <c r="A289" s="18" t="s">
        <v>1414</v>
      </c>
      <c r="B289" s="18" t="s">
        <v>9</v>
      </c>
      <c r="C289" s="18" t="s">
        <v>1813</v>
      </c>
      <c r="D289" s="18" t="s">
        <v>1814</v>
      </c>
      <c r="E289" s="19" t="s">
        <v>1733</v>
      </c>
      <c r="F289" s="18" t="s">
        <v>13</v>
      </c>
      <c r="G289" s="29"/>
      <c r="H289" s="32" t="str">
        <f>IF(Prueba[[#This Row],[Cant.]]=0,"",IF(OR(Prueba[[#This Row],[Cant.2]]="",Prueba[[#This Row],[Puesto2]]=""),"?",Prueba[[#This Row],[Puesto2]]))</f>
        <v/>
      </c>
      <c r="I289" s="31"/>
      <c r="J289" s="32"/>
      <c r="K289" s="14"/>
      <c r="L289" s="14"/>
      <c r="M289" s="31"/>
      <c r="N289" s="32" t="str">
        <f>IF(Prueba[[#This Row],[Cant.4]]=0,"",IF(OR(Prueba[[#This Row],[Cant.6]]="",Prueba[[#This Row],[Puesto6]]=""),"?",Prueba[[#This Row],[Puesto6]]))</f>
        <v/>
      </c>
      <c r="O289" s="31"/>
      <c r="P289" s="32" t="str">
        <f>IF(Prueba[[#This Row],[Cant.5]]=0,"",IF(OR(Prueba[[#This Row],[Cant.6]]="",Prueba[[#This Row],[Puesto6]]=""),"?",Prueba[[#This Row],[Puesto6]]))</f>
        <v/>
      </c>
      <c r="Q289" s="31"/>
      <c r="R289" s="32"/>
      <c r="S289" s="14"/>
      <c r="T289" s="14"/>
      <c r="U289" s="31">
        <v>1</v>
      </c>
      <c r="V289" s="32">
        <v>5</v>
      </c>
      <c r="W289" s="19">
        <v>8</v>
      </c>
      <c r="X289" s="19" t="s">
        <v>1664</v>
      </c>
      <c r="Y289" s="19" t="s">
        <v>1663</v>
      </c>
      <c r="Z289" s="19" t="s">
        <v>1663</v>
      </c>
      <c r="AA289" s="19" t="s">
        <v>1663</v>
      </c>
      <c r="AB289" s="19" t="s">
        <v>1663</v>
      </c>
    </row>
    <row r="290" spans="1:28" s="18" customFormat="1">
      <c r="A290" s="18" t="s">
        <v>780</v>
      </c>
      <c r="B290" s="18" t="s">
        <v>9</v>
      </c>
      <c r="C290" s="18" t="s">
        <v>265</v>
      </c>
      <c r="D290" s="18" t="s">
        <v>265</v>
      </c>
      <c r="E290" s="19" t="s">
        <v>22</v>
      </c>
      <c r="F290" s="18" t="s">
        <v>13</v>
      </c>
      <c r="G290" s="29"/>
      <c r="H290" s="32" t="str">
        <f>IF(Prueba[[#This Row],[Cant.]]=0,"",IF(OR(Prueba[[#This Row],[Cant.2]]="",Prueba[[#This Row],[Puesto2]]=""),"?",Prueba[[#This Row],[Puesto2]]))</f>
        <v/>
      </c>
      <c r="I290" s="31"/>
      <c r="J290" s="32"/>
      <c r="K290" s="14">
        <v>2</v>
      </c>
      <c r="L290" s="14"/>
      <c r="M290" s="31">
        <v>2</v>
      </c>
      <c r="N290" s="32">
        <f>IF(Prueba[[#This Row],[Cant.4]]=0,"",IF(OR(Prueba[[#This Row],[Cant.6]]="",Prueba[[#This Row],[Puesto6]]=""),"?",Prueba[[#This Row],[Puesto6]]))</f>
        <v>0</v>
      </c>
      <c r="O290" s="31">
        <v>2</v>
      </c>
      <c r="P290" s="32">
        <f>IF(Prueba[[#This Row],[Cant.5]]=0,"",IF(OR(Prueba[[#This Row],[Cant.6]]="",Prueba[[#This Row],[Puesto6]]=""),"?",Prueba[[#This Row],[Puesto6]]))</f>
        <v>0</v>
      </c>
      <c r="Q290" s="31">
        <v>2</v>
      </c>
      <c r="R290" s="32">
        <v>0</v>
      </c>
      <c r="S290" s="14">
        <v>2</v>
      </c>
      <c r="T290" s="14">
        <v>0</v>
      </c>
      <c r="U290" s="31">
        <v>1</v>
      </c>
      <c r="V290" s="32">
        <v>1</v>
      </c>
      <c r="W290" s="19">
        <v>16</v>
      </c>
      <c r="X290" s="19" t="s">
        <v>1664</v>
      </c>
      <c r="Y290" s="19" t="s">
        <v>1663</v>
      </c>
      <c r="Z290" s="19" t="s">
        <v>1663</v>
      </c>
      <c r="AA290" s="19" t="s">
        <v>1663</v>
      </c>
      <c r="AB290" s="19" t="s">
        <v>1663</v>
      </c>
    </row>
    <row r="291" spans="1:28" s="18" customFormat="1">
      <c r="A291" s="18" t="s">
        <v>1825</v>
      </c>
      <c r="B291" s="18" t="s">
        <v>9</v>
      </c>
      <c r="C291" s="18" t="s">
        <v>470</v>
      </c>
      <c r="D291" s="18" t="s">
        <v>471</v>
      </c>
      <c r="E291" s="19" t="s">
        <v>22</v>
      </c>
      <c r="F291" s="18" t="s">
        <v>13</v>
      </c>
      <c r="G291" s="29"/>
      <c r="H291" s="32" t="str">
        <f>IF(Prueba[[#This Row],[Cant.]]=0,"",IF(OR(Prueba[[#This Row],[Cant.2]]="",Prueba[[#This Row],[Puesto2]]=""),"?",Prueba[[#This Row],[Puesto2]]))</f>
        <v/>
      </c>
      <c r="I291" s="31"/>
      <c r="J291" s="32"/>
      <c r="K291" s="14"/>
      <c r="L291" s="14"/>
      <c r="M291" s="31"/>
      <c r="N291" s="32" t="str">
        <f>IF(Prueba[[#This Row],[Cant.4]]=0,"",IF(OR(Prueba[[#This Row],[Cant.6]]="",Prueba[[#This Row],[Puesto6]]=""),"?",Prueba[[#This Row],[Puesto6]]))</f>
        <v/>
      </c>
      <c r="O291" s="31"/>
      <c r="P291" s="32" t="str">
        <f>IF(Prueba[[#This Row],[Cant.5]]=0,"",IF(OR(Prueba[[#This Row],[Cant.6]]="",Prueba[[#This Row],[Puesto6]]=""),"?",Prueba[[#This Row],[Puesto6]]))</f>
        <v/>
      </c>
      <c r="Q291" s="31"/>
      <c r="R291" s="32"/>
      <c r="S291" s="14"/>
      <c r="T291" s="14"/>
      <c r="U291" s="31"/>
      <c r="V291" s="32" t="s">
        <v>1663</v>
      </c>
      <c r="W291" s="19">
        <v>24</v>
      </c>
      <c r="X291" s="19" t="s">
        <v>1664</v>
      </c>
      <c r="Y291" s="19">
        <v>3</v>
      </c>
      <c r="Z291" s="19" t="s">
        <v>1402</v>
      </c>
      <c r="AA291" s="19">
        <v>3</v>
      </c>
      <c r="AB291" s="19" t="s">
        <v>1402</v>
      </c>
    </row>
    <row r="292" spans="1:28" s="18" customFormat="1">
      <c r="A292" s="18" t="s">
        <v>469</v>
      </c>
      <c r="B292" s="18" t="s">
        <v>9</v>
      </c>
      <c r="C292" s="18" t="s">
        <v>470</v>
      </c>
      <c r="D292" s="18" t="s">
        <v>471</v>
      </c>
      <c r="E292" s="19" t="s">
        <v>22</v>
      </c>
      <c r="F292" s="18" t="s">
        <v>13</v>
      </c>
      <c r="G292" s="29">
        <v>2</v>
      </c>
      <c r="H292" s="32" t="str">
        <f>IF(Prueba[[#This Row],[Cant.]]=0,"",IF(OR(Prueba[[#This Row],[Cant.2]]="",Prueba[[#This Row],[Puesto2]]=""),"?",Prueba[[#This Row],[Puesto2]]))</f>
        <v>C</v>
      </c>
      <c r="I292" s="31">
        <v>2</v>
      </c>
      <c r="J292" s="32" t="s">
        <v>1402</v>
      </c>
      <c r="K292" s="14">
        <v>2</v>
      </c>
      <c r="L292" s="14"/>
      <c r="M292" s="31">
        <v>2</v>
      </c>
      <c r="N292" s="32" t="str">
        <f>IF(Prueba[[#This Row],[Cant.4]]=0,"",IF(OR(Prueba[[#This Row],[Cant.6]]="",Prueba[[#This Row],[Puesto6]]=""),"?",Prueba[[#This Row],[Puesto6]]))</f>
        <v>C</v>
      </c>
      <c r="O292" s="31">
        <v>2</v>
      </c>
      <c r="P292" s="32" t="str">
        <f>IF(Prueba[[#This Row],[Cant.5]]=0,"",IF(OR(Prueba[[#This Row],[Cant.6]]="",Prueba[[#This Row],[Puesto6]]=""),"?",Prueba[[#This Row],[Puesto6]]))</f>
        <v>C</v>
      </c>
      <c r="Q292" s="31">
        <v>2</v>
      </c>
      <c r="R292" s="32" t="s">
        <v>1402</v>
      </c>
      <c r="S292" s="14">
        <v>3</v>
      </c>
      <c r="T292" s="14" t="s">
        <v>1402</v>
      </c>
      <c r="U292" s="31">
        <v>2</v>
      </c>
      <c r="V292" s="32" t="s">
        <v>1402</v>
      </c>
      <c r="W292" s="19">
        <v>16</v>
      </c>
      <c r="X292" s="19" t="s">
        <v>1664</v>
      </c>
      <c r="Y292" s="19">
        <v>3</v>
      </c>
      <c r="Z292" s="19" t="s">
        <v>1402</v>
      </c>
      <c r="AA292" s="19">
        <v>3</v>
      </c>
      <c r="AB292" s="19" t="s">
        <v>1402</v>
      </c>
    </row>
    <row r="293" spans="1:28" s="18" customFormat="1">
      <c r="A293" s="18" t="s">
        <v>781</v>
      </c>
      <c r="B293" s="18" t="s">
        <v>9</v>
      </c>
      <c r="C293" s="18" t="s">
        <v>312</v>
      </c>
      <c r="D293" s="18" t="s">
        <v>739</v>
      </c>
      <c r="E293" s="19" t="s">
        <v>22</v>
      </c>
      <c r="F293" s="18" t="s">
        <v>13</v>
      </c>
      <c r="G293" s="29"/>
      <c r="H293" s="32" t="str">
        <f>IF(Prueba[[#This Row],[Cant.]]=0,"",IF(OR(Prueba[[#This Row],[Cant.2]]="",Prueba[[#This Row],[Puesto2]]=""),"?",Prueba[[#This Row],[Puesto2]]))</f>
        <v/>
      </c>
      <c r="I293" s="31"/>
      <c r="J293" s="32"/>
      <c r="K293" s="14">
        <v>1</v>
      </c>
      <c r="L293" s="14"/>
      <c r="M293" s="31">
        <v>1</v>
      </c>
      <c r="N293" s="32">
        <f>IF(Prueba[[#This Row],[Cant.4]]=0,"",IF(OR(Prueba[[#This Row],[Cant.6]]="",Prueba[[#This Row],[Puesto6]]=""),"?",Prueba[[#This Row],[Puesto6]]))</f>
        <v>0</v>
      </c>
      <c r="O293" s="31">
        <v>1</v>
      </c>
      <c r="P293" s="32">
        <f>IF(Prueba[[#This Row],[Cant.5]]=0,"",IF(OR(Prueba[[#This Row],[Cant.6]]="",Prueba[[#This Row],[Puesto6]]=""),"?",Prueba[[#This Row],[Puesto6]]))</f>
        <v>0</v>
      </c>
      <c r="Q293" s="31">
        <v>1</v>
      </c>
      <c r="R293" s="32">
        <v>0</v>
      </c>
      <c r="S293" s="14">
        <v>1</v>
      </c>
      <c r="T293" s="14">
        <v>0</v>
      </c>
      <c r="U293" s="31"/>
      <c r="V293" s="32" t="s">
        <v>1663</v>
      </c>
      <c r="W293" s="19">
        <v>8</v>
      </c>
      <c r="X293" s="19" t="s">
        <v>1664</v>
      </c>
      <c r="Y293" s="19" t="s">
        <v>1663</v>
      </c>
      <c r="Z293" s="19" t="s">
        <v>1663</v>
      </c>
      <c r="AA293" s="19" t="s">
        <v>1663</v>
      </c>
      <c r="AB293" s="19" t="s">
        <v>1663</v>
      </c>
    </row>
    <row r="294" spans="1:28" s="18" customFormat="1">
      <c r="A294" s="18" t="s">
        <v>782</v>
      </c>
      <c r="B294" s="18" t="s">
        <v>9</v>
      </c>
      <c r="C294" s="18" t="s">
        <v>558</v>
      </c>
      <c r="D294" s="18" t="s">
        <v>558</v>
      </c>
      <c r="E294" s="19" t="s">
        <v>22</v>
      </c>
      <c r="F294" s="18" t="s">
        <v>13</v>
      </c>
      <c r="G294" s="29"/>
      <c r="H294" s="32" t="str">
        <f>IF(Prueba[[#This Row],[Cant.]]=0,"",IF(OR(Prueba[[#This Row],[Cant.2]]="",Prueba[[#This Row],[Puesto2]]=""),"?",Prueba[[#This Row],[Puesto2]]))</f>
        <v/>
      </c>
      <c r="I294" s="31"/>
      <c r="J294" s="32"/>
      <c r="K294" s="14">
        <v>2</v>
      </c>
      <c r="L294" s="14"/>
      <c r="M294" s="31">
        <v>2</v>
      </c>
      <c r="N294" s="32">
        <f>IF(Prueba[[#This Row],[Cant.4]]=0,"",IF(OR(Prueba[[#This Row],[Cant.6]]="",Prueba[[#This Row],[Puesto6]]=""),"?",Prueba[[#This Row],[Puesto6]]))</f>
        <v>0</v>
      </c>
      <c r="O294" s="31">
        <v>2</v>
      </c>
      <c r="P294" s="32">
        <f>IF(Prueba[[#This Row],[Cant.5]]=0,"",IF(OR(Prueba[[#This Row],[Cant.6]]="",Prueba[[#This Row],[Puesto6]]=""),"?",Prueba[[#This Row],[Puesto6]]))</f>
        <v>0</v>
      </c>
      <c r="Q294" s="31">
        <v>2</v>
      </c>
      <c r="R294" s="32">
        <v>0</v>
      </c>
      <c r="S294" s="14">
        <v>2</v>
      </c>
      <c r="T294" s="14">
        <v>0</v>
      </c>
      <c r="U294" s="31"/>
      <c r="V294" s="32" t="s">
        <v>1663</v>
      </c>
      <c r="W294" s="19">
        <v>16</v>
      </c>
      <c r="X294" s="19" t="s">
        <v>1664</v>
      </c>
      <c r="Y294" s="19" t="s">
        <v>1663</v>
      </c>
      <c r="Z294" s="19" t="s">
        <v>1663</v>
      </c>
      <c r="AA294" s="19" t="s">
        <v>1663</v>
      </c>
      <c r="AB294" s="19" t="s">
        <v>1663</v>
      </c>
    </row>
    <row r="295" spans="1:28" s="18" customFormat="1">
      <c r="A295" s="18" t="s">
        <v>1826</v>
      </c>
      <c r="B295" s="18" t="s">
        <v>9</v>
      </c>
      <c r="C295" s="18" t="s">
        <v>1827</v>
      </c>
      <c r="D295" s="18" t="s">
        <v>1828</v>
      </c>
      <c r="E295" s="19" t="s">
        <v>1733</v>
      </c>
      <c r="F295" s="18" t="s">
        <v>13</v>
      </c>
      <c r="G295" s="29"/>
      <c r="H295" s="32" t="str">
        <f>IF(Prueba[[#This Row],[Cant.]]=0,"",IF(OR(Prueba[[#This Row],[Cant.2]]="",Prueba[[#This Row],[Puesto2]]=""),"?",Prueba[[#This Row],[Puesto2]]))</f>
        <v/>
      </c>
      <c r="I295" s="31"/>
      <c r="J295" s="32"/>
      <c r="K295" s="14"/>
      <c r="L295" s="14"/>
      <c r="M295" s="31"/>
      <c r="N295" s="32" t="str">
        <f>IF(Prueba[[#This Row],[Cant.4]]=0,"",IF(OR(Prueba[[#This Row],[Cant.6]]="",Prueba[[#This Row],[Puesto6]]=""),"?",Prueba[[#This Row],[Puesto6]]))</f>
        <v/>
      </c>
      <c r="O295" s="31"/>
      <c r="P295" s="32" t="str">
        <f>IF(Prueba[[#This Row],[Cant.5]]=0,"",IF(OR(Prueba[[#This Row],[Cant.6]]="",Prueba[[#This Row],[Puesto6]]=""),"?",Prueba[[#This Row],[Puesto6]]))</f>
        <v/>
      </c>
      <c r="Q295" s="31"/>
      <c r="R295" s="32"/>
      <c r="S295" s="14">
        <v>8</v>
      </c>
      <c r="T295" s="14" t="s">
        <v>1399</v>
      </c>
      <c r="U295" s="31"/>
      <c r="V295" s="32" t="s">
        <v>1663</v>
      </c>
      <c r="W295" s="19">
        <v>64</v>
      </c>
      <c r="X295" s="19" t="s">
        <v>1664</v>
      </c>
      <c r="Y295" s="19" t="s">
        <v>1663</v>
      </c>
      <c r="Z295" s="19" t="s">
        <v>1663</v>
      </c>
      <c r="AA295" s="19" t="s">
        <v>1663</v>
      </c>
      <c r="AB295" s="19" t="s">
        <v>1663</v>
      </c>
    </row>
    <row r="296" spans="1:28" s="18" customFormat="1">
      <c r="A296" s="18" t="s">
        <v>472</v>
      </c>
      <c r="B296" s="18" t="s">
        <v>9</v>
      </c>
      <c r="C296" s="18" t="s">
        <v>473</v>
      </c>
      <c r="D296" s="18" t="s">
        <v>474</v>
      </c>
      <c r="E296" s="19" t="s">
        <v>18</v>
      </c>
      <c r="F296" s="18" t="s">
        <v>13</v>
      </c>
      <c r="G296" s="29">
        <v>2</v>
      </c>
      <c r="H296" s="32">
        <f>IF(Prueba[[#This Row],[Cant.]]=0,"",IF(OR(Prueba[[#This Row],[Cant.2]]="",Prueba[[#This Row],[Puesto2]]=""),"?",Prueba[[#This Row],[Puesto2]]))</f>
        <v>0</v>
      </c>
      <c r="I296" s="31">
        <v>2</v>
      </c>
      <c r="J296" s="32">
        <v>0</v>
      </c>
      <c r="K296" s="14"/>
      <c r="L296" s="14"/>
      <c r="M296" s="31"/>
      <c r="N296" s="32" t="str">
        <f>IF(Prueba[[#This Row],[Cant.4]]=0,"",IF(OR(Prueba[[#This Row],[Cant.6]]="",Prueba[[#This Row],[Puesto6]]=""),"?",Prueba[[#This Row],[Puesto6]]))</f>
        <v/>
      </c>
      <c r="O296" s="31"/>
      <c r="P296" s="32" t="str">
        <f>IF(Prueba[[#This Row],[Cant.5]]=0,"",IF(OR(Prueba[[#This Row],[Cant.6]]="",Prueba[[#This Row],[Puesto6]]=""),"?",Prueba[[#This Row],[Puesto6]]))</f>
        <v/>
      </c>
      <c r="Q296" s="31"/>
      <c r="R296" s="32"/>
      <c r="S296" s="14"/>
      <c r="T296" s="14"/>
      <c r="U296" s="31"/>
      <c r="V296" s="32" t="s">
        <v>1663</v>
      </c>
      <c r="W296" s="19"/>
      <c r="X296" s="19" t="s">
        <v>1667</v>
      </c>
      <c r="Y296" s="19">
        <v>2</v>
      </c>
      <c r="Z296" s="19">
        <v>0</v>
      </c>
      <c r="AA296" s="19">
        <v>2</v>
      </c>
      <c r="AB296" s="19">
        <v>0</v>
      </c>
    </row>
    <row r="297" spans="1:28" s="18" customFormat="1">
      <c r="A297" s="18" t="s">
        <v>475</v>
      </c>
      <c r="B297" s="18" t="s">
        <v>9</v>
      </c>
      <c r="C297" s="18" t="s">
        <v>473</v>
      </c>
      <c r="D297" s="18" t="s">
        <v>474</v>
      </c>
      <c r="E297" s="19" t="s">
        <v>22</v>
      </c>
      <c r="F297" s="18" t="s">
        <v>13</v>
      </c>
      <c r="G297" s="29">
        <v>2</v>
      </c>
      <c r="H297" s="32">
        <f>IF(Prueba[[#This Row],[Cant.]]=0,"",IF(OR(Prueba[[#This Row],[Cant.2]]="",Prueba[[#This Row],[Puesto2]]=""),"?",Prueba[[#This Row],[Puesto2]]))</f>
        <v>0</v>
      </c>
      <c r="I297" s="31">
        <v>2</v>
      </c>
      <c r="J297" s="32">
        <v>0</v>
      </c>
      <c r="K297" s="14"/>
      <c r="L297" s="14"/>
      <c r="M297" s="31"/>
      <c r="N297" s="32" t="str">
        <f>IF(Prueba[[#This Row],[Cant.4]]=0,"",IF(OR(Prueba[[#This Row],[Cant.6]]="",Prueba[[#This Row],[Puesto6]]=""),"?",Prueba[[#This Row],[Puesto6]]))</f>
        <v/>
      </c>
      <c r="O297" s="31"/>
      <c r="P297" s="32" t="str">
        <f>IF(Prueba[[#This Row],[Cant.5]]=0,"",IF(OR(Prueba[[#This Row],[Cant.6]]="",Prueba[[#This Row],[Puesto6]]=""),"?",Prueba[[#This Row],[Puesto6]]))</f>
        <v/>
      </c>
      <c r="Q297" s="31"/>
      <c r="R297" s="32"/>
      <c r="S297" s="14"/>
      <c r="T297" s="14"/>
      <c r="U297" s="31"/>
      <c r="V297" s="32" t="s">
        <v>1663</v>
      </c>
      <c r="W297" s="19">
        <v>16</v>
      </c>
      <c r="X297" s="19" t="s">
        <v>1664</v>
      </c>
      <c r="Y297" s="19">
        <v>3</v>
      </c>
      <c r="Z297" s="19">
        <v>0</v>
      </c>
      <c r="AA297" s="19">
        <v>3</v>
      </c>
      <c r="AB297" s="19">
        <v>0</v>
      </c>
    </row>
    <row r="298" spans="1:28" s="18" customFormat="1">
      <c r="A298" s="18" t="s">
        <v>476</v>
      </c>
      <c r="B298" s="18" t="s">
        <v>9</v>
      </c>
      <c r="C298" s="18" t="s">
        <v>153</v>
      </c>
      <c r="D298" s="18" t="s">
        <v>477</v>
      </c>
      <c r="E298" s="19" t="s">
        <v>22</v>
      </c>
      <c r="F298" s="18" t="s">
        <v>13</v>
      </c>
      <c r="G298" s="29">
        <v>4</v>
      </c>
      <c r="H298" s="32" t="str">
        <f>IF(Prueba[[#This Row],[Cant.]]=0,"",IF(OR(Prueba[[#This Row],[Cant.2]]="",Prueba[[#This Row],[Puesto2]]=""),"?",Prueba[[#This Row],[Puesto2]]))</f>
        <v>C</v>
      </c>
      <c r="I298" s="31">
        <v>4</v>
      </c>
      <c r="J298" s="32" t="s">
        <v>1402</v>
      </c>
      <c r="K298" s="14"/>
      <c r="L298" s="14"/>
      <c r="M298" s="31"/>
      <c r="N298" s="32" t="str">
        <f>IF(Prueba[[#This Row],[Cant.4]]=0,"",IF(OR(Prueba[[#This Row],[Cant.6]]="",Prueba[[#This Row],[Puesto6]]=""),"?",Prueba[[#This Row],[Puesto6]]))</f>
        <v/>
      </c>
      <c r="O298" s="31"/>
      <c r="P298" s="32" t="str">
        <f>IF(Prueba[[#This Row],[Cant.5]]=0,"",IF(OR(Prueba[[#This Row],[Cant.6]]="",Prueba[[#This Row],[Puesto6]]=""),"?",Prueba[[#This Row],[Puesto6]]))</f>
        <v/>
      </c>
      <c r="Q298" s="31"/>
      <c r="R298" s="32"/>
      <c r="S298" s="14"/>
      <c r="T298" s="14"/>
      <c r="U298" s="31"/>
      <c r="V298" s="32" t="s">
        <v>1663</v>
      </c>
      <c r="W298" s="19">
        <v>32</v>
      </c>
      <c r="X298" s="19" t="s">
        <v>1664</v>
      </c>
      <c r="Y298" s="19">
        <v>5</v>
      </c>
      <c r="Z298" s="19" t="s">
        <v>1402</v>
      </c>
      <c r="AA298" s="19">
        <v>5</v>
      </c>
      <c r="AB298" s="19" t="s">
        <v>1402</v>
      </c>
    </row>
    <row r="299" spans="1:28" s="18" customFormat="1">
      <c r="A299" s="18" t="s">
        <v>1415</v>
      </c>
      <c r="B299" s="18" t="s">
        <v>9</v>
      </c>
      <c r="C299" s="18" t="s">
        <v>1813</v>
      </c>
      <c r="D299" s="18" t="s">
        <v>1814</v>
      </c>
      <c r="E299" s="19" t="s">
        <v>1815</v>
      </c>
      <c r="F299" s="18" t="s">
        <v>13</v>
      </c>
      <c r="G299" s="29"/>
      <c r="H299" s="32" t="str">
        <f>IF(Prueba[[#This Row],[Cant.]]=0,"",IF(OR(Prueba[[#This Row],[Cant.2]]="",Prueba[[#This Row],[Puesto2]]=""),"?",Prueba[[#This Row],[Puesto2]]))</f>
        <v/>
      </c>
      <c r="I299" s="31"/>
      <c r="J299" s="32"/>
      <c r="K299" s="14"/>
      <c r="L299" s="14"/>
      <c r="M299" s="31"/>
      <c r="N299" s="32" t="str">
        <f>IF(Prueba[[#This Row],[Cant.4]]=0,"",IF(OR(Prueba[[#This Row],[Cant.6]]="",Prueba[[#This Row],[Puesto6]]=""),"?",Prueba[[#This Row],[Puesto6]]))</f>
        <v/>
      </c>
      <c r="O299" s="31"/>
      <c r="P299" s="32" t="str">
        <f>IF(Prueba[[#This Row],[Cant.5]]=0,"",IF(OR(Prueba[[#This Row],[Cant.6]]="",Prueba[[#This Row],[Puesto6]]=""),"?",Prueba[[#This Row],[Puesto6]]))</f>
        <v/>
      </c>
      <c r="Q299" s="31"/>
      <c r="R299" s="32"/>
      <c r="S299" s="14"/>
      <c r="T299" s="14"/>
      <c r="U299" s="31">
        <v>2</v>
      </c>
      <c r="V299" s="32">
        <v>6</v>
      </c>
      <c r="W299" s="19"/>
      <c r="X299" s="19" t="s">
        <v>1667</v>
      </c>
      <c r="Y299" s="19" t="s">
        <v>1663</v>
      </c>
      <c r="Z299" s="19" t="s">
        <v>1663</v>
      </c>
      <c r="AA299" s="19" t="s">
        <v>1663</v>
      </c>
      <c r="AB299" s="19" t="s">
        <v>1663</v>
      </c>
    </row>
    <row r="300" spans="1:28" s="18" customFormat="1">
      <c r="A300" s="18" t="s">
        <v>783</v>
      </c>
      <c r="B300" s="18" t="s">
        <v>9</v>
      </c>
      <c r="C300" s="18" t="s">
        <v>84</v>
      </c>
      <c r="D300" s="18" t="s">
        <v>41</v>
      </c>
      <c r="E300" s="19" t="s">
        <v>39</v>
      </c>
      <c r="F300" s="18" t="s">
        <v>13</v>
      </c>
      <c r="G300" s="29"/>
      <c r="H300" s="32" t="str">
        <f>IF(Prueba[[#This Row],[Cant.]]=0,"",IF(OR(Prueba[[#This Row],[Cant.2]]="",Prueba[[#This Row],[Puesto2]]=""),"?",Prueba[[#This Row],[Puesto2]]))</f>
        <v/>
      </c>
      <c r="I300" s="31"/>
      <c r="J300" s="32"/>
      <c r="K300" s="14">
        <v>2</v>
      </c>
      <c r="L300" s="14"/>
      <c r="M300" s="31">
        <v>2</v>
      </c>
      <c r="N300" s="32">
        <f>IF(Prueba[[#This Row],[Cant.4]]=0,"",IF(OR(Prueba[[#This Row],[Cant.6]]="",Prueba[[#This Row],[Puesto6]]=""),"?",Prueba[[#This Row],[Puesto6]]))</f>
        <v>0</v>
      </c>
      <c r="O300" s="31">
        <v>2</v>
      </c>
      <c r="P300" s="32">
        <f>IF(Prueba[[#This Row],[Cant.5]]=0,"",IF(OR(Prueba[[#This Row],[Cant.6]]="",Prueba[[#This Row],[Puesto6]]=""),"?",Prueba[[#This Row],[Puesto6]]))</f>
        <v>0</v>
      </c>
      <c r="Q300" s="31">
        <v>2</v>
      </c>
      <c r="R300" s="32">
        <v>0</v>
      </c>
      <c r="S300" s="14"/>
      <c r="T300" s="14"/>
      <c r="U300" s="31"/>
      <c r="V300" s="32" t="s">
        <v>1663</v>
      </c>
      <c r="W300" s="19"/>
      <c r="X300" s="19" t="s">
        <v>1667</v>
      </c>
      <c r="Y300" s="19" t="s">
        <v>1663</v>
      </c>
      <c r="Z300" s="19" t="s">
        <v>1663</v>
      </c>
      <c r="AA300" s="19" t="s">
        <v>1663</v>
      </c>
      <c r="AB300" s="19" t="s">
        <v>1663</v>
      </c>
    </row>
    <row r="301" spans="1:28" s="18" customFormat="1">
      <c r="A301" s="18" t="s">
        <v>478</v>
      </c>
      <c r="B301" s="18" t="s">
        <v>9</v>
      </c>
      <c r="C301" s="18" t="s">
        <v>479</v>
      </c>
      <c r="D301" s="18" t="s">
        <v>480</v>
      </c>
      <c r="E301" s="19" t="s">
        <v>39</v>
      </c>
      <c r="F301" s="18" t="s">
        <v>13</v>
      </c>
      <c r="G301" s="29">
        <v>1</v>
      </c>
      <c r="H301" s="32" t="str">
        <f>IF(Prueba[[#This Row],[Cant.]]=0,"",IF(OR(Prueba[[#This Row],[Cant.2]]="",Prueba[[#This Row],[Puesto2]]=""),"?",Prueba[[#This Row],[Puesto2]]))</f>
        <v>C</v>
      </c>
      <c r="I301" s="31">
        <v>1</v>
      </c>
      <c r="J301" s="32" t="s">
        <v>1402</v>
      </c>
      <c r="K301" s="14"/>
      <c r="L301" s="14"/>
      <c r="M301" s="31"/>
      <c r="N301" s="32" t="str">
        <f>IF(Prueba[[#This Row],[Cant.4]]=0,"",IF(OR(Prueba[[#This Row],[Cant.6]]="",Prueba[[#This Row],[Puesto6]]=""),"?",Prueba[[#This Row],[Puesto6]]))</f>
        <v/>
      </c>
      <c r="O301" s="31"/>
      <c r="P301" s="32" t="str">
        <f>IF(Prueba[[#This Row],[Cant.5]]=0,"",IF(OR(Prueba[[#This Row],[Cant.6]]="",Prueba[[#This Row],[Puesto6]]=""),"?",Prueba[[#This Row],[Puesto6]]))</f>
        <v/>
      </c>
      <c r="Q301" s="31"/>
      <c r="R301" s="32"/>
      <c r="S301" s="14"/>
      <c r="T301" s="14"/>
      <c r="U301" s="31"/>
      <c r="V301" s="32" t="s">
        <v>1663</v>
      </c>
      <c r="W301" s="19"/>
      <c r="X301" s="19" t="s">
        <v>1667</v>
      </c>
      <c r="Y301" s="19" t="s">
        <v>1663</v>
      </c>
      <c r="Z301" s="19" t="s">
        <v>1663</v>
      </c>
      <c r="AA301" s="19" t="s">
        <v>1663</v>
      </c>
      <c r="AB301" s="19" t="s">
        <v>1663</v>
      </c>
    </row>
    <row r="302" spans="1:28" s="18" customFormat="1">
      <c r="A302" s="18" t="s">
        <v>481</v>
      </c>
      <c r="B302" s="18" t="s">
        <v>9</v>
      </c>
      <c r="C302" s="18" t="s">
        <v>482</v>
      </c>
      <c r="D302" s="18" t="s">
        <v>483</v>
      </c>
      <c r="E302" s="19" t="s">
        <v>39</v>
      </c>
      <c r="F302" s="18" t="s">
        <v>13</v>
      </c>
      <c r="G302" s="29">
        <v>1</v>
      </c>
      <c r="H302" s="32">
        <f>IF(Prueba[[#This Row],[Cant.]]=0,"",IF(OR(Prueba[[#This Row],[Cant.2]]="",Prueba[[#This Row],[Puesto2]]=""),"?",Prueba[[#This Row],[Puesto2]]))</f>
        <v>0</v>
      </c>
      <c r="I302" s="31">
        <v>1</v>
      </c>
      <c r="J302" s="32">
        <v>0</v>
      </c>
      <c r="K302" s="14">
        <v>1</v>
      </c>
      <c r="L302" s="14"/>
      <c r="M302" s="31">
        <v>1</v>
      </c>
      <c r="N302" s="32">
        <f>IF(Prueba[[#This Row],[Cant.4]]=0,"",IF(OR(Prueba[[#This Row],[Cant.6]]="",Prueba[[#This Row],[Puesto6]]=""),"?",Prueba[[#This Row],[Puesto6]]))</f>
        <v>6</v>
      </c>
      <c r="O302" s="31">
        <v>1</v>
      </c>
      <c r="P302" s="32">
        <f>IF(Prueba[[#This Row],[Cant.5]]=0,"",IF(OR(Prueba[[#This Row],[Cant.6]]="",Prueba[[#This Row],[Puesto6]]=""),"?",Prueba[[#This Row],[Puesto6]]))</f>
        <v>6</v>
      </c>
      <c r="Q302" s="31">
        <v>1</v>
      </c>
      <c r="R302" s="32">
        <v>6</v>
      </c>
      <c r="S302" s="14">
        <v>1</v>
      </c>
      <c r="T302" s="14">
        <v>6</v>
      </c>
      <c r="U302" s="31"/>
      <c r="V302" s="32" t="s">
        <v>1663</v>
      </c>
      <c r="W302" s="19"/>
      <c r="X302" s="19" t="s">
        <v>1667</v>
      </c>
      <c r="Y302" s="19">
        <v>1</v>
      </c>
      <c r="Z302" s="19">
        <v>0</v>
      </c>
      <c r="AA302" s="19">
        <v>1</v>
      </c>
      <c r="AB302" s="19">
        <v>0</v>
      </c>
    </row>
    <row r="303" spans="1:28" s="18" customFormat="1">
      <c r="A303" s="18" t="s">
        <v>1829</v>
      </c>
      <c r="B303" s="18" t="s">
        <v>9</v>
      </c>
      <c r="C303" s="18" t="s">
        <v>1830</v>
      </c>
      <c r="D303" s="18" t="s">
        <v>1831</v>
      </c>
      <c r="E303" s="19" t="s">
        <v>39</v>
      </c>
      <c r="F303" s="18" t="s">
        <v>13</v>
      </c>
      <c r="G303" s="29"/>
      <c r="H303" s="32" t="str">
        <f>IF(Prueba[[#This Row],[Cant.]]=0,"",IF(OR(Prueba[[#This Row],[Cant.2]]="",Prueba[[#This Row],[Puesto2]]=""),"?",Prueba[[#This Row],[Puesto2]]))</f>
        <v/>
      </c>
      <c r="I303" s="31"/>
      <c r="J303" s="32"/>
      <c r="K303" s="14"/>
      <c r="L303" s="14"/>
      <c r="M303" s="31"/>
      <c r="N303" s="32" t="str">
        <f>IF(Prueba[[#This Row],[Cant.4]]=0,"",IF(OR(Prueba[[#This Row],[Cant.6]]="",Prueba[[#This Row],[Puesto6]]=""),"?",Prueba[[#This Row],[Puesto6]]))</f>
        <v/>
      </c>
      <c r="O303" s="31"/>
      <c r="P303" s="32" t="str">
        <f>IF(Prueba[[#This Row],[Cant.5]]=0,"",IF(OR(Prueba[[#This Row],[Cant.6]]="",Prueba[[#This Row],[Puesto6]]=""),"?",Prueba[[#This Row],[Puesto6]]))</f>
        <v/>
      </c>
      <c r="Q303" s="31"/>
      <c r="R303" s="32"/>
      <c r="S303" s="14">
        <v>1</v>
      </c>
      <c r="T303" s="14">
        <v>2</v>
      </c>
      <c r="U303" s="31"/>
      <c r="V303" s="32" t="s">
        <v>1663</v>
      </c>
      <c r="W303" s="19"/>
      <c r="X303" s="19" t="s">
        <v>1667</v>
      </c>
      <c r="Y303" s="19" t="s">
        <v>1663</v>
      </c>
      <c r="Z303" s="19" t="s">
        <v>1663</v>
      </c>
      <c r="AA303" s="19" t="s">
        <v>1663</v>
      </c>
      <c r="AB303" s="19" t="s">
        <v>1663</v>
      </c>
    </row>
    <row r="304" spans="1:28" s="18" customFormat="1">
      <c r="A304" s="18" t="s">
        <v>784</v>
      </c>
      <c r="B304" s="18" t="s">
        <v>9</v>
      </c>
      <c r="C304" s="18" t="s">
        <v>56</v>
      </c>
      <c r="D304" s="18" t="s">
        <v>54</v>
      </c>
      <c r="E304" s="19" t="s">
        <v>22</v>
      </c>
      <c r="F304" s="18" t="s">
        <v>13</v>
      </c>
      <c r="G304" s="29"/>
      <c r="H304" s="32" t="str">
        <f>IF(Prueba[[#This Row],[Cant.]]=0,"",IF(OR(Prueba[[#This Row],[Cant.2]]="",Prueba[[#This Row],[Puesto2]]=""),"?",Prueba[[#This Row],[Puesto2]]))</f>
        <v/>
      </c>
      <c r="I304" s="31"/>
      <c r="J304" s="32"/>
      <c r="K304" s="14">
        <v>1</v>
      </c>
      <c r="L304" s="14"/>
      <c r="M304" s="31">
        <v>1</v>
      </c>
      <c r="N304" s="32">
        <f>IF(Prueba[[#This Row],[Cant.4]]=0,"",IF(OR(Prueba[[#This Row],[Cant.6]]="",Prueba[[#This Row],[Puesto6]]=""),"?",Prueba[[#This Row],[Puesto6]]))</f>
        <v>6</v>
      </c>
      <c r="O304" s="31">
        <v>1</v>
      </c>
      <c r="P304" s="32">
        <f>IF(Prueba[[#This Row],[Cant.5]]=0,"",IF(OR(Prueba[[#This Row],[Cant.6]]="",Prueba[[#This Row],[Puesto6]]=""),"?",Prueba[[#This Row],[Puesto6]]))</f>
        <v>6</v>
      </c>
      <c r="Q304" s="31">
        <v>1</v>
      </c>
      <c r="R304" s="32">
        <v>6</v>
      </c>
      <c r="S304" s="14">
        <v>1</v>
      </c>
      <c r="T304" s="14">
        <v>6</v>
      </c>
      <c r="U304" s="31"/>
      <c r="V304" s="32" t="s">
        <v>1663</v>
      </c>
      <c r="W304" s="19">
        <v>8</v>
      </c>
      <c r="X304" s="19" t="s">
        <v>1664</v>
      </c>
      <c r="Y304" s="19" t="s">
        <v>1663</v>
      </c>
      <c r="Z304" s="19" t="s">
        <v>1663</v>
      </c>
      <c r="AA304" s="19" t="s">
        <v>1663</v>
      </c>
      <c r="AB304" s="19" t="s">
        <v>1663</v>
      </c>
    </row>
    <row r="305" spans="1:28" s="18" customFormat="1">
      <c r="A305" s="18" t="s">
        <v>785</v>
      </c>
      <c r="B305" s="18" t="s">
        <v>9</v>
      </c>
      <c r="C305" s="18" t="s">
        <v>56</v>
      </c>
      <c r="D305" s="18" t="s">
        <v>54</v>
      </c>
      <c r="E305" s="19" t="s">
        <v>22</v>
      </c>
      <c r="F305" s="18" t="s">
        <v>13</v>
      </c>
      <c r="G305" s="29"/>
      <c r="H305" s="32" t="str">
        <f>IF(Prueba[[#This Row],[Cant.]]=0,"",IF(OR(Prueba[[#This Row],[Cant.2]]="",Prueba[[#This Row],[Puesto2]]=""),"?",Prueba[[#This Row],[Puesto2]]))</f>
        <v/>
      </c>
      <c r="I305" s="31"/>
      <c r="J305" s="32"/>
      <c r="K305" s="14">
        <v>1</v>
      </c>
      <c r="L305" s="14"/>
      <c r="M305" s="31">
        <v>1</v>
      </c>
      <c r="N305" s="32">
        <f>IF(Prueba[[#This Row],[Cant.4]]=0,"",IF(OR(Prueba[[#This Row],[Cant.6]]="",Prueba[[#This Row],[Puesto6]]=""),"?",Prueba[[#This Row],[Puesto6]]))</f>
        <v>6</v>
      </c>
      <c r="O305" s="31">
        <v>1</v>
      </c>
      <c r="P305" s="32">
        <f>IF(Prueba[[#This Row],[Cant.5]]=0,"",IF(OR(Prueba[[#This Row],[Cant.6]]="",Prueba[[#This Row],[Puesto6]]=""),"?",Prueba[[#This Row],[Puesto6]]))</f>
        <v>6</v>
      </c>
      <c r="Q305" s="31">
        <v>1</v>
      </c>
      <c r="R305" s="32">
        <v>6</v>
      </c>
      <c r="S305" s="14">
        <v>1</v>
      </c>
      <c r="T305" s="14">
        <v>6</v>
      </c>
      <c r="U305" s="31"/>
      <c r="V305" s="32" t="s">
        <v>1663</v>
      </c>
      <c r="W305" s="19">
        <v>8</v>
      </c>
      <c r="X305" s="19" t="s">
        <v>1664</v>
      </c>
      <c r="Y305" s="19" t="s">
        <v>1663</v>
      </c>
      <c r="Z305" s="19" t="s">
        <v>1663</v>
      </c>
      <c r="AA305" s="19" t="s">
        <v>1663</v>
      </c>
      <c r="AB305" s="19" t="s">
        <v>1663</v>
      </c>
    </row>
    <row r="306" spans="1:28" s="18" customFormat="1">
      <c r="A306" s="35" t="s">
        <v>786</v>
      </c>
      <c r="B306" s="35" t="s">
        <v>9</v>
      </c>
      <c r="C306" s="35" t="s">
        <v>56</v>
      </c>
      <c r="D306" s="35" t="s">
        <v>521</v>
      </c>
      <c r="E306" s="36" t="s">
        <v>308</v>
      </c>
      <c r="F306" s="18" t="s">
        <v>13</v>
      </c>
      <c r="G306" s="29"/>
      <c r="H306" s="32" t="str">
        <f>IF(Prueba[[#This Row],[Cant.]]=0,"",IF(OR(Prueba[[#This Row],[Cant.2]]="",Prueba[[#This Row],[Puesto2]]=""),"?",Prueba[[#This Row],[Puesto2]]))</f>
        <v/>
      </c>
      <c r="I306" s="31"/>
      <c r="J306" s="32"/>
      <c r="K306" s="14">
        <v>1</v>
      </c>
      <c r="L306" s="14"/>
      <c r="M306" s="31"/>
      <c r="N306" s="32" t="str">
        <f>IF(Prueba[[#This Row],[Cant.4]]=0,"",IF(OR(Prueba[[#This Row],[Cant.6]]="",Prueba[[#This Row],[Puesto6]]=""),"?",Prueba[[#This Row],[Puesto6]]))</f>
        <v/>
      </c>
      <c r="O306" s="31">
        <v>1</v>
      </c>
      <c r="P306" s="32">
        <v>6</v>
      </c>
      <c r="Q306" s="38"/>
      <c r="R306" s="88"/>
      <c r="S306" s="14"/>
      <c r="T306" s="14"/>
      <c r="U306" s="31"/>
      <c r="V306" s="32" t="s">
        <v>1663</v>
      </c>
      <c r="W306" s="19"/>
      <c r="X306" s="19" t="s">
        <v>1667</v>
      </c>
      <c r="Y306" s="19" t="s">
        <v>1663</v>
      </c>
      <c r="Z306" s="19" t="s">
        <v>1663</v>
      </c>
      <c r="AA306" s="19" t="s">
        <v>1663</v>
      </c>
      <c r="AB306" s="19" t="s">
        <v>1663</v>
      </c>
    </row>
    <row r="307" spans="1:28" s="18" customFormat="1">
      <c r="A307" s="18" t="s">
        <v>787</v>
      </c>
      <c r="B307" s="18" t="s">
        <v>9</v>
      </c>
      <c r="C307" s="18" t="s">
        <v>788</v>
      </c>
      <c r="D307" s="18" t="s">
        <v>789</v>
      </c>
      <c r="E307" s="19" t="s">
        <v>790</v>
      </c>
      <c r="F307" s="18" t="s">
        <v>13</v>
      </c>
      <c r="G307" s="29"/>
      <c r="H307" s="32" t="str">
        <f>IF(Prueba[[#This Row],[Cant.]]=0,"",IF(OR(Prueba[[#This Row],[Cant.2]]="",Prueba[[#This Row],[Puesto2]]=""),"?",Prueba[[#This Row],[Puesto2]]))</f>
        <v/>
      </c>
      <c r="I307" s="31"/>
      <c r="J307" s="32"/>
      <c r="K307" s="14">
        <v>1</v>
      </c>
      <c r="L307" s="14"/>
      <c r="M307" s="31">
        <v>1</v>
      </c>
      <c r="N307" s="32">
        <f>IF(Prueba[[#This Row],[Cant.4]]=0,"",IF(OR(Prueba[[#This Row],[Cant.6]]="",Prueba[[#This Row],[Puesto6]]=""),"?",Prueba[[#This Row],[Puesto6]]))</f>
        <v>6</v>
      </c>
      <c r="O307" s="31">
        <v>1</v>
      </c>
      <c r="P307" s="32">
        <f>IF(Prueba[[#This Row],[Cant.5]]=0,"",IF(OR(Prueba[[#This Row],[Cant.6]]="",Prueba[[#This Row],[Puesto6]]=""),"?",Prueba[[#This Row],[Puesto6]]))</f>
        <v>6</v>
      </c>
      <c r="Q307" s="31">
        <v>1</v>
      </c>
      <c r="R307" s="32">
        <v>6</v>
      </c>
      <c r="S307" s="14">
        <v>1</v>
      </c>
      <c r="T307" s="14">
        <v>6</v>
      </c>
      <c r="U307" s="31"/>
      <c r="V307" s="32" t="s">
        <v>1663</v>
      </c>
      <c r="W307" s="19"/>
      <c r="X307" s="19" t="s">
        <v>1667</v>
      </c>
      <c r="Y307" s="19" t="s">
        <v>1663</v>
      </c>
      <c r="Z307" s="19" t="s">
        <v>1663</v>
      </c>
      <c r="AA307" s="19" t="s">
        <v>1663</v>
      </c>
      <c r="AB307" s="19" t="s">
        <v>1663</v>
      </c>
    </row>
    <row r="308" spans="1:28" s="18" customFormat="1">
      <c r="A308" s="18" t="s">
        <v>791</v>
      </c>
      <c r="B308" s="18" t="s">
        <v>9</v>
      </c>
      <c r="C308" s="18" t="s">
        <v>174</v>
      </c>
      <c r="D308" s="18" t="s">
        <v>792</v>
      </c>
      <c r="E308" s="19" t="s">
        <v>18</v>
      </c>
      <c r="F308" s="18" t="s">
        <v>13</v>
      </c>
      <c r="G308" s="29"/>
      <c r="H308" s="32" t="str">
        <f>IF(Prueba[[#This Row],[Cant.]]=0,"",IF(OR(Prueba[[#This Row],[Cant.2]]="",Prueba[[#This Row],[Puesto2]]=""),"?",Prueba[[#This Row],[Puesto2]]))</f>
        <v/>
      </c>
      <c r="I308" s="31"/>
      <c r="J308" s="32"/>
      <c r="K308" s="14">
        <v>1</v>
      </c>
      <c r="L308" s="14"/>
      <c r="M308" s="31"/>
      <c r="N308" s="32" t="str">
        <f>IF(Prueba[[#This Row],[Cant.4]]=0,"",IF(OR(Prueba[[#This Row],[Cant.6]]="",Prueba[[#This Row],[Puesto6]]=""),"?",Prueba[[#This Row],[Puesto6]]))</f>
        <v/>
      </c>
      <c r="O308" s="31"/>
      <c r="P308" s="32" t="str">
        <f>IF(Prueba[[#This Row],[Cant.5]]=0,"",IF(OR(Prueba[[#This Row],[Cant.6]]="",Prueba[[#This Row],[Puesto6]]=""),"?",Prueba[[#This Row],[Puesto6]]))</f>
        <v/>
      </c>
      <c r="Q308" s="31"/>
      <c r="R308" s="32"/>
      <c r="S308" s="14"/>
      <c r="T308" s="14"/>
      <c r="U308" s="31"/>
      <c r="V308" s="32" t="s">
        <v>1663</v>
      </c>
      <c r="W308" s="19"/>
      <c r="X308" s="19" t="s">
        <v>1667</v>
      </c>
      <c r="Y308" s="19" t="s">
        <v>1663</v>
      </c>
      <c r="Z308" s="19" t="s">
        <v>1663</v>
      </c>
      <c r="AA308" s="19" t="s">
        <v>1663</v>
      </c>
      <c r="AB308" s="19" t="s">
        <v>1663</v>
      </c>
    </row>
    <row r="309" spans="1:28" s="18" customFormat="1" ht="28.9">
      <c r="A309" s="18" t="s">
        <v>793</v>
      </c>
      <c r="B309" s="18" t="s">
        <v>9</v>
      </c>
      <c r="C309" s="18" t="s">
        <v>259</v>
      </c>
      <c r="D309" s="18" t="s">
        <v>485</v>
      </c>
      <c r="E309" s="19" t="s">
        <v>22</v>
      </c>
      <c r="F309" s="18" t="s">
        <v>13</v>
      </c>
      <c r="G309" s="29"/>
      <c r="H309" s="32" t="str">
        <f>IF(Prueba[[#This Row],[Cant.]]=0,"",IF(OR(Prueba[[#This Row],[Cant.2]]="",Prueba[[#This Row],[Puesto2]]=""),"?",Prueba[[#This Row],[Puesto2]]))</f>
        <v/>
      </c>
      <c r="I309" s="31"/>
      <c r="J309" s="32"/>
      <c r="K309" s="14">
        <v>10</v>
      </c>
      <c r="L309" s="14"/>
      <c r="M309" s="31">
        <v>10</v>
      </c>
      <c r="N309" s="32" t="str">
        <f>IF(Prueba[[#This Row],[Cant.4]]=0,"",IF(OR(Prueba[[#This Row],[Cant.6]]="",Prueba[[#This Row],[Puesto6]]=""),"?",Prueba[[#This Row],[Puesto6]]))</f>
        <v>4x0 + 4x3</v>
      </c>
      <c r="O309" s="31">
        <v>10</v>
      </c>
      <c r="P309" s="32" t="str">
        <f>IF(Prueba[[#This Row],[Cant.5]]=0,"",IF(OR(Prueba[[#This Row],[Cant.6]]="",Prueba[[#This Row],[Puesto6]]=""),"?",Prueba[[#This Row],[Puesto6]]))</f>
        <v>4x0 + 4x3</v>
      </c>
      <c r="Q309" s="31">
        <v>10</v>
      </c>
      <c r="R309" s="32" t="s">
        <v>1832</v>
      </c>
      <c r="S309" s="14">
        <v>16</v>
      </c>
      <c r="T309" s="14" t="s">
        <v>1833</v>
      </c>
      <c r="U309" s="31"/>
      <c r="V309" s="32" t="s">
        <v>1663</v>
      </c>
      <c r="W309" s="19">
        <v>32</v>
      </c>
      <c r="X309" s="19" t="s">
        <v>1664</v>
      </c>
      <c r="Y309" s="19" t="s">
        <v>1663</v>
      </c>
      <c r="Z309" s="19" t="s">
        <v>1663</v>
      </c>
      <c r="AA309" s="19" t="s">
        <v>1663</v>
      </c>
      <c r="AB309" s="19" t="s">
        <v>1663</v>
      </c>
    </row>
    <row r="310" spans="1:28" s="18" customFormat="1">
      <c r="A310" s="18" t="s">
        <v>484</v>
      </c>
      <c r="B310" s="18" t="s">
        <v>9</v>
      </c>
      <c r="C310" s="18" t="s">
        <v>259</v>
      </c>
      <c r="D310" s="18" t="s">
        <v>485</v>
      </c>
      <c r="E310" s="19" t="s">
        <v>22</v>
      </c>
      <c r="F310" s="18" t="s">
        <v>13</v>
      </c>
      <c r="G310" s="29">
        <v>3</v>
      </c>
      <c r="H310" s="32" t="str">
        <f>IF(Prueba[[#This Row],[Cant.]]=0,"",IF(OR(Prueba[[#This Row],[Cant.2]]="",Prueba[[#This Row],[Puesto2]]=""),"?",Prueba[[#This Row],[Puesto2]]))</f>
        <v>C</v>
      </c>
      <c r="I310" s="31">
        <v>3</v>
      </c>
      <c r="J310" s="32" t="s">
        <v>1402</v>
      </c>
      <c r="K310" s="14">
        <v>3</v>
      </c>
      <c r="L310" s="14"/>
      <c r="M310" s="31">
        <v>3</v>
      </c>
      <c r="N310" s="32" t="str">
        <f>IF(Prueba[[#This Row],[Cant.4]]=0,"",IF(OR(Prueba[[#This Row],[Cant.6]]="",Prueba[[#This Row],[Puesto6]]=""),"?",Prueba[[#This Row],[Puesto6]]))</f>
        <v>C</v>
      </c>
      <c r="O310" s="31">
        <v>3</v>
      </c>
      <c r="P310" s="32" t="str">
        <f>IF(Prueba[[#This Row],[Cant.5]]=0,"",IF(OR(Prueba[[#This Row],[Cant.6]]="",Prueba[[#This Row],[Puesto6]]=""),"?",Prueba[[#This Row],[Puesto6]]))</f>
        <v>C</v>
      </c>
      <c r="Q310" s="31">
        <v>3</v>
      </c>
      <c r="R310" s="32" t="s">
        <v>1402</v>
      </c>
      <c r="S310" s="14">
        <v>5</v>
      </c>
      <c r="T310" s="14" t="s">
        <v>1834</v>
      </c>
      <c r="U310" s="31">
        <v>5</v>
      </c>
      <c r="V310" s="32" t="s">
        <v>1416</v>
      </c>
      <c r="W310" s="19">
        <v>40</v>
      </c>
      <c r="X310" s="19" t="s">
        <v>1664</v>
      </c>
      <c r="Y310" s="19">
        <v>4</v>
      </c>
      <c r="Z310" s="19" t="s">
        <v>1402</v>
      </c>
      <c r="AA310" s="19">
        <v>4</v>
      </c>
      <c r="AB310" s="19" t="s">
        <v>1402</v>
      </c>
    </row>
    <row r="311" spans="1:28" s="18" customFormat="1">
      <c r="A311" s="18" t="s">
        <v>486</v>
      </c>
      <c r="B311" s="18" t="s">
        <v>9</v>
      </c>
      <c r="C311" s="18" t="s">
        <v>259</v>
      </c>
      <c r="D311" s="18" t="s">
        <v>485</v>
      </c>
      <c r="E311" s="19" t="s">
        <v>22</v>
      </c>
      <c r="F311" s="18" t="s">
        <v>13</v>
      </c>
      <c r="G311" s="29">
        <v>2</v>
      </c>
      <c r="H311" s="32" t="str">
        <f>IF(Prueba[[#This Row],[Cant.]]=0,"",IF(OR(Prueba[[#This Row],[Cant.2]]="",Prueba[[#This Row],[Puesto2]]=""),"?",Prueba[[#This Row],[Puesto2]]))</f>
        <v>C</v>
      </c>
      <c r="I311" s="31">
        <v>2</v>
      </c>
      <c r="J311" s="32" t="s">
        <v>1402</v>
      </c>
      <c r="K311" s="14">
        <v>33</v>
      </c>
      <c r="L311" s="14"/>
      <c r="M311" s="31">
        <v>29</v>
      </c>
      <c r="N311" s="32">
        <f>IF(Prueba[[#This Row],[Cant.4]]=0,"",IF(OR(Prueba[[#This Row],[Cant.6]]="",Prueba[[#This Row],[Puesto6]]=""),"?",Prueba[[#This Row],[Puesto6]]))</f>
        <v>0</v>
      </c>
      <c r="O311" s="31">
        <v>23</v>
      </c>
      <c r="P311" s="32">
        <f>IF(Prueba[[#This Row],[Cant.5]]=0,"",IF(OR(Prueba[[#This Row],[Cant.6]]="",Prueba[[#This Row],[Puesto6]]=""),"?",Prueba[[#This Row],[Puesto6]]))</f>
        <v>0</v>
      </c>
      <c r="Q311" s="31">
        <v>29</v>
      </c>
      <c r="R311" s="32">
        <v>0</v>
      </c>
      <c r="S311" s="14">
        <v>29</v>
      </c>
      <c r="T311" s="14">
        <v>0</v>
      </c>
      <c r="U311" s="31">
        <v>10</v>
      </c>
      <c r="V311" s="32">
        <v>0</v>
      </c>
      <c r="W311" s="19">
        <v>232</v>
      </c>
      <c r="X311" s="19" t="s">
        <v>1664</v>
      </c>
      <c r="Y311" s="19">
        <v>3</v>
      </c>
      <c r="Z311" s="19" t="s">
        <v>1402</v>
      </c>
      <c r="AA311" s="19">
        <v>3</v>
      </c>
      <c r="AB311" s="19" t="s">
        <v>1402</v>
      </c>
    </row>
    <row r="312" spans="1:28" s="18" customFormat="1">
      <c r="A312" s="18" t="s">
        <v>487</v>
      </c>
      <c r="B312" s="18" t="s">
        <v>9</v>
      </c>
      <c r="C312" s="18" t="s">
        <v>259</v>
      </c>
      <c r="D312" s="18" t="s">
        <v>485</v>
      </c>
      <c r="E312" s="19" t="s">
        <v>22</v>
      </c>
      <c r="F312" s="18" t="s">
        <v>13</v>
      </c>
      <c r="G312" s="29">
        <v>2</v>
      </c>
      <c r="H312" s="32" t="str">
        <f>IF(Prueba[[#This Row],[Cant.]]=0,"",IF(OR(Prueba[[#This Row],[Cant.2]]="",Prueba[[#This Row],[Puesto2]]=""),"?",Prueba[[#This Row],[Puesto2]]))</f>
        <v>?</v>
      </c>
      <c r="I312" s="31"/>
      <c r="J312" s="32"/>
      <c r="K312" s="14"/>
      <c r="L312" s="14"/>
      <c r="M312" s="31"/>
      <c r="N312" s="32" t="str">
        <f>IF(Prueba[[#This Row],[Cant.4]]=0,"",IF(OR(Prueba[[#This Row],[Cant.6]]="",Prueba[[#This Row],[Puesto6]]=""),"?",Prueba[[#This Row],[Puesto6]]))</f>
        <v/>
      </c>
      <c r="O312" s="31"/>
      <c r="P312" s="32" t="str">
        <f>IF(Prueba[[#This Row],[Cant.5]]=0,"",IF(OR(Prueba[[#This Row],[Cant.6]]="",Prueba[[#This Row],[Puesto6]]=""),"?",Prueba[[#This Row],[Puesto6]]))</f>
        <v/>
      </c>
      <c r="Q312" s="31"/>
      <c r="R312" s="32"/>
      <c r="S312" s="14">
        <v>4</v>
      </c>
      <c r="T312" s="14">
        <v>4</v>
      </c>
      <c r="U312" s="31"/>
      <c r="V312" s="32" t="s">
        <v>1663</v>
      </c>
      <c r="W312" s="19">
        <v>32</v>
      </c>
      <c r="X312" s="19" t="s">
        <v>1664</v>
      </c>
      <c r="Y312" s="19" t="s">
        <v>1663</v>
      </c>
      <c r="Z312" s="19" t="s">
        <v>1663</v>
      </c>
      <c r="AA312" s="19" t="s">
        <v>1663</v>
      </c>
      <c r="AB312" s="19" t="s">
        <v>1663</v>
      </c>
    </row>
    <row r="313" spans="1:28" s="18" customFormat="1">
      <c r="A313" s="18" t="s">
        <v>487</v>
      </c>
      <c r="B313" s="18" t="s">
        <v>9</v>
      </c>
      <c r="C313" s="18" t="s">
        <v>1835</v>
      </c>
      <c r="D313" s="18" t="s">
        <v>1835</v>
      </c>
      <c r="E313" s="19" t="s">
        <v>22</v>
      </c>
      <c r="F313" s="18" t="s">
        <v>13</v>
      </c>
      <c r="G313" s="29">
        <v>2</v>
      </c>
      <c r="H313" s="32" t="str">
        <f>IF(Prueba[[#This Row],[Cant.]]=0,"",IF(OR(Prueba[[#This Row],[Cant.2]]="",Prueba[[#This Row],[Puesto2]]=""),"?",Prueba[[#This Row],[Puesto2]]))</f>
        <v>?</v>
      </c>
      <c r="I313" s="31">
        <v>2</v>
      </c>
      <c r="J313" s="32"/>
      <c r="K313" s="14"/>
      <c r="L313" s="14"/>
      <c r="M313" s="31"/>
      <c r="N313" s="32" t="str">
        <f>IF(Prueba[[#This Row],[Cant.4]]=0,"",IF(OR(Prueba[[#This Row],[Cant.6]]="",Prueba[[#This Row],[Puesto6]]=""),"?",Prueba[[#This Row],[Puesto6]]))</f>
        <v/>
      </c>
      <c r="O313" s="31"/>
      <c r="P313" s="32" t="str">
        <f>IF(Prueba[[#This Row],[Cant.5]]=0,"",IF(OR(Prueba[[#This Row],[Cant.6]]="",Prueba[[#This Row],[Puesto6]]=""),"?",Prueba[[#This Row],[Puesto6]]))</f>
        <v/>
      </c>
      <c r="Q313" s="31"/>
      <c r="R313" s="32"/>
      <c r="S313" s="14">
        <v>4</v>
      </c>
      <c r="T313" s="14"/>
      <c r="U313" s="31"/>
      <c r="V313" s="32" t="s">
        <v>1663</v>
      </c>
      <c r="W313" s="19">
        <v>32</v>
      </c>
      <c r="X313" s="19" t="s">
        <v>1664</v>
      </c>
      <c r="Y313" s="19" t="s">
        <v>1663</v>
      </c>
      <c r="Z313" s="19" t="s">
        <v>1663</v>
      </c>
      <c r="AA313" s="19" t="s">
        <v>1663</v>
      </c>
      <c r="AB313" s="19" t="s">
        <v>1663</v>
      </c>
    </row>
    <row r="314" spans="1:28" s="18" customFormat="1">
      <c r="A314" s="18" t="s">
        <v>488</v>
      </c>
      <c r="B314" s="18" t="s">
        <v>9</v>
      </c>
      <c r="C314" s="18" t="s">
        <v>259</v>
      </c>
      <c r="D314" s="18" t="s">
        <v>489</v>
      </c>
      <c r="E314" s="19" t="s">
        <v>22</v>
      </c>
      <c r="F314" s="18" t="s">
        <v>13</v>
      </c>
      <c r="G314" s="29">
        <v>2</v>
      </c>
      <c r="H314" s="32">
        <f>IF(Prueba[[#This Row],[Cant.]]=0,"",IF(OR(Prueba[[#This Row],[Cant.2]]="",Prueba[[#This Row],[Puesto2]]=""),"?",Prueba[[#This Row],[Puesto2]]))</f>
        <v>6</v>
      </c>
      <c r="I314" s="31">
        <v>2</v>
      </c>
      <c r="J314" s="32">
        <v>6</v>
      </c>
      <c r="K314" s="14">
        <v>2</v>
      </c>
      <c r="L314" s="14"/>
      <c r="M314" s="31">
        <v>2</v>
      </c>
      <c r="N314" s="32">
        <f>IF(Prueba[[#This Row],[Cant.4]]=0,"",IF(OR(Prueba[[#This Row],[Cant.6]]="",Prueba[[#This Row],[Puesto6]]=""),"?",Prueba[[#This Row],[Puesto6]]))</f>
        <v>6</v>
      </c>
      <c r="O314" s="31">
        <v>2</v>
      </c>
      <c r="P314" s="32">
        <f>IF(Prueba[[#This Row],[Cant.5]]=0,"",IF(OR(Prueba[[#This Row],[Cant.6]]="",Prueba[[#This Row],[Puesto6]]=""),"?",Prueba[[#This Row],[Puesto6]]))</f>
        <v>6</v>
      </c>
      <c r="Q314" s="31">
        <v>2</v>
      </c>
      <c r="R314" s="32">
        <v>6</v>
      </c>
      <c r="S314" s="14">
        <v>2</v>
      </c>
      <c r="T314" s="14">
        <v>6</v>
      </c>
      <c r="U314" s="31"/>
      <c r="V314" s="32" t="s">
        <v>1663</v>
      </c>
      <c r="W314" s="19">
        <v>16</v>
      </c>
      <c r="X314" s="19" t="s">
        <v>1664</v>
      </c>
      <c r="Y314" s="19">
        <v>3</v>
      </c>
      <c r="Z314" s="19">
        <v>6</v>
      </c>
      <c r="AA314" s="19">
        <v>3</v>
      </c>
      <c r="AB314" s="19">
        <v>6</v>
      </c>
    </row>
    <row r="315" spans="1:28" s="18" customFormat="1">
      <c r="A315" s="18" t="s">
        <v>794</v>
      </c>
      <c r="B315" s="18" t="s">
        <v>9</v>
      </c>
      <c r="C315" s="18" t="s">
        <v>259</v>
      </c>
      <c r="D315" s="18" t="s">
        <v>485</v>
      </c>
      <c r="E315" s="19" t="s">
        <v>22</v>
      </c>
      <c r="F315" s="18" t="s">
        <v>13</v>
      </c>
      <c r="G315" s="29"/>
      <c r="H315" s="32" t="str">
        <f>IF(Prueba[[#This Row],[Cant.]]=0,"",IF(OR(Prueba[[#This Row],[Cant.2]]="",Prueba[[#This Row],[Puesto2]]=""),"?",Prueba[[#This Row],[Puesto2]]))</f>
        <v/>
      </c>
      <c r="I315" s="31"/>
      <c r="J315" s="32"/>
      <c r="K315" s="14">
        <v>2</v>
      </c>
      <c r="L315" s="14"/>
      <c r="M315" s="31">
        <v>2</v>
      </c>
      <c r="N315" s="32">
        <f>IF(Prueba[[#This Row],[Cant.4]]=0,"",IF(OR(Prueba[[#This Row],[Cant.6]]="",Prueba[[#This Row],[Puesto6]]=""),"?",Prueba[[#This Row],[Puesto6]]))</f>
        <v>1</v>
      </c>
      <c r="O315" s="31">
        <v>2</v>
      </c>
      <c r="P315" s="32">
        <f>IF(Prueba[[#This Row],[Cant.5]]=0,"",IF(OR(Prueba[[#This Row],[Cant.6]]="",Prueba[[#This Row],[Puesto6]]=""),"?",Prueba[[#This Row],[Puesto6]]))</f>
        <v>1</v>
      </c>
      <c r="Q315" s="31">
        <v>2</v>
      </c>
      <c r="R315" s="32">
        <v>1</v>
      </c>
      <c r="S315" s="14">
        <v>2</v>
      </c>
      <c r="T315" s="14">
        <v>1</v>
      </c>
      <c r="U315" s="31"/>
      <c r="V315" s="32" t="s">
        <v>1663</v>
      </c>
      <c r="W315" s="19">
        <v>16</v>
      </c>
      <c r="X315" s="19" t="s">
        <v>1664</v>
      </c>
      <c r="Y315" s="19" t="s">
        <v>1663</v>
      </c>
      <c r="Z315" s="19" t="s">
        <v>1663</v>
      </c>
      <c r="AA315" s="19" t="s">
        <v>1663</v>
      </c>
      <c r="AB315" s="19" t="s">
        <v>1663</v>
      </c>
    </row>
    <row r="316" spans="1:28" s="18" customFormat="1">
      <c r="A316" s="18" t="s">
        <v>490</v>
      </c>
      <c r="B316" s="18" t="s">
        <v>9</v>
      </c>
      <c r="C316" s="18" t="s">
        <v>259</v>
      </c>
      <c r="D316" s="18" t="s">
        <v>485</v>
      </c>
      <c r="E316" s="19" t="s">
        <v>22</v>
      </c>
      <c r="F316" s="18" t="s">
        <v>13</v>
      </c>
      <c r="G316" s="29">
        <v>2</v>
      </c>
      <c r="H316" s="32">
        <f>IF(Prueba[[#This Row],[Cant.]]=0,"",IF(OR(Prueba[[#This Row],[Cant.2]]="",Prueba[[#This Row],[Puesto2]]=""),"?",Prueba[[#This Row],[Puesto2]]))</f>
        <v>6</v>
      </c>
      <c r="I316" s="31">
        <v>2</v>
      </c>
      <c r="J316" s="32">
        <v>6</v>
      </c>
      <c r="K316" s="14">
        <v>2</v>
      </c>
      <c r="L316" s="14"/>
      <c r="M316" s="31">
        <v>2</v>
      </c>
      <c r="N316" s="32">
        <f>IF(Prueba[[#This Row],[Cant.4]]=0,"",IF(OR(Prueba[[#This Row],[Cant.6]]="",Prueba[[#This Row],[Puesto6]]=""),"?",Prueba[[#This Row],[Puesto6]]))</f>
        <v>4</v>
      </c>
      <c r="O316" s="31">
        <v>2</v>
      </c>
      <c r="P316" s="32">
        <f>IF(Prueba[[#This Row],[Cant.5]]=0,"",IF(OR(Prueba[[#This Row],[Cant.6]]="",Prueba[[#This Row],[Puesto6]]=""),"?",Prueba[[#This Row],[Puesto6]]))</f>
        <v>4</v>
      </c>
      <c r="Q316" s="31">
        <v>2</v>
      </c>
      <c r="R316" s="32">
        <v>4</v>
      </c>
      <c r="S316" s="14">
        <v>2</v>
      </c>
      <c r="T316" s="14">
        <v>4</v>
      </c>
      <c r="U316" s="31">
        <v>6</v>
      </c>
      <c r="V316" s="32" t="s">
        <v>1417</v>
      </c>
      <c r="W316" s="19">
        <v>48</v>
      </c>
      <c r="X316" s="19" t="s">
        <v>1664</v>
      </c>
      <c r="Y316" s="19">
        <v>3</v>
      </c>
      <c r="Z316" s="19">
        <v>6</v>
      </c>
      <c r="AA316" s="19">
        <v>3</v>
      </c>
      <c r="AB316" s="19">
        <v>6</v>
      </c>
    </row>
    <row r="317" spans="1:28" s="18" customFormat="1">
      <c r="A317" s="18" t="s">
        <v>795</v>
      </c>
      <c r="B317" s="18" t="s">
        <v>9</v>
      </c>
      <c r="C317" s="18" t="s">
        <v>259</v>
      </c>
      <c r="D317" s="18" t="s">
        <v>485</v>
      </c>
      <c r="E317" s="19" t="s">
        <v>22</v>
      </c>
      <c r="F317" s="18" t="s">
        <v>13</v>
      </c>
      <c r="G317" s="29"/>
      <c r="H317" s="32" t="str">
        <f>IF(Prueba[[#This Row],[Cant.]]=0,"",IF(OR(Prueba[[#This Row],[Cant.2]]="",Prueba[[#This Row],[Puesto2]]=""),"?",Prueba[[#This Row],[Puesto2]]))</f>
        <v/>
      </c>
      <c r="I317" s="31"/>
      <c r="J317" s="32"/>
      <c r="K317" s="14">
        <v>24</v>
      </c>
      <c r="L317" s="14"/>
      <c r="M317" s="31">
        <v>20</v>
      </c>
      <c r="N317" s="32">
        <f>IF(Prueba[[#This Row],[Cant.4]]=0,"",IF(OR(Prueba[[#This Row],[Cant.6]]="",Prueba[[#This Row],[Puesto6]]=""),"?",Prueba[[#This Row],[Puesto6]]))</f>
        <v>0</v>
      </c>
      <c r="O317" s="31">
        <v>16</v>
      </c>
      <c r="P317" s="32">
        <f>IF(Prueba[[#This Row],[Cant.5]]=0,"",IF(OR(Prueba[[#This Row],[Cant.6]]="",Prueba[[#This Row],[Puesto6]]=""),"?",Prueba[[#This Row],[Puesto6]]))</f>
        <v>0</v>
      </c>
      <c r="Q317" s="31">
        <v>20</v>
      </c>
      <c r="R317" s="32">
        <v>0</v>
      </c>
      <c r="S317" s="14">
        <v>19</v>
      </c>
      <c r="T317" s="14">
        <v>0</v>
      </c>
      <c r="U317" s="31">
        <v>8</v>
      </c>
      <c r="V317" s="32">
        <v>0</v>
      </c>
      <c r="W317" s="19">
        <v>192</v>
      </c>
      <c r="X317" s="19" t="s">
        <v>1664</v>
      </c>
      <c r="Y317" s="19" t="s">
        <v>1663</v>
      </c>
      <c r="Z317" s="19" t="s">
        <v>1663</v>
      </c>
      <c r="AA317" s="19" t="s">
        <v>1663</v>
      </c>
      <c r="AB317" s="19" t="s">
        <v>1663</v>
      </c>
    </row>
    <row r="318" spans="1:28" s="18" customFormat="1">
      <c r="A318" s="18" t="s">
        <v>796</v>
      </c>
      <c r="B318" s="18" t="s">
        <v>9</v>
      </c>
      <c r="C318" s="18" t="s">
        <v>259</v>
      </c>
      <c r="D318" s="18" t="s">
        <v>485</v>
      </c>
      <c r="E318" s="19" t="s">
        <v>22</v>
      </c>
      <c r="F318" s="18" t="s">
        <v>13</v>
      </c>
      <c r="G318" s="29"/>
      <c r="H318" s="32" t="str">
        <f>IF(Prueba[[#This Row],[Cant.]]=0,"",IF(OR(Prueba[[#This Row],[Cant.2]]="",Prueba[[#This Row],[Puesto2]]=""),"?",Prueba[[#This Row],[Puesto2]]))</f>
        <v/>
      </c>
      <c r="I318" s="31"/>
      <c r="J318" s="32"/>
      <c r="K318" s="14">
        <v>4</v>
      </c>
      <c r="L318" s="14"/>
      <c r="M318" s="31">
        <v>4</v>
      </c>
      <c r="N318" s="32" t="str">
        <f>IF(Prueba[[#This Row],[Cant.4]]=0,"",IF(OR(Prueba[[#This Row],[Cant.6]]="",Prueba[[#This Row],[Puesto6]]=""),"?",Prueba[[#This Row],[Puesto6]]))</f>
        <v>2x0 + 2x3</v>
      </c>
      <c r="O318" s="31">
        <v>4</v>
      </c>
      <c r="P318" s="32" t="str">
        <f>IF(Prueba[[#This Row],[Cant.5]]=0,"",IF(OR(Prueba[[#This Row],[Cant.6]]="",Prueba[[#This Row],[Puesto6]]=""),"?",Prueba[[#This Row],[Puesto6]]))</f>
        <v>2x0 + 2x3</v>
      </c>
      <c r="Q318" s="31">
        <v>4</v>
      </c>
      <c r="R318" s="32" t="s">
        <v>1836</v>
      </c>
      <c r="S318" s="14">
        <v>4</v>
      </c>
      <c r="T318" s="14">
        <v>0</v>
      </c>
      <c r="U318" s="31">
        <v>1</v>
      </c>
      <c r="V318" s="32">
        <v>3</v>
      </c>
      <c r="W318" s="19">
        <v>32</v>
      </c>
      <c r="X318" s="19" t="s">
        <v>1664</v>
      </c>
      <c r="Y318" s="19" t="s">
        <v>1663</v>
      </c>
      <c r="Z318" s="19" t="s">
        <v>1663</v>
      </c>
      <c r="AA318" s="19" t="s">
        <v>1663</v>
      </c>
      <c r="AB318" s="19" t="s">
        <v>1663</v>
      </c>
    </row>
    <row r="319" spans="1:28" s="18" customFormat="1">
      <c r="A319" s="18" t="s">
        <v>797</v>
      </c>
      <c r="B319" s="18" t="s">
        <v>9</v>
      </c>
      <c r="C319" s="18" t="s">
        <v>259</v>
      </c>
      <c r="D319" s="18" t="s">
        <v>485</v>
      </c>
      <c r="E319" s="19" t="s">
        <v>22</v>
      </c>
      <c r="F319" s="18" t="s">
        <v>13</v>
      </c>
      <c r="G319" s="29"/>
      <c r="H319" s="32" t="str">
        <f>IF(Prueba[[#This Row],[Cant.]]=0,"",IF(OR(Prueba[[#This Row],[Cant.2]]="",Prueba[[#This Row],[Puesto2]]=""),"?",Prueba[[#This Row],[Puesto2]]))</f>
        <v/>
      </c>
      <c r="I319" s="31"/>
      <c r="J319" s="32"/>
      <c r="K319" s="14">
        <v>2</v>
      </c>
      <c r="L319" s="14"/>
      <c r="M319" s="31">
        <v>2</v>
      </c>
      <c r="N319" s="32">
        <f>IF(Prueba[[#This Row],[Cant.4]]=0,"",IF(OR(Prueba[[#This Row],[Cant.6]]="",Prueba[[#This Row],[Puesto6]]=""),"?",Prueba[[#This Row],[Puesto6]]))</f>
        <v>0</v>
      </c>
      <c r="O319" s="31">
        <v>2</v>
      </c>
      <c r="P319" s="32">
        <f>IF(Prueba[[#This Row],[Cant.5]]=0,"",IF(OR(Prueba[[#This Row],[Cant.6]]="",Prueba[[#This Row],[Puesto6]]=""),"?",Prueba[[#This Row],[Puesto6]]))</f>
        <v>0</v>
      </c>
      <c r="Q319" s="31">
        <v>2</v>
      </c>
      <c r="R319" s="32">
        <v>0</v>
      </c>
      <c r="S319" s="14">
        <v>2</v>
      </c>
      <c r="T319" s="14">
        <v>0</v>
      </c>
      <c r="U319" s="31"/>
      <c r="V319" s="32" t="s">
        <v>1663</v>
      </c>
      <c r="W319" s="19">
        <v>16</v>
      </c>
      <c r="X319" s="19" t="s">
        <v>1664</v>
      </c>
      <c r="Y319" s="19" t="s">
        <v>1663</v>
      </c>
      <c r="Z319" s="19" t="s">
        <v>1663</v>
      </c>
      <c r="AA319" s="19" t="s">
        <v>1663</v>
      </c>
      <c r="AB319" s="19" t="s">
        <v>1663</v>
      </c>
    </row>
    <row r="320" spans="1:28" s="18" customFormat="1">
      <c r="A320" s="18" t="s">
        <v>798</v>
      </c>
      <c r="B320" s="18" t="s">
        <v>9</v>
      </c>
      <c r="C320" s="18" t="s">
        <v>259</v>
      </c>
      <c r="D320" s="18" t="s">
        <v>485</v>
      </c>
      <c r="E320" s="19" t="s">
        <v>22</v>
      </c>
      <c r="F320" s="18" t="s">
        <v>13</v>
      </c>
      <c r="G320" s="29"/>
      <c r="H320" s="32" t="str">
        <f>IF(Prueba[[#This Row],[Cant.]]=0,"",IF(OR(Prueba[[#This Row],[Cant.2]]="",Prueba[[#This Row],[Puesto2]]=""),"?",Prueba[[#This Row],[Puesto2]]))</f>
        <v/>
      </c>
      <c r="I320" s="31"/>
      <c r="J320" s="32"/>
      <c r="K320" s="14">
        <v>1</v>
      </c>
      <c r="L320" s="14"/>
      <c r="M320" s="31">
        <v>1</v>
      </c>
      <c r="N320" s="32">
        <f>IF(Prueba[[#This Row],[Cant.4]]=0,"",IF(OR(Prueba[[#This Row],[Cant.6]]="",Prueba[[#This Row],[Puesto6]]=""),"?",Prueba[[#This Row],[Puesto6]]))</f>
        <v>6</v>
      </c>
      <c r="O320" s="31">
        <v>1</v>
      </c>
      <c r="P320" s="32">
        <f>IF(Prueba[[#This Row],[Cant.5]]=0,"",IF(OR(Prueba[[#This Row],[Cant.6]]="",Prueba[[#This Row],[Puesto6]]=""),"?",Prueba[[#This Row],[Puesto6]]))</f>
        <v>6</v>
      </c>
      <c r="Q320" s="31">
        <v>1</v>
      </c>
      <c r="R320" s="32">
        <v>6</v>
      </c>
      <c r="S320" s="14">
        <v>1</v>
      </c>
      <c r="T320" s="14">
        <v>6</v>
      </c>
      <c r="U320" s="31"/>
      <c r="V320" s="32" t="s">
        <v>1663</v>
      </c>
      <c r="W320" s="19">
        <v>8</v>
      </c>
      <c r="X320" s="19" t="s">
        <v>1664</v>
      </c>
      <c r="Y320" s="19" t="s">
        <v>1663</v>
      </c>
      <c r="Z320" s="19" t="s">
        <v>1663</v>
      </c>
      <c r="AA320" s="19" t="s">
        <v>1663</v>
      </c>
      <c r="AB320" s="19" t="s">
        <v>1663</v>
      </c>
    </row>
    <row r="321" spans="1:28" s="18" customFormat="1">
      <c r="A321" s="18" t="s">
        <v>1418</v>
      </c>
      <c r="B321" s="18" t="s">
        <v>9</v>
      </c>
      <c r="C321" s="18" t="s">
        <v>1837</v>
      </c>
      <c r="D321" s="18" t="s">
        <v>1838</v>
      </c>
      <c r="E321" s="19" t="s">
        <v>1733</v>
      </c>
      <c r="F321" s="18" t="s">
        <v>13</v>
      </c>
      <c r="G321" s="29"/>
      <c r="H321" s="32" t="str">
        <f>IF(Prueba[[#This Row],[Cant.]]=0,"",IF(OR(Prueba[[#This Row],[Cant.2]]="",Prueba[[#This Row],[Puesto2]]=""),"?",Prueba[[#This Row],[Puesto2]]))</f>
        <v/>
      </c>
      <c r="I321" s="31"/>
      <c r="J321" s="32"/>
      <c r="K321" s="14"/>
      <c r="L321" s="14"/>
      <c r="M321" s="31"/>
      <c r="N321" s="32" t="str">
        <f>IF(Prueba[[#This Row],[Cant.4]]=0,"",IF(OR(Prueba[[#This Row],[Cant.6]]="",Prueba[[#This Row],[Puesto6]]=""),"?",Prueba[[#This Row],[Puesto6]]))</f>
        <v/>
      </c>
      <c r="O321" s="31"/>
      <c r="P321" s="32" t="str">
        <f>IF(Prueba[[#This Row],[Cant.5]]=0,"",IF(OR(Prueba[[#This Row],[Cant.6]]="",Prueba[[#This Row],[Puesto6]]=""),"?",Prueba[[#This Row],[Puesto6]]))</f>
        <v/>
      </c>
      <c r="Q321" s="31"/>
      <c r="R321" s="32"/>
      <c r="S321" s="14"/>
      <c r="T321" s="14"/>
      <c r="U321" s="31">
        <v>2</v>
      </c>
      <c r="V321" s="32">
        <v>1</v>
      </c>
      <c r="W321" s="19">
        <v>16</v>
      </c>
      <c r="X321" s="19" t="s">
        <v>1664</v>
      </c>
      <c r="Y321" s="19" t="s">
        <v>1663</v>
      </c>
      <c r="Z321" s="19" t="s">
        <v>1663</v>
      </c>
      <c r="AA321" s="19" t="s">
        <v>1663</v>
      </c>
      <c r="AB321" s="19" t="s">
        <v>1663</v>
      </c>
    </row>
    <row r="322" spans="1:28" s="18" customFormat="1">
      <c r="A322" s="18" t="s">
        <v>799</v>
      </c>
      <c r="B322" s="18" t="s">
        <v>9</v>
      </c>
      <c r="C322" s="18" t="s">
        <v>259</v>
      </c>
      <c r="D322" s="18" t="s">
        <v>485</v>
      </c>
      <c r="E322" s="19" t="s">
        <v>22</v>
      </c>
      <c r="F322" s="18" t="s">
        <v>13</v>
      </c>
      <c r="G322" s="29"/>
      <c r="H322" s="32" t="str">
        <f>IF(Prueba[[#This Row],[Cant.]]=0,"",IF(OR(Prueba[[#This Row],[Cant.2]]="",Prueba[[#This Row],[Puesto2]]=""),"?",Prueba[[#This Row],[Puesto2]]))</f>
        <v/>
      </c>
      <c r="I322" s="31"/>
      <c r="J322" s="32"/>
      <c r="K322" s="14">
        <v>2</v>
      </c>
      <c r="L322" s="14"/>
      <c r="M322" s="31">
        <v>2</v>
      </c>
      <c r="N322" s="32">
        <f>IF(Prueba[[#This Row],[Cant.4]]=0,"",IF(OR(Prueba[[#This Row],[Cant.6]]="",Prueba[[#This Row],[Puesto6]]=""),"?",Prueba[[#This Row],[Puesto6]]))</f>
        <v>3</v>
      </c>
      <c r="O322" s="31">
        <v>2</v>
      </c>
      <c r="P322" s="32">
        <f>IF(Prueba[[#This Row],[Cant.5]]=0,"",IF(OR(Prueba[[#This Row],[Cant.6]]="",Prueba[[#This Row],[Puesto6]]=""),"?",Prueba[[#This Row],[Puesto6]]))</f>
        <v>3</v>
      </c>
      <c r="Q322" s="31">
        <v>2</v>
      </c>
      <c r="R322" s="32">
        <v>3</v>
      </c>
      <c r="S322" s="14">
        <v>2</v>
      </c>
      <c r="T322" s="14">
        <v>3</v>
      </c>
      <c r="U322" s="31"/>
      <c r="V322" s="32" t="s">
        <v>1663</v>
      </c>
      <c r="W322" s="19">
        <v>16</v>
      </c>
      <c r="X322" s="19" t="s">
        <v>1664</v>
      </c>
      <c r="Y322" s="19" t="s">
        <v>1663</v>
      </c>
      <c r="Z322" s="19" t="s">
        <v>1663</v>
      </c>
      <c r="AA322" s="19" t="s">
        <v>1663</v>
      </c>
      <c r="AB322" s="19" t="s">
        <v>1663</v>
      </c>
    </row>
    <row r="323" spans="1:28" s="18" customFormat="1">
      <c r="A323" s="18" t="s">
        <v>800</v>
      </c>
      <c r="B323" s="18" t="s">
        <v>9</v>
      </c>
      <c r="C323" s="18" t="s">
        <v>259</v>
      </c>
      <c r="D323" s="18" t="s">
        <v>485</v>
      </c>
      <c r="E323" s="19" t="s">
        <v>22</v>
      </c>
      <c r="F323" s="18" t="s">
        <v>13</v>
      </c>
      <c r="G323" s="29"/>
      <c r="H323" s="32" t="str">
        <f>IF(Prueba[[#This Row],[Cant.]]=0,"",IF(OR(Prueba[[#This Row],[Cant.2]]="",Prueba[[#This Row],[Puesto2]]=""),"?",Prueba[[#This Row],[Puesto2]]))</f>
        <v/>
      </c>
      <c r="I323" s="31"/>
      <c r="J323" s="32"/>
      <c r="K323" s="14">
        <v>2</v>
      </c>
      <c r="L323" s="14"/>
      <c r="M323" s="31">
        <v>2</v>
      </c>
      <c r="N323" s="32">
        <f>IF(Prueba[[#This Row],[Cant.4]]=0,"",IF(OR(Prueba[[#This Row],[Cant.6]]="",Prueba[[#This Row],[Puesto6]]=""),"?",Prueba[[#This Row],[Puesto6]]))</f>
        <v>0</v>
      </c>
      <c r="O323" s="31">
        <v>2</v>
      </c>
      <c r="P323" s="32">
        <f>IF(Prueba[[#This Row],[Cant.5]]=0,"",IF(OR(Prueba[[#This Row],[Cant.6]]="",Prueba[[#This Row],[Puesto6]]=""),"?",Prueba[[#This Row],[Puesto6]]))</f>
        <v>0</v>
      </c>
      <c r="Q323" s="31">
        <v>2</v>
      </c>
      <c r="R323" s="32">
        <v>0</v>
      </c>
      <c r="S323" s="14">
        <v>2</v>
      </c>
      <c r="T323" s="14">
        <v>0</v>
      </c>
      <c r="U323" s="31"/>
      <c r="V323" s="32" t="s">
        <v>1663</v>
      </c>
      <c r="W323" s="19">
        <v>16</v>
      </c>
      <c r="X323" s="19" t="s">
        <v>1664</v>
      </c>
      <c r="Y323" s="19" t="s">
        <v>1663</v>
      </c>
      <c r="Z323" s="19" t="s">
        <v>1663</v>
      </c>
      <c r="AA323" s="19" t="s">
        <v>1663</v>
      </c>
      <c r="AB323" s="19" t="s">
        <v>1663</v>
      </c>
    </row>
    <row r="324" spans="1:28" s="18" customFormat="1">
      <c r="A324" s="18" t="s">
        <v>801</v>
      </c>
      <c r="B324" s="18" t="s">
        <v>9</v>
      </c>
      <c r="C324" s="18" t="s">
        <v>259</v>
      </c>
      <c r="D324" s="18" t="s">
        <v>485</v>
      </c>
      <c r="E324" s="19" t="s">
        <v>22</v>
      </c>
      <c r="F324" s="18" t="s">
        <v>13</v>
      </c>
      <c r="G324" s="29"/>
      <c r="H324" s="32" t="str">
        <f>IF(Prueba[[#This Row],[Cant.]]=0,"",IF(OR(Prueba[[#This Row],[Cant.2]]="",Prueba[[#This Row],[Puesto2]]=""),"?",Prueba[[#This Row],[Puesto2]]))</f>
        <v/>
      </c>
      <c r="I324" s="31"/>
      <c r="J324" s="32"/>
      <c r="K324" s="14">
        <v>2</v>
      </c>
      <c r="L324" s="14"/>
      <c r="M324" s="31">
        <v>2</v>
      </c>
      <c r="N324" s="32">
        <f>IF(Prueba[[#This Row],[Cant.4]]=0,"",IF(OR(Prueba[[#This Row],[Cant.6]]="",Prueba[[#This Row],[Puesto6]]=""),"?",Prueba[[#This Row],[Puesto6]]))</f>
        <v>5</v>
      </c>
      <c r="O324" s="31">
        <v>2</v>
      </c>
      <c r="P324" s="32">
        <f>IF(Prueba[[#This Row],[Cant.5]]=0,"",IF(OR(Prueba[[#This Row],[Cant.6]]="",Prueba[[#This Row],[Puesto6]]=""),"?",Prueba[[#This Row],[Puesto6]]))</f>
        <v>5</v>
      </c>
      <c r="Q324" s="31">
        <v>2</v>
      </c>
      <c r="R324" s="32">
        <v>5</v>
      </c>
      <c r="S324" s="14">
        <v>2</v>
      </c>
      <c r="T324" s="14">
        <v>5</v>
      </c>
      <c r="U324" s="31">
        <v>2</v>
      </c>
      <c r="V324" s="32">
        <v>5</v>
      </c>
      <c r="W324" s="19">
        <v>16</v>
      </c>
      <c r="X324" s="19" t="s">
        <v>1664</v>
      </c>
      <c r="Y324" s="19" t="s">
        <v>1663</v>
      </c>
      <c r="Z324" s="19" t="s">
        <v>1663</v>
      </c>
      <c r="AA324" s="19" t="s">
        <v>1663</v>
      </c>
      <c r="AB324" s="19" t="s">
        <v>1663</v>
      </c>
    </row>
    <row r="325" spans="1:28" s="18" customFormat="1">
      <c r="A325" s="18" t="s">
        <v>802</v>
      </c>
      <c r="B325" s="18" t="s">
        <v>9</v>
      </c>
      <c r="C325" s="18" t="s">
        <v>485</v>
      </c>
      <c r="D325" s="18" t="s">
        <v>485</v>
      </c>
      <c r="E325" s="19" t="s">
        <v>22</v>
      </c>
      <c r="F325" s="18" t="s">
        <v>13</v>
      </c>
      <c r="G325" s="29"/>
      <c r="H325" s="32" t="str">
        <f>IF(Prueba[[#This Row],[Cant.]]=0,"",IF(OR(Prueba[[#This Row],[Cant.2]]="",Prueba[[#This Row],[Puesto2]]=""),"?",Prueba[[#This Row],[Puesto2]]))</f>
        <v/>
      </c>
      <c r="I325" s="31"/>
      <c r="J325" s="32"/>
      <c r="K325" s="14">
        <v>2</v>
      </c>
      <c r="L325" s="14"/>
      <c r="M325" s="31">
        <v>2</v>
      </c>
      <c r="N325" s="32">
        <f>IF(Prueba[[#This Row],[Cant.4]]=0,"",IF(OR(Prueba[[#This Row],[Cant.6]]="",Prueba[[#This Row],[Puesto6]]=""),"?",Prueba[[#This Row],[Puesto6]]))</f>
        <v>3</v>
      </c>
      <c r="O325" s="31">
        <v>2</v>
      </c>
      <c r="P325" s="32">
        <f>IF(Prueba[[#This Row],[Cant.5]]=0,"",IF(OR(Prueba[[#This Row],[Cant.6]]="",Prueba[[#This Row],[Puesto6]]=""),"?",Prueba[[#This Row],[Puesto6]]))</f>
        <v>3</v>
      </c>
      <c r="Q325" s="31">
        <v>2</v>
      </c>
      <c r="R325" s="32">
        <v>3</v>
      </c>
      <c r="S325" s="14">
        <v>6</v>
      </c>
      <c r="T325" s="14" t="s">
        <v>1839</v>
      </c>
      <c r="U325" s="31"/>
      <c r="V325" s="32" t="s">
        <v>1663</v>
      </c>
      <c r="W325" s="19">
        <v>16</v>
      </c>
      <c r="X325" s="19" t="s">
        <v>1664</v>
      </c>
      <c r="Y325" s="19" t="s">
        <v>1663</v>
      </c>
      <c r="Z325" s="19" t="s">
        <v>1663</v>
      </c>
      <c r="AA325" s="19" t="s">
        <v>1663</v>
      </c>
      <c r="AB325" s="19" t="s">
        <v>1663</v>
      </c>
    </row>
    <row r="326" spans="1:28" s="40" customFormat="1">
      <c r="A326" s="18" t="s">
        <v>491</v>
      </c>
      <c r="B326" s="18" t="s">
        <v>9</v>
      </c>
      <c r="C326" s="18" t="s">
        <v>259</v>
      </c>
      <c r="D326" s="18" t="s">
        <v>492</v>
      </c>
      <c r="E326" s="19" t="s">
        <v>22</v>
      </c>
      <c r="F326" s="18" t="s">
        <v>13</v>
      </c>
      <c r="G326" s="29">
        <v>2</v>
      </c>
      <c r="H326" s="32">
        <f>IF(Prueba[[#This Row],[Cant.]]=0,"",IF(OR(Prueba[[#This Row],[Cant.2]]="",Prueba[[#This Row],[Puesto2]]=""),"?",Prueba[[#This Row],[Puesto2]]))</f>
        <v>6</v>
      </c>
      <c r="I326" s="31">
        <v>2</v>
      </c>
      <c r="J326" s="32">
        <v>6</v>
      </c>
      <c r="K326" s="14">
        <v>2</v>
      </c>
      <c r="L326" s="14"/>
      <c r="M326" s="31">
        <v>2</v>
      </c>
      <c r="N326" s="32">
        <f>IF(Prueba[[#This Row],[Cant.4]]=0,"",IF(OR(Prueba[[#This Row],[Cant.6]]="",Prueba[[#This Row],[Puesto6]]=""),"?",Prueba[[#This Row],[Puesto6]]))</f>
        <v>6</v>
      </c>
      <c r="O326" s="31">
        <v>2</v>
      </c>
      <c r="P326" s="32">
        <f>IF(Prueba[[#This Row],[Cant.5]]=0,"",IF(OR(Prueba[[#This Row],[Cant.6]]="",Prueba[[#This Row],[Puesto6]]=""),"?",Prueba[[#This Row],[Puesto6]]))</f>
        <v>6</v>
      </c>
      <c r="Q326" s="31">
        <v>2</v>
      </c>
      <c r="R326" s="32">
        <v>6</v>
      </c>
      <c r="S326" s="14">
        <v>2</v>
      </c>
      <c r="T326" s="14">
        <v>6</v>
      </c>
      <c r="U326" s="31"/>
      <c r="V326" s="32" t="s">
        <v>1663</v>
      </c>
      <c r="W326" s="19">
        <v>16</v>
      </c>
      <c r="X326" s="19" t="s">
        <v>1664</v>
      </c>
      <c r="Y326" s="19">
        <v>3</v>
      </c>
      <c r="Z326" s="19">
        <v>6</v>
      </c>
      <c r="AA326" s="19">
        <v>3</v>
      </c>
      <c r="AB326" s="19">
        <v>6</v>
      </c>
    </row>
    <row r="327" spans="1:28" s="18" customFormat="1">
      <c r="A327" s="18" t="s">
        <v>803</v>
      </c>
      <c r="B327" s="18" t="s">
        <v>9</v>
      </c>
      <c r="C327" s="18" t="s">
        <v>485</v>
      </c>
      <c r="D327" s="18" t="s">
        <v>485</v>
      </c>
      <c r="E327" s="19" t="s">
        <v>22</v>
      </c>
      <c r="F327" s="18" t="s">
        <v>13</v>
      </c>
      <c r="G327" s="29"/>
      <c r="H327" s="32" t="str">
        <f>IF(Prueba[[#This Row],[Cant.]]=0,"",IF(OR(Prueba[[#This Row],[Cant.2]]="",Prueba[[#This Row],[Puesto2]]=""),"?",Prueba[[#This Row],[Puesto2]]))</f>
        <v/>
      </c>
      <c r="I327" s="31"/>
      <c r="J327" s="32"/>
      <c r="K327" s="14">
        <v>8</v>
      </c>
      <c r="L327" s="14"/>
      <c r="M327" s="31">
        <v>8</v>
      </c>
      <c r="N327" s="32">
        <f>IF(Prueba[[#This Row],[Cant.4]]=0,"",IF(OR(Prueba[[#This Row],[Cant.6]]="",Prueba[[#This Row],[Puesto6]]=""),"?",Prueba[[#This Row],[Puesto6]]))</f>
        <v>6</v>
      </c>
      <c r="O327" s="31">
        <v>8</v>
      </c>
      <c r="P327" s="32">
        <f>IF(Prueba[[#This Row],[Cant.5]]=0,"",IF(OR(Prueba[[#This Row],[Cant.6]]="",Prueba[[#This Row],[Puesto6]]=""),"?",Prueba[[#This Row],[Puesto6]]))</f>
        <v>6</v>
      </c>
      <c r="Q327" s="31">
        <v>8</v>
      </c>
      <c r="R327" s="32">
        <v>6</v>
      </c>
      <c r="S327" s="14">
        <v>8</v>
      </c>
      <c r="T327" s="14">
        <v>6</v>
      </c>
      <c r="U327" s="31">
        <v>6</v>
      </c>
      <c r="V327" s="32">
        <v>0</v>
      </c>
      <c r="W327" s="19">
        <v>64</v>
      </c>
      <c r="X327" s="19" t="s">
        <v>1664</v>
      </c>
      <c r="Y327" s="19" t="s">
        <v>1663</v>
      </c>
      <c r="Z327" s="19" t="s">
        <v>1663</v>
      </c>
      <c r="AA327" s="19" t="s">
        <v>1663</v>
      </c>
      <c r="AB327" s="19" t="s">
        <v>1663</v>
      </c>
    </row>
    <row r="328" spans="1:28" s="18" customFormat="1">
      <c r="A328" s="18" t="s">
        <v>804</v>
      </c>
      <c r="B328" s="18" t="s">
        <v>9</v>
      </c>
      <c r="C328" s="18" t="s">
        <v>485</v>
      </c>
      <c r="D328" s="18" t="s">
        <v>485</v>
      </c>
      <c r="E328" s="19" t="s">
        <v>22</v>
      </c>
      <c r="F328" s="18" t="s">
        <v>13</v>
      </c>
      <c r="G328" s="29"/>
      <c r="H328" s="32" t="str">
        <f>IF(Prueba[[#This Row],[Cant.]]=0,"",IF(OR(Prueba[[#This Row],[Cant.2]]="",Prueba[[#This Row],[Puesto2]]=""),"?",Prueba[[#This Row],[Puesto2]]))</f>
        <v/>
      </c>
      <c r="I328" s="31"/>
      <c r="J328" s="32"/>
      <c r="K328" s="14">
        <v>6</v>
      </c>
      <c r="L328" s="14"/>
      <c r="M328" s="31">
        <v>6</v>
      </c>
      <c r="N328" s="32" t="str">
        <f>IF(Prueba[[#This Row],[Cant.4]]=0,"",IF(OR(Prueba[[#This Row],[Cant.6]]="",Prueba[[#This Row],[Puesto6]]=""),"?",Prueba[[#This Row],[Puesto6]]))</f>
        <v>4x0 + 2x3</v>
      </c>
      <c r="O328" s="31">
        <v>6</v>
      </c>
      <c r="P328" s="32" t="str">
        <f>IF(Prueba[[#This Row],[Cant.5]]=0,"",IF(OR(Prueba[[#This Row],[Cant.6]]="",Prueba[[#This Row],[Puesto6]]=""),"?",Prueba[[#This Row],[Puesto6]]))</f>
        <v>4x0 + 2x3</v>
      </c>
      <c r="Q328" s="31">
        <v>6</v>
      </c>
      <c r="R328" s="32" t="s">
        <v>1840</v>
      </c>
      <c r="S328" s="14">
        <v>7</v>
      </c>
      <c r="T328" s="14" t="s">
        <v>1841</v>
      </c>
      <c r="U328" s="31"/>
      <c r="V328" s="32" t="s">
        <v>1663</v>
      </c>
      <c r="W328" s="19">
        <v>40</v>
      </c>
      <c r="X328" s="19" t="s">
        <v>1664</v>
      </c>
      <c r="Y328" s="19" t="s">
        <v>1663</v>
      </c>
      <c r="Z328" s="19" t="s">
        <v>1663</v>
      </c>
      <c r="AA328" s="19" t="s">
        <v>1663</v>
      </c>
      <c r="AB328" s="19" t="s">
        <v>1663</v>
      </c>
    </row>
    <row r="329" spans="1:28" s="18" customFormat="1">
      <c r="A329" s="18" t="s">
        <v>1842</v>
      </c>
      <c r="B329" s="18" t="s">
        <v>1806</v>
      </c>
      <c r="C329" s="18" t="s">
        <v>1837</v>
      </c>
      <c r="D329" s="18" t="s">
        <v>1838</v>
      </c>
      <c r="E329" s="19" t="s">
        <v>1733</v>
      </c>
      <c r="F329" s="18" t="s">
        <v>13</v>
      </c>
      <c r="G329" s="29"/>
      <c r="H329" s="32" t="str">
        <f>IF(Prueba[[#This Row],[Cant.]]=0,"",IF(OR(Prueba[[#This Row],[Cant.2]]="",Prueba[[#This Row],[Puesto2]]=""),"?",Prueba[[#This Row],[Puesto2]]))</f>
        <v/>
      </c>
      <c r="I329" s="31"/>
      <c r="J329" s="32"/>
      <c r="K329" s="14"/>
      <c r="L329" s="14"/>
      <c r="M329" s="31">
        <v>4</v>
      </c>
      <c r="N329" s="32">
        <f>IF(Prueba[[#This Row],[Cant.4]]=0,"",IF(OR(Prueba[[#This Row],[Cant.6]]="",Prueba[[#This Row],[Puesto6]]=""),"?",Prueba[[#This Row],[Puesto6]]))</f>
        <v>0</v>
      </c>
      <c r="O329" s="31"/>
      <c r="P329" s="32" t="str">
        <f>IF(Prueba[[#This Row],[Cant.5]]=0,"",IF(OR(Prueba[[#This Row],[Cant.6]]="",Prueba[[#This Row],[Puesto6]]=""),"?",Prueba[[#This Row],[Puesto6]]))</f>
        <v/>
      </c>
      <c r="Q329" s="31">
        <v>4</v>
      </c>
      <c r="R329" s="32">
        <v>0</v>
      </c>
      <c r="S329" s="14">
        <v>4</v>
      </c>
      <c r="T329" s="14">
        <v>0</v>
      </c>
      <c r="U329" s="31"/>
      <c r="V329" s="32" t="s">
        <v>1663</v>
      </c>
      <c r="W329" s="19">
        <v>32</v>
      </c>
      <c r="X329" s="19" t="s">
        <v>1664</v>
      </c>
      <c r="Y329" s="19" t="s">
        <v>1663</v>
      </c>
      <c r="Z329" s="19" t="s">
        <v>1663</v>
      </c>
      <c r="AA329" s="19" t="s">
        <v>1663</v>
      </c>
      <c r="AB329" s="19" t="s">
        <v>1663</v>
      </c>
    </row>
    <row r="330" spans="1:28" s="18" customFormat="1">
      <c r="A330" s="18" t="s">
        <v>805</v>
      </c>
      <c r="B330" s="18" t="s">
        <v>9</v>
      </c>
      <c r="C330" s="18" t="s">
        <v>259</v>
      </c>
      <c r="D330" s="18" t="s">
        <v>485</v>
      </c>
      <c r="E330" s="19" t="s">
        <v>22</v>
      </c>
      <c r="F330" s="18" t="s">
        <v>13</v>
      </c>
      <c r="G330" s="29"/>
      <c r="H330" s="32" t="str">
        <f>IF(Prueba[[#This Row],[Cant.]]=0,"",IF(OR(Prueba[[#This Row],[Cant.2]]="",Prueba[[#This Row],[Puesto2]]=""),"?",Prueba[[#This Row],[Puesto2]]))</f>
        <v/>
      </c>
      <c r="I330" s="31"/>
      <c r="J330" s="32"/>
      <c r="K330" s="14">
        <v>11</v>
      </c>
      <c r="L330" s="14"/>
      <c r="M330" s="31">
        <v>7</v>
      </c>
      <c r="N330" s="32">
        <f>IF(Prueba[[#This Row],[Cant.4]]=0,"",IF(OR(Prueba[[#This Row],[Cant.6]]="",Prueba[[#This Row],[Puesto6]]=""),"?",Prueba[[#This Row],[Puesto6]]))</f>
        <v>0</v>
      </c>
      <c r="O330" s="31">
        <v>11</v>
      </c>
      <c r="P330" s="32">
        <f>IF(Prueba[[#This Row],[Cant.5]]=0,"",IF(OR(Prueba[[#This Row],[Cant.6]]="",Prueba[[#This Row],[Puesto6]]=""),"?",Prueba[[#This Row],[Puesto6]]))</f>
        <v>0</v>
      </c>
      <c r="Q330" s="31">
        <v>7</v>
      </c>
      <c r="R330" s="32">
        <v>0</v>
      </c>
      <c r="S330" s="14">
        <v>7</v>
      </c>
      <c r="T330" s="14">
        <v>0</v>
      </c>
      <c r="U330" s="31">
        <v>2</v>
      </c>
      <c r="V330" s="32">
        <v>0</v>
      </c>
      <c r="W330" s="19">
        <v>56</v>
      </c>
      <c r="X330" s="19" t="s">
        <v>1664</v>
      </c>
      <c r="Y330" s="19" t="s">
        <v>1663</v>
      </c>
      <c r="Z330" s="19" t="s">
        <v>1663</v>
      </c>
      <c r="AA330" s="19" t="s">
        <v>1663</v>
      </c>
      <c r="AB330" s="19" t="s">
        <v>1663</v>
      </c>
    </row>
    <row r="331" spans="1:28" s="18" customFormat="1">
      <c r="A331" s="18" t="s">
        <v>493</v>
      </c>
      <c r="B331" s="18" t="s">
        <v>9</v>
      </c>
      <c r="C331" s="18" t="s">
        <v>494</v>
      </c>
      <c r="D331" s="18" t="s">
        <v>495</v>
      </c>
      <c r="E331" s="19" t="s">
        <v>22</v>
      </c>
      <c r="F331" s="18" t="s">
        <v>13</v>
      </c>
      <c r="G331" s="29">
        <v>2</v>
      </c>
      <c r="H331" s="32">
        <f>IF(Prueba[[#This Row],[Cant.]]=0,"",IF(OR(Prueba[[#This Row],[Cant.2]]="",Prueba[[#This Row],[Puesto2]]=""),"?",Prueba[[#This Row],[Puesto2]]))</f>
        <v>7</v>
      </c>
      <c r="I331" s="31">
        <v>2</v>
      </c>
      <c r="J331" s="32">
        <v>7</v>
      </c>
      <c r="K331" s="14">
        <v>2</v>
      </c>
      <c r="L331" s="14"/>
      <c r="M331" s="31">
        <v>2</v>
      </c>
      <c r="N331" s="32">
        <f>IF(Prueba[[#This Row],[Cant.4]]=0,"",IF(OR(Prueba[[#This Row],[Cant.6]]="",Prueba[[#This Row],[Puesto6]]=""),"?",Prueba[[#This Row],[Puesto6]]))</f>
        <v>7</v>
      </c>
      <c r="O331" s="31">
        <v>2</v>
      </c>
      <c r="P331" s="32">
        <f>IF(Prueba[[#This Row],[Cant.5]]=0,"",IF(OR(Prueba[[#This Row],[Cant.6]]="",Prueba[[#This Row],[Puesto6]]=""),"?",Prueba[[#This Row],[Puesto6]]))</f>
        <v>7</v>
      </c>
      <c r="Q331" s="31">
        <v>2</v>
      </c>
      <c r="R331" s="32">
        <v>7</v>
      </c>
      <c r="S331" s="14">
        <v>2</v>
      </c>
      <c r="T331" s="14">
        <v>7</v>
      </c>
      <c r="U331" s="31">
        <v>2</v>
      </c>
      <c r="V331" s="32">
        <v>7</v>
      </c>
      <c r="W331" s="19">
        <v>16</v>
      </c>
      <c r="X331" s="19" t="s">
        <v>1664</v>
      </c>
      <c r="Y331" s="19">
        <v>3</v>
      </c>
      <c r="Z331" s="19">
        <v>7</v>
      </c>
      <c r="AA331" s="19">
        <v>3</v>
      </c>
      <c r="AB331" s="19">
        <v>7</v>
      </c>
    </row>
    <row r="332" spans="1:28" s="18" customFormat="1">
      <c r="A332" s="18" t="s">
        <v>806</v>
      </c>
      <c r="B332" s="18" t="s">
        <v>9</v>
      </c>
      <c r="C332" s="18" t="s">
        <v>807</v>
      </c>
      <c r="D332" s="18" t="s">
        <v>808</v>
      </c>
      <c r="E332" s="19" t="s">
        <v>790</v>
      </c>
      <c r="F332" s="18" t="s">
        <v>13</v>
      </c>
      <c r="G332" s="29"/>
      <c r="H332" s="32" t="str">
        <f>IF(Prueba[[#This Row],[Cant.]]=0,"",IF(OR(Prueba[[#This Row],[Cant.2]]="",Prueba[[#This Row],[Puesto2]]=""),"?",Prueba[[#This Row],[Puesto2]]))</f>
        <v/>
      </c>
      <c r="I332" s="31"/>
      <c r="J332" s="32"/>
      <c r="K332" s="14">
        <v>1</v>
      </c>
      <c r="L332" s="14"/>
      <c r="M332" s="31">
        <v>1</v>
      </c>
      <c r="N332" s="32">
        <f>IF(Prueba[[#This Row],[Cant.4]]=0,"",IF(OR(Prueba[[#This Row],[Cant.6]]="",Prueba[[#This Row],[Puesto6]]=""),"?",Prueba[[#This Row],[Puesto6]]))</f>
        <v>6</v>
      </c>
      <c r="O332" s="31">
        <v>1</v>
      </c>
      <c r="P332" s="32">
        <f>IF(Prueba[[#This Row],[Cant.5]]=0,"",IF(OR(Prueba[[#This Row],[Cant.6]]="",Prueba[[#This Row],[Puesto6]]=""),"?",Prueba[[#This Row],[Puesto6]]))</f>
        <v>6</v>
      </c>
      <c r="Q332" s="31">
        <v>1</v>
      </c>
      <c r="R332" s="32">
        <v>6</v>
      </c>
      <c r="S332" s="14">
        <v>1</v>
      </c>
      <c r="T332" s="14">
        <v>6</v>
      </c>
      <c r="U332" s="31"/>
      <c r="V332" s="32" t="s">
        <v>1663</v>
      </c>
      <c r="W332" s="19"/>
      <c r="X332" s="19" t="s">
        <v>1667</v>
      </c>
      <c r="Y332" s="19" t="s">
        <v>1663</v>
      </c>
      <c r="Z332" s="19" t="s">
        <v>1663</v>
      </c>
      <c r="AA332" s="19" t="s">
        <v>1663</v>
      </c>
      <c r="AB332" s="19" t="s">
        <v>1663</v>
      </c>
    </row>
    <row r="333" spans="1:28" s="18" customFormat="1">
      <c r="A333" s="18" t="s">
        <v>809</v>
      </c>
      <c r="B333" s="18" t="s">
        <v>9</v>
      </c>
      <c r="C333" s="18" t="s">
        <v>84</v>
      </c>
      <c r="D333" s="18" t="s">
        <v>41</v>
      </c>
      <c r="E333" s="19" t="s">
        <v>22</v>
      </c>
      <c r="F333" s="18" t="s">
        <v>13</v>
      </c>
      <c r="G333" s="29"/>
      <c r="H333" s="32" t="str">
        <f>IF(Prueba[[#This Row],[Cant.]]=0,"",IF(OR(Prueba[[#This Row],[Cant.2]]="",Prueba[[#This Row],[Puesto2]]=""),"?",Prueba[[#This Row],[Puesto2]]))</f>
        <v/>
      </c>
      <c r="I333" s="31"/>
      <c r="J333" s="32"/>
      <c r="K333" s="14">
        <v>1</v>
      </c>
      <c r="L333" s="14"/>
      <c r="M333" s="31">
        <v>1</v>
      </c>
      <c r="N333" s="32">
        <f>IF(Prueba[[#This Row],[Cant.4]]=0,"",IF(OR(Prueba[[#This Row],[Cant.6]]="",Prueba[[#This Row],[Puesto6]]=""),"?",Prueba[[#This Row],[Puesto6]]))</f>
        <v>6</v>
      </c>
      <c r="O333" s="31">
        <v>1</v>
      </c>
      <c r="P333" s="32">
        <f>IF(Prueba[[#This Row],[Cant.5]]=0,"",IF(OR(Prueba[[#This Row],[Cant.6]]="",Prueba[[#This Row],[Puesto6]]=""),"?",Prueba[[#This Row],[Puesto6]]))</f>
        <v>6</v>
      </c>
      <c r="Q333" s="31">
        <v>1</v>
      </c>
      <c r="R333" s="32">
        <v>6</v>
      </c>
      <c r="S333" s="14">
        <v>1</v>
      </c>
      <c r="T333" s="14">
        <v>6</v>
      </c>
      <c r="U333" s="31"/>
      <c r="V333" s="32" t="s">
        <v>1663</v>
      </c>
      <c r="W333" s="19">
        <v>8</v>
      </c>
      <c r="X333" s="19" t="s">
        <v>1664</v>
      </c>
      <c r="Y333" s="19" t="s">
        <v>1663</v>
      </c>
      <c r="Z333" s="19" t="s">
        <v>1663</v>
      </c>
      <c r="AA333" s="19" t="s">
        <v>1663</v>
      </c>
      <c r="AB333" s="19" t="s">
        <v>1663</v>
      </c>
    </row>
    <row r="334" spans="1:28" s="18" customFormat="1">
      <c r="A334" s="40" t="s">
        <v>810</v>
      </c>
      <c r="B334" s="40" t="s">
        <v>9</v>
      </c>
      <c r="C334" s="40" t="s">
        <v>811</v>
      </c>
      <c r="D334" s="40" t="s">
        <v>812</v>
      </c>
      <c r="E334" s="41" t="s">
        <v>22</v>
      </c>
      <c r="F334" s="18" t="s">
        <v>13</v>
      </c>
      <c r="G334" s="29"/>
      <c r="H334" s="32" t="str">
        <f>IF(Prueba[[#This Row],[Cant.]]=0,"",IF(OR(Prueba[[#This Row],[Cant.2]]="",Prueba[[#This Row],[Puesto2]]=""),"?",Prueba[[#This Row],[Puesto2]]))</f>
        <v/>
      </c>
      <c r="I334" s="31"/>
      <c r="J334" s="32"/>
      <c r="K334" s="14">
        <v>4</v>
      </c>
      <c r="L334" s="14"/>
      <c r="M334" s="31"/>
      <c r="N334" s="32" t="str">
        <f>IF(Prueba[[#This Row],[Cant.4]]=0,"",IF(OR(Prueba[[#This Row],[Cant.6]]="",Prueba[[#This Row],[Puesto6]]=""),"?",Prueba[[#This Row],[Puesto6]]))</f>
        <v/>
      </c>
      <c r="O334" s="31"/>
      <c r="P334" s="32" t="str">
        <f>IF(Prueba[[#This Row],[Cant.5]]=0,"",IF(OR(Prueba[[#This Row],[Cant.6]]="",Prueba[[#This Row],[Puesto6]]=""),"?",Prueba[[#This Row],[Puesto6]]))</f>
        <v/>
      </c>
      <c r="Q334" s="44">
        <v>4</v>
      </c>
      <c r="R334" s="45">
        <v>0</v>
      </c>
      <c r="S334" s="14"/>
      <c r="T334" s="14"/>
      <c r="U334" s="31"/>
      <c r="V334" s="32" t="s">
        <v>1663</v>
      </c>
      <c r="W334" s="19">
        <v>32</v>
      </c>
      <c r="X334" s="19" t="s">
        <v>1664</v>
      </c>
      <c r="Y334" s="19" t="s">
        <v>1663</v>
      </c>
      <c r="Z334" s="19" t="s">
        <v>1663</v>
      </c>
      <c r="AA334" s="19" t="s">
        <v>1663</v>
      </c>
      <c r="AB334" s="19" t="s">
        <v>1663</v>
      </c>
    </row>
    <row r="335" spans="1:28" s="40" customFormat="1">
      <c r="A335" s="18" t="s">
        <v>813</v>
      </c>
      <c r="B335" s="18" t="s">
        <v>9</v>
      </c>
      <c r="C335" s="18" t="s">
        <v>771</v>
      </c>
      <c r="D335" s="18" t="s">
        <v>814</v>
      </c>
      <c r="E335" s="19" t="s">
        <v>12</v>
      </c>
      <c r="F335" s="18" t="s">
        <v>13</v>
      </c>
      <c r="G335" s="29"/>
      <c r="H335" s="32" t="str">
        <f>IF(Prueba[[#This Row],[Cant.]]=0,"",IF(OR(Prueba[[#This Row],[Cant.2]]="",Prueba[[#This Row],[Puesto2]]=""),"?",Prueba[[#This Row],[Puesto2]]))</f>
        <v/>
      </c>
      <c r="I335" s="31"/>
      <c r="J335" s="32"/>
      <c r="K335" s="14">
        <v>1</v>
      </c>
      <c r="L335" s="14"/>
      <c r="M335" s="31">
        <v>1</v>
      </c>
      <c r="N335" s="32">
        <f>IF(Prueba[[#This Row],[Cant.4]]=0,"",IF(OR(Prueba[[#This Row],[Cant.6]]="",Prueba[[#This Row],[Puesto6]]=""),"?",Prueba[[#This Row],[Puesto6]]))</f>
        <v>0</v>
      </c>
      <c r="O335" s="31">
        <v>1</v>
      </c>
      <c r="P335" s="32">
        <f>IF(Prueba[[#This Row],[Cant.5]]=0,"",IF(OR(Prueba[[#This Row],[Cant.6]]="",Prueba[[#This Row],[Puesto6]]=""),"?",Prueba[[#This Row],[Puesto6]]))</f>
        <v>0</v>
      </c>
      <c r="Q335" s="31">
        <v>1</v>
      </c>
      <c r="R335" s="32">
        <v>0</v>
      </c>
      <c r="S335" s="14">
        <v>1</v>
      </c>
      <c r="T335" s="14">
        <v>0</v>
      </c>
      <c r="U335" s="31"/>
      <c r="V335" s="32" t="s">
        <v>1663</v>
      </c>
      <c r="W335" s="19"/>
      <c r="X335" s="19" t="s">
        <v>1667</v>
      </c>
      <c r="Y335" s="19" t="s">
        <v>1663</v>
      </c>
      <c r="Z335" s="19" t="s">
        <v>1663</v>
      </c>
      <c r="AA335" s="19" t="s">
        <v>1663</v>
      </c>
      <c r="AB335" s="19" t="s">
        <v>1663</v>
      </c>
    </row>
    <row r="336" spans="1:28" s="40" customFormat="1">
      <c r="A336" s="18" t="s">
        <v>815</v>
      </c>
      <c r="B336" s="18" t="s">
        <v>9</v>
      </c>
      <c r="C336" s="18" t="s">
        <v>816</v>
      </c>
      <c r="D336" s="18" t="s">
        <v>817</v>
      </c>
      <c r="E336" s="19" t="s">
        <v>39</v>
      </c>
      <c r="F336" s="18" t="s">
        <v>13</v>
      </c>
      <c r="G336" s="29"/>
      <c r="H336" s="32" t="str">
        <f>IF(Prueba[[#This Row],[Cant.]]=0,"",IF(OR(Prueba[[#This Row],[Cant.2]]="",Prueba[[#This Row],[Puesto2]]=""),"?",Prueba[[#This Row],[Puesto2]]))</f>
        <v/>
      </c>
      <c r="I336" s="31"/>
      <c r="J336" s="32"/>
      <c r="K336" s="14">
        <v>2</v>
      </c>
      <c r="L336" s="14"/>
      <c r="M336" s="31">
        <v>2</v>
      </c>
      <c r="N336" s="32">
        <f>IF(Prueba[[#This Row],[Cant.4]]=0,"",IF(OR(Prueba[[#This Row],[Cant.6]]="",Prueba[[#This Row],[Puesto6]]=""),"?",Prueba[[#This Row],[Puesto6]]))</f>
        <v>6</v>
      </c>
      <c r="O336" s="31">
        <v>2</v>
      </c>
      <c r="P336" s="32">
        <f>IF(Prueba[[#This Row],[Cant.5]]=0,"",IF(OR(Prueba[[#This Row],[Cant.6]]="",Prueba[[#This Row],[Puesto6]]=""),"?",Prueba[[#This Row],[Puesto6]]))</f>
        <v>6</v>
      </c>
      <c r="Q336" s="31">
        <v>2</v>
      </c>
      <c r="R336" s="32">
        <v>6</v>
      </c>
      <c r="S336" s="14">
        <v>2</v>
      </c>
      <c r="T336" s="14">
        <v>6</v>
      </c>
      <c r="U336" s="31"/>
      <c r="V336" s="32" t="s">
        <v>1663</v>
      </c>
      <c r="W336" s="19"/>
      <c r="X336" s="19" t="s">
        <v>1667</v>
      </c>
      <c r="Y336" s="19" t="s">
        <v>1663</v>
      </c>
      <c r="Z336" s="19" t="s">
        <v>1663</v>
      </c>
      <c r="AA336" s="19" t="s">
        <v>1663</v>
      </c>
      <c r="AB336" s="19" t="s">
        <v>1663</v>
      </c>
    </row>
    <row r="337" spans="1:28" s="18" customFormat="1">
      <c r="A337" s="18" t="s">
        <v>818</v>
      </c>
      <c r="B337" s="18" t="s">
        <v>9</v>
      </c>
      <c r="C337" s="18" t="s">
        <v>819</v>
      </c>
      <c r="D337" s="18" t="s">
        <v>820</v>
      </c>
      <c r="E337" s="19" t="s">
        <v>308</v>
      </c>
      <c r="F337" s="18" t="s">
        <v>13</v>
      </c>
      <c r="G337" s="29"/>
      <c r="H337" s="32" t="str">
        <f>IF(Prueba[[#This Row],[Cant.]]=0,"",IF(OR(Prueba[[#This Row],[Cant.2]]="",Prueba[[#This Row],[Puesto2]]=""),"?",Prueba[[#This Row],[Puesto2]]))</f>
        <v/>
      </c>
      <c r="I337" s="31"/>
      <c r="J337" s="32"/>
      <c r="K337" s="14">
        <v>1</v>
      </c>
      <c r="L337" s="14"/>
      <c r="M337" s="31">
        <v>1</v>
      </c>
      <c r="N337" s="32">
        <f>IF(Prueba[[#This Row],[Cant.4]]=0,"",IF(OR(Prueba[[#This Row],[Cant.6]]="",Prueba[[#This Row],[Puesto6]]=""),"?",Prueba[[#This Row],[Puesto6]]))</f>
        <v>4</v>
      </c>
      <c r="O337" s="31">
        <v>1</v>
      </c>
      <c r="P337" s="32">
        <f>IF(Prueba[[#This Row],[Cant.5]]=0,"",IF(OR(Prueba[[#This Row],[Cant.6]]="",Prueba[[#This Row],[Puesto6]]=""),"?",Prueba[[#This Row],[Puesto6]]))</f>
        <v>4</v>
      </c>
      <c r="Q337" s="31">
        <v>1</v>
      </c>
      <c r="R337" s="32">
        <v>4</v>
      </c>
      <c r="S337" s="14">
        <v>1</v>
      </c>
      <c r="T337" s="14">
        <v>4</v>
      </c>
      <c r="U337" s="31"/>
      <c r="V337" s="32" t="s">
        <v>1663</v>
      </c>
      <c r="W337" s="19"/>
      <c r="X337" s="19" t="s">
        <v>1667</v>
      </c>
      <c r="Y337" s="19" t="s">
        <v>1663</v>
      </c>
      <c r="Z337" s="19" t="s">
        <v>1663</v>
      </c>
      <c r="AA337" s="19" t="s">
        <v>1663</v>
      </c>
      <c r="AB337" s="19" t="s">
        <v>1663</v>
      </c>
    </row>
    <row r="338" spans="1:28" s="18" customFormat="1">
      <c r="A338" s="18" t="s">
        <v>821</v>
      </c>
      <c r="B338" s="18" t="s">
        <v>9</v>
      </c>
      <c r="C338" s="18" t="s">
        <v>819</v>
      </c>
      <c r="D338" s="18" t="s">
        <v>820</v>
      </c>
      <c r="E338" s="19" t="s">
        <v>308</v>
      </c>
      <c r="F338" s="18" t="s">
        <v>13</v>
      </c>
      <c r="G338" s="29"/>
      <c r="H338" s="32" t="str">
        <f>IF(Prueba[[#This Row],[Cant.]]=0,"",IF(OR(Prueba[[#This Row],[Cant.2]]="",Prueba[[#This Row],[Puesto2]]=""),"?",Prueba[[#This Row],[Puesto2]]))</f>
        <v/>
      </c>
      <c r="I338" s="31"/>
      <c r="J338" s="32"/>
      <c r="K338" s="14">
        <v>1</v>
      </c>
      <c r="L338" s="14"/>
      <c r="M338" s="31">
        <v>1</v>
      </c>
      <c r="N338" s="32">
        <f>IF(Prueba[[#This Row],[Cant.4]]=0,"",IF(OR(Prueba[[#This Row],[Cant.6]]="",Prueba[[#This Row],[Puesto6]]=""),"?",Prueba[[#This Row],[Puesto6]]))</f>
        <v>4</v>
      </c>
      <c r="O338" s="31">
        <v>1</v>
      </c>
      <c r="P338" s="32">
        <f>IF(Prueba[[#This Row],[Cant.5]]=0,"",IF(OR(Prueba[[#This Row],[Cant.6]]="",Prueba[[#This Row],[Puesto6]]=""),"?",Prueba[[#This Row],[Puesto6]]))</f>
        <v>4</v>
      </c>
      <c r="Q338" s="31">
        <v>1</v>
      </c>
      <c r="R338" s="32">
        <v>4</v>
      </c>
      <c r="S338" s="14">
        <v>1</v>
      </c>
      <c r="T338" s="14">
        <v>4</v>
      </c>
      <c r="U338" s="31"/>
      <c r="V338" s="32" t="s">
        <v>1663</v>
      </c>
      <c r="W338" s="19"/>
      <c r="X338" s="19" t="s">
        <v>1667</v>
      </c>
      <c r="Y338" s="19" t="s">
        <v>1663</v>
      </c>
      <c r="Z338" s="19" t="s">
        <v>1663</v>
      </c>
      <c r="AA338" s="19" t="s">
        <v>1663</v>
      </c>
      <c r="AB338" s="19" t="s">
        <v>1663</v>
      </c>
    </row>
    <row r="339" spans="1:28" s="18" customFormat="1">
      <c r="A339" s="18" t="s">
        <v>822</v>
      </c>
      <c r="B339" s="18" t="s">
        <v>9</v>
      </c>
      <c r="C339" s="18" t="s">
        <v>823</v>
      </c>
      <c r="D339" s="18" t="s">
        <v>824</v>
      </c>
      <c r="E339" s="19" t="s">
        <v>39</v>
      </c>
      <c r="F339" s="18" t="s">
        <v>13</v>
      </c>
      <c r="G339" s="29"/>
      <c r="H339" s="32" t="str">
        <f>IF(Prueba[[#This Row],[Cant.]]=0,"",IF(OR(Prueba[[#This Row],[Cant.2]]="",Prueba[[#This Row],[Puesto2]]=""),"?",Prueba[[#This Row],[Puesto2]]))</f>
        <v/>
      </c>
      <c r="I339" s="31"/>
      <c r="J339" s="32"/>
      <c r="K339" s="14">
        <v>1</v>
      </c>
      <c r="L339" s="14"/>
      <c r="M339" s="31"/>
      <c r="N339" s="32" t="str">
        <f>IF(Prueba[[#This Row],[Cant.4]]=0,"",IF(OR(Prueba[[#This Row],[Cant.6]]="",Prueba[[#This Row],[Puesto6]]=""),"?",Prueba[[#This Row],[Puesto6]]))</f>
        <v/>
      </c>
      <c r="O339" s="31">
        <v>1</v>
      </c>
      <c r="P339" s="32">
        <v>0</v>
      </c>
      <c r="Q339" s="31"/>
      <c r="R339" s="32"/>
      <c r="S339" s="14"/>
      <c r="T339" s="14"/>
      <c r="U339" s="31"/>
      <c r="V339" s="32" t="s">
        <v>1663</v>
      </c>
      <c r="W339" s="19"/>
      <c r="X339" s="19" t="s">
        <v>1667</v>
      </c>
      <c r="Y339" s="19" t="s">
        <v>1663</v>
      </c>
      <c r="Z339" s="19" t="s">
        <v>1663</v>
      </c>
      <c r="AA339" s="19" t="s">
        <v>1663</v>
      </c>
      <c r="AB339" s="19" t="s">
        <v>1663</v>
      </c>
    </row>
    <row r="340" spans="1:28" s="18" customFormat="1">
      <c r="A340" s="18" t="s">
        <v>1843</v>
      </c>
      <c r="B340" s="18" t="s">
        <v>1806</v>
      </c>
      <c r="C340" s="18" t="s">
        <v>1844</v>
      </c>
      <c r="D340" s="18" t="s">
        <v>1845</v>
      </c>
      <c r="E340" s="19" t="s">
        <v>39</v>
      </c>
      <c r="F340" s="18" t="s">
        <v>13</v>
      </c>
      <c r="G340" s="29"/>
      <c r="H340" s="32" t="str">
        <f>IF(Prueba[[#This Row],[Cant.]]=0,"",IF(OR(Prueba[[#This Row],[Cant.2]]="",Prueba[[#This Row],[Puesto2]]=""),"?",Prueba[[#This Row],[Puesto2]]))</f>
        <v/>
      </c>
      <c r="I340" s="31"/>
      <c r="J340" s="32"/>
      <c r="K340" s="14"/>
      <c r="L340" s="14"/>
      <c r="M340" s="31">
        <v>1</v>
      </c>
      <c r="N340" s="32">
        <f>IF(Prueba[[#This Row],[Cant.4]]=0,"",IF(OR(Prueba[[#This Row],[Cant.6]]="",Prueba[[#This Row],[Puesto6]]=""),"?",Prueba[[#This Row],[Puesto6]]))</f>
        <v>0</v>
      </c>
      <c r="O340" s="31"/>
      <c r="P340" s="32" t="str">
        <f>IF(Prueba[[#This Row],[Cant.5]]=0,"",IF(OR(Prueba[[#This Row],[Cant.6]]="",Prueba[[#This Row],[Puesto6]]=""),"?",Prueba[[#This Row],[Puesto6]]))</f>
        <v/>
      </c>
      <c r="Q340" s="31">
        <v>1</v>
      </c>
      <c r="R340" s="32">
        <v>0</v>
      </c>
      <c r="S340" s="14">
        <v>1</v>
      </c>
      <c r="T340" s="14">
        <v>0</v>
      </c>
      <c r="U340" s="31"/>
      <c r="V340" s="32" t="s">
        <v>1663</v>
      </c>
      <c r="W340" s="19"/>
      <c r="X340" s="19" t="s">
        <v>1667</v>
      </c>
      <c r="Y340" s="19" t="s">
        <v>1663</v>
      </c>
      <c r="Z340" s="19" t="s">
        <v>1663</v>
      </c>
      <c r="AA340" s="19" t="s">
        <v>1663</v>
      </c>
      <c r="AB340" s="19" t="s">
        <v>1663</v>
      </c>
    </row>
    <row r="341" spans="1:28" s="18" customFormat="1">
      <c r="A341" s="18" t="s">
        <v>825</v>
      </c>
      <c r="B341" s="18" t="s">
        <v>9</v>
      </c>
      <c r="C341" s="18" t="s">
        <v>826</v>
      </c>
      <c r="D341" s="18" t="s">
        <v>827</v>
      </c>
      <c r="E341" s="19" t="s">
        <v>18</v>
      </c>
      <c r="F341" s="18" t="s">
        <v>13</v>
      </c>
      <c r="G341" s="29"/>
      <c r="H341" s="32" t="str">
        <f>IF(Prueba[[#This Row],[Cant.]]=0,"",IF(OR(Prueba[[#This Row],[Cant.2]]="",Prueba[[#This Row],[Puesto2]]=""),"?",Prueba[[#This Row],[Puesto2]]))</f>
        <v/>
      </c>
      <c r="I341" s="31"/>
      <c r="J341" s="32"/>
      <c r="K341" s="14">
        <v>1</v>
      </c>
      <c r="L341" s="14"/>
      <c r="M341" s="31"/>
      <c r="N341" s="32" t="str">
        <f>IF(Prueba[[#This Row],[Cant.4]]=0,"",IF(OR(Prueba[[#This Row],[Cant.6]]="",Prueba[[#This Row],[Puesto6]]=""),"?",Prueba[[#This Row],[Puesto6]]))</f>
        <v/>
      </c>
      <c r="O341" s="31">
        <v>1</v>
      </c>
      <c r="P341" s="32">
        <v>0</v>
      </c>
      <c r="Q341" s="31"/>
      <c r="R341" s="32"/>
      <c r="S341" s="14"/>
      <c r="T341" s="14"/>
      <c r="U341" s="31"/>
      <c r="V341" s="32" t="s">
        <v>1663</v>
      </c>
      <c r="W341" s="19"/>
      <c r="X341" s="19" t="s">
        <v>1667</v>
      </c>
      <c r="Y341" s="19" t="s">
        <v>1663</v>
      </c>
      <c r="Z341" s="19" t="s">
        <v>1663</v>
      </c>
      <c r="AA341" s="19" t="s">
        <v>1663</v>
      </c>
      <c r="AB341" s="19" t="s">
        <v>1663</v>
      </c>
    </row>
    <row r="342" spans="1:28" s="18" customFormat="1">
      <c r="A342" s="18" t="s">
        <v>1846</v>
      </c>
      <c r="B342" s="18" t="s">
        <v>1806</v>
      </c>
      <c r="C342" s="18" t="s">
        <v>1847</v>
      </c>
      <c r="D342" s="18" t="s">
        <v>1848</v>
      </c>
      <c r="E342" s="19" t="s">
        <v>18</v>
      </c>
      <c r="F342" s="18" t="s">
        <v>13</v>
      </c>
      <c r="G342" s="29"/>
      <c r="H342" s="32" t="str">
        <f>IF(Prueba[[#This Row],[Cant.]]=0,"",IF(OR(Prueba[[#This Row],[Cant.2]]="",Prueba[[#This Row],[Puesto2]]=""),"?",Prueba[[#This Row],[Puesto2]]))</f>
        <v/>
      </c>
      <c r="I342" s="31"/>
      <c r="J342" s="32"/>
      <c r="K342" s="14"/>
      <c r="L342" s="14"/>
      <c r="M342" s="31">
        <v>1</v>
      </c>
      <c r="N342" s="32">
        <f>IF(Prueba[[#This Row],[Cant.4]]=0,"",IF(OR(Prueba[[#This Row],[Cant.6]]="",Prueba[[#This Row],[Puesto6]]=""),"?",Prueba[[#This Row],[Puesto6]]))</f>
        <v>0</v>
      </c>
      <c r="O342" s="31"/>
      <c r="P342" s="32" t="str">
        <f>IF(Prueba[[#This Row],[Cant.5]]=0,"",IF(OR(Prueba[[#This Row],[Cant.6]]="",Prueba[[#This Row],[Puesto6]]=""),"?",Prueba[[#This Row],[Puesto6]]))</f>
        <v/>
      </c>
      <c r="Q342" s="31">
        <v>1</v>
      </c>
      <c r="R342" s="32">
        <v>0</v>
      </c>
      <c r="S342" s="14"/>
      <c r="T342" s="14"/>
      <c r="U342" s="31"/>
      <c r="V342" s="32" t="s">
        <v>1663</v>
      </c>
      <c r="W342" s="19"/>
      <c r="X342" s="19" t="s">
        <v>1667</v>
      </c>
      <c r="Y342" s="19" t="s">
        <v>1663</v>
      </c>
      <c r="Z342" s="19" t="s">
        <v>1663</v>
      </c>
      <c r="AA342" s="19" t="s">
        <v>1663</v>
      </c>
      <c r="AB342" s="19" t="s">
        <v>1663</v>
      </c>
    </row>
    <row r="343" spans="1:28" s="18" customFormat="1">
      <c r="A343" s="18" t="s">
        <v>828</v>
      </c>
      <c r="B343" s="18" t="s">
        <v>9</v>
      </c>
      <c r="C343" s="18" t="s">
        <v>829</v>
      </c>
      <c r="D343" s="18" t="s">
        <v>830</v>
      </c>
      <c r="E343" s="19" t="s">
        <v>22</v>
      </c>
      <c r="F343" s="18" t="s">
        <v>13</v>
      </c>
      <c r="G343" s="29"/>
      <c r="H343" s="32" t="str">
        <f>IF(Prueba[[#This Row],[Cant.]]=0,"",IF(OR(Prueba[[#This Row],[Cant.2]]="",Prueba[[#This Row],[Puesto2]]=""),"?",Prueba[[#This Row],[Puesto2]]))</f>
        <v/>
      </c>
      <c r="I343" s="31"/>
      <c r="J343" s="32"/>
      <c r="K343" s="14">
        <v>1</v>
      </c>
      <c r="L343" s="14"/>
      <c r="M343" s="31">
        <v>1</v>
      </c>
      <c r="N343" s="32">
        <f>IF(Prueba[[#This Row],[Cant.4]]=0,"",IF(OR(Prueba[[#This Row],[Cant.6]]="",Prueba[[#This Row],[Puesto6]]=""),"?",Prueba[[#This Row],[Puesto6]]))</f>
        <v>6</v>
      </c>
      <c r="O343" s="31">
        <v>1</v>
      </c>
      <c r="P343" s="32">
        <f>IF(Prueba[[#This Row],[Cant.5]]=0,"",IF(OR(Prueba[[#This Row],[Cant.6]]="",Prueba[[#This Row],[Puesto6]]=""),"?",Prueba[[#This Row],[Puesto6]]))</f>
        <v>6</v>
      </c>
      <c r="Q343" s="31">
        <v>1</v>
      </c>
      <c r="R343" s="32">
        <v>6</v>
      </c>
      <c r="S343" s="14">
        <v>1</v>
      </c>
      <c r="T343" s="14">
        <v>6</v>
      </c>
      <c r="U343" s="31"/>
      <c r="V343" s="32" t="s">
        <v>1663</v>
      </c>
      <c r="W343" s="19">
        <v>8</v>
      </c>
      <c r="X343" s="19" t="s">
        <v>1664</v>
      </c>
      <c r="Y343" s="19" t="s">
        <v>1663</v>
      </c>
      <c r="Z343" s="19" t="s">
        <v>1663</v>
      </c>
      <c r="AA343" s="19" t="s">
        <v>1663</v>
      </c>
      <c r="AB343" s="19" t="s">
        <v>1663</v>
      </c>
    </row>
    <row r="344" spans="1:28" s="18" customFormat="1">
      <c r="A344" s="18" t="s">
        <v>831</v>
      </c>
      <c r="B344" s="18" t="s">
        <v>9</v>
      </c>
      <c r="C344" s="18" t="s">
        <v>832</v>
      </c>
      <c r="D344" s="18" t="s">
        <v>833</v>
      </c>
      <c r="E344" s="19" t="s">
        <v>12</v>
      </c>
      <c r="F344" s="18" t="s">
        <v>13</v>
      </c>
      <c r="G344" s="29"/>
      <c r="H344" s="32" t="str">
        <f>IF(Prueba[[#This Row],[Cant.]]=0,"",IF(OR(Prueba[[#This Row],[Cant.2]]="",Prueba[[#This Row],[Puesto2]]=""),"?",Prueba[[#This Row],[Puesto2]]))</f>
        <v/>
      </c>
      <c r="I344" s="31"/>
      <c r="J344" s="32"/>
      <c r="K344" s="14">
        <v>1</v>
      </c>
      <c r="L344" s="14"/>
      <c r="M344" s="31">
        <v>1</v>
      </c>
      <c r="N344" s="32">
        <f>IF(Prueba[[#This Row],[Cant.4]]=0,"",IF(OR(Prueba[[#This Row],[Cant.6]]="",Prueba[[#This Row],[Puesto6]]=""),"?",Prueba[[#This Row],[Puesto6]]))</f>
        <v>0</v>
      </c>
      <c r="O344" s="31">
        <v>1</v>
      </c>
      <c r="P344" s="32">
        <f>IF(Prueba[[#This Row],[Cant.5]]=0,"",IF(OR(Prueba[[#This Row],[Cant.6]]="",Prueba[[#This Row],[Puesto6]]=""),"?",Prueba[[#This Row],[Puesto6]]))</f>
        <v>0</v>
      </c>
      <c r="Q344" s="31">
        <v>1</v>
      </c>
      <c r="R344" s="32">
        <v>0</v>
      </c>
      <c r="S344" s="14">
        <v>1</v>
      </c>
      <c r="T344" s="14">
        <v>0</v>
      </c>
      <c r="U344" s="31"/>
      <c r="V344" s="32" t="s">
        <v>1663</v>
      </c>
      <c r="W344" s="19"/>
      <c r="X344" s="19" t="s">
        <v>1667</v>
      </c>
      <c r="Y344" s="19" t="s">
        <v>1663</v>
      </c>
      <c r="Z344" s="19" t="s">
        <v>1663</v>
      </c>
      <c r="AA344" s="19" t="s">
        <v>1663</v>
      </c>
      <c r="AB344" s="19" t="s">
        <v>1663</v>
      </c>
    </row>
    <row r="345" spans="1:28" s="18" customFormat="1">
      <c r="A345" s="18" t="s">
        <v>834</v>
      </c>
      <c r="B345" s="18" t="s">
        <v>9</v>
      </c>
      <c r="C345" s="18" t="s">
        <v>10</v>
      </c>
      <c r="D345" s="18" t="s">
        <v>835</v>
      </c>
      <c r="E345" s="19" t="s">
        <v>308</v>
      </c>
      <c r="F345" s="18" t="s">
        <v>13</v>
      </c>
      <c r="G345" s="29"/>
      <c r="H345" s="32" t="str">
        <f>IF(Prueba[[#This Row],[Cant.]]=0,"",IF(OR(Prueba[[#This Row],[Cant.2]]="",Prueba[[#This Row],[Puesto2]]=""),"?",Prueba[[#This Row],[Puesto2]]))</f>
        <v/>
      </c>
      <c r="I345" s="31"/>
      <c r="J345" s="32"/>
      <c r="K345" s="14">
        <v>1</v>
      </c>
      <c r="L345" s="14"/>
      <c r="M345" s="31">
        <v>1</v>
      </c>
      <c r="N345" s="32">
        <f>IF(Prueba[[#This Row],[Cant.4]]=0,"",IF(OR(Prueba[[#This Row],[Cant.6]]="",Prueba[[#This Row],[Puesto6]]=""),"?",Prueba[[#This Row],[Puesto6]]))</f>
        <v>6</v>
      </c>
      <c r="O345" s="31">
        <v>1</v>
      </c>
      <c r="P345" s="32">
        <f>IF(Prueba[[#This Row],[Cant.5]]=0,"",IF(OR(Prueba[[#This Row],[Cant.6]]="",Prueba[[#This Row],[Puesto6]]=""),"?",Prueba[[#This Row],[Puesto6]]))</f>
        <v>6</v>
      </c>
      <c r="Q345" s="31">
        <v>1</v>
      </c>
      <c r="R345" s="32">
        <v>6</v>
      </c>
      <c r="S345" s="14">
        <v>1</v>
      </c>
      <c r="T345" s="14">
        <v>6</v>
      </c>
      <c r="U345" s="31"/>
      <c r="V345" s="32" t="s">
        <v>1663</v>
      </c>
      <c r="W345" s="19"/>
      <c r="X345" s="19" t="s">
        <v>1667</v>
      </c>
      <c r="Y345" s="19" t="s">
        <v>1663</v>
      </c>
      <c r="Z345" s="19" t="s">
        <v>1663</v>
      </c>
      <c r="AA345" s="19" t="s">
        <v>1663</v>
      </c>
      <c r="AB345" s="19" t="s">
        <v>1663</v>
      </c>
    </row>
    <row r="346" spans="1:28" s="18" customFormat="1">
      <c r="A346" s="18" t="s">
        <v>836</v>
      </c>
      <c r="B346" s="18" t="s">
        <v>9</v>
      </c>
      <c r="C346" s="18" t="s">
        <v>419</v>
      </c>
      <c r="D346" s="18" t="s">
        <v>837</v>
      </c>
      <c r="E346" s="19" t="s">
        <v>18</v>
      </c>
      <c r="F346" s="18" t="s">
        <v>13</v>
      </c>
      <c r="G346" s="29"/>
      <c r="H346" s="32" t="str">
        <f>IF(Prueba[[#This Row],[Cant.]]=0,"",IF(OR(Prueba[[#This Row],[Cant.2]]="",Prueba[[#This Row],[Puesto2]]=""),"?",Prueba[[#This Row],[Puesto2]]))</f>
        <v/>
      </c>
      <c r="I346" s="31"/>
      <c r="J346" s="32"/>
      <c r="K346" s="14">
        <v>1</v>
      </c>
      <c r="L346" s="14"/>
      <c r="M346" s="31">
        <v>1</v>
      </c>
      <c r="N346" s="32" t="str">
        <f>IF(Prueba[[#This Row],[Cant.4]]=0,"",IF(OR(Prueba[[#This Row],[Cant.6]]="",Prueba[[#This Row],[Puesto6]]=""),"?",Prueba[[#This Row],[Puesto6]]))</f>
        <v>D</v>
      </c>
      <c r="O346" s="31">
        <v>1</v>
      </c>
      <c r="P346" s="32" t="str">
        <f>IF(Prueba[[#This Row],[Cant.5]]=0,"",IF(OR(Prueba[[#This Row],[Cant.6]]="",Prueba[[#This Row],[Puesto6]]=""),"?",Prueba[[#This Row],[Puesto6]]))</f>
        <v>D</v>
      </c>
      <c r="Q346" s="31">
        <v>1</v>
      </c>
      <c r="R346" s="32" t="s">
        <v>1399</v>
      </c>
      <c r="S346" s="14">
        <v>1</v>
      </c>
      <c r="T346" s="14" t="s">
        <v>1399</v>
      </c>
      <c r="U346" s="31"/>
      <c r="V346" s="32" t="s">
        <v>1663</v>
      </c>
      <c r="W346" s="19"/>
      <c r="X346" s="19" t="s">
        <v>1667</v>
      </c>
      <c r="Y346" s="19" t="s">
        <v>1663</v>
      </c>
      <c r="Z346" s="19" t="s">
        <v>1663</v>
      </c>
      <c r="AA346" s="19" t="s">
        <v>1663</v>
      </c>
      <c r="AB346" s="19" t="s">
        <v>1663</v>
      </c>
    </row>
    <row r="347" spans="1:28" s="18" customFormat="1">
      <c r="A347" s="18" t="s">
        <v>838</v>
      </c>
      <c r="B347" s="18" t="s">
        <v>9</v>
      </c>
      <c r="C347" s="18" t="s">
        <v>419</v>
      </c>
      <c r="D347" s="18" t="s">
        <v>839</v>
      </c>
      <c r="E347" s="19" t="s">
        <v>18</v>
      </c>
      <c r="F347" s="18" t="s">
        <v>13</v>
      </c>
      <c r="G347" s="29"/>
      <c r="H347" s="32" t="str">
        <f>IF(Prueba[[#This Row],[Cant.]]=0,"",IF(OR(Prueba[[#This Row],[Cant.2]]="",Prueba[[#This Row],[Puesto2]]=""),"?",Prueba[[#This Row],[Puesto2]]))</f>
        <v/>
      </c>
      <c r="I347" s="31"/>
      <c r="J347" s="32"/>
      <c r="K347" s="14">
        <v>1</v>
      </c>
      <c r="L347" s="14"/>
      <c r="M347" s="31">
        <v>1</v>
      </c>
      <c r="N347" s="32" t="str">
        <f>IF(Prueba[[#This Row],[Cant.4]]=0,"",IF(OR(Prueba[[#This Row],[Cant.6]]="",Prueba[[#This Row],[Puesto6]]=""),"?",Prueba[[#This Row],[Puesto6]]))</f>
        <v>D</v>
      </c>
      <c r="O347" s="31">
        <v>1</v>
      </c>
      <c r="P347" s="32" t="str">
        <f>IF(Prueba[[#This Row],[Cant.5]]=0,"",IF(OR(Prueba[[#This Row],[Cant.6]]="",Prueba[[#This Row],[Puesto6]]=""),"?",Prueba[[#This Row],[Puesto6]]))</f>
        <v>D</v>
      </c>
      <c r="Q347" s="31">
        <v>1</v>
      </c>
      <c r="R347" s="32" t="s">
        <v>1399</v>
      </c>
      <c r="S347" s="14">
        <v>1</v>
      </c>
      <c r="T347" s="14" t="s">
        <v>1399</v>
      </c>
      <c r="U347" s="31"/>
      <c r="V347" s="32" t="s">
        <v>1663</v>
      </c>
      <c r="W347" s="19"/>
      <c r="X347" s="19" t="s">
        <v>1667</v>
      </c>
      <c r="Y347" s="19" t="s">
        <v>1663</v>
      </c>
      <c r="Z347" s="19" t="s">
        <v>1663</v>
      </c>
      <c r="AA347" s="19" t="s">
        <v>1663</v>
      </c>
      <c r="AB347" s="19" t="s">
        <v>1663</v>
      </c>
    </row>
    <row r="348" spans="1:28" s="18" customFormat="1">
      <c r="A348" s="18" t="s">
        <v>840</v>
      </c>
      <c r="B348" s="18" t="s">
        <v>9</v>
      </c>
      <c r="C348" s="18" t="s">
        <v>841</v>
      </c>
      <c r="D348" s="18" t="s">
        <v>842</v>
      </c>
      <c r="E348" s="19" t="s">
        <v>22</v>
      </c>
      <c r="F348" s="18" t="s">
        <v>13</v>
      </c>
      <c r="G348" s="29"/>
      <c r="H348" s="32" t="str">
        <f>IF(Prueba[[#This Row],[Cant.]]=0,"",IF(OR(Prueba[[#This Row],[Cant.2]]="",Prueba[[#This Row],[Puesto2]]=""),"?",Prueba[[#This Row],[Puesto2]]))</f>
        <v/>
      </c>
      <c r="I348" s="31"/>
      <c r="J348" s="32"/>
      <c r="K348" s="14">
        <v>2</v>
      </c>
      <c r="L348" s="14"/>
      <c r="M348" s="31">
        <v>2</v>
      </c>
      <c r="N348" s="32" t="str">
        <f>IF(Prueba[[#This Row],[Cant.4]]=0,"",IF(OR(Prueba[[#This Row],[Cant.6]]="",Prueba[[#This Row],[Puesto6]]=""),"?",Prueba[[#This Row],[Puesto6]]))</f>
        <v>C</v>
      </c>
      <c r="O348" s="31">
        <v>2</v>
      </c>
      <c r="P348" s="32" t="str">
        <f>IF(Prueba[[#This Row],[Cant.5]]=0,"",IF(OR(Prueba[[#This Row],[Cant.6]]="",Prueba[[#This Row],[Puesto6]]=""),"?",Prueba[[#This Row],[Puesto6]]))</f>
        <v>C</v>
      </c>
      <c r="Q348" s="31">
        <v>2</v>
      </c>
      <c r="R348" s="32" t="s">
        <v>1402</v>
      </c>
      <c r="S348" s="14">
        <v>2</v>
      </c>
      <c r="T348" s="14" t="s">
        <v>1402</v>
      </c>
      <c r="U348" s="31">
        <v>2</v>
      </c>
      <c r="V348" s="32" t="s">
        <v>1402</v>
      </c>
      <c r="W348" s="19">
        <v>16</v>
      </c>
      <c r="X348" s="19" t="s">
        <v>1664</v>
      </c>
      <c r="Y348" s="19" t="s">
        <v>1663</v>
      </c>
      <c r="Z348" s="19" t="s">
        <v>1663</v>
      </c>
      <c r="AA348" s="19" t="s">
        <v>1663</v>
      </c>
      <c r="AB348" s="19" t="s">
        <v>1663</v>
      </c>
    </row>
    <row r="349" spans="1:28" s="18" customFormat="1">
      <c r="A349" s="18" t="s">
        <v>843</v>
      </c>
      <c r="B349" s="18" t="s">
        <v>9</v>
      </c>
      <c r="C349" s="18" t="s">
        <v>844</v>
      </c>
      <c r="D349" s="18" t="s">
        <v>845</v>
      </c>
      <c r="E349" s="19" t="s">
        <v>18</v>
      </c>
      <c r="F349" s="18" t="s">
        <v>13</v>
      </c>
      <c r="G349" s="29"/>
      <c r="H349" s="32" t="str">
        <f>IF(Prueba[[#This Row],[Cant.]]=0,"",IF(OR(Prueba[[#This Row],[Cant.2]]="",Prueba[[#This Row],[Puesto2]]=""),"?",Prueba[[#This Row],[Puesto2]]))</f>
        <v/>
      </c>
      <c r="I349" s="31"/>
      <c r="J349" s="32"/>
      <c r="K349" s="14">
        <v>1</v>
      </c>
      <c r="L349" s="14"/>
      <c r="M349" s="31">
        <v>1</v>
      </c>
      <c r="N349" s="32">
        <f>IF(Prueba[[#This Row],[Cant.4]]=0,"",IF(OR(Prueba[[#This Row],[Cant.6]]="",Prueba[[#This Row],[Puesto6]]=""),"?",Prueba[[#This Row],[Puesto6]]))</f>
        <v>6</v>
      </c>
      <c r="O349" s="31">
        <v>1</v>
      </c>
      <c r="P349" s="32">
        <f>IF(Prueba[[#This Row],[Cant.5]]=0,"",IF(OR(Prueba[[#This Row],[Cant.6]]="",Prueba[[#This Row],[Puesto6]]=""),"?",Prueba[[#This Row],[Puesto6]]))</f>
        <v>6</v>
      </c>
      <c r="Q349" s="31">
        <v>1</v>
      </c>
      <c r="R349" s="32">
        <v>6</v>
      </c>
      <c r="S349" s="14">
        <v>1</v>
      </c>
      <c r="T349" s="14">
        <v>6</v>
      </c>
      <c r="U349" s="31"/>
      <c r="V349" s="32" t="s">
        <v>1663</v>
      </c>
      <c r="W349" s="19"/>
      <c r="X349" s="19" t="s">
        <v>1667</v>
      </c>
      <c r="Y349" s="19" t="s">
        <v>1663</v>
      </c>
      <c r="Z349" s="19" t="s">
        <v>1663</v>
      </c>
      <c r="AA349" s="19" t="s">
        <v>1663</v>
      </c>
      <c r="AB349" s="19" t="s">
        <v>1663</v>
      </c>
    </row>
    <row r="350" spans="1:28" s="18" customFormat="1">
      <c r="A350" s="18" t="s">
        <v>846</v>
      </c>
      <c r="B350" s="18" t="s">
        <v>9</v>
      </c>
      <c r="C350" s="18" t="s">
        <v>844</v>
      </c>
      <c r="D350" s="18" t="s">
        <v>845</v>
      </c>
      <c r="E350" s="19" t="s">
        <v>18</v>
      </c>
      <c r="F350" s="18" t="s">
        <v>13</v>
      </c>
      <c r="G350" s="29"/>
      <c r="H350" s="32" t="str">
        <f>IF(Prueba[[#This Row],[Cant.]]=0,"",IF(OR(Prueba[[#This Row],[Cant.2]]="",Prueba[[#This Row],[Puesto2]]=""),"?",Prueba[[#This Row],[Puesto2]]))</f>
        <v/>
      </c>
      <c r="I350" s="31"/>
      <c r="J350" s="32"/>
      <c r="K350" s="14">
        <v>1</v>
      </c>
      <c r="L350" s="14"/>
      <c r="M350" s="31">
        <v>1</v>
      </c>
      <c r="N350" s="32">
        <f>IF(Prueba[[#This Row],[Cant.4]]=0,"",IF(OR(Prueba[[#This Row],[Cant.6]]="",Prueba[[#This Row],[Puesto6]]=""),"?",Prueba[[#This Row],[Puesto6]]))</f>
        <v>6</v>
      </c>
      <c r="O350" s="31">
        <v>1</v>
      </c>
      <c r="P350" s="32">
        <f>IF(Prueba[[#This Row],[Cant.5]]=0,"",IF(OR(Prueba[[#This Row],[Cant.6]]="",Prueba[[#This Row],[Puesto6]]=""),"?",Prueba[[#This Row],[Puesto6]]))</f>
        <v>6</v>
      </c>
      <c r="Q350" s="31">
        <v>1</v>
      </c>
      <c r="R350" s="32">
        <v>6</v>
      </c>
      <c r="S350" s="14">
        <v>1</v>
      </c>
      <c r="T350" s="14">
        <v>6</v>
      </c>
      <c r="U350" s="31"/>
      <c r="V350" s="32" t="s">
        <v>1663</v>
      </c>
      <c r="W350" s="19"/>
      <c r="X350" s="19" t="s">
        <v>1667</v>
      </c>
      <c r="Y350" s="19" t="s">
        <v>1663</v>
      </c>
      <c r="Z350" s="19" t="s">
        <v>1663</v>
      </c>
      <c r="AA350" s="19" t="s">
        <v>1663</v>
      </c>
      <c r="AB350" s="19" t="s">
        <v>1663</v>
      </c>
    </row>
    <row r="351" spans="1:28" s="18" customFormat="1">
      <c r="A351" s="18" t="s">
        <v>847</v>
      </c>
      <c r="B351" s="18" t="s">
        <v>9</v>
      </c>
      <c r="C351" s="18" t="s">
        <v>433</v>
      </c>
      <c r="D351" s="18" t="s">
        <v>848</v>
      </c>
      <c r="E351" s="19" t="s">
        <v>308</v>
      </c>
      <c r="F351" s="18" t="s">
        <v>13</v>
      </c>
      <c r="G351" s="29"/>
      <c r="H351" s="32" t="str">
        <f>IF(Prueba[[#This Row],[Cant.]]=0,"",IF(OR(Prueba[[#This Row],[Cant.2]]="",Prueba[[#This Row],[Puesto2]]=""),"?",Prueba[[#This Row],[Puesto2]]))</f>
        <v/>
      </c>
      <c r="I351" s="31"/>
      <c r="J351" s="32"/>
      <c r="K351" s="14">
        <v>2</v>
      </c>
      <c r="L351" s="14"/>
      <c r="M351" s="31">
        <v>2</v>
      </c>
      <c r="N351" s="32">
        <f>IF(Prueba[[#This Row],[Cant.4]]=0,"",IF(OR(Prueba[[#This Row],[Cant.6]]="",Prueba[[#This Row],[Puesto6]]=""),"?",Prueba[[#This Row],[Puesto6]]))</f>
        <v>6</v>
      </c>
      <c r="O351" s="31">
        <v>2</v>
      </c>
      <c r="P351" s="32">
        <f>IF(Prueba[[#This Row],[Cant.5]]=0,"",IF(OR(Prueba[[#This Row],[Cant.6]]="",Prueba[[#This Row],[Puesto6]]=""),"?",Prueba[[#This Row],[Puesto6]]))</f>
        <v>6</v>
      </c>
      <c r="Q351" s="31">
        <v>2</v>
      </c>
      <c r="R351" s="32">
        <v>6</v>
      </c>
      <c r="S351" s="14">
        <v>2</v>
      </c>
      <c r="T351" s="14">
        <v>6</v>
      </c>
      <c r="U351" s="31"/>
      <c r="V351" s="32" t="s">
        <v>1663</v>
      </c>
      <c r="W351" s="19"/>
      <c r="X351" s="19" t="s">
        <v>1667</v>
      </c>
      <c r="Y351" s="19" t="s">
        <v>1663</v>
      </c>
      <c r="Z351" s="19" t="s">
        <v>1663</v>
      </c>
      <c r="AA351" s="19" t="s">
        <v>1663</v>
      </c>
      <c r="AB351" s="19" t="s">
        <v>1663</v>
      </c>
    </row>
    <row r="352" spans="1:28" s="18" customFormat="1">
      <c r="A352" s="18" t="s">
        <v>1849</v>
      </c>
      <c r="B352" s="18" t="s">
        <v>1806</v>
      </c>
      <c r="C352" s="18" t="s">
        <v>1850</v>
      </c>
      <c r="D352" s="18" t="s">
        <v>1851</v>
      </c>
      <c r="E352" s="19" t="s">
        <v>1733</v>
      </c>
      <c r="F352" s="18" t="s">
        <v>13</v>
      </c>
      <c r="G352" s="29"/>
      <c r="H352" s="32" t="str">
        <f>IF(Prueba[[#This Row],[Cant.]]=0,"",IF(OR(Prueba[[#This Row],[Cant.2]]="",Prueba[[#This Row],[Puesto2]]=""),"?",Prueba[[#This Row],[Puesto2]]))</f>
        <v/>
      </c>
      <c r="I352" s="31"/>
      <c r="J352" s="32"/>
      <c r="K352" s="14"/>
      <c r="L352" s="14"/>
      <c r="M352" s="31">
        <v>2</v>
      </c>
      <c r="N352" s="32" t="str">
        <f>IF(Prueba[[#This Row],[Cant.4]]=0,"",IF(OR(Prueba[[#This Row],[Cant.6]]="",Prueba[[#This Row],[Puesto6]]=""),"?",Prueba[[#This Row],[Puesto6]]))</f>
        <v>?</v>
      </c>
      <c r="O352" s="31">
        <v>2</v>
      </c>
      <c r="P352" s="32">
        <v>0</v>
      </c>
      <c r="Q352" s="31">
        <v>2</v>
      </c>
      <c r="R352" s="32"/>
      <c r="S352" s="14">
        <v>2</v>
      </c>
      <c r="T352" s="14"/>
      <c r="U352" s="31"/>
      <c r="V352" s="32" t="s">
        <v>1663</v>
      </c>
      <c r="W352" s="19">
        <v>16</v>
      </c>
      <c r="X352" s="19" t="s">
        <v>1664</v>
      </c>
      <c r="Y352" s="19" t="s">
        <v>1663</v>
      </c>
      <c r="Z352" s="19" t="s">
        <v>1663</v>
      </c>
      <c r="AA352" s="19" t="s">
        <v>1663</v>
      </c>
      <c r="AB352" s="19" t="s">
        <v>1663</v>
      </c>
    </row>
    <row r="353" spans="1:28" s="18" customFormat="1">
      <c r="A353" s="18" t="s">
        <v>496</v>
      </c>
      <c r="B353" s="18" t="s">
        <v>9</v>
      </c>
      <c r="C353" s="18" t="s">
        <v>497</v>
      </c>
      <c r="D353" s="18" t="s">
        <v>498</v>
      </c>
      <c r="E353" s="19" t="s">
        <v>22</v>
      </c>
      <c r="F353" s="18" t="s">
        <v>13</v>
      </c>
      <c r="G353" s="29">
        <v>2</v>
      </c>
      <c r="H353" s="32">
        <f>IF(Prueba[[#This Row],[Cant.]]=0,"",IF(OR(Prueba[[#This Row],[Cant.2]]="",Prueba[[#This Row],[Puesto2]]=""),"?",Prueba[[#This Row],[Puesto2]]))</f>
        <v>4</v>
      </c>
      <c r="I353" s="31">
        <v>4</v>
      </c>
      <c r="J353" s="32">
        <v>4</v>
      </c>
      <c r="K353" s="14">
        <v>4</v>
      </c>
      <c r="L353" s="14"/>
      <c r="M353" s="31">
        <v>4</v>
      </c>
      <c r="N353" s="32">
        <f>IF(Prueba[[#This Row],[Cant.4]]=0,"",IF(OR(Prueba[[#This Row],[Cant.6]]="",Prueba[[#This Row],[Puesto6]]=""),"?",Prueba[[#This Row],[Puesto6]]))</f>
        <v>4</v>
      </c>
      <c r="O353" s="31">
        <v>4</v>
      </c>
      <c r="P353" s="32">
        <f>IF(Prueba[[#This Row],[Cant.5]]=0,"",IF(OR(Prueba[[#This Row],[Cant.6]]="",Prueba[[#This Row],[Puesto6]]=""),"?",Prueba[[#This Row],[Puesto6]]))</f>
        <v>4</v>
      </c>
      <c r="Q353" s="31">
        <v>4</v>
      </c>
      <c r="R353" s="32">
        <v>4</v>
      </c>
      <c r="S353" s="14">
        <v>4</v>
      </c>
      <c r="T353" s="14">
        <v>4</v>
      </c>
      <c r="U353" s="31">
        <v>4</v>
      </c>
      <c r="V353" s="32">
        <v>4</v>
      </c>
      <c r="W353" s="19">
        <v>32</v>
      </c>
      <c r="X353" s="19" t="s">
        <v>1664</v>
      </c>
      <c r="Y353" s="19">
        <v>3</v>
      </c>
      <c r="Z353" s="19">
        <v>4</v>
      </c>
      <c r="AA353" s="19">
        <v>3</v>
      </c>
      <c r="AB353" s="19">
        <v>4</v>
      </c>
    </row>
    <row r="354" spans="1:28" s="18" customFormat="1">
      <c r="A354" s="18" t="s">
        <v>499</v>
      </c>
      <c r="B354" s="18" t="s">
        <v>9</v>
      </c>
      <c r="C354" s="18" t="s">
        <v>174</v>
      </c>
      <c r="D354" s="18" t="s">
        <v>500</v>
      </c>
      <c r="E354" s="19" t="s">
        <v>22</v>
      </c>
      <c r="F354" s="18" t="s">
        <v>13</v>
      </c>
      <c r="G354" s="29">
        <v>2</v>
      </c>
      <c r="H354" s="32">
        <f>IF(Prueba[[#This Row],[Cant.]]=0,"",IF(OR(Prueba[[#This Row],[Cant.2]]="",Prueba[[#This Row],[Puesto2]]=""),"?",Prueba[[#This Row],[Puesto2]]))</f>
        <v>6</v>
      </c>
      <c r="I354" s="31">
        <v>2</v>
      </c>
      <c r="J354" s="32">
        <v>6</v>
      </c>
      <c r="K354" s="14">
        <v>1</v>
      </c>
      <c r="L354" s="14"/>
      <c r="M354" s="31">
        <v>1</v>
      </c>
      <c r="N354" s="32" t="str">
        <f>IF(Prueba[[#This Row],[Cant.4]]=0,"",IF(OR(Prueba[[#This Row],[Cant.6]]="",Prueba[[#This Row],[Puesto6]]=""),"?",Prueba[[#This Row],[Puesto6]]))</f>
        <v>C</v>
      </c>
      <c r="O354" s="31">
        <v>1</v>
      </c>
      <c r="P354" s="32" t="str">
        <f>IF(Prueba[[#This Row],[Cant.5]]=0,"",IF(OR(Prueba[[#This Row],[Cant.6]]="",Prueba[[#This Row],[Puesto6]]=""),"?",Prueba[[#This Row],[Puesto6]]))</f>
        <v>C</v>
      </c>
      <c r="Q354" s="31">
        <v>1</v>
      </c>
      <c r="R354" s="32" t="s">
        <v>1402</v>
      </c>
      <c r="S354" s="14">
        <v>1</v>
      </c>
      <c r="T354" s="14" t="s">
        <v>1402</v>
      </c>
      <c r="U354" s="31"/>
      <c r="V354" s="32" t="s">
        <v>1663</v>
      </c>
      <c r="W354" s="19">
        <v>8</v>
      </c>
      <c r="X354" s="19" t="s">
        <v>1664</v>
      </c>
      <c r="Y354" s="19">
        <v>3</v>
      </c>
      <c r="Z354" s="19">
        <v>6</v>
      </c>
      <c r="AA354" s="19">
        <v>3</v>
      </c>
      <c r="AB354" s="19">
        <v>6</v>
      </c>
    </row>
    <row r="355" spans="1:28" s="18" customFormat="1">
      <c r="A355" s="18" t="s">
        <v>1302</v>
      </c>
      <c r="B355" s="18" t="s">
        <v>850</v>
      </c>
      <c r="C355" s="18" t="s">
        <v>1303</v>
      </c>
      <c r="D355" s="18" t="s">
        <v>179</v>
      </c>
      <c r="E355" s="19" t="s">
        <v>853</v>
      </c>
      <c r="F355" s="18" t="s">
        <v>13</v>
      </c>
      <c r="G355" s="29"/>
      <c r="H355" s="32" t="str">
        <f>IF(Prueba[[#This Row],[Cant.]]=0,"",IF(OR(Prueba[[#This Row],[Cant.2]]="",Prueba[[#This Row],[Puesto2]]=""),"?",Prueba[[#This Row],[Puesto2]]))</f>
        <v/>
      </c>
      <c r="I355" s="31"/>
      <c r="J355" s="32"/>
      <c r="K355" s="14">
        <v>1760</v>
      </c>
      <c r="L355" s="14"/>
      <c r="M355" s="31">
        <v>1760</v>
      </c>
      <c r="N355" s="32" t="str">
        <f>IF(Prueba[[#This Row],[Cant.4]]=0,"",IF(OR(Prueba[[#This Row],[Cant.6]]="",Prueba[[#This Row],[Puesto6]]=""),"?",Prueba[[#This Row],[Puesto6]]))</f>
        <v>D</v>
      </c>
      <c r="O355" s="31"/>
      <c r="P355" s="32" t="str">
        <f>IF(Prueba[[#This Row],[Cant.5]]=0,"",IF(OR(Prueba[[#This Row],[Cant.6]]="",Prueba[[#This Row],[Puesto6]]=""),"?",Prueba[[#This Row],[Puesto6]]))</f>
        <v/>
      </c>
      <c r="Q355" s="31">
        <v>1760</v>
      </c>
      <c r="R355" s="32" t="s">
        <v>1399</v>
      </c>
      <c r="S355" s="14">
        <v>1760</v>
      </c>
      <c r="T355" s="14"/>
      <c r="U355" s="31"/>
      <c r="V355" s="32" t="s">
        <v>1663</v>
      </c>
      <c r="W355" s="19">
        <v>14.08</v>
      </c>
      <c r="X355" s="19" t="s">
        <v>1664</v>
      </c>
      <c r="Y355" s="19" t="s">
        <v>1663</v>
      </c>
      <c r="Z355" s="19" t="s">
        <v>1663</v>
      </c>
      <c r="AA355" s="19" t="s">
        <v>1663</v>
      </c>
      <c r="AB355" s="19" t="s">
        <v>1663</v>
      </c>
    </row>
    <row r="356" spans="1:28" s="18" customFormat="1">
      <c r="A356" s="18" t="s">
        <v>849</v>
      </c>
      <c r="B356" s="18" t="s">
        <v>850</v>
      </c>
      <c r="C356" s="18" t="s">
        <v>851</v>
      </c>
      <c r="D356" s="18" t="s">
        <v>852</v>
      </c>
      <c r="E356" s="19" t="s">
        <v>853</v>
      </c>
      <c r="F356" s="18" t="s">
        <v>13</v>
      </c>
      <c r="G356" s="29"/>
      <c r="H356" s="32" t="str">
        <f>IF(Prueba[[#This Row],[Cant.]]=0,"",IF(OR(Prueba[[#This Row],[Cant.2]]="",Prueba[[#This Row],[Puesto2]]=""),"?",Prueba[[#This Row],[Puesto2]]))</f>
        <v/>
      </c>
      <c r="I356" s="31"/>
      <c r="J356" s="32"/>
      <c r="K356" s="14">
        <v>9800</v>
      </c>
      <c r="L356" s="14"/>
      <c r="M356" s="31">
        <v>11524</v>
      </c>
      <c r="N356" s="32">
        <f>IF(Prueba[[#This Row],[Cant.4]]=0,"",IF(OR(Prueba[[#This Row],[Cant.6]]="",Prueba[[#This Row],[Puesto6]]=""),"?",Prueba[[#This Row],[Puesto6]]))</f>
        <v>2</v>
      </c>
      <c r="O356" s="31">
        <v>9764</v>
      </c>
      <c r="P356" s="32">
        <f>IF(Prueba[[#This Row],[Cant.5]]=0,"",IF(OR(Prueba[[#This Row],[Cant.6]]="",Prueba[[#This Row],[Puesto6]]=""),"?",Prueba[[#This Row],[Puesto6]]))</f>
        <v>2</v>
      </c>
      <c r="Q356" s="31">
        <v>11524</v>
      </c>
      <c r="R356" s="32">
        <v>2</v>
      </c>
      <c r="S356" s="14">
        <v>11524</v>
      </c>
      <c r="T356" s="14">
        <v>2</v>
      </c>
      <c r="U356" s="31">
        <v>9.49</v>
      </c>
      <c r="V356" s="32" t="s">
        <v>1420</v>
      </c>
      <c r="W356" s="19">
        <v>92192</v>
      </c>
      <c r="X356" s="19" t="s">
        <v>1664</v>
      </c>
      <c r="Y356" s="19" t="s">
        <v>1663</v>
      </c>
      <c r="Z356" s="19" t="s">
        <v>1663</v>
      </c>
      <c r="AA356" s="19" t="s">
        <v>1663</v>
      </c>
      <c r="AB356" s="19" t="s">
        <v>1663</v>
      </c>
    </row>
    <row r="357" spans="1:28" s="18" customFormat="1">
      <c r="A357" s="18" t="s">
        <v>854</v>
      </c>
      <c r="B357" s="18" t="s">
        <v>850</v>
      </c>
      <c r="C357" s="18" t="s">
        <v>852</v>
      </c>
      <c r="D357" s="18" t="s">
        <v>1852</v>
      </c>
      <c r="E357" s="19" t="s">
        <v>853</v>
      </c>
      <c r="F357" s="18" t="s">
        <v>13</v>
      </c>
      <c r="G357" s="29"/>
      <c r="H357" s="32" t="str">
        <f>IF(Prueba[[#This Row],[Cant.]]=0,"",IF(OR(Prueba[[#This Row],[Cant.2]]="",Prueba[[#This Row],[Puesto2]]=""),"?",Prueba[[#This Row],[Puesto2]]))</f>
        <v/>
      </c>
      <c r="I357" s="31"/>
      <c r="J357" s="32"/>
      <c r="K357" s="14">
        <v>1350</v>
      </c>
      <c r="L357" s="14"/>
      <c r="M357" s="31">
        <v>1350</v>
      </c>
      <c r="N357" s="32">
        <f>IF(Prueba[[#This Row],[Cant.4]]=0,"",IF(OR(Prueba[[#This Row],[Cant.6]]="",Prueba[[#This Row],[Puesto6]]=""),"?",Prueba[[#This Row],[Puesto6]]))</f>
        <v>2</v>
      </c>
      <c r="O357" s="31">
        <v>1350</v>
      </c>
      <c r="P357" s="32">
        <f>IF(Prueba[[#This Row],[Cant.5]]=0,"",IF(OR(Prueba[[#This Row],[Cant.6]]="",Prueba[[#This Row],[Puesto6]]=""),"?",Prueba[[#This Row],[Puesto6]]))</f>
        <v>2</v>
      </c>
      <c r="Q357" s="31">
        <v>1350</v>
      </c>
      <c r="R357" s="32">
        <v>2</v>
      </c>
      <c r="S357" s="14">
        <v>1500</v>
      </c>
      <c r="T357" s="14">
        <v>2</v>
      </c>
      <c r="U357" s="31"/>
      <c r="V357" s="32" t="s">
        <v>1663</v>
      </c>
      <c r="W357" s="19">
        <v>10800</v>
      </c>
      <c r="X357" s="19" t="s">
        <v>1664</v>
      </c>
      <c r="Y357" s="19" t="s">
        <v>1663</v>
      </c>
      <c r="Z357" s="19" t="s">
        <v>1663</v>
      </c>
      <c r="AA357" s="19" t="s">
        <v>1663</v>
      </c>
      <c r="AB357" s="19" t="s">
        <v>1663</v>
      </c>
    </row>
    <row r="358" spans="1:28" s="18" customFormat="1">
      <c r="A358" s="18" t="s">
        <v>501</v>
      </c>
      <c r="B358" s="18" t="s">
        <v>9</v>
      </c>
      <c r="C358" s="18" t="s">
        <v>502</v>
      </c>
      <c r="D358" s="18" t="s">
        <v>503</v>
      </c>
      <c r="E358" s="19" t="s">
        <v>22</v>
      </c>
      <c r="F358" s="18" t="s">
        <v>13</v>
      </c>
      <c r="G358" s="29">
        <v>1</v>
      </c>
      <c r="H358" s="32" t="str">
        <f>IF(Prueba[[#This Row],[Cant.]]=0,"",IF(OR(Prueba[[#This Row],[Cant.2]]="",Prueba[[#This Row],[Puesto2]]=""),"?",Prueba[[#This Row],[Puesto2]]))</f>
        <v>A</v>
      </c>
      <c r="I358" s="31">
        <v>1</v>
      </c>
      <c r="J358" s="32" t="s">
        <v>1421</v>
      </c>
      <c r="K358" s="14">
        <v>1</v>
      </c>
      <c r="L358" s="14"/>
      <c r="M358" s="31">
        <v>1</v>
      </c>
      <c r="N358" s="32" t="str">
        <f>IF(Prueba[[#This Row],[Cant.4]]=0,"",IF(OR(Prueba[[#This Row],[Cant.6]]="",Prueba[[#This Row],[Puesto6]]=""),"?",Prueba[[#This Row],[Puesto6]]))</f>
        <v>A</v>
      </c>
      <c r="O358" s="31">
        <v>1</v>
      </c>
      <c r="P358" s="32" t="str">
        <f>IF(Prueba[[#This Row],[Cant.5]]=0,"",IF(OR(Prueba[[#This Row],[Cant.6]]="",Prueba[[#This Row],[Puesto6]]=""),"?",Prueba[[#This Row],[Puesto6]]))</f>
        <v>A</v>
      </c>
      <c r="Q358" s="31">
        <v>1</v>
      </c>
      <c r="R358" s="32" t="s">
        <v>1421</v>
      </c>
      <c r="S358" s="14">
        <v>1</v>
      </c>
      <c r="T358" s="14" t="s">
        <v>1421</v>
      </c>
      <c r="U358" s="31">
        <v>1</v>
      </c>
      <c r="V358" s="32" t="s">
        <v>1421</v>
      </c>
      <c r="W358" s="19">
        <v>8</v>
      </c>
      <c r="X358" s="19" t="s">
        <v>1664</v>
      </c>
      <c r="Y358" s="19">
        <v>2</v>
      </c>
      <c r="Z358" s="19" t="s">
        <v>1421</v>
      </c>
      <c r="AA358" s="19">
        <v>2</v>
      </c>
      <c r="AB358" s="19" t="s">
        <v>1421</v>
      </c>
    </row>
    <row r="359" spans="1:28" s="18" customFormat="1">
      <c r="A359" s="18" t="s">
        <v>857</v>
      </c>
      <c r="B359" s="18" t="s">
        <v>9</v>
      </c>
      <c r="C359" s="18" t="s">
        <v>753</v>
      </c>
      <c r="D359" s="18" t="s">
        <v>489</v>
      </c>
      <c r="E359" s="19" t="s">
        <v>22</v>
      </c>
      <c r="F359" s="18" t="s">
        <v>13</v>
      </c>
      <c r="G359" s="29"/>
      <c r="H359" s="32" t="str">
        <f>IF(Prueba[[#This Row],[Cant.]]=0,"",IF(OR(Prueba[[#This Row],[Cant.2]]="",Prueba[[#This Row],[Puesto2]]=""),"?",Prueba[[#This Row],[Puesto2]]))</f>
        <v/>
      </c>
      <c r="I359" s="31"/>
      <c r="J359" s="32"/>
      <c r="K359" s="14">
        <v>6</v>
      </c>
      <c r="L359" s="14"/>
      <c r="M359" s="31">
        <v>6</v>
      </c>
      <c r="N359" s="32">
        <f>IF(Prueba[[#This Row],[Cant.4]]=0,"",IF(OR(Prueba[[#This Row],[Cant.6]]="",Prueba[[#This Row],[Puesto6]]=""),"?",Prueba[[#This Row],[Puesto6]]))</f>
        <v>3</v>
      </c>
      <c r="O359" s="31">
        <v>6</v>
      </c>
      <c r="P359" s="32">
        <f>IF(Prueba[[#This Row],[Cant.5]]=0,"",IF(OR(Prueba[[#This Row],[Cant.6]]="",Prueba[[#This Row],[Puesto6]]=""),"?",Prueba[[#This Row],[Puesto6]]))</f>
        <v>3</v>
      </c>
      <c r="Q359" s="31">
        <v>6</v>
      </c>
      <c r="R359" s="32">
        <v>3</v>
      </c>
      <c r="S359" s="14"/>
      <c r="T359" s="14"/>
      <c r="U359" s="31">
        <v>6</v>
      </c>
      <c r="V359" s="32">
        <v>3</v>
      </c>
      <c r="W359" s="19">
        <v>48</v>
      </c>
      <c r="X359" s="19" t="s">
        <v>1664</v>
      </c>
      <c r="Y359" s="19" t="s">
        <v>1663</v>
      </c>
      <c r="Z359" s="19" t="s">
        <v>1663</v>
      </c>
      <c r="AA359" s="19" t="s">
        <v>1663</v>
      </c>
      <c r="AB359" s="19" t="s">
        <v>1663</v>
      </c>
    </row>
    <row r="360" spans="1:28" s="18" customFormat="1">
      <c r="A360" s="18" t="s">
        <v>858</v>
      </c>
      <c r="B360" s="18" t="s">
        <v>850</v>
      </c>
      <c r="C360" s="18" t="s">
        <v>852</v>
      </c>
      <c r="D360" s="18" t="s">
        <v>859</v>
      </c>
      <c r="E360" s="19" t="s">
        <v>853</v>
      </c>
      <c r="F360" s="18" t="s">
        <v>13</v>
      </c>
      <c r="G360" s="29"/>
      <c r="H360" s="32" t="str">
        <f>IF(Prueba[[#This Row],[Cant.]]=0,"",IF(OR(Prueba[[#This Row],[Cant.2]]="",Prueba[[#This Row],[Puesto2]]=""),"?",Prueba[[#This Row],[Puesto2]]))</f>
        <v/>
      </c>
      <c r="I360" s="31"/>
      <c r="J360" s="32"/>
      <c r="K360" s="14">
        <v>12025</v>
      </c>
      <c r="L360" s="14"/>
      <c r="M360" s="31">
        <v>10985</v>
      </c>
      <c r="N360" s="32" t="str">
        <f>IF(Prueba[[#This Row],[Cant.4]]=0,"",IF(OR(Prueba[[#This Row],[Cant.6]]="",Prueba[[#This Row],[Puesto6]]=""),"?",Prueba[[#This Row],[Puesto6]]))</f>
        <v>A</v>
      </c>
      <c r="O360" s="31">
        <v>12025</v>
      </c>
      <c r="P360" s="32" t="str">
        <f>IF(Prueba[[#This Row],[Cant.5]]=0,"",IF(OR(Prueba[[#This Row],[Cant.6]]="",Prueba[[#This Row],[Puesto6]]=""),"?",Prueba[[#This Row],[Puesto6]]))</f>
        <v>A</v>
      </c>
      <c r="Q360" s="31">
        <v>10985</v>
      </c>
      <c r="R360" s="32" t="s">
        <v>1421</v>
      </c>
      <c r="S360" s="14">
        <v>10985</v>
      </c>
      <c r="T360" s="14">
        <v>0</v>
      </c>
      <c r="U360" s="31"/>
      <c r="V360" s="32" t="s">
        <v>1663</v>
      </c>
      <c r="W360" s="19">
        <v>87880</v>
      </c>
      <c r="X360" s="19" t="s">
        <v>1664</v>
      </c>
      <c r="Y360" s="19" t="s">
        <v>1663</v>
      </c>
      <c r="Z360" s="19" t="s">
        <v>1663</v>
      </c>
      <c r="AA360" s="19">
        <v>3</v>
      </c>
      <c r="AB360" s="19">
        <v>2</v>
      </c>
    </row>
    <row r="361" spans="1:28" s="18" customFormat="1">
      <c r="A361" s="18" t="s">
        <v>860</v>
      </c>
      <c r="B361" s="18" t="s">
        <v>9</v>
      </c>
      <c r="C361" s="18" t="s">
        <v>861</v>
      </c>
      <c r="D361" s="18" t="s">
        <v>862</v>
      </c>
      <c r="E361" s="19" t="s">
        <v>22</v>
      </c>
      <c r="F361" s="18" t="s">
        <v>13</v>
      </c>
      <c r="G361" s="29"/>
      <c r="H361" s="32" t="str">
        <f>IF(Prueba[[#This Row],[Cant.]]=0,"",IF(OR(Prueba[[#This Row],[Cant.2]]="",Prueba[[#This Row],[Puesto2]]=""),"?",Prueba[[#This Row],[Puesto2]]))</f>
        <v/>
      </c>
      <c r="I361" s="31"/>
      <c r="J361" s="32"/>
      <c r="K361" s="14">
        <v>2</v>
      </c>
      <c r="L361" s="14"/>
      <c r="M361" s="31">
        <v>2</v>
      </c>
      <c r="N361" s="32" t="str">
        <f>IF(Prueba[[#This Row],[Cant.4]]=0,"",IF(OR(Prueba[[#This Row],[Cant.6]]="",Prueba[[#This Row],[Puesto6]]=""),"?",Prueba[[#This Row],[Puesto6]]))</f>
        <v>C</v>
      </c>
      <c r="O361" s="31">
        <v>2</v>
      </c>
      <c r="P361" s="32" t="str">
        <f>IF(Prueba[[#This Row],[Cant.5]]=0,"",IF(OR(Prueba[[#This Row],[Cant.6]]="",Prueba[[#This Row],[Puesto6]]=""),"?",Prueba[[#This Row],[Puesto6]]))</f>
        <v>C</v>
      </c>
      <c r="Q361" s="31">
        <v>2</v>
      </c>
      <c r="R361" s="32" t="s">
        <v>1402</v>
      </c>
      <c r="S361" s="14">
        <v>3</v>
      </c>
      <c r="T361" s="14" t="s">
        <v>1402</v>
      </c>
      <c r="U361" s="31">
        <v>2</v>
      </c>
      <c r="V361" s="32" t="s">
        <v>1402</v>
      </c>
      <c r="W361" s="19">
        <v>24</v>
      </c>
      <c r="X361" s="19" t="s">
        <v>1664</v>
      </c>
      <c r="Y361" s="19" t="s">
        <v>1663</v>
      </c>
      <c r="Z361" s="19" t="s">
        <v>1663</v>
      </c>
      <c r="AA361" s="19" t="s">
        <v>1663</v>
      </c>
      <c r="AB361" s="19" t="s">
        <v>1663</v>
      </c>
    </row>
    <row r="362" spans="1:28" s="18" customFormat="1">
      <c r="A362" s="18" t="s">
        <v>504</v>
      </c>
      <c r="B362" s="18" t="s">
        <v>9</v>
      </c>
      <c r="C362" s="18" t="s">
        <v>505</v>
      </c>
      <c r="D362" s="18" t="s">
        <v>506</v>
      </c>
      <c r="E362" s="19" t="s">
        <v>22</v>
      </c>
      <c r="F362" s="18" t="s">
        <v>13</v>
      </c>
      <c r="G362" s="29">
        <v>1</v>
      </c>
      <c r="H362" s="32">
        <f>IF(Prueba[[#This Row],[Cant.]]=0,"",IF(OR(Prueba[[#This Row],[Cant.2]]="",Prueba[[#This Row],[Puesto2]]=""),"?",Prueba[[#This Row],[Puesto2]]))</f>
        <v>4</v>
      </c>
      <c r="I362" s="31">
        <v>1</v>
      </c>
      <c r="J362" s="32">
        <v>4</v>
      </c>
      <c r="K362" s="14"/>
      <c r="L362" s="14"/>
      <c r="M362" s="31"/>
      <c r="N362" s="32" t="str">
        <f>IF(Prueba[[#This Row],[Cant.4]]=0,"",IF(OR(Prueba[[#This Row],[Cant.6]]="",Prueba[[#This Row],[Puesto6]]=""),"?",Prueba[[#This Row],[Puesto6]]))</f>
        <v/>
      </c>
      <c r="O362" s="31"/>
      <c r="P362" s="32" t="str">
        <f>IF(Prueba[[#This Row],[Cant.5]]=0,"",IF(OR(Prueba[[#This Row],[Cant.6]]="",Prueba[[#This Row],[Puesto6]]=""),"?",Prueba[[#This Row],[Puesto6]]))</f>
        <v/>
      </c>
      <c r="Q362" s="31"/>
      <c r="R362" s="32"/>
      <c r="S362" s="14"/>
      <c r="T362" s="14"/>
      <c r="U362" s="31"/>
      <c r="V362" s="32" t="s">
        <v>1663</v>
      </c>
      <c r="W362" s="19">
        <v>8</v>
      </c>
      <c r="X362" s="19" t="s">
        <v>1664</v>
      </c>
      <c r="Y362" s="19">
        <v>2</v>
      </c>
      <c r="Z362" s="19">
        <v>4</v>
      </c>
      <c r="AA362" s="19">
        <v>2</v>
      </c>
      <c r="AB362" s="19">
        <v>4</v>
      </c>
    </row>
    <row r="363" spans="1:28" s="18" customFormat="1">
      <c r="A363" s="18" t="s">
        <v>1422</v>
      </c>
      <c r="B363" s="18" t="s">
        <v>9</v>
      </c>
      <c r="C363" s="18" t="s">
        <v>1853</v>
      </c>
      <c r="D363" s="18" t="s">
        <v>1854</v>
      </c>
      <c r="E363" s="19" t="s">
        <v>1733</v>
      </c>
      <c r="F363" s="18" t="s">
        <v>13</v>
      </c>
      <c r="G363" s="29"/>
      <c r="H363" s="32" t="str">
        <f>IF(Prueba[[#This Row],[Cant.]]=0,"",IF(OR(Prueba[[#This Row],[Cant.2]]="",Prueba[[#This Row],[Puesto2]]=""),"?",Prueba[[#This Row],[Puesto2]]))</f>
        <v/>
      </c>
      <c r="I363" s="31"/>
      <c r="J363" s="32"/>
      <c r="K363" s="14"/>
      <c r="L363" s="14"/>
      <c r="M363" s="31"/>
      <c r="N363" s="32" t="str">
        <f>IF(Prueba[[#This Row],[Cant.4]]=0,"",IF(OR(Prueba[[#This Row],[Cant.6]]="",Prueba[[#This Row],[Puesto6]]=""),"?",Prueba[[#This Row],[Puesto6]]))</f>
        <v/>
      </c>
      <c r="O363" s="31"/>
      <c r="P363" s="32" t="str">
        <f>IF(Prueba[[#This Row],[Cant.5]]=0,"",IF(OR(Prueba[[#This Row],[Cant.6]]="",Prueba[[#This Row],[Puesto6]]=""),"?",Prueba[[#This Row],[Puesto6]]))</f>
        <v/>
      </c>
      <c r="Q363" s="31"/>
      <c r="R363" s="32"/>
      <c r="S363" s="14">
        <v>2</v>
      </c>
      <c r="T363" s="14">
        <v>5</v>
      </c>
      <c r="U363" s="31">
        <v>4</v>
      </c>
      <c r="V363" s="32">
        <v>6</v>
      </c>
      <c r="W363" s="19">
        <v>32</v>
      </c>
      <c r="X363" s="19" t="s">
        <v>1664</v>
      </c>
      <c r="Y363" s="19" t="s">
        <v>1663</v>
      </c>
      <c r="Z363" s="19" t="s">
        <v>1663</v>
      </c>
      <c r="AA363" s="19" t="s">
        <v>1663</v>
      </c>
      <c r="AB363" s="19" t="s">
        <v>1663</v>
      </c>
    </row>
    <row r="364" spans="1:28" s="18" customFormat="1">
      <c r="A364" s="18" t="s">
        <v>1855</v>
      </c>
      <c r="C364" s="18" t="s">
        <v>1856</v>
      </c>
      <c r="D364" s="18" t="s">
        <v>1856</v>
      </c>
      <c r="E364" s="19" t="s">
        <v>22</v>
      </c>
      <c r="G364" s="29"/>
      <c r="H364" s="32" t="str">
        <f>IF(Prueba[[#This Row],[Cant.]]=0,"",IF(OR(Prueba[[#This Row],[Cant.2]]="",Prueba[[#This Row],[Puesto2]]=""),"?",Prueba[[#This Row],[Puesto2]]))</f>
        <v/>
      </c>
      <c r="I364" s="31"/>
      <c r="J364" s="32"/>
      <c r="K364" s="14"/>
      <c r="L364" s="14"/>
      <c r="M364" s="31"/>
      <c r="N364" s="32" t="str">
        <f>IF(Prueba[[#This Row],[Cant.4]]=0,"",IF(OR(Prueba[[#This Row],[Cant.6]]="",Prueba[[#This Row],[Puesto6]]=""),"?",Prueba[[#This Row],[Puesto6]]))</f>
        <v/>
      </c>
      <c r="O364" s="31"/>
      <c r="P364" s="32" t="str">
        <f>IF(Prueba[[#This Row],[Cant.5]]=0,"",IF(OR(Prueba[[#This Row],[Cant.6]]="",Prueba[[#This Row],[Puesto6]]=""),"?",Prueba[[#This Row],[Puesto6]]))</f>
        <v/>
      </c>
      <c r="Q364" s="31"/>
      <c r="R364" s="32"/>
      <c r="S364" s="14"/>
      <c r="T364" s="14"/>
      <c r="U364" s="31"/>
      <c r="V364" s="32" t="s">
        <v>1663</v>
      </c>
      <c r="X364" s="19" t="s">
        <v>1664</v>
      </c>
      <c r="Y364" s="19">
        <v>1</v>
      </c>
      <c r="Z364" s="19" t="s">
        <v>1402</v>
      </c>
      <c r="AA364" s="19">
        <v>1</v>
      </c>
      <c r="AB364" s="19" t="s">
        <v>1402</v>
      </c>
    </row>
    <row r="365" spans="1:28" s="18" customFormat="1">
      <c r="A365" s="18" t="s">
        <v>1857</v>
      </c>
      <c r="B365" s="18" t="s">
        <v>9</v>
      </c>
      <c r="C365" s="18" t="s">
        <v>1004</v>
      </c>
      <c r="D365" s="18" t="s">
        <v>1858</v>
      </c>
      <c r="E365" s="19" t="s">
        <v>22</v>
      </c>
      <c r="F365" s="18" t="s">
        <v>13</v>
      </c>
      <c r="G365" s="29">
        <v>1</v>
      </c>
      <c r="H365" s="32" t="str">
        <f>IF(Prueba[[#This Row],[Cant.]]=0,"",IF(OR(Prueba[[#This Row],[Cant.2]]="",Prueba[[#This Row],[Puesto2]]=""),"?",Prueba[[#This Row],[Puesto2]]))</f>
        <v>CALIDAD</v>
      </c>
      <c r="I365" s="31">
        <v>1</v>
      </c>
      <c r="J365" s="32" t="s">
        <v>1859</v>
      </c>
      <c r="K365" s="14">
        <v>1</v>
      </c>
      <c r="L365" s="14"/>
      <c r="M365" s="31">
        <v>1</v>
      </c>
      <c r="N365" s="32" t="str">
        <f>IF(Prueba[[#This Row],[Cant.4]]=0,"",IF(OR(Prueba[[#This Row],[Cant.6]]="",Prueba[[#This Row],[Puesto6]]=""),"?",Prueba[[#This Row],[Puesto6]]))</f>
        <v>CALIDAD</v>
      </c>
      <c r="O365" s="31">
        <v>1</v>
      </c>
      <c r="P365" s="32" t="str">
        <f>IF(Prueba[[#This Row],[Cant.5]]=0,"",IF(OR(Prueba[[#This Row],[Cant.6]]="",Prueba[[#This Row],[Puesto6]]=""),"?",Prueba[[#This Row],[Puesto6]]))</f>
        <v>CALIDAD</v>
      </c>
      <c r="Q365" s="31">
        <v>1</v>
      </c>
      <c r="R365" s="32" t="s">
        <v>1859</v>
      </c>
      <c r="S365" s="14">
        <v>1</v>
      </c>
      <c r="T365" s="14" t="s">
        <v>1859</v>
      </c>
      <c r="U365" s="31"/>
      <c r="V365" s="32" t="s">
        <v>1663</v>
      </c>
      <c r="W365" s="19">
        <v>8</v>
      </c>
      <c r="X365" s="19" t="s">
        <v>1664</v>
      </c>
      <c r="Y365" s="19" t="s">
        <v>1663</v>
      </c>
      <c r="Z365" s="19" t="s">
        <v>1663</v>
      </c>
      <c r="AA365" s="19" t="s">
        <v>1663</v>
      </c>
      <c r="AB365" s="19" t="s">
        <v>1663</v>
      </c>
    </row>
    <row r="366" spans="1:28" s="18" customFormat="1">
      <c r="A366" s="18" t="s">
        <v>507</v>
      </c>
      <c r="B366" s="18" t="s">
        <v>9</v>
      </c>
      <c r="C366" s="18" t="s">
        <v>174</v>
      </c>
      <c r="D366" s="18" t="s">
        <v>21</v>
      </c>
      <c r="E366" s="19" t="s">
        <v>22</v>
      </c>
      <c r="F366" s="18" t="s">
        <v>13</v>
      </c>
      <c r="G366" s="29">
        <v>4</v>
      </c>
      <c r="H366" s="32">
        <f>IF(Prueba[[#This Row],[Cant.]]=0,"",IF(OR(Prueba[[#This Row],[Cant.2]]="",Prueba[[#This Row],[Puesto2]]=""),"?",Prueba[[#This Row],[Puesto2]]))</f>
        <v>5</v>
      </c>
      <c r="I366" s="31">
        <v>4</v>
      </c>
      <c r="J366" s="32">
        <v>5</v>
      </c>
      <c r="K366" s="14"/>
      <c r="L366" s="14"/>
      <c r="M366" s="31"/>
      <c r="N366" s="32" t="str">
        <f>IF(Prueba[[#This Row],[Cant.4]]=0,"",IF(OR(Prueba[[#This Row],[Cant.6]]="",Prueba[[#This Row],[Puesto6]]=""),"?",Prueba[[#This Row],[Puesto6]]))</f>
        <v/>
      </c>
      <c r="O366" s="31"/>
      <c r="P366" s="32" t="str">
        <f>IF(Prueba[[#This Row],[Cant.5]]=0,"",IF(OR(Prueba[[#This Row],[Cant.6]]="",Prueba[[#This Row],[Puesto6]]=""),"?",Prueba[[#This Row],[Puesto6]]))</f>
        <v/>
      </c>
      <c r="Q366" s="31"/>
      <c r="R366" s="32"/>
      <c r="S366" s="14"/>
      <c r="T366" s="14"/>
      <c r="U366" s="31"/>
      <c r="V366" s="32" t="s">
        <v>1663</v>
      </c>
      <c r="W366" s="19">
        <v>32</v>
      </c>
      <c r="X366" s="19" t="s">
        <v>1664</v>
      </c>
      <c r="Y366" s="19">
        <v>5</v>
      </c>
      <c r="Z366" s="19">
        <v>5</v>
      </c>
      <c r="AA366" s="19">
        <v>5</v>
      </c>
      <c r="AB366" s="19">
        <v>5</v>
      </c>
    </row>
    <row r="367" spans="1:28" s="18" customFormat="1">
      <c r="A367" s="18" t="s">
        <v>863</v>
      </c>
      <c r="B367" s="18" t="s">
        <v>9</v>
      </c>
      <c r="C367" s="18" t="s">
        <v>864</v>
      </c>
      <c r="D367" s="18" t="s">
        <v>865</v>
      </c>
      <c r="E367" s="19" t="s">
        <v>22</v>
      </c>
      <c r="F367" s="18" t="s">
        <v>13</v>
      </c>
      <c r="G367" s="29"/>
      <c r="H367" s="32" t="str">
        <f>IF(Prueba[[#This Row],[Cant.]]=0,"",IF(OR(Prueba[[#This Row],[Cant.2]]="",Prueba[[#This Row],[Puesto2]]=""),"?",Prueba[[#This Row],[Puesto2]]))</f>
        <v/>
      </c>
      <c r="I367" s="31"/>
      <c r="J367" s="32"/>
      <c r="K367" s="14">
        <v>3</v>
      </c>
      <c r="L367" s="14"/>
      <c r="M367" s="31">
        <v>2</v>
      </c>
      <c r="N367" s="32" t="str">
        <f>IF(Prueba[[#This Row],[Cant.4]]=0,"",IF(OR(Prueba[[#This Row],[Cant.6]]="",Prueba[[#This Row],[Puesto6]]=""),"?",Prueba[[#This Row],[Puesto6]]))</f>
        <v>2x6 + 1xD</v>
      </c>
      <c r="O367" s="31">
        <v>2</v>
      </c>
      <c r="P367" s="32" t="str">
        <f>IF(Prueba[[#This Row],[Cant.5]]=0,"",IF(OR(Prueba[[#This Row],[Cant.6]]="",Prueba[[#This Row],[Puesto6]]=""),"?",Prueba[[#This Row],[Puesto6]]))</f>
        <v>2x6 + 1xD</v>
      </c>
      <c r="Q367" s="31">
        <v>2</v>
      </c>
      <c r="R367" s="32" t="s">
        <v>1860</v>
      </c>
      <c r="S367" s="14">
        <v>3</v>
      </c>
      <c r="T367" s="14" t="s">
        <v>1861</v>
      </c>
      <c r="U367" s="31">
        <v>1</v>
      </c>
      <c r="V367" s="32">
        <v>6</v>
      </c>
      <c r="W367" s="19">
        <v>16</v>
      </c>
      <c r="X367" s="19" t="s">
        <v>1664</v>
      </c>
      <c r="Y367" s="19" t="s">
        <v>1663</v>
      </c>
      <c r="Z367" s="19" t="s">
        <v>1663</v>
      </c>
      <c r="AA367" s="19" t="s">
        <v>1663</v>
      </c>
      <c r="AB367" s="19" t="s">
        <v>1663</v>
      </c>
    </row>
    <row r="368" spans="1:28" s="18" customFormat="1">
      <c r="A368" s="18" t="s">
        <v>508</v>
      </c>
      <c r="B368" s="18" t="s">
        <v>9</v>
      </c>
      <c r="C368" s="18" t="s">
        <v>174</v>
      </c>
      <c r="D368" s="18" t="s">
        <v>21</v>
      </c>
      <c r="E368" s="19" t="s">
        <v>22</v>
      </c>
      <c r="F368" s="18" t="s">
        <v>13</v>
      </c>
      <c r="G368" s="29">
        <v>1</v>
      </c>
      <c r="H368" s="32">
        <f>IF(Prueba[[#This Row],[Cant.]]=0,"",IF(OR(Prueba[[#This Row],[Cant.2]]="",Prueba[[#This Row],[Puesto2]]=""),"?",Prueba[[#This Row],[Puesto2]]))</f>
        <v>5</v>
      </c>
      <c r="I368" s="31">
        <v>1</v>
      </c>
      <c r="J368" s="32">
        <v>5</v>
      </c>
      <c r="K368" s="14"/>
      <c r="L368" s="14"/>
      <c r="M368" s="31"/>
      <c r="N368" s="32" t="str">
        <f>IF(Prueba[[#This Row],[Cant.4]]=0,"",IF(OR(Prueba[[#This Row],[Cant.6]]="",Prueba[[#This Row],[Puesto6]]=""),"?",Prueba[[#This Row],[Puesto6]]))</f>
        <v/>
      </c>
      <c r="O368" s="31"/>
      <c r="P368" s="32" t="str">
        <f>IF(Prueba[[#This Row],[Cant.5]]=0,"",IF(OR(Prueba[[#This Row],[Cant.6]]="",Prueba[[#This Row],[Puesto6]]=""),"?",Prueba[[#This Row],[Puesto6]]))</f>
        <v/>
      </c>
      <c r="Q368" s="31"/>
      <c r="R368" s="32"/>
      <c r="S368" s="14"/>
      <c r="T368" s="14"/>
      <c r="U368" s="31"/>
      <c r="V368" s="32" t="s">
        <v>1663</v>
      </c>
      <c r="W368" s="19">
        <v>8</v>
      </c>
      <c r="X368" s="19" t="s">
        <v>1664</v>
      </c>
      <c r="Y368" s="19">
        <v>2</v>
      </c>
      <c r="Z368" s="19">
        <v>5</v>
      </c>
      <c r="AA368" s="19">
        <v>2</v>
      </c>
      <c r="AB368" s="19">
        <v>5</v>
      </c>
    </row>
    <row r="369" spans="1:28" s="18" customFormat="1">
      <c r="A369" s="18" t="s">
        <v>866</v>
      </c>
      <c r="B369" s="18" t="s">
        <v>9</v>
      </c>
      <c r="C369" s="18" t="s">
        <v>174</v>
      </c>
      <c r="D369" s="18" t="s">
        <v>21</v>
      </c>
      <c r="E369" s="19" t="s">
        <v>22</v>
      </c>
      <c r="F369" s="18" t="s">
        <v>13</v>
      </c>
      <c r="G369" s="29"/>
      <c r="H369" s="32" t="str">
        <f>IF(Prueba[[#This Row],[Cant.]]=0,"",IF(OR(Prueba[[#This Row],[Cant.2]]="",Prueba[[#This Row],[Puesto2]]=""),"?",Prueba[[#This Row],[Puesto2]]))</f>
        <v/>
      </c>
      <c r="I369" s="31"/>
      <c r="J369" s="32"/>
      <c r="K369" s="14">
        <v>1</v>
      </c>
      <c r="L369" s="14"/>
      <c r="M369" s="31">
        <v>2</v>
      </c>
      <c r="N369" s="32">
        <f>IF(Prueba[[#This Row],[Cant.4]]=0,"",IF(OR(Prueba[[#This Row],[Cant.6]]="",Prueba[[#This Row],[Puesto6]]=""),"?",Prueba[[#This Row],[Puesto6]]))</f>
        <v>5</v>
      </c>
      <c r="O369" s="31">
        <v>2</v>
      </c>
      <c r="P369" s="32">
        <f>IF(Prueba[[#This Row],[Cant.5]]=0,"",IF(OR(Prueba[[#This Row],[Cant.6]]="",Prueba[[#This Row],[Puesto6]]=""),"?",Prueba[[#This Row],[Puesto6]]))</f>
        <v>5</v>
      </c>
      <c r="Q369" s="31">
        <v>2</v>
      </c>
      <c r="R369" s="32">
        <v>5</v>
      </c>
      <c r="S369" s="14">
        <v>2</v>
      </c>
      <c r="T369" s="14">
        <v>5</v>
      </c>
      <c r="U369" s="31"/>
      <c r="V369" s="32" t="s">
        <v>1663</v>
      </c>
      <c r="W369" s="19">
        <v>16</v>
      </c>
      <c r="X369" s="19" t="s">
        <v>1664</v>
      </c>
      <c r="Y369" s="19" t="s">
        <v>1663</v>
      </c>
      <c r="Z369" s="19" t="s">
        <v>1663</v>
      </c>
      <c r="AA369" s="19" t="s">
        <v>1663</v>
      </c>
      <c r="AB369" s="19" t="s">
        <v>1663</v>
      </c>
    </row>
    <row r="370" spans="1:28" s="18" customFormat="1">
      <c r="A370" s="18" t="s">
        <v>867</v>
      </c>
      <c r="B370" s="18" t="s">
        <v>9</v>
      </c>
      <c r="C370" s="18" t="s">
        <v>868</v>
      </c>
      <c r="D370" s="18" t="s">
        <v>21</v>
      </c>
      <c r="E370" s="19" t="s">
        <v>22</v>
      </c>
      <c r="F370" s="18" t="s">
        <v>13</v>
      </c>
      <c r="G370" s="29"/>
      <c r="H370" s="32" t="str">
        <f>IF(Prueba[[#This Row],[Cant.]]=0,"",IF(OR(Prueba[[#This Row],[Cant.2]]="",Prueba[[#This Row],[Puesto2]]=""),"?",Prueba[[#This Row],[Puesto2]]))</f>
        <v/>
      </c>
      <c r="I370" s="31"/>
      <c r="J370" s="32"/>
      <c r="K370" s="14">
        <v>1</v>
      </c>
      <c r="L370" s="14"/>
      <c r="M370" s="31">
        <v>1</v>
      </c>
      <c r="N370" s="32">
        <f>IF(Prueba[[#This Row],[Cant.4]]=0,"",IF(OR(Prueba[[#This Row],[Cant.6]]="",Prueba[[#This Row],[Puesto6]]=""),"?",Prueba[[#This Row],[Puesto6]]))</f>
        <v>5</v>
      </c>
      <c r="O370" s="31">
        <v>1</v>
      </c>
      <c r="P370" s="32">
        <f>IF(Prueba[[#This Row],[Cant.5]]=0,"",IF(OR(Prueba[[#This Row],[Cant.6]]="",Prueba[[#This Row],[Puesto6]]=""),"?",Prueba[[#This Row],[Puesto6]]))</f>
        <v>5</v>
      </c>
      <c r="Q370" s="31">
        <v>1</v>
      </c>
      <c r="R370" s="32">
        <v>5</v>
      </c>
      <c r="S370" s="14">
        <v>1</v>
      </c>
      <c r="T370" s="14">
        <v>5</v>
      </c>
      <c r="U370" s="31">
        <v>1</v>
      </c>
      <c r="V370" s="32">
        <v>6</v>
      </c>
      <c r="W370" s="19">
        <v>8</v>
      </c>
      <c r="X370" s="19" t="s">
        <v>1664</v>
      </c>
      <c r="Y370" s="19" t="s">
        <v>1663</v>
      </c>
      <c r="Z370" s="19" t="s">
        <v>1663</v>
      </c>
      <c r="AA370" s="19" t="s">
        <v>1663</v>
      </c>
      <c r="AB370" s="19" t="s">
        <v>1663</v>
      </c>
    </row>
    <row r="371" spans="1:28" s="18" customFormat="1">
      <c r="A371" s="18" t="s">
        <v>509</v>
      </c>
      <c r="B371" s="18" t="s">
        <v>9</v>
      </c>
      <c r="C371" s="18" t="s">
        <v>174</v>
      </c>
      <c r="D371" s="18" t="s">
        <v>21</v>
      </c>
      <c r="E371" s="19" t="s">
        <v>22</v>
      </c>
      <c r="F371" s="18" t="s">
        <v>13</v>
      </c>
      <c r="G371" s="29">
        <v>2</v>
      </c>
      <c r="H371" s="32">
        <f>IF(Prueba[[#This Row],[Cant.]]=0,"",IF(OR(Prueba[[#This Row],[Cant.2]]="",Prueba[[#This Row],[Puesto2]]=""),"?",Prueba[[#This Row],[Puesto2]]))</f>
        <v>5</v>
      </c>
      <c r="I371" s="31">
        <v>2</v>
      </c>
      <c r="J371" s="32">
        <v>5</v>
      </c>
      <c r="K371" s="14">
        <v>3</v>
      </c>
      <c r="L371" s="14"/>
      <c r="M371" s="31">
        <v>2</v>
      </c>
      <c r="N371" s="32">
        <f>IF(Prueba[[#This Row],[Cant.4]]=0,"",IF(OR(Prueba[[#This Row],[Cant.6]]="",Prueba[[#This Row],[Puesto6]]=""),"?",Prueba[[#This Row],[Puesto6]]))</f>
        <v>5</v>
      </c>
      <c r="O371" s="31">
        <v>2</v>
      </c>
      <c r="P371" s="32">
        <f>IF(Prueba[[#This Row],[Cant.5]]=0,"",IF(OR(Prueba[[#This Row],[Cant.6]]="",Prueba[[#This Row],[Puesto6]]=""),"?",Prueba[[#This Row],[Puesto6]]))</f>
        <v>5</v>
      </c>
      <c r="Q371" s="31">
        <v>2</v>
      </c>
      <c r="R371" s="32">
        <v>5</v>
      </c>
      <c r="S371" s="14">
        <v>2</v>
      </c>
      <c r="T371" s="14">
        <v>5</v>
      </c>
      <c r="U371" s="31">
        <v>1</v>
      </c>
      <c r="V371" s="32">
        <v>5</v>
      </c>
      <c r="W371" s="19">
        <v>16</v>
      </c>
      <c r="X371" s="19" t="s">
        <v>1664</v>
      </c>
      <c r="Y371" s="19">
        <v>3</v>
      </c>
      <c r="Z371" s="19">
        <v>5</v>
      </c>
      <c r="AA371" s="19">
        <v>3</v>
      </c>
      <c r="AB371" s="19">
        <v>5</v>
      </c>
    </row>
    <row r="372" spans="1:28" s="18" customFormat="1">
      <c r="A372" s="18" t="s">
        <v>869</v>
      </c>
      <c r="B372" s="18" t="s">
        <v>9</v>
      </c>
      <c r="C372" s="18" t="s">
        <v>174</v>
      </c>
      <c r="D372" s="18" t="s">
        <v>21</v>
      </c>
      <c r="E372" s="19" t="s">
        <v>22</v>
      </c>
      <c r="F372" s="18" t="s">
        <v>13</v>
      </c>
      <c r="G372" s="29"/>
      <c r="H372" s="32" t="str">
        <f>IF(Prueba[[#This Row],[Cant.]]=0,"",IF(OR(Prueba[[#This Row],[Cant.2]]="",Prueba[[#This Row],[Puesto2]]=""),"?",Prueba[[#This Row],[Puesto2]]))</f>
        <v/>
      </c>
      <c r="I372" s="31"/>
      <c r="J372" s="32"/>
      <c r="K372" s="14">
        <v>2</v>
      </c>
      <c r="L372" s="14"/>
      <c r="M372" s="31">
        <v>2</v>
      </c>
      <c r="N372" s="32">
        <f>IF(Prueba[[#This Row],[Cant.4]]=0,"",IF(OR(Prueba[[#This Row],[Cant.6]]="",Prueba[[#This Row],[Puesto6]]=""),"?",Prueba[[#This Row],[Puesto6]]))</f>
        <v>5</v>
      </c>
      <c r="O372" s="31">
        <v>2</v>
      </c>
      <c r="P372" s="32">
        <f>IF(Prueba[[#This Row],[Cant.5]]=0,"",IF(OR(Prueba[[#This Row],[Cant.6]]="",Prueba[[#This Row],[Puesto6]]=""),"?",Prueba[[#This Row],[Puesto6]]))</f>
        <v>5</v>
      </c>
      <c r="Q372" s="31">
        <v>2</v>
      </c>
      <c r="R372" s="32">
        <v>5</v>
      </c>
      <c r="S372" s="14">
        <v>2</v>
      </c>
      <c r="T372" s="14">
        <v>5</v>
      </c>
      <c r="U372" s="31"/>
      <c r="V372" s="32" t="s">
        <v>1663</v>
      </c>
      <c r="W372" s="19">
        <v>16</v>
      </c>
      <c r="X372" s="19" t="s">
        <v>1664</v>
      </c>
      <c r="Y372" s="19" t="s">
        <v>1663</v>
      </c>
      <c r="Z372" s="19" t="s">
        <v>1663</v>
      </c>
      <c r="AA372" s="19" t="s">
        <v>1663</v>
      </c>
      <c r="AB372" s="19" t="s">
        <v>1663</v>
      </c>
    </row>
    <row r="373" spans="1:28" s="18" customFormat="1">
      <c r="A373" s="18" t="s">
        <v>870</v>
      </c>
      <c r="B373" s="18" t="s">
        <v>9</v>
      </c>
      <c r="C373" s="18" t="s">
        <v>174</v>
      </c>
      <c r="D373" s="18" t="s">
        <v>21</v>
      </c>
      <c r="E373" s="19" t="s">
        <v>22</v>
      </c>
      <c r="F373" s="18" t="s">
        <v>13</v>
      </c>
      <c r="G373" s="29"/>
      <c r="H373" s="32" t="str">
        <f>IF(Prueba[[#This Row],[Cant.]]=0,"",IF(OR(Prueba[[#This Row],[Cant.2]]="",Prueba[[#This Row],[Puesto2]]=""),"?",Prueba[[#This Row],[Puesto2]]))</f>
        <v/>
      </c>
      <c r="I373" s="31"/>
      <c r="J373" s="32"/>
      <c r="K373" s="14">
        <v>2</v>
      </c>
      <c r="L373" s="14"/>
      <c r="M373" s="31">
        <v>2</v>
      </c>
      <c r="N373" s="32" t="str">
        <f>IF(Prueba[[#This Row],[Cant.4]]=0,"",IF(OR(Prueba[[#This Row],[Cant.6]]="",Prueba[[#This Row],[Puesto6]]=""),"?",Prueba[[#This Row],[Puesto6]]))</f>
        <v>D</v>
      </c>
      <c r="O373" s="31">
        <v>1</v>
      </c>
      <c r="P373" s="32" t="str">
        <f>IF(Prueba[[#This Row],[Cant.5]]=0,"",IF(OR(Prueba[[#This Row],[Cant.6]]="",Prueba[[#This Row],[Puesto6]]=""),"?",Prueba[[#This Row],[Puesto6]]))</f>
        <v>D</v>
      </c>
      <c r="Q373" s="31">
        <v>2</v>
      </c>
      <c r="R373" s="32" t="s">
        <v>1399</v>
      </c>
      <c r="S373" s="14">
        <v>1</v>
      </c>
      <c r="T373" s="14" t="s">
        <v>1399</v>
      </c>
      <c r="U373" s="31">
        <v>1</v>
      </c>
      <c r="V373" s="32" t="s">
        <v>1399</v>
      </c>
      <c r="W373" s="19">
        <v>16</v>
      </c>
      <c r="X373" s="19" t="s">
        <v>1664</v>
      </c>
      <c r="Y373" s="19" t="s">
        <v>1663</v>
      </c>
      <c r="Z373" s="19" t="s">
        <v>1663</v>
      </c>
      <c r="AA373" s="19" t="s">
        <v>1663</v>
      </c>
      <c r="AB373" s="19" t="s">
        <v>1663</v>
      </c>
    </row>
    <row r="374" spans="1:28" s="18" customFormat="1">
      <c r="A374" s="18" t="s">
        <v>871</v>
      </c>
      <c r="B374" s="18" t="s">
        <v>850</v>
      </c>
      <c r="C374" s="18" t="s">
        <v>852</v>
      </c>
      <c r="D374" s="18" t="s">
        <v>1852</v>
      </c>
      <c r="E374" s="19" t="s">
        <v>853</v>
      </c>
      <c r="F374" s="18" t="s">
        <v>13</v>
      </c>
      <c r="G374" s="29"/>
      <c r="H374" s="32" t="str">
        <f>IF(Prueba[[#This Row],[Cant.]]=0,"",IF(OR(Prueba[[#This Row],[Cant.2]]="",Prueba[[#This Row],[Puesto2]]=""),"?",Prueba[[#This Row],[Puesto2]]))</f>
        <v/>
      </c>
      <c r="I374" s="31"/>
      <c r="J374" s="32"/>
      <c r="K374" s="14">
        <v>180</v>
      </c>
      <c r="L374" s="14"/>
      <c r="M374" s="31">
        <v>180</v>
      </c>
      <c r="N374" s="32">
        <f>IF(Prueba[[#This Row],[Cant.4]]=0,"",IF(OR(Prueba[[#This Row],[Cant.6]]="",Prueba[[#This Row],[Puesto6]]=""),"?",Prueba[[#This Row],[Puesto6]]))</f>
        <v>2</v>
      </c>
      <c r="O374" s="31">
        <v>180</v>
      </c>
      <c r="P374" s="32">
        <f>IF(Prueba[[#This Row],[Cant.5]]=0,"",IF(OR(Prueba[[#This Row],[Cant.6]]="",Prueba[[#This Row],[Puesto6]]=""),"?",Prueba[[#This Row],[Puesto6]]))</f>
        <v>2</v>
      </c>
      <c r="Q374" s="31">
        <v>180</v>
      </c>
      <c r="R374" s="32">
        <v>2</v>
      </c>
      <c r="S374" s="14">
        <v>180</v>
      </c>
      <c r="T374" s="14">
        <v>2</v>
      </c>
      <c r="U374" s="31"/>
      <c r="V374" s="32" t="s">
        <v>1663</v>
      </c>
      <c r="W374" s="19">
        <v>1440</v>
      </c>
      <c r="X374" s="19" t="s">
        <v>1664</v>
      </c>
      <c r="Y374" s="19" t="s">
        <v>1663</v>
      </c>
      <c r="Z374" s="19" t="s">
        <v>1663</v>
      </c>
      <c r="AA374" s="19" t="s">
        <v>1663</v>
      </c>
      <c r="AB374" s="19" t="s">
        <v>1663</v>
      </c>
    </row>
    <row r="375" spans="1:28" s="18" customFormat="1">
      <c r="A375" s="18" t="s">
        <v>1424</v>
      </c>
      <c r="B375" s="18" t="s">
        <v>9</v>
      </c>
      <c r="C375" s="18" t="s">
        <v>1862</v>
      </c>
      <c r="D375" s="18" t="s">
        <v>1863</v>
      </c>
      <c r="E375" s="19" t="s">
        <v>12</v>
      </c>
      <c r="F375" s="18" t="s">
        <v>13</v>
      </c>
      <c r="G375" s="29"/>
      <c r="H375" s="32" t="str">
        <f>IF(Prueba[[#This Row],[Cant.]]=0,"",IF(OR(Prueba[[#This Row],[Cant.2]]="",Prueba[[#This Row],[Puesto2]]=""),"?",Prueba[[#This Row],[Puesto2]]))</f>
        <v/>
      </c>
      <c r="I375" s="31"/>
      <c r="J375" s="32"/>
      <c r="K375" s="14"/>
      <c r="L375" s="14"/>
      <c r="M375" s="31"/>
      <c r="N375" s="32" t="str">
        <f>IF(Prueba[[#This Row],[Cant.4]]=0,"",IF(OR(Prueba[[#This Row],[Cant.6]]="",Prueba[[#This Row],[Puesto6]]=""),"?",Prueba[[#This Row],[Puesto6]]))</f>
        <v/>
      </c>
      <c r="O375" s="31"/>
      <c r="P375" s="32" t="str">
        <f>IF(Prueba[[#This Row],[Cant.5]]=0,"",IF(OR(Prueba[[#This Row],[Cant.6]]="",Prueba[[#This Row],[Puesto6]]=""),"?",Prueba[[#This Row],[Puesto6]]))</f>
        <v/>
      </c>
      <c r="Q375" s="31"/>
      <c r="R375" s="32"/>
      <c r="S375" s="14"/>
      <c r="T375" s="14"/>
      <c r="U375" s="31">
        <v>1</v>
      </c>
      <c r="V375" s="32">
        <v>0</v>
      </c>
      <c r="W375" s="19"/>
      <c r="X375" s="19" t="s">
        <v>1667</v>
      </c>
      <c r="Y375" s="19" t="s">
        <v>1663</v>
      </c>
      <c r="Z375" s="19" t="s">
        <v>1663</v>
      </c>
      <c r="AA375" s="19" t="s">
        <v>1663</v>
      </c>
      <c r="AB375" s="19" t="s">
        <v>1663</v>
      </c>
    </row>
    <row r="376" spans="1:28" s="18" customFormat="1">
      <c r="A376" s="18" t="s">
        <v>872</v>
      </c>
      <c r="B376" s="18" t="s">
        <v>9</v>
      </c>
      <c r="C376" s="18" t="s">
        <v>873</v>
      </c>
      <c r="D376" s="18" t="s">
        <v>874</v>
      </c>
      <c r="E376" s="19" t="s">
        <v>39</v>
      </c>
      <c r="F376" s="18" t="s">
        <v>13</v>
      </c>
      <c r="G376" s="29"/>
      <c r="H376" s="32" t="str">
        <f>IF(Prueba[[#This Row],[Cant.]]=0,"",IF(OR(Prueba[[#This Row],[Cant.2]]="",Prueba[[#This Row],[Puesto2]]=""),"?",Prueba[[#This Row],[Puesto2]]))</f>
        <v/>
      </c>
      <c r="I376" s="31"/>
      <c r="J376" s="32"/>
      <c r="K376" s="14">
        <v>4</v>
      </c>
      <c r="L376" s="14"/>
      <c r="M376" s="31">
        <v>2</v>
      </c>
      <c r="N376" s="32" t="str">
        <f>IF(Prueba[[#This Row],[Cant.4]]=0,"",IF(OR(Prueba[[#This Row],[Cant.6]]="",Prueba[[#This Row],[Puesto6]]=""),"?",Prueba[[#This Row],[Puesto6]]))</f>
        <v>D</v>
      </c>
      <c r="O376" s="31">
        <v>2</v>
      </c>
      <c r="P376" s="32" t="str">
        <f>IF(Prueba[[#This Row],[Cant.5]]=0,"",IF(OR(Prueba[[#This Row],[Cant.6]]="",Prueba[[#This Row],[Puesto6]]=""),"?",Prueba[[#This Row],[Puesto6]]))</f>
        <v>D</v>
      </c>
      <c r="Q376" s="31">
        <v>2</v>
      </c>
      <c r="R376" s="32" t="s">
        <v>1399</v>
      </c>
      <c r="S376" s="14">
        <v>4</v>
      </c>
      <c r="T376" s="14" t="s">
        <v>1399</v>
      </c>
      <c r="U376" s="31">
        <v>2</v>
      </c>
      <c r="V376" s="32" t="s">
        <v>1399</v>
      </c>
      <c r="W376" s="19"/>
      <c r="X376" s="19" t="s">
        <v>1667</v>
      </c>
      <c r="Y376" s="19" t="s">
        <v>1663</v>
      </c>
      <c r="Z376" s="19" t="s">
        <v>1663</v>
      </c>
      <c r="AA376" s="19" t="s">
        <v>1663</v>
      </c>
      <c r="AB376" s="19" t="s">
        <v>1663</v>
      </c>
    </row>
    <row r="377" spans="1:28" s="18" customFormat="1">
      <c r="A377" s="18" t="s">
        <v>875</v>
      </c>
      <c r="B377" s="18" t="s">
        <v>9</v>
      </c>
      <c r="C377" s="18" t="s">
        <v>753</v>
      </c>
      <c r="D377" s="18" t="s">
        <v>876</v>
      </c>
      <c r="E377" s="19" t="s">
        <v>22</v>
      </c>
      <c r="F377" s="18" t="s">
        <v>13</v>
      </c>
      <c r="G377" s="29"/>
      <c r="H377" s="32" t="str">
        <f>IF(Prueba[[#This Row],[Cant.]]=0,"",IF(OR(Prueba[[#This Row],[Cant.2]]="",Prueba[[#This Row],[Puesto2]]=""),"?",Prueba[[#This Row],[Puesto2]]))</f>
        <v/>
      </c>
      <c r="I377" s="31"/>
      <c r="J377" s="32"/>
      <c r="K377" s="14">
        <v>4</v>
      </c>
      <c r="L377" s="14"/>
      <c r="M377" s="31">
        <v>4</v>
      </c>
      <c r="N377" s="32">
        <f>IF(Prueba[[#This Row],[Cant.4]]=0,"",IF(OR(Prueba[[#This Row],[Cant.6]]="",Prueba[[#This Row],[Puesto6]]=""),"?",Prueba[[#This Row],[Puesto6]]))</f>
        <v>3</v>
      </c>
      <c r="O377" s="31">
        <v>4</v>
      </c>
      <c r="P377" s="32">
        <f>IF(Prueba[[#This Row],[Cant.5]]=0,"",IF(OR(Prueba[[#This Row],[Cant.6]]="",Prueba[[#This Row],[Puesto6]]=""),"?",Prueba[[#This Row],[Puesto6]]))</f>
        <v>3</v>
      </c>
      <c r="Q377" s="31">
        <v>4</v>
      </c>
      <c r="R377" s="32">
        <v>3</v>
      </c>
      <c r="S377" s="14"/>
      <c r="T377" s="14"/>
      <c r="U377" s="31">
        <v>4</v>
      </c>
      <c r="V377" s="32">
        <v>3</v>
      </c>
      <c r="W377" s="19">
        <v>32</v>
      </c>
      <c r="X377" s="19" t="s">
        <v>1664</v>
      </c>
      <c r="Y377" s="19">
        <v>2</v>
      </c>
      <c r="Z377" s="19">
        <v>3</v>
      </c>
      <c r="AA377" s="19">
        <v>2</v>
      </c>
      <c r="AB377" s="19">
        <v>3</v>
      </c>
    </row>
    <row r="378" spans="1:28" s="18" customFormat="1">
      <c r="A378" s="18" t="s">
        <v>1426</v>
      </c>
      <c r="B378" s="18" t="s">
        <v>9</v>
      </c>
      <c r="C378" s="18" t="s">
        <v>1864</v>
      </c>
      <c r="D378" s="18" t="s">
        <v>1865</v>
      </c>
      <c r="E378" s="19" t="s">
        <v>1815</v>
      </c>
      <c r="F378" s="18" t="s">
        <v>13</v>
      </c>
      <c r="G378" s="29"/>
      <c r="H378" s="32" t="str">
        <f>IF(Prueba[[#This Row],[Cant.]]=0,"",IF(OR(Prueba[[#This Row],[Cant.2]]="",Prueba[[#This Row],[Puesto2]]=""),"?",Prueba[[#This Row],[Puesto2]]))</f>
        <v/>
      </c>
      <c r="I378" s="31"/>
      <c r="J378" s="32"/>
      <c r="K378" s="14"/>
      <c r="L378" s="14"/>
      <c r="M378" s="31"/>
      <c r="N378" s="32" t="str">
        <f>IF(Prueba[[#This Row],[Cant.4]]=0,"",IF(OR(Prueba[[#This Row],[Cant.6]]="",Prueba[[#This Row],[Puesto6]]=""),"?",Prueba[[#This Row],[Puesto6]]))</f>
        <v/>
      </c>
      <c r="O378" s="31"/>
      <c r="P378" s="32" t="str">
        <f>IF(Prueba[[#This Row],[Cant.5]]=0,"",IF(OR(Prueba[[#This Row],[Cant.6]]="",Prueba[[#This Row],[Puesto6]]=""),"?",Prueba[[#This Row],[Puesto6]]))</f>
        <v/>
      </c>
      <c r="Q378" s="31"/>
      <c r="R378" s="32"/>
      <c r="S378" s="14"/>
      <c r="T378" s="14"/>
      <c r="U378" s="31">
        <v>2</v>
      </c>
      <c r="V378" s="32" t="s">
        <v>1427</v>
      </c>
      <c r="W378" s="19"/>
      <c r="X378" s="19" t="s">
        <v>1667</v>
      </c>
      <c r="Y378" s="19" t="s">
        <v>1663</v>
      </c>
      <c r="Z378" s="19" t="s">
        <v>1663</v>
      </c>
      <c r="AA378" s="19" t="s">
        <v>1663</v>
      </c>
      <c r="AB378" s="19" t="s">
        <v>1663</v>
      </c>
    </row>
    <row r="379" spans="1:28" s="18" customFormat="1">
      <c r="A379" s="18" t="s">
        <v>1428</v>
      </c>
      <c r="B379" s="18" t="s">
        <v>9</v>
      </c>
      <c r="C379" s="18" t="s">
        <v>1864</v>
      </c>
      <c r="D379" s="18" t="s">
        <v>1866</v>
      </c>
      <c r="E379" s="19" t="s">
        <v>1815</v>
      </c>
      <c r="F379" s="18" t="s">
        <v>13</v>
      </c>
      <c r="G379" s="29"/>
      <c r="H379" s="32" t="str">
        <f>IF(Prueba[[#This Row],[Cant.]]=0,"",IF(OR(Prueba[[#This Row],[Cant.2]]="",Prueba[[#This Row],[Puesto2]]=""),"?",Prueba[[#This Row],[Puesto2]]))</f>
        <v/>
      </c>
      <c r="I379" s="31"/>
      <c r="J379" s="32"/>
      <c r="K379" s="14"/>
      <c r="L379" s="14"/>
      <c r="M379" s="31"/>
      <c r="N379" s="32" t="str">
        <f>IF(Prueba[[#This Row],[Cant.4]]=0,"",IF(OR(Prueba[[#This Row],[Cant.6]]="",Prueba[[#This Row],[Puesto6]]=""),"?",Prueba[[#This Row],[Puesto6]]))</f>
        <v/>
      </c>
      <c r="O379" s="31"/>
      <c r="P379" s="32" t="str">
        <f>IF(Prueba[[#This Row],[Cant.5]]=0,"",IF(OR(Prueba[[#This Row],[Cant.6]]="",Prueba[[#This Row],[Puesto6]]=""),"?",Prueba[[#This Row],[Puesto6]]))</f>
        <v/>
      </c>
      <c r="Q379" s="31"/>
      <c r="R379" s="32"/>
      <c r="S379" s="14"/>
      <c r="T379" s="14"/>
      <c r="U379" s="31">
        <v>1</v>
      </c>
      <c r="V379" s="32">
        <v>3</v>
      </c>
      <c r="W379" s="19"/>
      <c r="X379" s="19" t="s">
        <v>1667</v>
      </c>
      <c r="Y379" s="19" t="s">
        <v>1663</v>
      </c>
      <c r="Z379" s="19" t="s">
        <v>1663</v>
      </c>
      <c r="AA379" s="19" t="s">
        <v>1663</v>
      </c>
      <c r="AB379" s="19" t="s">
        <v>1663</v>
      </c>
    </row>
    <row r="380" spans="1:28" s="18" customFormat="1">
      <c r="A380" s="18" t="s">
        <v>1429</v>
      </c>
      <c r="B380" s="18" t="s">
        <v>9</v>
      </c>
      <c r="C380" s="18" t="s">
        <v>1867</v>
      </c>
      <c r="D380" s="18" t="s">
        <v>1868</v>
      </c>
      <c r="E380" s="19" t="s">
        <v>39</v>
      </c>
      <c r="F380" s="18" t="s">
        <v>13</v>
      </c>
      <c r="G380" s="29"/>
      <c r="H380" s="32" t="str">
        <f>IF(Prueba[[#This Row],[Cant.]]=0,"",IF(OR(Prueba[[#This Row],[Cant.2]]="",Prueba[[#This Row],[Puesto2]]=""),"?",Prueba[[#This Row],[Puesto2]]))</f>
        <v/>
      </c>
      <c r="I380" s="31"/>
      <c r="J380" s="32"/>
      <c r="K380" s="14"/>
      <c r="L380" s="14"/>
      <c r="M380" s="31"/>
      <c r="N380" s="32" t="str">
        <f>IF(Prueba[[#This Row],[Cant.4]]=0,"",IF(OR(Prueba[[#This Row],[Cant.6]]="",Prueba[[#This Row],[Puesto6]]=""),"?",Prueba[[#This Row],[Puesto6]]))</f>
        <v/>
      </c>
      <c r="O380" s="31"/>
      <c r="P380" s="32" t="str">
        <f>IF(Prueba[[#This Row],[Cant.5]]=0,"",IF(OR(Prueba[[#This Row],[Cant.6]]="",Prueba[[#This Row],[Puesto6]]=""),"?",Prueba[[#This Row],[Puesto6]]))</f>
        <v/>
      </c>
      <c r="Q380" s="31"/>
      <c r="R380" s="32"/>
      <c r="S380" s="14"/>
      <c r="T380" s="14"/>
      <c r="U380" s="31">
        <v>1</v>
      </c>
      <c r="V380" s="32" t="s">
        <v>1421</v>
      </c>
      <c r="W380" s="19"/>
      <c r="X380" s="19" t="s">
        <v>1667</v>
      </c>
      <c r="Y380" s="19" t="s">
        <v>1663</v>
      </c>
      <c r="Z380" s="19" t="s">
        <v>1663</v>
      </c>
      <c r="AA380" s="19" t="s">
        <v>1663</v>
      </c>
      <c r="AB380" s="19" t="s">
        <v>1663</v>
      </c>
    </row>
    <row r="381" spans="1:28" s="18" customFormat="1">
      <c r="A381" s="18" t="s">
        <v>1869</v>
      </c>
      <c r="B381" s="18" t="s">
        <v>9</v>
      </c>
      <c r="C381" s="18" t="s">
        <v>1870</v>
      </c>
      <c r="D381" s="18" t="s">
        <v>1871</v>
      </c>
      <c r="E381" s="19" t="s">
        <v>1733</v>
      </c>
      <c r="F381" s="18" t="s">
        <v>13</v>
      </c>
      <c r="G381" s="29"/>
      <c r="H381" s="32" t="str">
        <f>IF(Prueba[[#This Row],[Cant.]]=0,"",IF(OR(Prueba[[#This Row],[Cant.2]]="",Prueba[[#This Row],[Puesto2]]=""),"?",Prueba[[#This Row],[Puesto2]]))</f>
        <v/>
      </c>
      <c r="I381" s="31"/>
      <c r="J381" s="32"/>
      <c r="K381" s="14"/>
      <c r="L381" s="14"/>
      <c r="M381" s="31"/>
      <c r="N381" s="32" t="str">
        <f>IF(Prueba[[#This Row],[Cant.4]]=0,"",IF(OR(Prueba[[#This Row],[Cant.6]]="",Prueba[[#This Row],[Puesto6]]=""),"?",Prueba[[#This Row],[Puesto6]]))</f>
        <v/>
      </c>
      <c r="O381" s="31"/>
      <c r="P381" s="32" t="str">
        <f>IF(Prueba[[#This Row],[Cant.5]]=0,"",IF(OR(Prueba[[#This Row],[Cant.6]]="",Prueba[[#This Row],[Puesto6]]=""),"?",Prueba[[#This Row],[Puesto6]]))</f>
        <v/>
      </c>
      <c r="Q381" s="31"/>
      <c r="R381" s="32"/>
      <c r="S381" s="14">
        <v>1</v>
      </c>
      <c r="T381" s="14" t="s">
        <v>1402</v>
      </c>
      <c r="U381" s="31"/>
      <c r="V381" s="32" t="s">
        <v>1663</v>
      </c>
      <c r="W381" s="19">
        <v>8</v>
      </c>
      <c r="X381" s="19" t="s">
        <v>1664</v>
      </c>
      <c r="Y381" s="19" t="s">
        <v>1663</v>
      </c>
      <c r="Z381" s="19" t="s">
        <v>1663</v>
      </c>
      <c r="AA381" s="19" t="s">
        <v>1663</v>
      </c>
      <c r="AB381" s="19" t="s">
        <v>1663</v>
      </c>
    </row>
    <row r="382" spans="1:28" s="18" customFormat="1">
      <c r="A382" s="21" t="s">
        <v>1431</v>
      </c>
      <c r="B382" s="22" t="s">
        <v>9</v>
      </c>
      <c r="C382" s="22" t="s">
        <v>755</v>
      </c>
      <c r="D382" s="22" t="s">
        <v>492</v>
      </c>
      <c r="E382" s="23" t="s">
        <v>22</v>
      </c>
      <c r="F382" s="22" t="s">
        <v>13</v>
      </c>
      <c r="G382" s="30"/>
      <c r="H382" s="32" t="str">
        <f>IF(Prueba[[#This Row],[Cant.]]=0,"",IF(OR(Prueba[[#This Row],[Cant.2]]="",Prueba[[#This Row],[Puesto2]]=""),"?",Prueba[[#This Row],[Puesto2]]))</f>
        <v/>
      </c>
      <c r="I382" s="33"/>
      <c r="J382" s="34"/>
      <c r="K382" s="83"/>
      <c r="L382" s="83"/>
      <c r="M382" s="33"/>
      <c r="N382" s="32" t="str">
        <f>IF(Prueba[[#This Row],[Cant.4]]=0,"",IF(OR(Prueba[[#This Row],[Cant.6]]="",Prueba[[#This Row],[Puesto6]]=""),"?",Prueba[[#This Row],[Puesto6]]))</f>
        <v/>
      </c>
      <c r="O382" s="33"/>
      <c r="P382" s="32" t="str">
        <f>IF(Prueba[[#This Row],[Cant.5]]=0,"",IF(OR(Prueba[[#This Row],[Cant.6]]="",Prueba[[#This Row],[Puesto6]]=""),"?",Prueba[[#This Row],[Puesto6]]))</f>
        <v/>
      </c>
      <c r="Q382" s="33"/>
      <c r="R382" s="34"/>
      <c r="S382" s="83"/>
      <c r="T382" s="83"/>
      <c r="U382" s="33">
        <v>1</v>
      </c>
      <c r="V382" s="34">
        <v>6</v>
      </c>
      <c r="W382" s="23">
        <v>8</v>
      </c>
      <c r="X382" s="19" t="s">
        <v>1664</v>
      </c>
      <c r="Y382" s="19" t="s">
        <v>1663</v>
      </c>
      <c r="Z382" s="19" t="s">
        <v>1663</v>
      </c>
      <c r="AA382" s="19" t="s">
        <v>1663</v>
      </c>
      <c r="AB382" s="19" t="s">
        <v>1663</v>
      </c>
    </row>
    <row r="383" spans="1:28" s="18" customFormat="1" ht="15.6">
      <c r="A383" s="18" t="s">
        <v>1872</v>
      </c>
      <c r="B383" s="18" t="s">
        <v>9</v>
      </c>
      <c r="C383" s="18" t="s">
        <v>1873</v>
      </c>
      <c r="D383" s="18" t="s">
        <v>1874</v>
      </c>
      <c r="E383" s="92" t="s">
        <v>18</v>
      </c>
      <c r="F383" s="18" t="s">
        <v>13</v>
      </c>
      <c r="G383" s="29"/>
      <c r="H383" s="32" t="str">
        <f>IF(Prueba[[#This Row],[Cant.]]=0,"",IF(OR(Prueba[[#This Row],[Cant.2]]="",Prueba[[#This Row],[Puesto2]]=""),"?",Prueba[[#This Row],[Puesto2]]))</f>
        <v/>
      </c>
      <c r="I383" s="31"/>
      <c r="J383" s="32"/>
      <c r="K383" s="14"/>
      <c r="L383" s="14"/>
      <c r="M383" s="31"/>
      <c r="N383" s="32" t="str">
        <f>IF(Prueba[[#This Row],[Cant.4]]=0,"",IF(OR(Prueba[[#This Row],[Cant.6]]="",Prueba[[#This Row],[Puesto6]]=""),"?",Prueba[[#This Row],[Puesto6]]))</f>
        <v/>
      </c>
      <c r="O383" s="31"/>
      <c r="P383" s="32" t="str">
        <f>IF(Prueba[[#This Row],[Cant.5]]=0,"",IF(OR(Prueba[[#This Row],[Cant.6]]="",Prueba[[#This Row],[Puesto6]]=""),"?",Prueba[[#This Row],[Puesto6]]))</f>
        <v/>
      </c>
      <c r="Q383" s="31"/>
      <c r="R383" s="32"/>
      <c r="S383" s="14">
        <v>2</v>
      </c>
      <c r="T383" s="14" t="s">
        <v>1399</v>
      </c>
      <c r="U383" s="31"/>
      <c r="V383" s="32" t="s">
        <v>1663</v>
      </c>
      <c r="W383" s="19"/>
      <c r="X383" s="19" t="s">
        <v>1667</v>
      </c>
      <c r="Y383" s="19" t="s">
        <v>1663</v>
      </c>
      <c r="Z383" s="19" t="s">
        <v>1663</v>
      </c>
      <c r="AA383" s="19" t="s">
        <v>1663</v>
      </c>
      <c r="AB383" s="19" t="s">
        <v>1663</v>
      </c>
    </row>
    <row r="384" spans="1:28" s="18" customFormat="1">
      <c r="A384" s="18" t="s">
        <v>877</v>
      </c>
      <c r="B384" s="18" t="s">
        <v>9</v>
      </c>
      <c r="C384" s="18" t="s">
        <v>107</v>
      </c>
      <c r="D384" s="18" t="s">
        <v>878</v>
      </c>
      <c r="E384" s="19" t="s">
        <v>1875</v>
      </c>
      <c r="F384" s="18" t="s">
        <v>13</v>
      </c>
      <c r="G384" s="29"/>
      <c r="H384" s="32" t="str">
        <f>IF(Prueba[[#This Row],[Cant.]]=0,"",IF(OR(Prueba[[#This Row],[Cant.2]]="",Prueba[[#This Row],[Puesto2]]=""),"?",Prueba[[#This Row],[Puesto2]]))</f>
        <v/>
      </c>
      <c r="I384" s="31"/>
      <c r="J384" s="32"/>
      <c r="K384" s="14">
        <v>1</v>
      </c>
      <c r="L384" s="14"/>
      <c r="M384" s="31">
        <v>1</v>
      </c>
      <c r="N384" s="32" t="str">
        <f>IF(Prueba[[#This Row],[Cant.4]]=0,"",IF(OR(Prueba[[#This Row],[Cant.6]]="",Prueba[[#This Row],[Puesto6]]=""),"?",Prueba[[#This Row],[Puesto6]]))</f>
        <v>D</v>
      </c>
      <c r="O384" s="31">
        <v>1</v>
      </c>
      <c r="P384" s="32" t="str">
        <f>IF(Prueba[[#This Row],[Cant.5]]=0,"",IF(OR(Prueba[[#This Row],[Cant.6]]="",Prueba[[#This Row],[Puesto6]]=""),"?",Prueba[[#This Row],[Puesto6]]))</f>
        <v>D</v>
      </c>
      <c r="Q384" s="31">
        <v>1</v>
      </c>
      <c r="R384" s="32" t="s">
        <v>1399</v>
      </c>
      <c r="S384" s="14">
        <v>1</v>
      </c>
      <c r="T384" s="14" t="s">
        <v>1399</v>
      </c>
      <c r="U384" s="31"/>
      <c r="V384" s="32" t="s">
        <v>1663</v>
      </c>
      <c r="W384" s="19"/>
      <c r="X384" s="19" t="s">
        <v>1667</v>
      </c>
      <c r="Y384" s="19" t="s">
        <v>1663</v>
      </c>
      <c r="Z384" s="19" t="s">
        <v>1663</v>
      </c>
      <c r="AA384" s="19" t="s">
        <v>1663</v>
      </c>
      <c r="AB384" s="19" t="s">
        <v>1663</v>
      </c>
    </row>
    <row r="385" spans="1:28" s="18" customFormat="1">
      <c r="A385" s="18" t="s">
        <v>1432</v>
      </c>
      <c r="B385" s="18" t="s">
        <v>9</v>
      </c>
      <c r="C385" s="18" t="s">
        <v>1876</v>
      </c>
      <c r="D385" s="18" t="s">
        <v>1877</v>
      </c>
      <c r="E385" s="19" t="s">
        <v>12</v>
      </c>
      <c r="F385" s="18" t="s">
        <v>13</v>
      </c>
      <c r="G385" s="29"/>
      <c r="H385" s="32" t="str">
        <f>IF(Prueba[[#This Row],[Cant.]]=0,"",IF(OR(Prueba[[#This Row],[Cant.2]]="",Prueba[[#This Row],[Puesto2]]=""),"?",Prueba[[#This Row],[Puesto2]]))</f>
        <v/>
      </c>
      <c r="I385" s="31"/>
      <c r="J385" s="32"/>
      <c r="K385" s="14"/>
      <c r="L385" s="14"/>
      <c r="M385" s="31"/>
      <c r="N385" s="32" t="str">
        <f>IF(Prueba[[#This Row],[Cant.4]]=0,"",IF(OR(Prueba[[#This Row],[Cant.6]]="",Prueba[[#This Row],[Puesto6]]=""),"?",Prueba[[#This Row],[Puesto6]]))</f>
        <v/>
      </c>
      <c r="O385" s="31"/>
      <c r="P385" s="32" t="str">
        <f>IF(Prueba[[#This Row],[Cant.5]]=0,"",IF(OR(Prueba[[#This Row],[Cant.6]]="",Prueba[[#This Row],[Puesto6]]=""),"?",Prueba[[#This Row],[Puesto6]]))</f>
        <v/>
      </c>
      <c r="Q385" s="31"/>
      <c r="R385" s="32"/>
      <c r="S385" s="14"/>
      <c r="T385" s="14"/>
      <c r="U385" s="31">
        <v>1</v>
      </c>
      <c r="V385" s="32" t="s">
        <v>1399</v>
      </c>
      <c r="W385" s="19"/>
      <c r="X385" s="19" t="s">
        <v>1667</v>
      </c>
      <c r="Y385" s="19" t="s">
        <v>1663</v>
      </c>
      <c r="Z385" s="19" t="s">
        <v>1663</v>
      </c>
      <c r="AA385" s="19" t="s">
        <v>1663</v>
      </c>
      <c r="AB385" s="19" t="s">
        <v>1663</v>
      </c>
    </row>
    <row r="386" spans="1:28" s="18" customFormat="1">
      <c r="A386" s="18" t="s">
        <v>1327</v>
      </c>
      <c r="B386" s="18" t="s">
        <v>9</v>
      </c>
      <c r="C386" s="18" t="s">
        <v>1328</v>
      </c>
      <c r="D386" s="18" t="s">
        <v>1329</v>
      </c>
      <c r="E386" s="19" t="s">
        <v>1875</v>
      </c>
      <c r="F386" s="18" t="s">
        <v>13</v>
      </c>
      <c r="G386" s="29"/>
      <c r="H386" s="32" t="str">
        <f>IF(Prueba[[#This Row],[Cant.]]=0,"",IF(OR(Prueba[[#This Row],[Cant.2]]="",Prueba[[#This Row],[Puesto2]]=""),"?",Prueba[[#This Row],[Puesto2]]))</f>
        <v/>
      </c>
      <c r="I386" s="31"/>
      <c r="J386" s="32"/>
      <c r="K386" s="14">
        <v>1</v>
      </c>
      <c r="L386" s="14"/>
      <c r="M386" s="31">
        <v>1</v>
      </c>
      <c r="N386" s="32" t="str">
        <f>IF(Prueba[[#This Row],[Cant.4]]=0,"",IF(OR(Prueba[[#This Row],[Cant.6]]="",Prueba[[#This Row],[Puesto6]]=""),"?",Prueba[[#This Row],[Puesto6]]))</f>
        <v>D</v>
      </c>
      <c r="O386" s="31"/>
      <c r="P386" s="32" t="str">
        <f>IF(Prueba[[#This Row],[Cant.5]]=0,"",IF(OR(Prueba[[#This Row],[Cant.6]]="",Prueba[[#This Row],[Puesto6]]=""),"?",Prueba[[#This Row],[Puesto6]]))</f>
        <v/>
      </c>
      <c r="Q386" s="31">
        <v>1</v>
      </c>
      <c r="R386" s="32" t="s">
        <v>1399</v>
      </c>
      <c r="S386" s="14">
        <v>1</v>
      </c>
      <c r="T386" s="14" t="s">
        <v>1399</v>
      </c>
      <c r="U386" s="31"/>
      <c r="V386" s="32" t="s">
        <v>1663</v>
      </c>
      <c r="W386" s="19"/>
      <c r="X386" s="19" t="s">
        <v>1667</v>
      </c>
      <c r="Y386" s="19" t="s">
        <v>1663</v>
      </c>
      <c r="Z386" s="19" t="s">
        <v>1663</v>
      </c>
      <c r="AA386" s="19" t="s">
        <v>1663</v>
      </c>
      <c r="AB386" s="19" t="s">
        <v>1663</v>
      </c>
    </row>
    <row r="387" spans="1:28" s="18" customFormat="1">
      <c r="A387" s="3" t="s">
        <v>1434</v>
      </c>
      <c r="B387" s="22" t="s">
        <v>9</v>
      </c>
      <c r="C387" s="22" t="s">
        <v>1878</v>
      </c>
      <c r="D387" t="s">
        <v>1879</v>
      </c>
      <c r="E387" s="19" t="s">
        <v>12</v>
      </c>
      <c r="F387" s="22" t="s">
        <v>13</v>
      </c>
      <c r="G387" s="30"/>
      <c r="H387" s="32" t="str">
        <f>IF(Prueba[[#This Row],[Cant.]]=0,"",IF(OR(Prueba[[#This Row],[Cant.2]]="",Prueba[[#This Row],[Puesto2]]=""),"?",Prueba[[#This Row],[Puesto2]]))</f>
        <v/>
      </c>
      <c r="I387" s="33"/>
      <c r="J387" s="34"/>
      <c r="K387" s="83"/>
      <c r="L387" s="83"/>
      <c r="M387" s="33"/>
      <c r="N387" s="32" t="str">
        <f>IF(Prueba[[#This Row],[Cant.4]]=0,"",IF(OR(Prueba[[#This Row],[Cant.6]]="",Prueba[[#This Row],[Puesto6]]=""),"?",Prueba[[#This Row],[Puesto6]]))</f>
        <v/>
      </c>
      <c r="O387" s="33"/>
      <c r="P387" s="32" t="str">
        <f>IF(Prueba[[#This Row],[Cant.5]]=0,"",IF(OR(Prueba[[#This Row],[Cant.6]]="",Prueba[[#This Row],[Puesto6]]=""),"?",Prueba[[#This Row],[Puesto6]]))</f>
        <v/>
      </c>
      <c r="Q387" s="33"/>
      <c r="R387" s="34"/>
      <c r="S387" s="83"/>
      <c r="T387" s="83"/>
      <c r="U387" s="33">
        <v>1</v>
      </c>
      <c r="V387" s="32" t="s">
        <v>1399</v>
      </c>
      <c r="W387" s="23"/>
      <c r="X387" s="19" t="s">
        <v>1667</v>
      </c>
      <c r="Y387" s="19" t="s">
        <v>1663</v>
      </c>
      <c r="Z387" s="19" t="s">
        <v>1663</v>
      </c>
      <c r="AA387" s="19" t="s">
        <v>1663</v>
      </c>
      <c r="AB387" s="19" t="s">
        <v>1663</v>
      </c>
    </row>
    <row r="388" spans="1:28" s="18" customFormat="1">
      <c r="A388" s="18" t="s">
        <v>879</v>
      </c>
      <c r="B388" s="18" t="s">
        <v>9</v>
      </c>
      <c r="C388" s="18" t="s">
        <v>880</v>
      </c>
      <c r="D388" s="18" t="s">
        <v>881</v>
      </c>
      <c r="E388" s="19" t="s">
        <v>12</v>
      </c>
      <c r="F388" s="18" t="s">
        <v>13</v>
      </c>
      <c r="G388" s="29"/>
      <c r="H388" s="32" t="str">
        <f>IF(Prueba[[#This Row],[Cant.]]=0,"",IF(OR(Prueba[[#This Row],[Cant.2]]="",Prueba[[#This Row],[Puesto2]]=""),"?",Prueba[[#This Row],[Puesto2]]))</f>
        <v/>
      </c>
      <c r="I388" s="31"/>
      <c r="J388" s="32"/>
      <c r="K388" s="14">
        <v>2</v>
      </c>
      <c r="L388" s="14"/>
      <c r="M388" s="31">
        <v>2</v>
      </c>
      <c r="N388" s="32" t="str">
        <f>IF(Prueba[[#This Row],[Cant.4]]=0,"",IF(OR(Prueba[[#This Row],[Cant.6]]="",Prueba[[#This Row],[Puesto6]]=""),"?",Prueba[[#This Row],[Puesto6]]))</f>
        <v>D</v>
      </c>
      <c r="O388" s="31">
        <v>1</v>
      </c>
      <c r="P388" s="32" t="str">
        <f>IF(Prueba[[#This Row],[Cant.5]]=0,"",IF(OR(Prueba[[#This Row],[Cant.6]]="",Prueba[[#This Row],[Puesto6]]=""),"?",Prueba[[#This Row],[Puesto6]]))</f>
        <v>D</v>
      </c>
      <c r="Q388" s="31">
        <v>2</v>
      </c>
      <c r="R388" s="32" t="s">
        <v>1399</v>
      </c>
      <c r="S388" s="14">
        <v>2</v>
      </c>
      <c r="T388" s="14" t="s">
        <v>1399</v>
      </c>
      <c r="U388" s="31"/>
      <c r="V388" s="32" t="s">
        <v>1663</v>
      </c>
      <c r="W388" s="19"/>
      <c r="X388" s="19" t="s">
        <v>1667</v>
      </c>
      <c r="Y388" s="19" t="s">
        <v>1663</v>
      </c>
      <c r="Z388" s="19" t="s">
        <v>1663</v>
      </c>
      <c r="AA388" s="19" t="s">
        <v>1663</v>
      </c>
      <c r="AB388" s="19" t="s">
        <v>1663</v>
      </c>
    </row>
    <row r="389" spans="1:28" s="18" customFormat="1">
      <c r="A389" s="18" t="s">
        <v>1880</v>
      </c>
      <c r="B389" s="18" t="s">
        <v>9</v>
      </c>
      <c r="C389" s="18" t="s">
        <v>1881</v>
      </c>
      <c r="D389" s="18" t="s">
        <v>1882</v>
      </c>
      <c r="E389" s="19" t="s">
        <v>1733</v>
      </c>
      <c r="F389" s="18" t="s">
        <v>13</v>
      </c>
      <c r="G389" s="29"/>
      <c r="H389" s="32" t="str">
        <f>IF(Prueba[[#This Row],[Cant.]]=0,"",IF(OR(Prueba[[#This Row],[Cant.2]]="",Prueba[[#This Row],[Puesto2]]=""),"?",Prueba[[#This Row],[Puesto2]]))</f>
        <v/>
      </c>
      <c r="I389" s="31"/>
      <c r="J389" s="32"/>
      <c r="K389" s="14"/>
      <c r="L389" s="14"/>
      <c r="M389" s="31"/>
      <c r="N389" s="32" t="str">
        <f>IF(Prueba[[#This Row],[Cant.4]]=0,"",IF(OR(Prueba[[#This Row],[Cant.6]]="",Prueba[[#This Row],[Puesto6]]=""),"?",Prueba[[#This Row],[Puesto6]]))</f>
        <v/>
      </c>
      <c r="O389" s="31"/>
      <c r="P389" s="32" t="str">
        <f>IF(Prueba[[#This Row],[Cant.5]]=0,"",IF(OR(Prueba[[#This Row],[Cant.6]]="",Prueba[[#This Row],[Puesto6]]=""),"?",Prueba[[#This Row],[Puesto6]]))</f>
        <v/>
      </c>
      <c r="Q389" s="31"/>
      <c r="R389" s="32"/>
      <c r="S389" s="14">
        <v>2</v>
      </c>
      <c r="T389" s="14"/>
      <c r="U389" s="31"/>
      <c r="V389" s="32" t="s">
        <v>1663</v>
      </c>
      <c r="W389" s="19">
        <v>16</v>
      </c>
      <c r="X389" s="19" t="s">
        <v>1664</v>
      </c>
      <c r="Y389" s="19" t="s">
        <v>1663</v>
      </c>
      <c r="Z389" s="19" t="s">
        <v>1663</v>
      </c>
      <c r="AA389" s="19" t="s">
        <v>1663</v>
      </c>
      <c r="AB389" s="19" t="s">
        <v>1663</v>
      </c>
    </row>
    <row r="390" spans="1:28" s="18" customFormat="1">
      <c r="A390" s="18" t="s">
        <v>882</v>
      </c>
      <c r="B390" s="18" t="s">
        <v>9</v>
      </c>
      <c r="C390" s="18" t="s">
        <v>883</v>
      </c>
      <c r="D390" s="18" t="s">
        <v>883</v>
      </c>
      <c r="E390" s="19" t="s">
        <v>18</v>
      </c>
      <c r="F390" s="18" t="s">
        <v>13</v>
      </c>
      <c r="G390" s="29"/>
      <c r="H390" s="32" t="str">
        <f>IF(Prueba[[#This Row],[Cant.]]=0,"",IF(OR(Prueba[[#This Row],[Cant.2]]="",Prueba[[#This Row],[Puesto2]]=""),"?",Prueba[[#This Row],[Puesto2]]))</f>
        <v/>
      </c>
      <c r="I390" s="31"/>
      <c r="J390" s="32"/>
      <c r="K390" s="14">
        <v>1</v>
      </c>
      <c r="L390" s="14"/>
      <c r="M390" s="31">
        <v>1</v>
      </c>
      <c r="N390" s="32">
        <f>IF(Prueba[[#This Row],[Cant.4]]=0,"",IF(OR(Prueba[[#This Row],[Cant.6]]="",Prueba[[#This Row],[Puesto6]]=""),"?",Prueba[[#This Row],[Puesto6]]))</f>
        <v>0</v>
      </c>
      <c r="O390" s="31">
        <v>1</v>
      </c>
      <c r="P390" s="32">
        <f>IF(Prueba[[#This Row],[Cant.5]]=0,"",IF(OR(Prueba[[#This Row],[Cant.6]]="",Prueba[[#This Row],[Puesto6]]=""),"?",Prueba[[#This Row],[Puesto6]]))</f>
        <v>0</v>
      </c>
      <c r="Q390" s="31">
        <v>1</v>
      </c>
      <c r="R390" s="32">
        <v>0</v>
      </c>
      <c r="S390" s="14"/>
      <c r="T390" s="14"/>
      <c r="U390" s="31"/>
      <c r="V390" s="32" t="s">
        <v>1663</v>
      </c>
      <c r="W390" s="19"/>
      <c r="X390" s="19" t="s">
        <v>1667</v>
      </c>
      <c r="Y390" s="19" t="s">
        <v>1663</v>
      </c>
      <c r="Z390" s="19" t="s">
        <v>1663</v>
      </c>
      <c r="AA390" s="19" t="s">
        <v>1663</v>
      </c>
      <c r="AB390" s="19" t="s">
        <v>1663</v>
      </c>
    </row>
    <row r="391" spans="1:28" s="18" customFormat="1">
      <c r="A391" s="18" t="s">
        <v>1883</v>
      </c>
      <c r="B391" s="18" t="s">
        <v>1806</v>
      </c>
      <c r="C391" s="18" t="s">
        <v>1884</v>
      </c>
      <c r="D391" s="18" t="s">
        <v>1885</v>
      </c>
      <c r="E391" s="19" t="s">
        <v>51</v>
      </c>
      <c r="F391" s="18" t="s">
        <v>13</v>
      </c>
      <c r="G391" s="29"/>
      <c r="H391" s="32" t="str">
        <f>IF(Prueba[[#This Row],[Cant.]]=0,"",IF(OR(Prueba[[#This Row],[Cant.2]]="",Prueba[[#This Row],[Puesto2]]=""),"?",Prueba[[#This Row],[Puesto2]]))</f>
        <v/>
      </c>
      <c r="I391" s="31"/>
      <c r="J391" s="32"/>
      <c r="K391" s="14"/>
      <c r="L391" s="14"/>
      <c r="M391" s="31"/>
      <c r="N391" s="32" t="str">
        <f>IF(Prueba[[#This Row],[Cant.4]]=0,"",IF(OR(Prueba[[#This Row],[Cant.6]]="",Prueba[[#This Row],[Puesto6]]=""),"?",Prueba[[#This Row],[Puesto6]]))</f>
        <v/>
      </c>
      <c r="O391" s="31">
        <v>1</v>
      </c>
      <c r="P391" s="32">
        <v>6</v>
      </c>
      <c r="Q391" s="31"/>
      <c r="R391" s="32"/>
      <c r="S391" s="14"/>
      <c r="T391" s="14"/>
      <c r="U391" s="31"/>
      <c r="V391" s="32" t="s">
        <v>1663</v>
      </c>
      <c r="W391" s="19"/>
      <c r="X391" s="19" t="s">
        <v>1667</v>
      </c>
      <c r="Y391" s="19" t="s">
        <v>1663</v>
      </c>
      <c r="Z391" s="19" t="s">
        <v>1663</v>
      </c>
      <c r="AA391" s="19" t="s">
        <v>1663</v>
      </c>
      <c r="AB391" s="19" t="s">
        <v>1663</v>
      </c>
    </row>
    <row r="392" spans="1:28" s="18" customFormat="1">
      <c r="A392" s="18" t="s">
        <v>1435</v>
      </c>
      <c r="B392" s="18" t="s">
        <v>9</v>
      </c>
      <c r="C392" s="18" t="s">
        <v>511</v>
      </c>
      <c r="D392" s="18" t="s">
        <v>512</v>
      </c>
      <c r="E392" s="19" t="s">
        <v>39</v>
      </c>
      <c r="F392" s="18" t="s">
        <v>13</v>
      </c>
      <c r="G392" s="29">
        <v>1</v>
      </c>
      <c r="H392" s="32">
        <f>IF(Prueba[[#This Row],[Cant.]]=0,"",IF(OR(Prueba[[#This Row],[Cant.2]]="",Prueba[[#This Row],[Puesto2]]=""),"?",Prueba[[#This Row],[Puesto2]]))</f>
        <v>7</v>
      </c>
      <c r="I392" s="31">
        <v>1</v>
      </c>
      <c r="J392" s="32">
        <v>7</v>
      </c>
      <c r="K392" s="14">
        <v>1</v>
      </c>
      <c r="L392" s="14"/>
      <c r="M392" s="31">
        <v>1</v>
      </c>
      <c r="N392" s="32">
        <f>IF(Prueba[[#This Row],[Cant.4]]=0,"",IF(OR(Prueba[[#This Row],[Cant.6]]="",Prueba[[#This Row],[Puesto6]]=""),"?",Prueba[[#This Row],[Puesto6]]))</f>
        <v>7</v>
      </c>
      <c r="O392" s="31">
        <v>1</v>
      </c>
      <c r="P392" s="32">
        <f>IF(Prueba[[#This Row],[Cant.5]]=0,"",IF(OR(Prueba[[#This Row],[Cant.6]]="",Prueba[[#This Row],[Puesto6]]=""),"?",Prueba[[#This Row],[Puesto6]]))</f>
        <v>7</v>
      </c>
      <c r="Q392" s="31">
        <v>1</v>
      </c>
      <c r="R392" s="32">
        <v>7</v>
      </c>
      <c r="S392" s="14">
        <v>1</v>
      </c>
      <c r="T392" s="14">
        <v>7</v>
      </c>
      <c r="U392" s="31">
        <v>1</v>
      </c>
      <c r="V392" s="32">
        <v>7</v>
      </c>
      <c r="W392" s="19"/>
      <c r="X392" s="19" t="s">
        <v>1667</v>
      </c>
      <c r="Y392" s="19">
        <v>1</v>
      </c>
      <c r="Z392" s="19">
        <v>7</v>
      </c>
      <c r="AA392" s="19">
        <v>1</v>
      </c>
      <c r="AB392" s="19">
        <v>7</v>
      </c>
    </row>
    <row r="393" spans="1:28" s="18" customFormat="1">
      <c r="A393" s="18" t="s">
        <v>1886</v>
      </c>
      <c r="B393" s="18" t="s">
        <v>1806</v>
      </c>
      <c r="C393" s="18" t="s">
        <v>1887</v>
      </c>
      <c r="D393" s="18" t="s">
        <v>1888</v>
      </c>
      <c r="E393" s="19" t="s">
        <v>1733</v>
      </c>
      <c r="F393" s="18" t="s">
        <v>13</v>
      </c>
      <c r="G393" s="29"/>
      <c r="H393" s="32" t="str">
        <f>IF(Prueba[[#This Row],[Cant.]]=0,"",IF(OR(Prueba[[#This Row],[Cant.2]]="",Prueba[[#This Row],[Puesto2]]=""),"?",Prueba[[#This Row],[Puesto2]]))</f>
        <v/>
      </c>
      <c r="I393" s="31"/>
      <c r="J393" s="32"/>
      <c r="K393" s="14"/>
      <c r="L393" s="14"/>
      <c r="M393" s="31">
        <v>1</v>
      </c>
      <c r="N393" s="32">
        <f>IF(Prueba[[#This Row],[Cant.4]]=0,"",IF(OR(Prueba[[#This Row],[Cant.6]]="",Prueba[[#This Row],[Puesto6]]=""),"?",Prueba[[#This Row],[Puesto6]]))</f>
        <v>6</v>
      </c>
      <c r="O393" s="31">
        <v>1</v>
      </c>
      <c r="P393" s="32">
        <f>IF(Prueba[[#This Row],[Cant.5]]=0,"",IF(OR(Prueba[[#This Row],[Cant.6]]="",Prueba[[#This Row],[Puesto6]]=""),"?",Prueba[[#This Row],[Puesto6]]))</f>
        <v>6</v>
      </c>
      <c r="Q393" s="31">
        <v>1</v>
      </c>
      <c r="R393" s="32">
        <v>6</v>
      </c>
      <c r="S393" s="14">
        <v>1</v>
      </c>
      <c r="T393" s="14">
        <v>6</v>
      </c>
      <c r="U393" s="31"/>
      <c r="V393" s="32" t="s">
        <v>1663</v>
      </c>
      <c r="W393" s="19">
        <v>8</v>
      </c>
      <c r="X393" s="19" t="s">
        <v>1664</v>
      </c>
      <c r="Y393" s="19" t="s">
        <v>1663</v>
      </c>
      <c r="Z393" s="19" t="s">
        <v>1663</v>
      </c>
      <c r="AA393" s="19" t="s">
        <v>1663</v>
      </c>
      <c r="AB393" s="19" t="s">
        <v>1663</v>
      </c>
    </row>
    <row r="394" spans="1:28" s="18" customFormat="1">
      <c r="A394" s="18" t="s">
        <v>1889</v>
      </c>
      <c r="B394" s="18" t="s">
        <v>1806</v>
      </c>
      <c r="C394" s="18" t="s">
        <v>1683</v>
      </c>
      <c r="D394" s="18" t="s">
        <v>1890</v>
      </c>
      <c r="E394" s="19" t="s">
        <v>1340</v>
      </c>
      <c r="F394" s="18" t="s">
        <v>13</v>
      </c>
      <c r="G394" s="29"/>
      <c r="H394" s="32" t="str">
        <f>IF(Prueba[[#This Row],[Cant.]]=0,"",IF(OR(Prueba[[#This Row],[Cant.2]]="",Prueba[[#This Row],[Puesto2]]=""),"?",Prueba[[#This Row],[Puesto2]]))</f>
        <v/>
      </c>
      <c r="I394" s="31"/>
      <c r="J394" s="32"/>
      <c r="K394" s="14"/>
      <c r="L394" s="14"/>
      <c r="M394" s="31"/>
      <c r="N394" s="32" t="str">
        <f>IF(Prueba[[#This Row],[Cant.4]]=0,"",IF(OR(Prueba[[#This Row],[Cant.6]]="",Prueba[[#This Row],[Puesto6]]=""),"?",Prueba[[#This Row],[Puesto6]]))</f>
        <v/>
      </c>
      <c r="O394" s="31">
        <v>1</v>
      </c>
      <c r="P394" s="32">
        <v>5</v>
      </c>
      <c r="Q394" s="31"/>
      <c r="R394" s="32"/>
      <c r="S394" s="14"/>
      <c r="T394" s="14"/>
      <c r="U394" s="31"/>
      <c r="V394" s="32" t="s">
        <v>1663</v>
      </c>
      <c r="W394" s="19"/>
      <c r="X394" s="19" t="s">
        <v>1667</v>
      </c>
      <c r="Y394" s="19" t="s">
        <v>1663</v>
      </c>
      <c r="Z394" s="19" t="s">
        <v>1663</v>
      </c>
      <c r="AA394" s="19" t="s">
        <v>1663</v>
      </c>
      <c r="AB394" s="19" t="s">
        <v>1663</v>
      </c>
    </row>
    <row r="395" spans="1:28" s="18" customFormat="1">
      <c r="A395" s="40" t="s">
        <v>884</v>
      </c>
      <c r="B395" s="40" t="s">
        <v>9</v>
      </c>
      <c r="C395" s="40" t="s">
        <v>788</v>
      </c>
      <c r="D395" s="40" t="s">
        <v>885</v>
      </c>
      <c r="E395" s="41" t="s">
        <v>39</v>
      </c>
      <c r="F395" s="40" t="s">
        <v>13</v>
      </c>
      <c r="G395" s="43"/>
      <c r="H395" s="45" t="str">
        <f>IF(Prueba[[#This Row],[Cant.]]=0,"",IF(OR(Prueba[[#This Row],[Cant.2]]="",Prueba[[#This Row],[Puesto2]]=""),"?",Prueba[[#This Row],[Puesto2]]))</f>
        <v/>
      </c>
      <c r="I395" s="44"/>
      <c r="J395" s="45"/>
      <c r="K395" s="14">
        <v>1</v>
      </c>
      <c r="L395" s="14"/>
      <c r="M395" s="44">
        <v>1</v>
      </c>
      <c r="N395" s="45">
        <f>IF(Prueba[[#This Row],[Cant.4]]=0,"",IF(OR(Prueba[[#This Row],[Cant.6]]="",Prueba[[#This Row],[Puesto6]]=""),"?",Prueba[[#This Row],[Puesto6]]))</f>
        <v>5</v>
      </c>
      <c r="O395" s="31"/>
      <c r="P395" s="32" t="str">
        <f>IF(Prueba[[#This Row],[Cant.5]]=0,"",IF(OR(Prueba[[#This Row],[Cant.6]]="",Prueba[[#This Row],[Puesto6]]=""),"?",Prueba[[#This Row],[Puesto6]]))</f>
        <v/>
      </c>
      <c r="Q395" s="44">
        <v>1</v>
      </c>
      <c r="R395" s="45">
        <v>5</v>
      </c>
      <c r="S395" s="42">
        <v>1</v>
      </c>
      <c r="T395" s="42">
        <v>5</v>
      </c>
      <c r="U395" s="44"/>
      <c r="V395" s="45" t="s">
        <v>1663</v>
      </c>
      <c r="W395" s="41"/>
      <c r="X395" s="19" t="s">
        <v>1667</v>
      </c>
      <c r="Y395" s="19" t="s">
        <v>1663</v>
      </c>
      <c r="Z395" s="19" t="s">
        <v>1663</v>
      </c>
      <c r="AA395" s="19" t="s">
        <v>1663</v>
      </c>
      <c r="AB395" s="19" t="s">
        <v>1663</v>
      </c>
    </row>
    <row r="396" spans="1:28" s="18" customFormat="1">
      <c r="A396" s="18" t="s">
        <v>1891</v>
      </c>
      <c r="B396" s="18" t="s">
        <v>1806</v>
      </c>
      <c r="C396" s="18" t="s">
        <v>1892</v>
      </c>
      <c r="D396" s="18" t="s">
        <v>1893</v>
      </c>
      <c r="E396" s="19" t="s">
        <v>1815</v>
      </c>
      <c r="F396" s="18" t="s">
        <v>13</v>
      </c>
      <c r="G396" s="29"/>
      <c r="H396" s="32" t="str">
        <f>IF(Prueba[[#This Row],[Cant.]]=0,"",IF(OR(Prueba[[#This Row],[Cant.2]]="",Prueba[[#This Row],[Puesto2]]=""),"?",Prueba[[#This Row],[Puesto2]]))</f>
        <v/>
      </c>
      <c r="I396" s="31"/>
      <c r="J396" s="32"/>
      <c r="K396" s="14"/>
      <c r="L396" s="14"/>
      <c r="M396" s="31">
        <v>2</v>
      </c>
      <c r="N396" s="32" t="str">
        <f>IF(Prueba[[#This Row],[Cant.4]]=0,"",IF(OR(Prueba[[#This Row],[Cant.6]]="",Prueba[[#This Row],[Puesto6]]=""),"?",Prueba[[#This Row],[Puesto6]]))</f>
        <v>C</v>
      </c>
      <c r="O396" s="31"/>
      <c r="P396" s="32"/>
      <c r="Q396" s="31">
        <v>2</v>
      </c>
      <c r="R396" s="32" t="s">
        <v>1402</v>
      </c>
      <c r="S396" s="14"/>
      <c r="T396" s="14"/>
      <c r="U396" s="31"/>
      <c r="V396" s="32" t="s">
        <v>1663</v>
      </c>
      <c r="W396" s="19"/>
      <c r="X396" s="19" t="s">
        <v>1667</v>
      </c>
      <c r="Y396" s="19" t="s">
        <v>1663</v>
      </c>
      <c r="Z396" s="19" t="s">
        <v>1663</v>
      </c>
      <c r="AA396" s="19" t="s">
        <v>1663</v>
      </c>
      <c r="AB396" s="19" t="s">
        <v>1663</v>
      </c>
    </row>
    <row r="397" spans="1:28" s="18" customFormat="1">
      <c r="A397" s="18" t="s">
        <v>1894</v>
      </c>
      <c r="B397" s="18" t="s">
        <v>9</v>
      </c>
      <c r="C397" s="18" t="s">
        <v>1813</v>
      </c>
      <c r="D397" s="18" t="s">
        <v>1814</v>
      </c>
      <c r="E397" s="19" t="s">
        <v>1815</v>
      </c>
      <c r="F397" s="18" t="s">
        <v>13</v>
      </c>
      <c r="G397" s="29"/>
      <c r="H397" s="32" t="str">
        <f>IF(Prueba[[#This Row],[Cant.]]=0,"",IF(OR(Prueba[[#This Row],[Cant.2]]="",Prueba[[#This Row],[Puesto2]]=""),"?",Prueba[[#This Row],[Puesto2]]))</f>
        <v/>
      </c>
      <c r="I397" s="31"/>
      <c r="J397" s="32"/>
      <c r="K397" s="14"/>
      <c r="L397" s="14"/>
      <c r="M397" s="31"/>
      <c r="N397" s="32" t="str">
        <f>IF(Prueba[[#This Row],[Cant.4]]=0,"",IF(OR(Prueba[[#This Row],[Cant.6]]="",Prueba[[#This Row],[Puesto6]]=""),"?",Prueba[[#This Row],[Puesto6]]))</f>
        <v/>
      </c>
      <c r="O397" s="31"/>
      <c r="P397" s="32" t="str">
        <f>IF(Prueba[[#This Row],[Cant.5]]=0,"",IF(OR(Prueba[[#This Row],[Cant.6]]="",Prueba[[#This Row],[Puesto6]]=""),"?",Prueba[[#This Row],[Puesto6]]))</f>
        <v/>
      </c>
      <c r="Q397" s="31"/>
      <c r="R397" s="32"/>
      <c r="S397" s="14">
        <v>1</v>
      </c>
      <c r="T397" s="14">
        <v>5</v>
      </c>
      <c r="U397" s="31"/>
      <c r="V397" s="32" t="s">
        <v>1663</v>
      </c>
      <c r="W397" s="19"/>
      <c r="X397" s="19" t="s">
        <v>1667</v>
      </c>
      <c r="Y397" s="19" t="s">
        <v>1663</v>
      </c>
      <c r="Z397" s="19" t="s">
        <v>1663</v>
      </c>
      <c r="AA397" s="19" t="s">
        <v>1663</v>
      </c>
      <c r="AB397" s="19" t="s">
        <v>1663</v>
      </c>
    </row>
    <row r="398" spans="1:28" s="18" customFormat="1">
      <c r="A398" s="18" t="s">
        <v>1895</v>
      </c>
      <c r="B398" s="18" t="s">
        <v>1806</v>
      </c>
      <c r="C398" s="18" t="s">
        <v>1794</v>
      </c>
      <c r="D398" s="18" t="s">
        <v>1896</v>
      </c>
      <c r="E398" s="19" t="s">
        <v>39</v>
      </c>
      <c r="F398" s="18" t="s">
        <v>13</v>
      </c>
      <c r="G398" s="29"/>
      <c r="H398" s="32" t="str">
        <f>IF(Prueba[[#This Row],[Cant.]]=0,"",IF(OR(Prueba[[#This Row],[Cant.2]]="",Prueba[[#This Row],[Puesto2]]=""),"?",Prueba[[#This Row],[Puesto2]]))</f>
        <v/>
      </c>
      <c r="I398" s="31"/>
      <c r="J398" s="32"/>
      <c r="K398" s="14"/>
      <c r="L398" s="14"/>
      <c r="M398" s="31">
        <v>1</v>
      </c>
      <c r="N398" s="32">
        <f>IF(Prueba[[#This Row],[Cant.4]]=0,"",IF(OR(Prueba[[#This Row],[Cant.6]]="",Prueba[[#This Row],[Puesto6]]=""),"?",Prueba[[#This Row],[Puesto6]]))</f>
        <v>0</v>
      </c>
      <c r="O398" s="31"/>
      <c r="P398" s="32"/>
      <c r="Q398" s="31">
        <v>1</v>
      </c>
      <c r="R398" s="32">
        <v>0</v>
      </c>
      <c r="S398" s="14">
        <v>1</v>
      </c>
      <c r="T398" s="14">
        <v>0</v>
      </c>
      <c r="U398" s="31"/>
      <c r="V398" s="32" t="s">
        <v>1663</v>
      </c>
      <c r="W398" s="19"/>
      <c r="X398" s="19" t="s">
        <v>1667</v>
      </c>
      <c r="Y398" s="19" t="s">
        <v>1663</v>
      </c>
      <c r="Z398" s="19" t="s">
        <v>1663</v>
      </c>
      <c r="AA398" s="19" t="s">
        <v>1663</v>
      </c>
      <c r="AB398" s="19" t="s">
        <v>1663</v>
      </c>
    </row>
    <row r="399" spans="1:28" s="18" customFormat="1">
      <c r="A399" s="18" t="s">
        <v>886</v>
      </c>
      <c r="B399" s="18" t="s">
        <v>9</v>
      </c>
      <c r="C399" s="18" t="s">
        <v>174</v>
      </c>
      <c r="D399" s="18" t="s">
        <v>21</v>
      </c>
      <c r="E399" s="19" t="s">
        <v>22</v>
      </c>
      <c r="F399" s="18" t="s">
        <v>13</v>
      </c>
      <c r="G399" s="29"/>
      <c r="H399" s="32" t="str">
        <f>IF(Prueba[[#This Row],[Cant.]]=0,"",IF(OR(Prueba[[#This Row],[Cant.2]]="",Prueba[[#This Row],[Puesto2]]=""),"?",Prueba[[#This Row],[Puesto2]]))</f>
        <v/>
      </c>
      <c r="I399" s="31"/>
      <c r="J399" s="32"/>
      <c r="K399" s="14">
        <v>1</v>
      </c>
      <c r="L399" s="14"/>
      <c r="M399" s="31">
        <v>1</v>
      </c>
      <c r="N399" s="32">
        <f>IF(Prueba[[#This Row],[Cant.4]]=0,"",IF(OR(Prueba[[#This Row],[Cant.6]]="",Prueba[[#This Row],[Puesto6]]=""),"?",Prueba[[#This Row],[Puesto6]]))</f>
        <v>5</v>
      </c>
      <c r="O399" s="31">
        <v>1</v>
      </c>
      <c r="P399" s="32">
        <f>IF(Prueba[[#This Row],[Cant.5]]=0,"",IF(OR(Prueba[[#This Row],[Cant.6]]="",Prueba[[#This Row],[Puesto6]]=""),"?",Prueba[[#This Row],[Puesto6]]))</f>
        <v>5</v>
      </c>
      <c r="Q399" s="31">
        <v>1</v>
      </c>
      <c r="R399" s="32">
        <v>5</v>
      </c>
      <c r="S399" s="14">
        <v>1</v>
      </c>
      <c r="T399" s="14">
        <v>5</v>
      </c>
      <c r="U399" s="31"/>
      <c r="V399" s="32" t="s">
        <v>1663</v>
      </c>
      <c r="W399" s="19">
        <v>8</v>
      </c>
      <c r="X399" s="19" t="s">
        <v>1664</v>
      </c>
      <c r="Y399" s="19" t="s">
        <v>1663</v>
      </c>
      <c r="Z399" s="19" t="s">
        <v>1663</v>
      </c>
      <c r="AA399" s="19" t="s">
        <v>1663</v>
      </c>
      <c r="AB399" s="19" t="s">
        <v>1663</v>
      </c>
    </row>
    <row r="400" spans="1:28" s="18" customFormat="1">
      <c r="A400" s="18" t="s">
        <v>513</v>
      </c>
      <c r="B400" s="18" t="s">
        <v>9</v>
      </c>
      <c r="C400" s="18" t="s">
        <v>174</v>
      </c>
      <c r="D400" s="18" t="s">
        <v>514</v>
      </c>
      <c r="E400" s="19" t="s">
        <v>22</v>
      </c>
      <c r="F400" s="18" t="s">
        <v>13</v>
      </c>
      <c r="G400" s="29">
        <v>4</v>
      </c>
      <c r="H400" s="32" t="str">
        <f>IF(Prueba[[#This Row],[Cant.]]=0,"",IF(OR(Prueba[[#This Row],[Cant.2]]="",Prueba[[#This Row],[Puesto2]]=""),"?",Prueba[[#This Row],[Puesto2]]))</f>
        <v>2x5 + 1xC</v>
      </c>
      <c r="I400" s="31">
        <v>4</v>
      </c>
      <c r="J400" s="32" t="s">
        <v>1897</v>
      </c>
      <c r="K400" s="14"/>
      <c r="L400" s="14"/>
      <c r="M400" s="31">
        <v>1</v>
      </c>
      <c r="N400" s="32">
        <f>IF(Prueba[[#This Row],[Cant.4]]=0,"",IF(OR(Prueba[[#This Row],[Cant.6]]="",Prueba[[#This Row],[Puesto6]]=""),"?",Prueba[[#This Row],[Puesto6]]))</f>
        <v>5</v>
      </c>
      <c r="O400" s="31">
        <v>1</v>
      </c>
      <c r="P400" s="32">
        <f>IF(Prueba[[#This Row],[Cant.5]]=0,"",IF(OR(Prueba[[#This Row],[Cant.6]]="",Prueba[[#This Row],[Puesto6]]=""),"?",Prueba[[#This Row],[Puesto6]]))</f>
        <v>5</v>
      </c>
      <c r="Q400" s="31">
        <v>1</v>
      </c>
      <c r="R400" s="32">
        <v>5</v>
      </c>
      <c r="S400" s="14">
        <v>1</v>
      </c>
      <c r="T400" s="14">
        <v>5</v>
      </c>
      <c r="U400" s="31">
        <v>1</v>
      </c>
      <c r="V400" s="32">
        <v>6</v>
      </c>
      <c r="W400" s="19">
        <v>8</v>
      </c>
      <c r="X400" s="19" t="s">
        <v>1664</v>
      </c>
      <c r="Y400" s="19">
        <v>4</v>
      </c>
      <c r="Z400" s="19" t="s">
        <v>1897</v>
      </c>
      <c r="AA400" s="19">
        <v>4</v>
      </c>
      <c r="AB400" s="19" t="s">
        <v>1897</v>
      </c>
    </row>
    <row r="401" spans="1:28" s="18" customFormat="1">
      <c r="A401" s="18" t="s">
        <v>1308</v>
      </c>
      <c r="B401" s="18" t="s">
        <v>9</v>
      </c>
      <c r="C401" s="18" t="s">
        <v>545</v>
      </c>
      <c r="D401" s="18" t="s">
        <v>1309</v>
      </c>
      <c r="E401" s="19" t="s">
        <v>22</v>
      </c>
      <c r="F401" s="18" t="s">
        <v>13</v>
      </c>
      <c r="G401" s="29"/>
      <c r="H401" s="32" t="str">
        <f>IF(Prueba[[#This Row],[Cant.]]=0,"",IF(OR(Prueba[[#This Row],[Cant.2]]="",Prueba[[#This Row],[Puesto2]]=""),"?",Prueba[[#This Row],[Puesto2]]))</f>
        <v/>
      </c>
      <c r="I401" s="31"/>
      <c r="J401" s="32"/>
      <c r="K401" s="14">
        <v>1</v>
      </c>
      <c r="L401" s="14"/>
      <c r="M401" s="31">
        <v>1</v>
      </c>
      <c r="N401" s="32">
        <f>IF(Prueba[[#This Row],[Cant.4]]=0,"",IF(OR(Prueba[[#This Row],[Cant.6]]="",Prueba[[#This Row],[Puesto6]]=""),"?",Prueba[[#This Row],[Puesto6]]))</f>
        <v>5</v>
      </c>
      <c r="O401" s="31">
        <v>1</v>
      </c>
      <c r="P401" s="32">
        <f>IF(Prueba[[#This Row],[Cant.5]]=0,"",IF(OR(Prueba[[#This Row],[Cant.6]]="",Prueba[[#This Row],[Puesto6]]=""),"?",Prueba[[#This Row],[Puesto6]]))</f>
        <v>5</v>
      </c>
      <c r="Q401" s="31">
        <v>1</v>
      </c>
      <c r="R401" s="32">
        <v>5</v>
      </c>
      <c r="S401" s="14">
        <v>1</v>
      </c>
      <c r="T401" s="14">
        <v>5</v>
      </c>
      <c r="U401" s="31"/>
      <c r="V401" s="32" t="s">
        <v>1663</v>
      </c>
      <c r="W401" s="19">
        <v>8</v>
      </c>
      <c r="X401" s="19" t="s">
        <v>1664</v>
      </c>
      <c r="Y401" s="19" t="s">
        <v>1663</v>
      </c>
      <c r="Z401" s="19" t="s">
        <v>1663</v>
      </c>
      <c r="AA401" s="19" t="s">
        <v>1663</v>
      </c>
      <c r="AB401" s="19" t="s">
        <v>1663</v>
      </c>
    </row>
    <row r="402" spans="1:28" s="18" customFormat="1">
      <c r="A402" s="18" t="s">
        <v>1898</v>
      </c>
      <c r="B402" s="18" t="s">
        <v>1806</v>
      </c>
      <c r="C402" s="18" t="s">
        <v>1899</v>
      </c>
      <c r="D402" s="18" t="s">
        <v>1900</v>
      </c>
      <c r="E402" s="19" t="s">
        <v>18</v>
      </c>
      <c r="F402" s="18" t="s">
        <v>13</v>
      </c>
      <c r="G402" s="29"/>
      <c r="H402" s="32" t="str">
        <f>IF(Prueba[[#This Row],[Cant.]]=0,"",IF(OR(Prueba[[#This Row],[Cant.2]]="",Prueba[[#This Row],[Puesto2]]=""),"?",Prueba[[#This Row],[Puesto2]]))</f>
        <v/>
      </c>
      <c r="I402" s="31"/>
      <c r="J402" s="32"/>
      <c r="K402" s="14"/>
      <c r="L402" s="14"/>
      <c r="M402" s="31">
        <v>1</v>
      </c>
      <c r="N402" s="32">
        <f>IF(Prueba[[#This Row],[Cant.4]]=0,"",IF(OR(Prueba[[#This Row],[Cant.6]]="",Prueba[[#This Row],[Puesto6]]=""),"?",Prueba[[#This Row],[Puesto6]]))</f>
        <v>6</v>
      </c>
      <c r="O402" s="31"/>
      <c r="P402" s="32"/>
      <c r="Q402" s="31">
        <v>1</v>
      </c>
      <c r="R402" s="32">
        <v>6</v>
      </c>
      <c r="S402" s="14">
        <v>1</v>
      </c>
      <c r="T402" s="14">
        <v>6</v>
      </c>
      <c r="U402" s="31"/>
      <c r="V402" s="32" t="s">
        <v>1663</v>
      </c>
      <c r="W402" s="19"/>
      <c r="X402" s="19" t="s">
        <v>1667</v>
      </c>
      <c r="Y402" s="19" t="s">
        <v>1663</v>
      </c>
      <c r="Z402" s="19" t="s">
        <v>1663</v>
      </c>
      <c r="AA402" s="19" t="s">
        <v>1663</v>
      </c>
      <c r="AB402" s="19" t="s">
        <v>1663</v>
      </c>
    </row>
    <row r="403" spans="1:28" s="18" customFormat="1">
      <c r="A403" s="18" t="s">
        <v>1436</v>
      </c>
      <c r="B403" s="18" t="s">
        <v>9</v>
      </c>
      <c r="C403" s="18" t="s">
        <v>1901</v>
      </c>
      <c r="D403" s="18" t="s">
        <v>1866</v>
      </c>
      <c r="E403" s="19" t="s">
        <v>1815</v>
      </c>
      <c r="F403" s="18" t="s">
        <v>13</v>
      </c>
      <c r="G403" s="29"/>
      <c r="H403" s="32" t="str">
        <f>IF(Prueba[[#This Row],[Cant.]]=0,"",IF(OR(Prueba[[#This Row],[Cant.2]]="",Prueba[[#This Row],[Puesto2]]=""),"?",Prueba[[#This Row],[Puesto2]]))</f>
        <v/>
      </c>
      <c r="I403" s="31"/>
      <c r="J403" s="32"/>
      <c r="K403" s="14"/>
      <c r="L403" s="14"/>
      <c r="M403" s="31"/>
      <c r="N403" s="32" t="str">
        <f>IF(Prueba[[#This Row],[Cant.4]]=0,"",IF(OR(Prueba[[#This Row],[Cant.6]]="",Prueba[[#This Row],[Puesto6]]=""),"?",Prueba[[#This Row],[Puesto6]]))</f>
        <v/>
      </c>
      <c r="O403" s="31"/>
      <c r="P403" s="32" t="str">
        <f>IF(Prueba[[#This Row],[Cant.5]]=0,"",IF(OR(Prueba[[#This Row],[Cant.6]]="",Prueba[[#This Row],[Puesto6]]=""),"?",Prueba[[#This Row],[Puesto6]]))</f>
        <v/>
      </c>
      <c r="Q403" s="31"/>
      <c r="R403" s="32"/>
      <c r="S403" s="14">
        <v>1</v>
      </c>
      <c r="T403" s="14">
        <v>5</v>
      </c>
      <c r="U403" s="31">
        <v>1</v>
      </c>
      <c r="V403" s="32">
        <v>5</v>
      </c>
      <c r="W403" s="19"/>
      <c r="X403" s="19" t="s">
        <v>1667</v>
      </c>
      <c r="Y403" s="19" t="s">
        <v>1663</v>
      </c>
      <c r="Z403" s="19" t="s">
        <v>1663</v>
      </c>
      <c r="AA403" s="19" t="s">
        <v>1663</v>
      </c>
      <c r="AB403" s="19" t="s">
        <v>1663</v>
      </c>
    </row>
    <row r="404" spans="1:28" s="18" customFormat="1">
      <c r="A404" s="18" t="s">
        <v>887</v>
      </c>
      <c r="B404" s="18" t="s">
        <v>9</v>
      </c>
      <c r="C404" s="18" t="s">
        <v>84</v>
      </c>
      <c r="D404" s="18" t="s">
        <v>888</v>
      </c>
      <c r="E404" s="19" t="s">
        <v>18</v>
      </c>
      <c r="F404" s="18" t="s">
        <v>13</v>
      </c>
      <c r="G404" s="29"/>
      <c r="H404" s="32" t="str">
        <f>IF(Prueba[[#This Row],[Cant.]]=0,"",IF(OR(Prueba[[#This Row],[Cant.2]]="",Prueba[[#This Row],[Puesto2]]=""),"?",Prueba[[#This Row],[Puesto2]]))</f>
        <v/>
      </c>
      <c r="I404" s="31"/>
      <c r="J404" s="32"/>
      <c r="K404" s="14">
        <v>1</v>
      </c>
      <c r="L404" s="14"/>
      <c r="M404" s="31">
        <v>1</v>
      </c>
      <c r="N404" s="32">
        <f>IF(Prueba[[#This Row],[Cant.4]]=0,"",IF(OR(Prueba[[#This Row],[Cant.6]]="",Prueba[[#This Row],[Puesto6]]=""),"?",Prueba[[#This Row],[Puesto6]]))</f>
        <v>3</v>
      </c>
      <c r="O404" s="31">
        <v>1</v>
      </c>
      <c r="P404" s="32">
        <f>IF(Prueba[[#This Row],[Cant.5]]=0,"",IF(OR(Prueba[[#This Row],[Cant.6]]="",Prueba[[#This Row],[Puesto6]]=""),"?",Prueba[[#This Row],[Puesto6]]))</f>
        <v>3</v>
      </c>
      <c r="Q404" s="31">
        <v>1</v>
      </c>
      <c r="R404" s="32">
        <v>3</v>
      </c>
      <c r="S404" s="14">
        <v>1</v>
      </c>
      <c r="T404" s="14">
        <v>3</v>
      </c>
      <c r="U404" s="31"/>
      <c r="V404" s="32" t="s">
        <v>1663</v>
      </c>
      <c r="W404" s="19"/>
      <c r="X404" s="19" t="s">
        <v>1667</v>
      </c>
      <c r="Y404" s="19" t="s">
        <v>1663</v>
      </c>
      <c r="Z404" s="19" t="s">
        <v>1663</v>
      </c>
      <c r="AA404" s="19" t="s">
        <v>1663</v>
      </c>
      <c r="AB404" s="19" t="s">
        <v>1663</v>
      </c>
    </row>
    <row r="405" spans="1:28" s="18" customFormat="1">
      <c r="A405" s="18" t="s">
        <v>889</v>
      </c>
      <c r="B405" s="18" t="s">
        <v>9</v>
      </c>
      <c r="C405" s="18" t="s">
        <v>84</v>
      </c>
      <c r="D405" s="18" t="s">
        <v>890</v>
      </c>
      <c r="E405" s="19" t="s">
        <v>18</v>
      </c>
      <c r="F405" s="18" t="s">
        <v>13</v>
      </c>
      <c r="G405" s="29"/>
      <c r="H405" s="32" t="str">
        <f>IF(Prueba[[#This Row],[Cant.]]=0,"",IF(OR(Prueba[[#This Row],[Cant.2]]="",Prueba[[#This Row],[Puesto2]]=""),"?",Prueba[[#This Row],[Puesto2]]))</f>
        <v/>
      </c>
      <c r="I405" s="31"/>
      <c r="J405" s="32"/>
      <c r="K405" s="14">
        <v>1</v>
      </c>
      <c r="L405" s="14"/>
      <c r="M405" s="31">
        <v>1</v>
      </c>
      <c r="N405" s="32">
        <f>IF(Prueba[[#This Row],[Cant.4]]=0,"",IF(OR(Prueba[[#This Row],[Cant.6]]="",Prueba[[#This Row],[Puesto6]]=""),"?",Prueba[[#This Row],[Puesto6]]))</f>
        <v>0</v>
      </c>
      <c r="O405" s="31">
        <v>1</v>
      </c>
      <c r="P405" s="32">
        <f>IF(Prueba[[#This Row],[Cant.5]]=0,"",IF(OR(Prueba[[#This Row],[Cant.6]]="",Prueba[[#This Row],[Puesto6]]=""),"?",Prueba[[#This Row],[Puesto6]]))</f>
        <v>0</v>
      </c>
      <c r="Q405" s="31">
        <v>1</v>
      </c>
      <c r="R405" s="32">
        <v>0</v>
      </c>
      <c r="S405" s="14">
        <v>1</v>
      </c>
      <c r="T405" s="14">
        <v>0</v>
      </c>
      <c r="U405" s="31"/>
      <c r="V405" s="32" t="s">
        <v>1663</v>
      </c>
      <c r="W405" s="19"/>
      <c r="X405" s="19" t="s">
        <v>1667</v>
      </c>
      <c r="Y405" s="19" t="s">
        <v>1663</v>
      </c>
      <c r="Z405" s="19" t="s">
        <v>1663</v>
      </c>
      <c r="AA405" s="19" t="s">
        <v>1663</v>
      </c>
      <c r="AB405" s="19" t="s">
        <v>1663</v>
      </c>
    </row>
    <row r="406" spans="1:28" s="18" customFormat="1">
      <c r="A406" s="18" t="s">
        <v>1902</v>
      </c>
      <c r="B406" s="18" t="s">
        <v>1806</v>
      </c>
      <c r="C406" s="18" t="s">
        <v>1903</v>
      </c>
      <c r="D406" s="18" t="s">
        <v>1890</v>
      </c>
      <c r="E406" s="19" t="s">
        <v>1340</v>
      </c>
      <c r="F406" s="18" t="s">
        <v>13</v>
      </c>
      <c r="G406" s="29"/>
      <c r="H406" s="32" t="str">
        <f>IF(Prueba[[#This Row],[Cant.]]=0,"",IF(OR(Prueba[[#This Row],[Cant.2]]="",Prueba[[#This Row],[Puesto2]]=""),"?",Prueba[[#This Row],[Puesto2]]))</f>
        <v/>
      </c>
      <c r="I406" s="31"/>
      <c r="J406" s="32"/>
      <c r="K406" s="14"/>
      <c r="L406" s="14"/>
      <c r="M406" s="31"/>
      <c r="N406" s="32" t="str">
        <f>IF(Prueba[[#This Row],[Cant.4]]=0,"",IF(OR(Prueba[[#This Row],[Cant.6]]="",Prueba[[#This Row],[Puesto6]]=""),"?",Prueba[[#This Row],[Puesto6]]))</f>
        <v/>
      </c>
      <c r="O406" s="31">
        <v>1</v>
      </c>
      <c r="P406" s="32">
        <v>3</v>
      </c>
      <c r="Q406" s="31"/>
      <c r="R406" s="32"/>
      <c r="S406" s="14"/>
      <c r="T406" s="14"/>
      <c r="U406" s="31"/>
      <c r="V406" s="32" t="s">
        <v>1663</v>
      </c>
      <c r="W406" s="19"/>
      <c r="X406" s="19" t="s">
        <v>1667</v>
      </c>
      <c r="Y406" s="19" t="s">
        <v>1663</v>
      </c>
      <c r="Z406" s="19" t="s">
        <v>1663</v>
      </c>
      <c r="AA406" s="19" t="s">
        <v>1663</v>
      </c>
      <c r="AB406" s="19" t="s">
        <v>1663</v>
      </c>
    </row>
    <row r="407" spans="1:28" s="18" customFormat="1">
      <c r="A407" s="18" t="s">
        <v>891</v>
      </c>
      <c r="B407" s="18" t="s">
        <v>9</v>
      </c>
      <c r="C407" s="18" t="s">
        <v>892</v>
      </c>
      <c r="D407" s="18" t="s">
        <v>893</v>
      </c>
      <c r="E407" s="19" t="s">
        <v>12</v>
      </c>
      <c r="F407" s="18" t="s">
        <v>13</v>
      </c>
      <c r="G407" s="29"/>
      <c r="H407" s="32" t="str">
        <f>IF(Prueba[[#This Row],[Cant.]]=0,"",IF(OR(Prueba[[#This Row],[Cant.2]]="",Prueba[[#This Row],[Puesto2]]=""),"?",Prueba[[#This Row],[Puesto2]]))</f>
        <v/>
      </c>
      <c r="I407" s="31"/>
      <c r="J407" s="32"/>
      <c r="K407" s="14">
        <v>1</v>
      </c>
      <c r="L407" s="14"/>
      <c r="M407" s="31">
        <v>1</v>
      </c>
      <c r="N407" s="32">
        <f>IF(Prueba[[#This Row],[Cant.4]]=0,"",IF(OR(Prueba[[#This Row],[Cant.6]]="",Prueba[[#This Row],[Puesto6]]=""),"?",Prueba[[#This Row],[Puesto6]]))</f>
        <v>3</v>
      </c>
      <c r="O407" s="31">
        <v>1</v>
      </c>
      <c r="P407" s="32">
        <f>IF(Prueba[[#This Row],[Cant.5]]=0,"",IF(OR(Prueba[[#This Row],[Cant.6]]="",Prueba[[#This Row],[Puesto6]]=""),"?",Prueba[[#This Row],[Puesto6]]))</f>
        <v>3</v>
      </c>
      <c r="Q407" s="31">
        <v>1</v>
      </c>
      <c r="R407" s="32">
        <v>3</v>
      </c>
      <c r="S407" s="14">
        <v>1</v>
      </c>
      <c r="T407" s="14">
        <v>3</v>
      </c>
      <c r="U407" s="31"/>
      <c r="V407" s="32" t="s">
        <v>1663</v>
      </c>
      <c r="W407" s="19"/>
      <c r="X407" s="19" t="s">
        <v>1667</v>
      </c>
      <c r="Y407" s="19" t="s">
        <v>1663</v>
      </c>
      <c r="Z407" s="19" t="s">
        <v>1663</v>
      </c>
      <c r="AA407" s="19" t="s">
        <v>1663</v>
      </c>
      <c r="AB407" s="19" t="s">
        <v>1663</v>
      </c>
    </row>
    <row r="408" spans="1:28" s="18" customFormat="1">
      <c r="A408" s="18" t="s">
        <v>1904</v>
      </c>
      <c r="B408" s="18" t="s">
        <v>1806</v>
      </c>
      <c r="C408" s="18" t="s">
        <v>1905</v>
      </c>
      <c r="D408" s="18" t="s">
        <v>1906</v>
      </c>
      <c r="E408" s="19" t="s">
        <v>1815</v>
      </c>
      <c r="F408" s="18" t="s">
        <v>13</v>
      </c>
      <c r="G408" s="29"/>
      <c r="H408" s="32" t="str">
        <f>IF(Prueba[[#This Row],[Cant.]]=0,"",IF(OR(Prueba[[#This Row],[Cant.2]]="",Prueba[[#This Row],[Puesto2]]=""),"?",Prueba[[#This Row],[Puesto2]]))</f>
        <v/>
      </c>
      <c r="I408" s="31"/>
      <c r="J408" s="32"/>
      <c r="K408" s="14"/>
      <c r="L408" s="14"/>
      <c r="M408" s="31">
        <v>1</v>
      </c>
      <c r="N408" s="32">
        <f>IF(Prueba[[#This Row],[Cant.4]]=0,"",IF(OR(Prueba[[#This Row],[Cant.6]]="",Prueba[[#This Row],[Puesto6]]=""),"?",Prueba[[#This Row],[Puesto6]]))</f>
        <v>6</v>
      </c>
      <c r="O408" s="31"/>
      <c r="P408" s="32"/>
      <c r="Q408" s="31">
        <v>1</v>
      </c>
      <c r="R408" s="32">
        <v>6</v>
      </c>
      <c r="S408" s="14"/>
      <c r="T408" s="14"/>
      <c r="U408" s="31"/>
      <c r="V408" s="32" t="s">
        <v>1663</v>
      </c>
      <c r="W408" s="19"/>
      <c r="X408" s="19" t="s">
        <v>1667</v>
      </c>
      <c r="Y408" s="19" t="s">
        <v>1663</v>
      </c>
      <c r="Z408" s="19" t="s">
        <v>1663</v>
      </c>
      <c r="AA408" s="19" t="s">
        <v>1663</v>
      </c>
      <c r="AB408" s="19" t="s">
        <v>1663</v>
      </c>
    </row>
    <row r="409" spans="1:28" s="18" customFormat="1" ht="15.6">
      <c r="A409" s="18" t="s">
        <v>1907</v>
      </c>
      <c r="B409" s="18" t="s">
        <v>1806</v>
      </c>
      <c r="C409" s="18" t="s">
        <v>1908</v>
      </c>
      <c r="D409" s="18" t="s">
        <v>1909</v>
      </c>
      <c r="E409" s="92" t="s">
        <v>12</v>
      </c>
      <c r="F409" s="18" t="s">
        <v>13</v>
      </c>
      <c r="G409" s="29"/>
      <c r="H409" s="32" t="str">
        <f>IF(Prueba[[#This Row],[Cant.]]=0,"",IF(OR(Prueba[[#This Row],[Cant.2]]="",Prueba[[#This Row],[Puesto2]]=""),"?",Prueba[[#This Row],[Puesto2]]))</f>
        <v/>
      </c>
      <c r="I409" s="31"/>
      <c r="J409" s="32"/>
      <c r="K409" s="14"/>
      <c r="L409" s="14"/>
      <c r="M409" s="31">
        <v>1</v>
      </c>
      <c r="N409" s="32">
        <v>3</v>
      </c>
      <c r="O409" s="31">
        <v>1</v>
      </c>
      <c r="P409" s="32">
        <f>IF(Prueba[[#This Row],[Cant.5]]=0,"",IF(OR(Prueba[[#This Row],[Cant.6]]="",Prueba[[#This Row],[Puesto6]]=""),"?",Prueba[[#This Row],[Puesto6]]))</f>
        <v>3</v>
      </c>
      <c r="Q409" s="44">
        <v>1</v>
      </c>
      <c r="R409" s="45">
        <v>3</v>
      </c>
      <c r="S409" s="14">
        <v>1</v>
      </c>
      <c r="T409" s="14">
        <v>3</v>
      </c>
      <c r="U409" s="31"/>
      <c r="V409" s="32" t="s">
        <v>1663</v>
      </c>
      <c r="W409" s="19"/>
      <c r="X409" s="19" t="s">
        <v>1667</v>
      </c>
      <c r="Y409" s="19" t="s">
        <v>1663</v>
      </c>
      <c r="Z409" s="19" t="s">
        <v>1663</v>
      </c>
      <c r="AA409" s="19" t="s">
        <v>1663</v>
      </c>
      <c r="AB409" s="19" t="s">
        <v>1663</v>
      </c>
    </row>
    <row r="410" spans="1:28" s="18" customFormat="1">
      <c r="A410" s="18" t="s">
        <v>894</v>
      </c>
      <c r="B410" s="18" t="s">
        <v>9</v>
      </c>
      <c r="C410" s="18" t="s">
        <v>184</v>
      </c>
      <c r="D410" s="18" t="s">
        <v>895</v>
      </c>
      <c r="E410" s="19" t="s">
        <v>12</v>
      </c>
      <c r="F410" s="18" t="s">
        <v>13</v>
      </c>
      <c r="G410" s="29"/>
      <c r="H410" s="32" t="str">
        <f>IF(Prueba[[#This Row],[Cant.]]=0,"",IF(OR(Prueba[[#This Row],[Cant.2]]="",Prueba[[#This Row],[Puesto2]]=""),"?",Prueba[[#This Row],[Puesto2]]))</f>
        <v/>
      </c>
      <c r="I410" s="31"/>
      <c r="J410" s="32"/>
      <c r="K410" s="14">
        <v>1</v>
      </c>
      <c r="L410" s="14"/>
      <c r="M410" s="31">
        <v>1</v>
      </c>
      <c r="N410" s="32">
        <f>IF(Prueba[[#This Row],[Cant.4]]=0,"",IF(OR(Prueba[[#This Row],[Cant.6]]="",Prueba[[#This Row],[Puesto6]]=""),"?",Prueba[[#This Row],[Puesto6]]))</f>
        <v>5</v>
      </c>
      <c r="O410" s="31">
        <v>1</v>
      </c>
      <c r="P410" s="32">
        <f>IF(Prueba[[#This Row],[Cant.5]]=0,"",IF(OR(Prueba[[#This Row],[Cant.6]]="",Prueba[[#This Row],[Puesto6]]=""),"?",Prueba[[#This Row],[Puesto6]]))</f>
        <v>5</v>
      </c>
      <c r="Q410" s="31">
        <v>1</v>
      </c>
      <c r="R410" s="32">
        <v>5</v>
      </c>
      <c r="S410" s="14">
        <v>1</v>
      </c>
      <c r="T410" s="14">
        <v>5</v>
      </c>
      <c r="U410" s="31"/>
      <c r="V410" s="32" t="s">
        <v>1663</v>
      </c>
      <c r="W410" s="19"/>
      <c r="X410" s="19" t="s">
        <v>1667</v>
      </c>
      <c r="Y410" s="19" t="s">
        <v>1663</v>
      </c>
      <c r="Z410" s="19" t="s">
        <v>1663</v>
      </c>
      <c r="AA410" s="19" t="s">
        <v>1663</v>
      </c>
      <c r="AB410" s="19" t="s">
        <v>1663</v>
      </c>
    </row>
    <row r="411" spans="1:28" s="18" customFormat="1">
      <c r="A411" s="18" t="s">
        <v>896</v>
      </c>
      <c r="B411" s="18" t="s">
        <v>9</v>
      </c>
      <c r="C411" s="18" t="s">
        <v>897</v>
      </c>
      <c r="D411" s="18" t="s">
        <v>898</v>
      </c>
      <c r="E411" s="19" t="s">
        <v>12</v>
      </c>
      <c r="F411" s="18" t="s">
        <v>13</v>
      </c>
      <c r="G411" s="29"/>
      <c r="H411" s="32" t="str">
        <f>IF(Prueba[[#This Row],[Cant.]]=0,"",IF(OR(Prueba[[#This Row],[Cant.2]]="",Prueba[[#This Row],[Puesto2]]=""),"?",Prueba[[#This Row],[Puesto2]]))</f>
        <v/>
      </c>
      <c r="I411" s="31"/>
      <c r="J411" s="32"/>
      <c r="K411" s="14">
        <v>1</v>
      </c>
      <c r="L411" s="14"/>
      <c r="M411" s="31">
        <v>1</v>
      </c>
      <c r="N411" s="32">
        <f>IF(Prueba[[#This Row],[Cant.4]]=0,"",IF(OR(Prueba[[#This Row],[Cant.6]]="",Prueba[[#This Row],[Puesto6]]=""),"?",Prueba[[#This Row],[Puesto6]]))</f>
        <v>0</v>
      </c>
      <c r="O411" s="31">
        <v>1</v>
      </c>
      <c r="P411" s="32">
        <f>IF(Prueba[[#This Row],[Cant.5]]=0,"",IF(OR(Prueba[[#This Row],[Cant.6]]="",Prueba[[#This Row],[Puesto6]]=""),"?",Prueba[[#This Row],[Puesto6]]))</f>
        <v>0</v>
      </c>
      <c r="Q411" s="31">
        <v>1</v>
      </c>
      <c r="R411" s="32">
        <v>0</v>
      </c>
      <c r="S411" s="14">
        <v>1</v>
      </c>
      <c r="T411" s="14">
        <v>0</v>
      </c>
      <c r="U411" s="31"/>
      <c r="V411" s="32" t="s">
        <v>1663</v>
      </c>
      <c r="W411" s="19"/>
      <c r="X411" s="19" t="s">
        <v>1667</v>
      </c>
      <c r="Y411" s="19" t="s">
        <v>1663</v>
      </c>
      <c r="Z411" s="19" t="s">
        <v>1663</v>
      </c>
      <c r="AA411" s="19" t="s">
        <v>1663</v>
      </c>
      <c r="AB411" s="19" t="s">
        <v>1663</v>
      </c>
    </row>
    <row r="412" spans="1:28" s="18" customFormat="1">
      <c r="A412" s="18" t="s">
        <v>899</v>
      </c>
      <c r="B412" s="18" t="s">
        <v>9</v>
      </c>
      <c r="C412" s="18" t="s">
        <v>897</v>
      </c>
      <c r="D412" s="18" t="s">
        <v>900</v>
      </c>
      <c r="E412" s="19" t="s">
        <v>18</v>
      </c>
      <c r="F412" s="18" t="s">
        <v>13</v>
      </c>
      <c r="G412" s="29"/>
      <c r="H412" s="32" t="str">
        <f>IF(Prueba[[#This Row],[Cant.]]=0,"",IF(OR(Prueba[[#This Row],[Cant.2]]="",Prueba[[#This Row],[Puesto2]]=""),"?",Prueba[[#This Row],[Puesto2]]))</f>
        <v/>
      </c>
      <c r="I412" s="31"/>
      <c r="J412" s="32"/>
      <c r="K412" s="14">
        <v>1</v>
      </c>
      <c r="L412" s="14"/>
      <c r="M412" s="31">
        <v>1</v>
      </c>
      <c r="N412" s="32">
        <f>IF(Prueba[[#This Row],[Cant.4]]=0,"",IF(OR(Prueba[[#This Row],[Cant.6]]="",Prueba[[#This Row],[Puesto6]]=""),"?",Prueba[[#This Row],[Puesto6]]))</f>
        <v>0</v>
      </c>
      <c r="O412" s="31">
        <v>1</v>
      </c>
      <c r="P412" s="32">
        <f>IF(Prueba[[#This Row],[Cant.5]]=0,"",IF(OR(Prueba[[#This Row],[Cant.6]]="",Prueba[[#This Row],[Puesto6]]=""),"?",Prueba[[#This Row],[Puesto6]]))</f>
        <v>0</v>
      </c>
      <c r="Q412" s="31">
        <v>1</v>
      </c>
      <c r="R412" s="32">
        <v>0</v>
      </c>
      <c r="S412" s="14">
        <v>1</v>
      </c>
      <c r="T412" s="14">
        <v>0</v>
      </c>
      <c r="U412" s="31"/>
      <c r="V412" s="32" t="s">
        <v>1663</v>
      </c>
      <c r="W412" s="19"/>
      <c r="X412" s="19" t="s">
        <v>1667</v>
      </c>
      <c r="Y412" s="19" t="s">
        <v>1663</v>
      </c>
      <c r="Z412" s="19" t="s">
        <v>1663</v>
      </c>
      <c r="AA412" s="19" t="s">
        <v>1663</v>
      </c>
      <c r="AB412" s="19" t="s">
        <v>1663</v>
      </c>
    </row>
    <row r="413" spans="1:28" s="18" customFormat="1">
      <c r="A413" s="18" t="s">
        <v>1437</v>
      </c>
      <c r="B413" s="18" t="s">
        <v>9</v>
      </c>
      <c r="C413" s="18" t="s">
        <v>1910</v>
      </c>
      <c r="D413" s="18" t="s">
        <v>1911</v>
      </c>
      <c r="E413" s="19" t="s">
        <v>1815</v>
      </c>
      <c r="F413" s="18" t="s">
        <v>13</v>
      </c>
      <c r="G413" s="29"/>
      <c r="H413" s="32" t="str">
        <f>IF(Prueba[[#This Row],[Cant.]]=0,"",IF(OR(Prueba[[#This Row],[Cant.2]]="",Prueba[[#This Row],[Puesto2]]=""),"?",Prueba[[#This Row],[Puesto2]]))</f>
        <v/>
      </c>
      <c r="I413" s="31"/>
      <c r="J413" s="32"/>
      <c r="K413" s="14"/>
      <c r="L413" s="14"/>
      <c r="M413" s="31"/>
      <c r="N413" s="32" t="str">
        <f>IF(Prueba[[#This Row],[Cant.4]]=0,"",IF(OR(Prueba[[#This Row],[Cant.6]]="",Prueba[[#This Row],[Puesto6]]=""),"?",Prueba[[#This Row],[Puesto6]]))</f>
        <v/>
      </c>
      <c r="O413" s="31"/>
      <c r="P413" s="32" t="str">
        <f>IF(Prueba[[#This Row],[Cant.5]]=0,"",IF(OR(Prueba[[#This Row],[Cant.6]]="",Prueba[[#This Row],[Puesto6]]=""),"?",Prueba[[#This Row],[Puesto6]]))</f>
        <v/>
      </c>
      <c r="Q413" s="31"/>
      <c r="R413" s="32"/>
      <c r="S413" s="14"/>
      <c r="T413" s="14"/>
      <c r="U413" s="31">
        <v>1</v>
      </c>
      <c r="V413" s="32" t="s">
        <v>1399</v>
      </c>
      <c r="W413" s="19"/>
      <c r="X413" s="19" t="s">
        <v>1667</v>
      </c>
      <c r="Y413" s="19" t="s">
        <v>1663</v>
      </c>
      <c r="Z413" s="19" t="s">
        <v>1663</v>
      </c>
      <c r="AA413" s="19" t="s">
        <v>1663</v>
      </c>
      <c r="AB413" s="19" t="s">
        <v>1663</v>
      </c>
    </row>
    <row r="414" spans="1:28" s="18" customFormat="1">
      <c r="A414" s="18" t="s">
        <v>1912</v>
      </c>
      <c r="B414" s="18" t="s">
        <v>1806</v>
      </c>
      <c r="C414" s="18" t="s">
        <v>1726</v>
      </c>
      <c r="D414" s="18" t="s">
        <v>1913</v>
      </c>
      <c r="E414" s="19" t="s">
        <v>230</v>
      </c>
      <c r="F414" s="18" t="s">
        <v>13</v>
      </c>
      <c r="G414" s="29"/>
      <c r="H414" s="32" t="str">
        <f>IF(Prueba[[#This Row],[Cant.]]=0,"",IF(OR(Prueba[[#This Row],[Cant.2]]="",Prueba[[#This Row],[Puesto2]]=""),"?",Prueba[[#This Row],[Puesto2]]))</f>
        <v/>
      </c>
      <c r="I414" s="31"/>
      <c r="J414" s="32"/>
      <c r="K414" s="14"/>
      <c r="L414" s="14"/>
      <c r="M414" s="31"/>
      <c r="N414" s="32" t="str">
        <f>IF(Prueba[[#This Row],[Cant.4]]=0,"",IF(OR(Prueba[[#This Row],[Cant.6]]="",Prueba[[#This Row],[Puesto6]]=""),"?",Prueba[[#This Row],[Puesto6]]))</f>
        <v/>
      </c>
      <c r="O414" s="31">
        <v>1</v>
      </c>
      <c r="P414" s="32">
        <v>3</v>
      </c>
      <c r="Q414" s="31"/>
      <c r="R414" s="32"/>
      <c r="S414" s="14"/>
      <c r="T414" s="14"/>
      <c r="U414" s="31"/>
      <c r="V414" s="32" t="s">
        <v>1663</v>
      </c>
      <c r="W414" s="19"/>
      <c r="X414" s="19" t="s">
        <v>1667</v>
      </c>
      <c r="Y414" s="19" t="s">
        <v>1663</v>
      </c>
      <c r="Z414" s="19" t="s">
        <v>1663</v>
      </c>
      <c r="AA414" s="19" t="s">
        <v>1663</v>
      </c>
      <c r="AB414" s="19" t="s">
        <v>1663</v>
      </c>
    </row>
    <row r="415" spans="1:28" s="18" customFormat="1">
      <c r="A415" s="18" t="s">
        <v>1914</v>
      </c>
      <c r="B415" s="18" t="s">
        <v>1806</v>
      </c>
      <c r="C415" s="18" t="s">
        <v>1726</v>
      </c>
      <c r="D415" s="18" t="s">
        <v>1913</v>
      </c>
      <c r="E415" s="19" t="s">
        <v>230</v>
      </c>
      <c r="F415" s="18" t="s">
        <v>13</v>
      </c>
      <c r="G415" s="29"/>
      <c r="H415" s="32" t="str">
        <f>IF(Prueba[[#This Row],[Cant.]]=0,"",IF(OR(Prueba[[#This Row],[Cant.2]]="",Prueba[[#This Row],[Puesto2]]=""),"?",Prueba[[#This Row],[Puesto2]]))</f>
        <v/>
      </c>
      <c r="I415" s="31"/>
      <c r="J415" s="32"/>
      <c r="K415" s="14"/>
      <c r="L415" s="14"/>
      <c r="M415" s="31"/>
      <c r="N415" s="32" t="str">
        <f>IF(Prueba[[#This Row],[Cant.4]]=0,"",IF(OR(Prueba[[#This Row],[Cant.6]]="",Prueba[[#This Row],[Puesto6]]=""),"?",Prueba[[#This Row],[Puesto6]]))</f>
        <v/>
      </c>
      <c r="O415" s="31">
        <v>1</v>
      </c>
      <c r="P415" s="32">
        <v>3</v>
      </c>
      <c r="Q415" s="31"/>
      <c r="R415" s="32"/>
      <c r="S415" s="14"/>
      <c r="T415" s="14"/>
      <c r="U415" s="31"/>
      <c r="V415" s="32" t="s">
        <v>1663</v>
      </c>
      <c r="W415" s="19"/>
      <c r="X415" s="19" t="s">
        <v>1667</v>
      </c>
      <c r="Y415" s="19" t="s">
        <v>1663</v>
      </c>
      <c r="Z415" s="19" t="s">
        <v>1663</v>
      </c>
      <c r="AA415" s="19" t="s">
        <v>1663</v>
      </c>
      <c r="AB415" s="19" t="s">
        <v>1663</v>
      </c>
    </row>
    <row r="416" spans="1:28" s="18" customFormat="1">
      <c r="A416" s="40" t="s">
        <v>901</v>
      </c>
      <c r="B416" s="40" t="s">
        <v>9</v>
      </c>
      <c r="C416" s="40" t="s">
        <v>902</v>
      </c>
      <c r="D416" s="40" t="s">
        <v>903</v>
      </c>
      <c r="E416" s="41" t="s">
        <v>22</v>
      </c>
      <c r="F416" s="18" t="s">
        <v>13</v>
      </c>
      <c r="G416" s="29"/>
      <c r="H416" s="32" t="str">
        <f>IF(Prueba[[#This Row],[Cant.]]=0,"",IF(OR(Prueba[[#This Row],[Cant.2]]="",Prueba[[#This Row],[Puesto2]]=""),"?",Prueba[[#This Row],[Puesto2]]))</f>
        <v/>
      </c>
      <c r="I416" s="31"/>
      <c r="J416" s="32"/>
      <c r="K416" s="14">
        <v>3</v>
      </c>
      <c r="L416" s="14"/>
      <c r="M416" s="31">
        <v>7</v>
      </c>
      <c r="N416" s="32" t="str">
        <f>IF(Prueba[[#This Row],[Cant.4]]=0,"",IF(OR(Prueba[[#This Row],[Cant.6]]="",Prueba[[#This Row],[Puesto6]]=""),"?",Prueba[[#This Row],[Puesto6]]))</f>
        <v>C</v>
      </c>
      <c r="O416" s="31">
        <v>4</v>
      </c>
      <c r="P416" s="32" t="str">
        <f>IF(Prueba[[#This Row],[Cant.5]]=0,"",IF(OR(Prueba[[#This Row],[Cant.6]]="",Prueba[[#This Row],[Puesto6]]=""),"?",Prueba[[#This Row],[Puesto6]]))</f>
        <v>C</v>
      </c>
      <c r="Q416" s="44">
        <v>3</v>
      </c>
      <c r="R416" s="45" t="s">
        <v>1402</v>
      </c>
      <c r="S416" s="14">
        <v>9</v>
      </c>
      <c r="T416" s="14" t="s">
        <v>1402</v>
      </c>
      <c r="U416" s="31"/>
      <c r="V416" s="32" t="s">
        <v>1663</v>
      </c>
      <c r="W416" s="19">
        <v>24</v>
      </c>
      <c r="X416" s="19" t="s">
        <v>1664</v>
      </c>
      <c r="Y416" s="19" t="s">
        <v>1663</v>
      </c>
      <c r="Z416" s="19" t="s">
        <v>1663</v>
      </c>
      <c r="AA416" s="19" t="s">
        <v>1663</v>
      </c>
      <c r="AB416" s="19" t="s">
        <v>1663</v>
      </c>
    </row>
    <row r="417" spans="1:28" s="18" customFormat="1" ht="28.9">
      <c r="A417" s="40" t="s">
        <v>904</v>
      </c>
      <c r="B417" s="40" t="s">
        <v>9</v>
      </c>
      <c r="C417" s="40" t="s">
        <v>905</v>
      </c>
      <c r="D417" s="40" t="s">
        <v>906</v>
      </c>
      <c r="E417" s="41" t="s">
        <v>22</v>
      </c>
      <c r="F417" s="18" t="s">
        <v>13</v>
      </c>
      <c r="G417" s="29"/>
      <c r="H417" s="32" t="str">
        <f>IF(Prueba[[#This Row],[Cant.]]=0,"",IF(OR(Prueba[[#This Row],[Cant.2]]="",Prueba[[#This Row],[Puesto2]]=""),"?",Prueba[[#This Row],[Puesto2]]))</f>
        <v/>
      </c>
      <c r="I417" s="31"/>
      <c r="J417" s="32"/>
      <c r="K417" s="14">
        <v>31</v>
      </c>
      <c r="L417" s="14"/>
      <c r="M417" s="31">
        <v>29</v>
      </c>
      <c r="N417" s="32" t="str">
        <f>IF(Prueba[[#This Row],[Cant.4]]=0,"",IF(OR(Prueba[[#This Row],[Cant.6]]="",Prueba[[#This Row],[Puesto6]]=""),"?",Prueba[[#This Row],[Puesto6]]))</f>
        <v>6xB + 26xC</v>
      </c>
      <c r="O417" s="31">
        <v>26</v>
      </c>
      <c r="P417" s="32" t="str">
        <f>IF(Prueba[[#This Row],[Cant.5]]=0,"",IF(OR(Prueba[[#This Row],[Cant.6]]="",Prueba[[#This Row],[Puesto6]]=""),"?",Prueba[[#This Row],[Puesto6]]))</f>
        <v>6xB + 26xC</v>
      </c>
      <c r="Q417" s="44">
        <v>17</v>
      </c>
      <c r="R417" s="45" t="s">
        <v>1915</v>
      </c>
      <c r="S417" s="14">
        <v>33</v>
      </c>
      <c r="T417" s="14" t="s">
        <v>1916</v>
      </c>
      <c r="U417" s="31"/>
      <c r="V417" s="32" t="s">
        <v>1663</v>
      </c>
      <c r="W417" s="19">
        <v>136</v>
      </c>
      <c r="X417" s="19" t="s">
        <v>1664</v>
      </c>
      <c r="Y417" s="19" t="s">
        <v>1663</v>
      </c>
      <c r="Z417" s="19" t="s">
        <v>1663</v>
      </c>
      <c r="AA417" s="19" t="s">
        <v>1663</v>
      </c>
      <c r="AB417" s="19" t="s">
        <v>1663</v>
      </c>
    </row>
    <row r="418" spans="1:28" s="18" customFormat="1">
      <c r="A418" s="18" t="s">
        <v>907</v>
      </c>
      <c r="B418" s="18" t="s">
        <v>9</v>
      </c>
      <c r="C418" s="18" t="s">
        <v>84</v>
      </c>
      <c r="D418" s="18" t="s">
        <v>41</v>
      </c>
      <c r="E418" s="19" t="s">
        <v>12</v>
      </c>
      <c r="F418" s="18" t="s">
        <v>13</v>
      </c>
      <c r="G418" s="29"/>
      <c r="H418" s="32" t="str">
        <f>IF(Prueba[[#This Row],[Cant.]]=0,"",IF(OR(Prueba[[#This Row],[Cant.2]]="",Prueba[[#This Row],[Puesto2]]=""),"?",Prueba[[#This Row],[Puesto2]]))</f>
        <v/>
      </c>
      <c r="I418" s="31"/>
      <c r="J418" s="32"/>
      <c r="K418" s="14">
        <v>1</v>
      </c>
      <c r="L418" s="14"/>
      <c r="M418" s="31">
        <v>1</v>
      </c>
      <c r="N418" s="32">
        <f>IF(Prueba[[#This Row],[Cant.4]]=0,"",IF(OR(Prueba[[#This Row],[Cant.6]]="",Prueba[[#This Row],[Puesto6]]=""),"?",Prueba[[#This Row],[Puesto6]]))</f>
        <v>0</v>
      </c>
      <c r="O418" s="31">
        <v>1</v>
      </c>
      <c r="P418" s="32">
        <f>IF(Prueba[[#This Row],[Cant.5]]=0,"",IF(OR(Prueba[[#This Row],[Cant.6]]="",Prueba[[#This Row],[Puesto6]]=""),"?",Prueba[[#This Row],[Puesto6]]))</f>
        <v>0</v>
      </c>
      <c r="Q418" s="31">
        <v>1</v>
      </c>
      <c r="R418" s="32">
        <v>0</v>
      </c>
      <c r="S418" s="14">
        <v>1</v>
      </c>
      <c r="T418" s="14">
        <v>0</v>
      </c>
      <c r="U418" s="31"/>
      <c r="V418" s="32" t="s">
        <v>1663</v>
      </c>
      <c r="W418" s="19"/>
      <c r="X418" s="19" t="s">
        <v>1667</v>
      </c>
      <c r="Y418" s="19" t="s">
        <v>1663</v>
      </c>
      <c r="Z418" s="19" t="s">
        <v>1663</v>
      </c>
      <c r="AA418" s="19" t="s">
        <v>1663</v>
      </c>
      <c r="AB418" s="19" t="s">
        <v>1663</v>
      </c>
    </row>
    <row r="419" spans="1:28" s="18" customFormat="1">
      <c r="A419" s="18" t="s">
        <v>1917</v>
      </c>
      <c r="B419" s="18" t="s">
        <v>1806</v>
      </c>
      <c r="C419" s="18" t="s">
        <v>1754</v>
      </c>
      <c r="D419" s="18" t="s">
        <v>1918</v>
      </c>
      <c r="E419" s="19" t="s">
        <v>18</v>
      </c>
      <c r="F419" s="18" t="s">
        <v>13</v>
      </c>
      <c r="G419" s="29"/>
      <c r="H419" s="32" t="str">
        <f>IF(Prueba[[#This Row],[Cant.]]=0,"",IF(OR(Prueba[[#This Row],[Cant.2]]="",Prueba[[#This Row],[Puesto2]]=""),"?",Prueba[[#This Row],[Puesto2]]))</f>
        <v/>
      </c>
      <c r="I419" s="31"/>
      <c r="J419" s="32"/>
      <c r="K419" s="14"/>
      <c r="L419" s="14"/>
      <c r="M419" s="31"/>
      <c r="N419" s="32" t="str">
        <f>IF(Prueba[[#This Row],[Cant.4]]=0,"",IF(OR(Prueba[[#This Row],[Cant.6]]="",Prueba[[#This Row],[Puesto6]]=""),"?",Prueba[[#This Row],[Puesto6]]))</f>
        <v/>
      </c>
      <c r="O419" s="31">
        <v>1</v>
      </c>
      <c r="P419" s="32">
        <v>2</v>
      </c>
      <c r="Q419" s="31"/>
      <c r="R419" s="32"/>
      <c r="S419" s="14"/>
      <c r="T419" s="14"/>
      <c r="U419" s="31"/>
      <c r="V419" s="32" t="s">
        <v>1663</v>
      </c>
      <c r="W419" s="19"/>
      <c r="X419" s="19" t="s">
        <v>1667</v>
      </c>
      <c r="Y419" s="19" t="s">
        <v>1663</v>
      </c>
      <c r="Z419" s="19" t="s">
        <v>1663</v>
      </c>
      <c r="AA419" s="19" t="s">
        <v>1663</v>
      </c>
      <c r="AB419" s="19" t="s">
        <v>1663</v>
      </c>
    </row>
    <row r="420" spans="1:28" s="18" customFormat="1">
      <c r="A420" s="18" t="s">
        <v>1919</v>
      </c>
      <c r="B420" s="18" t="s">
        <v>1806</v>
      </c>
      <c r="C420" s="18" t="s">
        <v>1761</v>
      </c>
      <c r="D420" s="18" t="s">
        <v>1920</v>
      </c>
      <c r="E420" s="19" t="s">
        <v>289</v>
      </c>
      <c r="F420" s="18" t="s">
        <v>13</v>
      </c>
      <c r="G420" s="29"/>
      <c r="H420" s="32" t="str">
        <f>IF(Prueba[[#This Row],[Cant.]]=0,"",IF(OR(Prueba[[#This Row],[Cant.2]]="",Prueba[[#This Row],[Puesto2]]=""),"?",Prueba[[#This Row],[Puesto2]]))</f>
        <v/>
      </c>
      <c r="I420" s="31"/>
      <c r="J420" s="32"/>
      <c r="K420" s="14"/>
      <c r="L420" s="14"/>
      <c r="M420" s="31"/>
      <c r="N420" s="32" t="str">
        <f>IF(Prueba[[#This Row],[Cant.4]]=0,"",IF(OR(Prueba[[#This Row],[Cant.6]]="",Prueba[[#This Row],[Puesto6]]=""),"?",Prueba[[#This Row],[Puesto6]]))</f>
        <v/>
      </c>
      <c r="O420" s="31">
        <v>1</v>
      </c>
      <c r="P420" s="32">
        <v>0</v>
      </c>
      <c r="Q420" s="31"/>
      <c r="R420" s="32"/>
      <c r="S420" s="14"/>
      <c r="T420" s="14"/>
      <c r="U420" s="31"/>
      <c r="V420" s="32" t="s">
        <v>1663</v>
      </c>
      <c r="W420" s="19"/>
      <c r="X420" s="19" t="s">
        <v>1667</v>
      </c>
      <c r="Y420" s="19" t="s">
        <v>1663</v>
      </c>
      <c r="Z420" s="19" t="s">
        <v>1663</v>
      </c>
      <c r="AA420" s="19" t="s">
        <v>1663</v>
      </c>
      <c r="AB420" s="19" t="s">
        <v>1663</v>
      </c>
    </row>
    <row r="421" spans="1:28" s="18" customFormat="1">
      <c r="A421" s="18" t="s">
        <v>908</v>
      </c>
      <c r="B421" s="18" t="s">
        <v>9</v>
      </c>
      <c r="C421" s="18" t="s">
        <v>909</v>
      </c>
      <c r="D421" s="18" t="s">
        <v>910</v>
      </c>
      <c r="E421" s="19" t="s">
        <v>790</v>
      </c>
      <c r="F421" s="18" t="s">
        <v>13</v>
      </c>
      <c r="G421" s="29"/>
      <c r="H421" s="32" t="str">
        <f>IF(Prueba[[#This Row],[Cant.]]=0,"",IF(OR(Prueba[[#This Row],[Cant.2]]="",Prueba[[#This Row],[Puesto2]]=""),"?",Prueba[[#This Row],[Puesto2]]))</f>
        <v/>
      </c>
      <c r="I421" s="31"/>
      <c r="J421" s="32"/>
      <c r="K421" s="14">
        <v>1</v>
      </c>
      <c r="L421" s="14"/>
      <c r="M421" s="31">
        <v>1</v>
      </c>
      <c r="N421" s="32">
        <f>IF(Prueba[[#This Row],[Cant.4]]=0,"",IF(OR(Prueba[[#This Row],[Cant.6]]="",Prueba[[#This Row],[Puesto6]]=""),"?",Prueba[[#This Row],[Puesto6]]))</f>
        <v>6</v>
      </c>
      <c r="O421" s="31">
        <v>1</v>
      </c>
      <c r="P421" s="32">
        <f>IF(Prueba[[#This Row],[Cant.5]]=0,"",IF(OR(Prueba[[#This Row],[Cant.6]]="",Prueba[[#This Row],[Puesto6]]=""),"?",Prueba[[#This Row],[Puesto6]]))</f>
        <v>6</v>
      </c>
      <c r="Q421" s="31">
        <v>1</v>
      </c>
      <c r="R421" s="32">
        <v>6</v>
      </c>
      <c r="S421" s="14">
        <v>1</v>
      </c>
      <c r="T421" s="14">
        <v>6</v>
      </c>
      <c r="U421" s="31"/>
      <c r="V421" s="32" t="s">
        <v>1663</v>
      </c>
      <c r="W421" s="19"/>
      <c r="X421" s="19" t="s">
        <v>1667</v>
      </c>
      <c r="Y421" s="19" t="s">
        <v>1663</v>
      </c>
      <c r="Z421" s="19" t="s">
        <v>1663</v>
      </c>
      <c r="AA421" s="19" t="s">
        <v>1663</v>
      </c>
      <c r="AB421" s="19" t="s">
        <v>1663</v>
      </c>
    </row>
    <row r="422" spans="1:28" s="18" customFormat="1">
      <c r="A422" s="18" t="s">
        <v>911</v>
      </c>
      <c r="B422" s="18" t="s">
        <v>9</v>
      </c>
      <c r="C422" s="18" t="s">
        <v>912</v>
      </c>
      <c r="D422" s="18" t="s">
        <v>913</v>
      </c>
      <c r="E422" s="19" t="s">
        <v>39</v>
      </c>
      <c r="F422" s="18" t="s">
        <v>13</v>
      </c>
      <c r="G422" s="29"/>
      <c r="H422" s="32" t="str">
        <f>IF(Prueba[[#This Row],[Cant.]]=0,"",IF(OR(Prueba[[#This Row],[Cant.2]]="",Prueba[[#This Row],[Puesto2]]=""),"?",Prueba[[#This Row],[Puesto2]]))</f>
        <v/>
      </c>
      <c r="I422" s="31"/>
      <c r="J422" s="32"/>
      <c r="K422" s="14">
        <v>1</v>
      </c>
      <c r="L422" s="14"/>
      <c r="M422" s="31">
        <v>1</v>
      </c>
      <c r="N422" s="32">
        <f>IF(Prueba[[#This Row],[Cant.4]]=0,"",IF(OR(Prueba[[#This Row],[Cant.6]]="",Prueba[[#This Row],[Puesto6]]=""),"?",Prueba[[#This Row],[Puesto6]]))</f>
        <v>0</v>
      </c>
      <c r="O422" s="31">
        <v>1</v>
      </c>
      <c r="P422" s="32">
        <f>IF(Prueba[[#This Row],[Cant.5]]=0,"",IF(OR(Prueba[[#This Row],[Cant.6]]="",Prueba[[#This Row],[Puesto6]]=""),"?",Prueba[[#This Row],[Puesto6]]))</f>
        <v>0</v>
      </c>
      <c r="Q422" s="31">
        <v>1</v>
      </c>
      <c r="R422" s="32">
        <v>0</v>
      </c>
      <c r="S422" s="14">
        <v>1</v>
      </c>
      <c r="T422" s="14">
        <v>0</v>
      </c>
      <c r="U422" s="31"/>
      <c r="V422" s="32" t="s">
        <v>1663</v>
      </c>
      <c r="W422" s="19"/>
      <c r="X422" s="19" t="s">
        <v>1667</v>
      </c>
      <c r="Y422" s="19" t="s">
        <v>1663</v>
      </c>
      <c r="Z422" s="19" t="s">
        <v>1663</v>
      </c>
      <c r="AA422" s="19" t="s">
        <v>1663</v>
      </c>
      <c r="AB422" s="19" t="s">
        <v>1663</v>
      </c>
    </row>
    <row r="423" spans="1:28" s="18" customFormat="1">
      <c r="A423" s="18" t="s">
        <v>914</v>
      </c>
      <c r="B423" s="18" t="s">
        <v>9</v>
      </c>
      <c r="C423" s="18" t="s">
        <v>912</v>
      </c>
      <c r="D423" s="18" t="s">
        <v>913</v>
      </c>
      <c r="E423" s="19" t="s">
        <v>39</v>
      </c>
      <c r="F423" s="18" t="s">
        <v>13</v>
      </c>
      <c r="G423" s="29"/>
      <c r="H423" s="32" t="str">
        <f>IF(Prueba[[#This Row],[Cant.]]=0,"",IF(OR(Prueba[[#This Row],[Cant.2]]="",Prueba[[#This Row],[Puesto2]]=""),"?",Prueba[[#This Row],[Puesto2]]))</f>
        <v/>
      </c>
      <c r="I423" s="31"/>
      <c r="J423" s="32"/>
      <c r="K423" s="14">
        <v>1</v>
      </c>
      <c r="L423" s="14"/>
      <c r="M423" s="31">
        <v>1</v>
      </c>
      <c r="N423" s="32">
        <f>IF(Prueba[[#This Row],[Cant.4]]=0,"",IF(OR(Prueba[[#This Row],[Cant.6]]="",Prueba[[#This Row],[Puesto6]]=""),"?",Prueba[[#This Row],[Puesto6]]))</f>
        <v>0</v>
      </c>
      <c r="O423" s="31">
        <v>1</v>
      </c>
      <c r="P423" s="32">
        <f>IF(Prueba[[#This Row],[Cant.5]]=0,"",IF(OR(Prueba[[#This Row],[Cant.6]]="",Prueba[[#This Row],[Puesto6]]=""),"?",Prueba[[#This Row],[Puesto6]]))</f>
        <v>0</v>
      </c>
      <c r="Q423" s="31">
        <v>1</v>
      </c>
      <c r="R423" s="32">
        <v>0</v>
      </c>
      <c r="S423" s="14">
        <v>1</v>
      </c>
      <c r="T423" s="14">
        <v>0</v>
      </c>
      <c r="U423" s="31"/>
      <c r="V423" s="32" t="s">
        <v>1663</v>
      </c>
      <c r="W423" s="19"/>
      <c r="X423" s="19" t="s">
        <v>1667</v>
      </c>
      <c r="Y423" s="19" t="s">
        <v>1663</v>
      </c>
      <c r="Z423" s="19" t="s">
        <v>1663</v>
      </c>
      <c r="AA423" s="19" t="s">
        <v>1663</v>
      </c>
      <c r="AB423" s="19" t="s">
        <v>1663</v>
      </c>
    </row>
    <row r="424" spans="1:28" s="18" customFormat="1" ht="15" thickBot="1">
      <c r="A424" s="18" t="s">
        <v>915</v>
      </c>
      <c r="B424" s="18" t="s">
        <v>9</v>
      </c>
      <c r="C424" s="18" t="s">
        <v>916</v>
      </c>
      <c r="D424" s="18" t="s">
        <v>917</v>
      </c>
      <c r="E424" s="103" t="s">
        <v>790</v>
      </c>
      <c r="F424" s="18" t="s">
        <v>13</v>
      </c>
      <c r="G424" s="29"/>
      <c r="H424" s="32" t="str">
        <f>IF(Prueba[[#This Row],[Cant.]]=0,"",IF(OR(Prueba[[#This Row],[Cant.2]]="",Prueba[[#This Row],[Puesto2]]=""),"?",Prueba[[#This Row],[Puesto2]]))</f>
        <v/>
      </c>
      <c r="I424" s="31"/>
      <c r="J424" s="32"/>
      <c r="K424" s="14">
        <v>1</v>
      </c>
      <c r="L424" s="14"/>
      <c r="M424" s="31">
        <v>1</v>
      </c>
      <c r="N424" s="32" t="str">
        <f>IF(Prueba[[#This Row],[Cant.4]]=0,"",IF(OR(Prueba[[#This Row],[Cant.6]]="",Prueba[[#This Row],[Puesto6]]=""),"?",Prueba[[#This Row],[Puesto6]]))</f>
        <v>D</v>
      </c>
      <c r="O424" s="31">
        <v>1</v>
      </c>
      <c r="P424" s="32" t="str">
        <f>IF(Prueba[[#This Row],[Cant.5]]=0,"",IF(OR(Prueba[[#This Row],[Cant.6]]="",Prueba[[#This Row],[Puesto6]]=""),"?",Prueba[[#This Row],[Puesto6]]))</f>
        <v>D</v>
      </c>
      <c r="Q424" s="31">
        <v>1</v>
      </c>
      <c r="R424" s="32" t="s">
        <v>1399</v>
      </c>
      <c r="S424" s="14">
        <v>1</v>
      </c>
      <c r="T424" s="14" t="s">
        <v>1399</v>
      </c>
      <c r="U424" s="31"/>
      <c r="V424" s="32" t="s">
        <v>1663</v>
      </c>
      <c r="W424" s="19"/>
      <c r="X424" s="19" t="s">
        <v>1667</v>
      </c>
      <c r="Y424" s="19" t="s">
        <v>1663</v>
      </c>
      <c r="Z424" s="19" t="s">
        <v>1663</v>
      </c>
      <c r="AA424" s="19" t="s">
        <v>1663</v>
      </c>
      <c r="AB424" s="19" t="s">
        <v>1663</v>
      </c>
    </row>
    <row r="425" spans="1:28" s="18" customFormat="1">
      <c r="A425" s="18" t="s">
        <v>918</v>
      </c>
      <c r="B425" s="18" t="s">
        <v>9</v>
      </c>
      <c r="C425" s="18" t="s">
        <v>306</v>
      </c>
      <c r="D425" s="18" t="s">
        <v>321</v>
      </c>
      <c r="E425" s="19" t="s">
        <v>790</v>
      </c>
      <c r="F425" s="18" t="s">
        <v>13</v>
      </c>
      <c r="G425" s="29"/>
      <c r="H425" s="32" t="str">
        <f>IF(Prueba[[#This Row],[Cant.]]=0,"",IF(OR(Prueba[[#This Row],[Cant.2]]="",Prueba[[#This Row],[Puesto2]]=""),"?",Prueba[[#This Row],[Puesto2]]))</f>
        <v/>
      </c>
      <c r="I425" s="31"/>
      <c r="J425" s="32"/>
      <c r="K425" s="14">
        <v>1</v>
      </c>
      <c r="L425" s="14"/>
      <c r="M425" s="31">
        <v>1</v>
      </c>
      <c r="N425" s="32" t="str">
        <f>IF(Prueba[[#This Row],[Cant.4]]=0,"",IF(OR(Prueba[[#This Row],[Cant.6]]="",Prueba[[#This Row],[Puesto6]]=""),"?",Prueba[[#This Row],[Puesto6]]))</f>
        <v>D</v>
      </c>
      <c r="O425" s="31">
        <v>1</v>
      </c>
      <c r="P425" s="32" t="str">
        <f>IF(Prueba[[#This Row],[Cant.5]]=0,"",IF(OR(Prueba[[#This Row],[Cant.6]]="",Prueba[[#This Row],[Puesto6]]=""),"?",Prueba[[#This Row],[Puesto6]]))</f>
        <v>D</v>
      </c>
      <c r="Q425" s="31">
        <v>1</v>
      </c>
      <c r="R425" s="32" t="s">
        <v>1399</v>
      </c>
      <c r="S425" s="14">
        <v>1</v>
      </c>
      <c r="T425" s="14" t="s">
        <v>1399</v>
      </c>
      <c r="U425" s="31"/>
      <c r="V425" s="32" t="s">
        <v>1663</v>
      </c>
      <c r="W425" s="19"/>
      <c r="X425" s="19" t="s">
        <v>1667</v>
      </c>
      <c r="Y425" s="19" t="s">
        <v>1663</v>
      </c>
      <c r="Z425" s="19" t="s">
        <v>1663</v>
      </c>
      <c r="AA425" s="19" t="s">
        <v>1663</v>
      </c>
      <c r="AB425" s="19" t="s">
        <v>1663</v>
      </c>
    </row>
    <row r="426" spans="1:28" s="18" customFormat="1">
      <c r="A426" s="18" t="s">
        <v>919</v>
      </c>
      <c r="B426" s="18" t="s">
        <v>9</v>
      </c>
      <c r="C426" s="18" t="s">
        <v>306</v>
      </c>
      <c r="D426" s="18" t="s">
        <v>321</v>
      </c>
      <c r="E426" s="19" t="s">
        <v>790</v>
      </c>
      <c r="F426" s="18" t="s">
        <v>13</v>
      </c>
      <c r="G426" s="29"/>
      <c r="H426" s="32" t="str">
        <f>IF(Prueba[[#This Row],[Cant.]]=0,"",IF(OR(Prueba[[#This Row],[Cant.2]]="",Prueba[[#This Row],[Puesto2]]=""),"?",Prueba[[#This Row],[Puesto2]]))</f>
        <v/>
      </c>
      <c r="I426" s="31"/>
      <c r="J426" s="32"/>
      <c r="K426" s="14">
        <v>1</v>
      </c>
      <c r="L426" s="14"/>
      <c r="M426" s="31">
        <v>1</v>
      </c>
      <c r="N426" s="32" t="str">
        <f>IF(Prueba[[#This Row],[Cant.4]]=0,"",IF(OR(Prueba[[#This Row],[Cant.6]]="",Prueba[[#This Row],[Puesto6]]=""),"?",Prueba[[#This Row],[Puesto6]]))</f>
        <v>D</v>
      </c>
      <c r="O426" s="31">
        <v>1</v>
      </c>
      <c r="P426" s="32" t="str">
        <f>IF(Prueba[[#This Row],[Cant.5]]=0,"",IF(OR(Prueba[[#This Row],[Cant.6]]="",Prueba[[#This Row],[Puesto6]]=""),"?",Prueba[[#This Row],[Puesto6]]))</f>
        <v>D</v>
      </c>
      <c r="Q426" s="31">
        <v>1</v>
      </c>
      <c r="R426" s="32" t="s">
        <v>1399</v>
      </c>
      <c r="S426" s="14">
        <v>1</v>
      </c>
      <c r="T426" s="14" t="s">
        <v>1399</v>
      </c>
      <c r="U426" s="31"/>
      <c r="V426" s="32" t="s">
        <v>1663</v>
      </c>
      <c r="W426" s="19"/>
      <c r="X426" s="19" t="s">
        <v>1667</v>
      </c>
      <c r="Y426" s="19" t="s">
        <v>1663</v>
      </c>
      <c r="Z426" s="19" t="s">
        <v>1663</v>
      </c>
      <c r="AA426" s="19" t="s">
        <v>1663</v>
      </c>
      <c r="AB426" s="19" t="s">
        <v>1663</v>
      </c>
    </row>
    <row r="427" spans="1:28" s="18" customFormat="1">
      <c r="A427" s="18" t="s">
        <v>920</v>
      </c>
      <c r="B427" s="18" t="s">
        <v>9</v>
      </c>
      <c r="C427" s="18" t="s">
        <v>921</v>
      </c>
      <c r="D427" s="18" t="s">
        <v>922</v>
      </c>
      <c r="E427" s="19" t="s">
        <v>923</v>
      </c>
      <c r="F427" s="18" t="s">
        <v>13</v>
      </c>
      <c r="G427" s="29"/>
      <c r="H427" s="32" t="str">
        <f>IF(Prueba[[#This Row],[Cant.]]=0,"",IF(OR(Prueba[[#This Row],[Cant.2]]="",Prueba[[#This Row],[Puesto2]]=""),"?",Prueba[[#This Row],[Puesto2]]))</f>
        <v/>
      </c>
      <c r="I427" s="31"/>
      <c r="J427" s="32"/>
      <c r="K427" s="14">
        <v>1</v>
      </c>
      <c r="L427" s="14"/>
      <c r="M427" s="31">
        <v>1</v>
      </c>
      <c r="N427" s="32" t="str">
        <f>IF(Prueba[[#This Row],[Cant.4]]=0,"",IF(OR(Prueba[[#This Row],[Cant.6]]="",Prueba[[#This Row],[Puesto6]]=""),"?",Prueba[[#This Row],[Puesto6]]))</f>
        <v>D</v>
      </c>
      <c r="O427" s="31">
        <v>1</v>
      </c>
      <c r="P427" s="32" t="str">
        <f>IF(Prueba[[#This Row],[Cant.5]]=0,"",IF(OR(Prueba[[#This Row],[Cant.6]]="",Prueba[[#This Row],[Puesto6]]=""),"?",Prueba[[#This Row],[Puesto6]]))</f>
        <v>D</v>
      </c>
      <c r="Q427" s="31">
        <v>1</v>
      </c>
      <c r="R427" s="32" t="s">
        <v>1399</v>
      </c>
      <c r="S427" s="14"/>
      <c r="T427" s="14"/>
      <c r="U427" s="31"/>
      <c r="V427" s="32" t="s">
        <v>1663</v>
      </c>
      <c r="W427" s="19"/>
      <c r="X427" s="19" t="s">
        <v>1667</v>
      </c>
      <c r="Y427" s="19" t="s">
        <v>1663</v>
      </c>
      <c r="Z427" s="19" t="s">
        <v>1663</v>
      </c>
      <c r="AA427" s="19" t="s">
        <v>1663</v>
      </c>
      <c r="AB427" s="19" t="s">
        <v>1663</v>
      </c>
    </row>
    <row r="428" spans="1:28" s="18" customFormat="1">
      <c r="A428" s="18" t="s">
        <v>924</v>
      </c>
      <c r="B428" s="18" t="s">
        <v>9</v>
      </c>
      <c r="C428" s="18" t="s">
        <v>84</v>
      </c>
      <c r="D428" s="18" t="s">
        <v>925</v>
      </c>
      <c r="E428" s="19" t="s">
        <v>12</v>
      </c>
      <c r="F428" s="18" t="s">
        <v>13</v>
      </c>
      <c r="G428" s="29"/>
      <c r="H428" s="32" t="str">
        <f>IF(Prueba[[#This Row],[Cant.]]=0,"",IF(OR(Prueba[[#This Row],[Cant.2]]="",Prueba[[#This Row],[Puesto2]]=""),"?",Prueba[[#This Row],[Puesto2]]))</f>
        <v/>
      </c>
      <c r="I428" s="31"/>
      <c r="J428" s="32"/>
      <c r="K428" s="14">
        <v>1</v>
      </c>
      <c r="L428" s="14"/>
      <c r="M428" s="31">
        <v>1</v>
      </c>
      <c r="N428" s="32">
        <f>IF(Prueba[[#This Row],[Cant.4]]=0,"",IF(OR(Prueba[[#This Row],[Cant.6]]="",Prueba[[#This Row],[Puesto6]]=""),"?",Prueba[[#This Row],[Puesto6]]))</f>
        <v>6</v>
      </c>
      <c r="O428" s="31">
        <v>1</v>
      </c>
      <c r="P428" s="32">
        <f>IF(Prueba[[#This Row],[Cant.5]]=0,"",IF(OR(Prueba[[#This Row],[Cant.6]]="",Prueba[[#This Row],[Puesto6]]=""),"?",Prueba[[#This Row],[Puesto6]]))</f>
        <v>6</v>
      </c>
      <c r="Q428" s="31">
        <v>1</v>
      </c>
      <c r="R428" s="32">
        <v>6</v>
      </c>
      <c r="S428" s="14">
        <v>1</v>
      </c>
      <c r="T428" s="14">
        <v>6</v>
      </c>
      <c r="U428" s="31"/>
      <c r="V428" s="32" t="s">
        <v>1663</v>
      </c>
      <c r="W428" s="19"/>
      <c r="X428" s="19" t="s">
        <v>1667</v>
      </c>
      <c r="Y428" s="19" t="s">
        <v>1663</v>
      </c>
      <c r="Z428" s="19" t="s">
        <v>1663</v>
      </c>
      <c r="AA428" s="19" t="s">
        <v>1663</v>
      </c>
      <c r="AB428" s="19" t="s">
        <v>1663</v>
      </c>
    </row>
    <row r="429" spans="1:28" s="18" customFormat="1">
      <c r="A429" s="18" t="s">
        <v>926</v>
      </c>
      <c r="B429" s="18" t="s">
        <v>9</v>
      </c>
      <c r="C429" s="18" t="s">
        <v>318</v>
      </c>
      <c r="D429" s="18" t="s">
        <v>321</v>
      </c>
      <c r="E429" s="19" t="s">
        <v>790</v>
      </c>
      <c r="F429" s="18" t="s">
        <v>13</v>
      </c>
      <c r="G429" s="29"/>
      <c r="H429" s="32" t="str">
        <f>IF(Prueba[[#This Row],[Cant.]]=0,"",IF(OR(Prueba[[#This Row],[Cant.2]]="",Prueba[[#This Row],[Puesto2]]=""),"?",Prueba[[#This Row],[Puesto2]]))</f>
        <v/>
      </c>
      <c r="I429" s="31"/>
      <c r="J429" s="32"/>
      <c r="K429" s="14">
        <v>1</v>
      </c>
      <c r="L429" s="14"/>
      <c r="M429" s="31">
        <v>1</v>
      </c>
      <c r="N429" s="32" t="str">
        <f>IF(Prueba[[#This Row],[Cant.4]]=0,"",IF(OR(Prueba[[#This Row],[Cant.6]]="",Prueba[[#This Row],[Puesto6]]=""),"?",Prueba[[#This Row],[Puesto6]]))</f>
        <v>D</v>
      </c>
      <c r="O429" s="31">
        <v>1</v>
      </c>
      <c r="P429" s="32" t="str">
        <f>IF(Prueba[[#This Row],[Cant.5]]=0,"",IF(OR(Prueba[[#This Row],[Cant.6]]="",Prueba[[#This Row],[Puesto6]]=""),"?",Prueba[[#This Row],[Puesto6]]))</f>
        <v>D</v>
      </c>
      <c r="Q429" s="31">
        <v>1</v>
      </c>
      <c r="R429" s="32" t="s">
        <v>1399</v>
      </c>
      <c r="S429" s="14"/>
      <c r="T429" s="14"/>
      <c r="U429" s="31"/>
      <c r="V429" s="32" t="s">
        <v>1663</v>
      </c>
      <c r="W429" s="19"/>
      <c r="X429" s="19" t="s">
        <v>1667</v>
      </c>
      <c r="Y429" s="19" t="s">
        <v>1663</v>
      </c>
      <c r="Z429" s="19" t="s">
        <v>1663</v>
      </c>
      <c r="AA429" s="19" t="s">
        <v>1663</v>
      </c>
      <c r="AB429" s="19" t="s">
        <v>1663</v>
      </c>
    </row>
    <row r="430" spans="1:28" s="18" customFormat="1">
      <c r="A430" s="18" t="s">
        <v>927</v>
      </c>
      <c r="B430" s="18" t="s">
        <v>9</v>
      </c>
      <c r="C430" s="18" t="s">
        <v>318</v>
      </c>
      <c r="D430" s="18" t="s">
        <v>321</v>
      </c>
      <c r="E430" s="19" t="s">
        <v>790</v>
      </c>
      <c r="F430" s="18" t="s">
        <v>13</v>
      </c>
      <c r="G430" s="29"/>
      <c r="H430" s="32" t="str">
        <f>IF(Prueba[[#This Row],[Cant.]]=0,"",IF(OR(Prueba[[#This Row],[Cant.2]]="",Prueba[[#This Row],[Puesto2]]=""),"?",Prueba[[#This Row],[Puesto2]]))</f>
        <v/>
      </c>
      <c r="I430" s="31"/>
      <c r="J430" s="32"/>
      <c r="K430" s="14">
        <v>1</v>
      </c>
      <c r="L430" s="14"/>
      <c r="M430" s="31">
        <v>1</v>
      </c>
      <c r="N430" s="32" t="str">
        <f>IF(Prueba[[#This Row],[Cant.4]]=0,"",IF(OR(Prueba[[#This Row],[Cant.6]]="",Prueba[[#This Row],[Puesto6]]=""),"?",Prueba[[#This Row],[Puesto6]]))</f>
        <v>D</v>
      </c>
      <c r="O430" s="31">
        <v>1</v>
      </c>
      <c r="P430" s="32" t="str">
        <f>IF(Prueba[[#This Row],[Cant.5]]=0,"",IF(OR(Prueba[[#This Row],[Cant.6]]="",Prueba[[#This Row],[Puesto6]]=""),"?",Prueba[[#This Row],[Puesto6]]))</f>
        <v>D</v>
      </c>
      <c r="Q430" s="31">
        <v>1</v>
      </c>
      <c r="R430" s="32" t="s">
        <v>1399</v>
      </c>
      <c r="S430" s="14"/>
      <c r="T430" s="14"/>
      <c r="U430" s="31"/>
      <c r="V430" s="32" t="s">
        <v>1663</v>
      </c>
      <c r="W430" s="19"/>
      <c r="X430" s="19" t="s">
        <v>1667</v>
      </c>
      <c r="Y430" s="19" t="s">
        <v>1663</v>
      </c>
      <c r="Z430" s="19" t="s">
        <v>1663</v>
      </c>
      <c r="AA430" s="19" t="s">
        <v>1663</v>
      </c>
      <c r="AB430" s="19" t="s">
        <v>1663</v>
      </c>
    </row>
    <row r="431" spans="1:28" s="18" customFormat="1">
      <c r="A431" s="18" t="s">
        <v>928</v>
      </c>
      <c r="B431" s="18" t="s">
        <v>9</v>
      </c>
      <c r="C431" s="18" t="s">
        <v>929</v>
      </c>
      <c r="D431" s="18" t="s">
        <v>930</v>
      </c>
      <c r="E431" s="19" t="s">
        <v>790</v>
      </c>
      <c r="F431" s="18" t="s">
        <v>13</v>
      </c>
      <c r="G431" s="29"/>
      <c r="H431" s="32" t="str">
        <f>IF(Prueba[[#This Row],[Cant.]]=0,"",IF(OR(Prueba[[#This Row],[Cant.2]]="",Prueba[[#This Row],[Puesto2]]=""),"?",Prueba[[#This Row],[Puesto2]]))</f>
        <v/>
      </c>
      <c r="I431" s="31"/>
      <c r="J431" s="32"/>
      <c r="K431" s="14">
        <v>2</v>
      </c>
      <c r="L431" s="14"/>
      <c r="M431" s="31">
        <v>2</v>
      </c>
      <c r="N431" s="32" t="str">
        <f>IF(Prueba[[#This Row],[Cant.4]]=0,"",IF(OR(Prueba[[#This Row],[Cant.6]]="",Prueba[[#This Row],[Puesto6]]=""),"?",Prueba[[#This Row],[Puesto6]]))</f>
        <v>D</v>
      </c>
      <c r="O431" s="31">
        <v>2</v>
      </c>
      <c r="P431" s="32" t="str">
        <f>IF(Prueba[[#This Row],[Cant.5]]=0,"",IF(OR(Prueba[[#This Row],[Cant.6]]="",Prueba[[#This Row],[Puesto6]]=""),"?",Prueba[[#This Row],[Puesto6]]))</f>
        <v>D</v>
      </c>
      <c r="Q431" s="31">
        <v>2</v>
      </c>
      <c r="R431" s="32" t="s">
        <v>1399</v>
      </c>
      <c r="S431" s="14">
        <v>2</v>
      </c>
      <c r="T431" s="14" t="s">
        <v>1399</v>
      </c>
      <c r="U431" s="31"/>
      <c r="V431" s="32" t="s">
        <v>1663</v>
      </c>
      <c r="W431" s="19"/>
      <c r="X431" s="19" t="s">
        <v>1667</v>
      </c>
      <c r="Y431" s="19" t="s">
        <v>1663</v>
      </c>
      <c r="Z431" s="19" t="s">
        <v>1663</v>
      </c>
      <c r="AA431" s="19" t="s">
        <v>1663</v>
      </c>
      <c r="AB431" s="19" t="s">
        <v>1663</v>
      </c>
    </row>
    <row r="432" spans="1:28" s="18" customFormat="1">
      <c r="A432" s="18" t="s">
        <v>931</v>
      </c>
      <c r="B432" s="18" t="s">
        <v>9</v>
      </c>
      <c r="C432" s="18" t="s">
        <v>932</v>
      </c>
      <c r="D432" s="18" t="s">
        <v>933</v>
      </c>
      <c r="E432" s="19" t="s">
        <v>790</v>
      </c>
      <c r="F432" s="18" t="s">
        <v>13</v>
      </c>
      <c r="G432" s="29"/>
      <c r="H432" s="32" t="str">
        <f>IF(Prueba[[#This Row],[Cant.]]=0,"",IF(OR(Prueba[[#This Row],[Cant.2]]="",Prueba[[#This Row],[Puesto2]]=""),"?",Prueba[[#This Row],[Puesto2]]))</f>
        <v/>
      </c>
      <c r="I432" s="31"/>
      <c r="J432" s="32"/>
      <c r="K432" s="14">
        <v>1</v>
      </c>
      <c r="L432" s="14"/>
      <c r="M432" s="31"/>
      <c r="N432" s="32" t="str">
        <f>IF(Prueba[[#This Row],[Cant.4]]=0,"",IF(OR(Prueba[[#This Row],[Cant.6]]="",Prueba[[#This Row],[Puesto6]]=""),"?",Prueba[[#This Row],[Puesto6]]))</f>
        <v/>
      </c>
      <c r="O432" s="31">
        <v>1</v>
      </c>
      <c r="P432" s="32">
        <v>6</v>
      </c>
      <c r="Q432" s="31"/>
      <c r="R432" s="32"/>
      <c r="S432" s="14"/>
      <c r="T432" s="14"/>
      <c r="U432" s="31"/>
      <c r="V432" s="32" t="s">
        <v>1663</v>
      </c>
      <c r="W432" s="19"/>
      <c r="X432" s="19" t="s">
        <v>1667</v>
      </c>
      <c r="Y432" s="19" t="s">
        <v>1663</v>
      </c>
      <c r="Z432" s="19" t="s">
        <v>1663</v>
      </c>
      <c r="AA432" s="19" t="s">
        <v>1663</v>
      </c>
      <c r="AB432" s="19" t="s">
        <v>1663</v>
      </c>
    </row>
    <row r="433" spans="1:28" s="18" customFormat="1">
      <c r="A433" s="18" t="s">
        <v>934</v>
      </c>
      <c r="B433" s="18" t="s">
        <v>9</v>
      </c>
      <c r="C433" s="18" t="s">
        <v>811</v>
      </c>
      <c r="D433" s="18" t="s">
        <v>812</v>
      </c>
      <c r="E433" s="19" t="s">
        <v>22</v>
      </c>
      <c r="F433" s="18" t="s">
        <v>13</v>
      </c>
      <c r="G433" s="29"/>
      <c r="H433" s="32" t="str">
        <f>IF(Prueba[[#This Row],[Cant.]]=0,"",IF(OR(Prueba[[#This Row],[Cant.2]]="",Prueba[[#This Row],[Puesto2]]=""),"?",Prueba[[#This Row],[Puesto2]]))</f>
        <v/>
      </c>
      <c r="I433" s="31"/>
      <c r="J433" s="32"/>
      <c r="K433" s="14">
        <v>2</v>
      </c>
      <c r="L433" s="14"/>
      <c r="M433" s="31">
        <v>2</v>
      </c>
      <c r="N433" s="32" t="str">
        <f>IF(Prueba[[#This Row],[Cant.4]]=0,"",IF(OR(Prueba[[#This Row],[Cant.6]]="",Prueba[[#This Row],[Puesto6]]=""),"?",Prueba[[#This Row],[Puesto6]]))</f>
        <v>D</v>
      </c>
      <c r="O433" s="31">
        <v>2</v>
      </c>
      <c r="P433" s="32" t="str">
        <f>IF(Prueba[[#This Row],[Cant.5]]=0,"",IF(OR(Prueba[[#This Row],[Cant.6]]="",Prueba[[#This Row],[Puesto6]]=""),"?",Prueba[[#This Row],[Puesto6]]))</f>
        <v>D</v>
      </c>
      <c r="Q433" s="31">
        <v>2</v>
      </c>
      <c r="R433" s="32" t="s">
        <v>1399</v>
      </c>
      <c r="S433" s="14">
        <v>2</v>
      </c>
      <c r="T433" s="14" t="s">
        <v>1399</v>
      </c>
      <c r="U433" s="31"/>
      <c r="V433" s="32" t="s">
        <v>1663</v>
      </c>
      <c r="W433" s="19">
        <v>16</v>
      </c>
      <c r="X433" s="19" t="s">
        <v>1664</v>
      </c>
      <c r="Y433" s="19" t="s">
        <v>1663</v>
      </c>
      <c r="Z433" s="19" t="s">
        <v>1663</v>
      </c>
      <c r="AA433" s="19" t="s">
        <v>1663</v>
      </c>
      <c r="AB433" s="19" t="s">
        <v>1663</v>
      </c>
    </row>
    <row r="434" spans="1:28" s="18" customFormat="1">
      <c r="A434" s="18" t="s">
        <v>935</v>
      </c>
      <c r="B434" s="18" t="s">
        <v>9</v>
      </c>
      <c r="C434" s="18" t="s">
        <v>936</v>
      </c>
      <c r="D434" s="18" t="s">
        <v>937</v>
      </c>
      <c r="E434" s="19" t="s">
        <v>790</v>
      </c>
      <c r="F434" s="18" t="s">
        <v>13</v>
      </c>
      <c r="G434" s="29"/>
      <c r="H434" s="32" t="str">
        <f>IF(Prueba[[#This Row],[Cant.]]=0,"",IF(OR(Prueba[[#This Row],[Cant.2]]="",Prueba[[#This Row],[Puesto2]]=""),"?",Prueba[[#This Row],[Puesto2]]))</f>
        <v/>
      </c>
      <c r="I434" s="31"/>
      <c r="J434" s="32"/>
      <c r="K434" s="14">
        <v>1</v>
      </c>
      <c r="L434" s="14"/>
      <c r="M434" s="31"/>
      <c r="N434" s="32" t="str">
        <f>IF(Prueba[[#This Row],[Cant.4]]=0,"",IF(OR(Prueba[[#This Row],[Cant.6]]="",Prueba[[#This Row],[Puesto6]]=""),"?",Prueba[[#This Row],[Puesto6]]))</f>
        <v/>
      </c>
      <c r="O434" s="31">
        <v>1</v>
      </c>
      <c r="P434" s="32">
        <v>6</v>
      </c>
      <c r="Q434" s="31"/>
      <c r="R434" s="32"/>
      <c r="S434" s="14"/>
      <c r="T434" s="14"/>
      <c r="U434" s="31"/>
      <c r="V434" s="32" t="s">
        <v>1663</v>
      </c>
      <c r="W434" s="19"/>
      <c r="X434" s="19" t="s">
        <v>1667</v>
      </c>
      <c r="Y434" s="19" t="s">
        <v>1663</v>
      </c>
      <c r="Z434" s="19" t="s">
        <v>1663</v>
      </c>
      <c r="AA434" s="19" t="s">
        <v>1663</v>
      </c>
      <c r="AB434" s="19" t="s">
        <v>1663</v>
      </c>
    </row>
    <row r="435" spans="1:28" s="18" customFormat="1">
      <c r="A435" s="18" t="s">
        <v>1921</v>
      </c>
      <c r="B435" s="18" t="s">
        <v>1806</v>
      </c>
      <c r="C435" s="18" t="s">
        <v>1922</v>
      </c>
      <c r="D435" s="18" t="s">
        <v>1923</v>
      </c>
      <c r="E435" s="19" t="s">
        <v>308</v>
      </c>
      <c r="F435" s="18" t="s">
        <v>13</v>
      </c>
      <c r="G435" s="29"/>
      <c r="H435" s="32" t="str">
        <f>IF(Prueba[[#This Row],[Cant.]]=0,"",IF(OR(Prueba[[#This Row],[Cant.2]]="",Prueba[[#This Row],[Puesto2]]=""),"?",Prueba[[#This Row],[Puesto2]]))</f>
        <v/>
      </c>
      <c r="I435" s="31"/>
      <c r="J435" s="32"/>
      <c r="K435" s="14"/>
      <c r="L435" s="14"/>
      <c r="M435" s="31">
        <v>1</v>
      </c>
      <c r="N435" s="32">
        <f>IF(Prueba[[#This Row],[Cant.4]]=0,"",IF(OR(Prueba[[#This Row],[Cant.6]]="",Prueba[[#This Row],[Puesto6]]=""),"?",Prueba[[#This Row],[Puesto6]]))</f>
        <v>6</v>
      </c>
      <c r="O435" s="31"/>
      <c r="P435" s="32"/>
      <c r="Q435" s="31">
        <v>1</v>
      </c>
      <c r="R435" s="32">
        <v>6</v>
      </c>
      <c r="S435" s="14">
        <v>1</v>
      </c>
      <c r="T435" s="14">
        <v>6</v>
      </c>
      <c r="U435" s="31"/>
      <c r="V435" s="32" t="s">
        <v>1663</v>
      </c>
      <c r="W435" s="19"/>
      <c r="X435" s="19" t="s">
        <v>1667</v>
      </c>
      <c r="Y435" s="19" t="s">
        <v>1663</v>
      </c>
      <c r="Z435" s="19" t="s">
        <v>1663</v>
      </c>
      <c r="AA435" s="19" t="s">
        <v>1663</v>
      </c>
      <c r="AB435" s="19" t="s">
        <v>1663</v>
      </c>
    </row>
    <row r="436" spans="1:28" s="18" customFormat="1">
      <c r="A436" s="18" t="s">
        <v>938</v>
      </c>
      <c r="B436" s="18" t="s">
        <v>9</v>
      </c>
      <c r="C436" s="18" t="s">
        <v>936</v>
      </c>
      <c r="D436" s="18" t="s">
        <v>939</v>
      </c>
      <c r="E436" s="19" t="s">
        <v>790</v>
      </c>
      <c r="F436" s="18" t="s">
        <v>13</v>
      </c>
      <c r="G436" s="29"/>
      <c r="H436" s="32" t="str">
        <f>IF(Prueba[[#This Row],[Cant.]]=0,"",IF(OR(Prueba[[#This Row],[Cant.2]]="",Prueba[[#This Row],[Puesto2]]=""),"?",Prueba[[#This Row],[Puesto2]]))</f>
        <v/>
      </c>
      <c r="I436" s="31"/>
      <c r="J436" s="32"/>
      <c r="K436" s="14">
        <v>1</v>
      </c>
      <c r="L436" s="14"/>
      <c r="M436" s="31"/>
      <c r="N436" s="32" t="str">
        <f>IF(Prueba[[#This Row],[Cant.4]]=0,"",IF(OR(Prueba[[#This Row],[Cant.6]]="",Prueba[[#This Row],[Puesto6]]=""),"?",Prueba[[#This Row],[Puesto6]]))</f>
        <v/>
      </c>
      <c r="O436" s="31">
        <v>1</v>
      </c>
      <c r="P436" s="32">
        <v>6</v>
      </c>
      <c r="Q436" s="31"/>
      <c r="R436" s="32"/>
      <c r="S436" s="14"/>
      <c r="T436" s="14"/>
      <c r="U436" s="31"/>
      <c r="V436" s="32" t="s">
        <v>1663</v>
      </c>
      <c r="W436" s="19"/>
      <c r="X436" s="19" t="s">
        <v>1667</v>
      </c>
      <c r="Y436" s="19" t="s">
        <v>1663</v>
      </c>
      <c r="Z436" s="19" t="s">
        <v>1663</v>
      </c>
      <c r="AA436" s="19" t="s">
        <v>1663</v>
      </c>
      <c r="AB436" s="19" t="s">
        <v>1663</v>
      </c>
    </row>
    <row r="437" spans="1:28" s="18" customFormat="1">
      <c r="A437" s="18" t="s">
        <v>1924</v>
      </c>
      <c r="B437" s="18" t="s">
        <v>1806</v>
      </c>
      <c r="C437" s="18" t="s">
        <v>1922</v>
      </c>
      <c r="D437" s="18" t="s">
        <v>1923</v>
      </c>
      <c r="E437" s="19" t="s">
        <v>308</v>
      </c>
      <c r="F437" s="18" t="s">
        <v>13</v>
      </c>
      <c r="G437" s="29"/>
      <c r="H437" s="32" t="str">
        <f>IF(Prueba[[#This Row],[Cant.]]=0,"",IF(OR(Prueba[[#This Row],[Cant.2]]="",Prueba[[#This Row],[Puesto2]]=""),"?",Prueba[[#This Row],[Puesto2]]))</f>
        <v/>
      </c>
      <c r="I437" s="31"/>
      <c r="J437" s="32"/>
      <c r="K437" s="14"/>
      <c r="L437" s="14"/>
      <c r="M437" s="31">
        <v>1</v>
      </c>
      <c r="N437" s="32">
        <f>IF(Prueba[[#This Row],[Cant.4]]=0,"",IF(OR(Prueba[[#This Row],[Cant.6]]="",Prueba[[#This Row],[Puesto6]]=""),"?",Prueba[[#This Row],[Puesto6]]))</f>
        <v>6</v>
      </c>
      <c r="O437" s="31"/>
      <c r="P437" s="32" t="str">
        <f>IF(Prueba[[#This Row],[Cant.5]]=0,"",IF(OR(Prueba[[#This Row],[Cant.6]]="",Prueba[[#This Row],[Puesto6]]=""),"?",Prueba[[#This Row],[Puesto6]]))</f>
        <v/>
      </c>
      <c r="Q437" s="31">
        <v>1</v>
      </c>
      <c r="R437" s="32">
        <v>6</v>
      </c>
      <c r="S437" s="14">
        <v>1</v>
      </c>
      <c r="T437" s="14">
        <v>6</v>
      </c>
      <c r="U437" s="31"/>
      <c r="V437" s="32" t="s">
        <v>1663</v>
      </c>
      <c r="W437" s="19"/>
      <c r="X437" s="19" t="s">
        <v>1667</v>
      </c>
      <c r="Y437" s="19" t="s">
        <v>1663</v>
      </c>
      <c r="Z437" s="19" t="s">
        <v>1663</v>
      </c>
      <c r="AA437" s="19" t="s">
        <v>1663</v>
      </c>
      <c r="AB437" s="19" t="s">
        <v>1663</v>
      </c>
    </row>
    <row r="438" spans="1:28" s="18" customFormat="1">
      <c r="A438" s="18" t="s">
        <v>940</v>
      </c>
      <c r="B438" s="18" t="s">
        <v>9</v>
      </c>
      <c r="C438" s="18" t="s">
        <v>356</v>
      </c>
      <c r="D438" s="18" t="s">
        <v>941</v>
      </c>
      <c r="E438" s="19" t="s">
        <v>790</v>
      </c>
      <c r="F438" s="18" t="s">
        <v>13</v>
      </c>
      <c r="G438" s="29"/>
      <c r="H438" s="32" t="str">
        <f>IF(Prueba[[#This Row],[Cant.]]=0,"",IF(OR(Prueba[[#This Row],[Cant.2]]="",Prueba[[#This Row],[Puesto2]]=""),"?",Prueba[[#This Row],[Puesto2]]))</f>
        <v/>
      </c>
      <c r="I438" s="31"/>
      <c r="J438" s="32"/>
      <c r="K438" s="14">
        <v>1</v>
      </c>
      <c r="L438" s="14"/>
      <c r="M438" s="31">
        <v>1</v>
      </c>
      <c r="N438" s="32" t="str">
        <f>IF(Prueba[[#This Row],[Cant.4]]=0,"",IF(OR(Prueba[[#This Row],[Cant.6]]="",Prueba[[#This Row],[Puesto6]]=""),"?",Prueba[[#This Row],[Puesto6]]))</f>
        <v>D</v>
      </c>
      <c r="O438" s="31">
        <v>1</v>
      </c>
      <c r="P438" s="32" t="str">
        <f>IF(Prueba[[#This Row],[Cant.5]]=0,"",IF(OR(Prueba[[#This Row],[Cant.6]]="",Prueba[[#This Row],[Puesto6]]=""),"?",Prueba[[#This Row],[Puesto6]]))</f>
        <v>D</v>
      </c>
      <c r="Q438" s="31">
        <v>1</v>
      </c>
      <c r="R438" s="32" t="s">
        <v>1399</v>
      </c>
      <c r="S438" s="14">
        <v>1</v>
      </c>
      <c r="T438" s="14" t="s">
        <v>1399</v>
      </c>
      <c r="U438" s="31"/>
      <c r="V438" s="32" t="s">
        <v>1663</v>
      </c>
      <c r="W438" s="19"/>
      <c r="X438" s="19" t="s">
        <v>1667</v>
      </c>
      <c r="Y438" s="19" t="s">
        <v>1663</v>
      </c>
      <c r="Z438" s="19" t="s">
        <v>1663</v>
      </c>
      <c r="AA438" s="19" t="s">
        <v>1663</v>
      </c>
      <c r="AB438" s="19" t="s">
        <v>1663</v>
      </c>
    </row>
    <row r="439" spans="1:28" s="18" customFormat="1">
      <c r="A439" s="18" t="s">
        <v>942</v>
      </c>
      <c r="B439" s="18" t="s">
        <v>9</v>
      </c>
      <c r="C439" s="18" t="s">
        <v>356</v>
      </c>
      <c r="D439" s="18" t="s">
        <v>941</v>
      </c>
      <c r="E439" s="19" t="s">
        <v>790</v>
      </c>
      <c r="F439" s="18" t="s">
        <v>13</v>
      </c>
      <c r="G439" s="29"/>
      <c r="H439" s="32" t="str">
        <f>IF(Prueba[[#This Row],[Cant.]]=0,"",IF(OR(Prueba[[#This Row],[Cant.2]]="",Prueba[[#This Row],[Puesto2]]=""),"?",Prueba[[#This Row],[Puesto2]]))</f>
        <v/>
      </c>
      <c r="I439" s="31"/>
      <c r="J439" s="32"/>
      <c r="K439" s="14">
        <v>1</v>
      </c>
      <c r="L439" s="14"/>
      <c r="M439" s="31">
        <v>1</v>
      </c>
      <c r="N439" s="32" t="str">
        <f>IF(Prueba[[#This Row],[Cant.4]]=0,"",IF(OR(Prueba[[#This Row],[Cant.6]]="",Prueba[[#This Row],[Puesto6]]=""),"?",Prueba[[#This Row],[Puesto6]]))</f>
        <v>D</v>
      </c>
      <c r="O439" s="31">
        <v>1</v>
      </c>
      <c r="P439" s="32" t="str">
        <f>IF(Prueba[[#This Row],[Cant.5]]=0,"",IF(OR(Prueba[[#This Row],[Cant.6]]="",Prueba[[#This Row],[Puesto6]]=""),"?",Prueba[[#This Row],[Puesto6]]))</f>
        <v>D</v>
      </c>
      <c r="Q439" s="31">
        <v>1</v>
      </c>
      <c r="R439" s="32" t="s">
        <v>1399</v>
      </c>
      <c r="S439" s="14">
        <v>1</v>
      </c>
      <c r="T439" s="14" t="s">
        <v>1399</v>
      </c>
      <c r="U439" s="31"/>
      <c r="V439" s="32" t="s">
        <v>1663</v>
      </c>
      <c r="W439" s="19"/>
      <c r="X439" s="19" t="s">
        <v>1667</v>
      </c>
      <c r="Y439" s="19" t="s">
        <v>1663</v>
      </c>
      <c r="Z439" s="19" t="s">
        <v>1663</v>
      </c>
      <c r="AA439" s="19" t="s">
        <v>1663</v>
      </c>
      <c r="AB439" s="19" t="s">
        <v>1663</v>
      </c>
    </row>
    <row r="440" spans="1:28" s="18" customFormat="1">
      <c r="A440" s="18" t="s">
        <v>943</v>
      </c>
      <c r="B440" s="18" t="s">
        <v>9</v>
      </c>
      <c r="C440" s="18" t="s">
        <v>944</v>
      </c>
      <c r="D440" s="18" t="s">
        <v>945</v>
      </c>
      <c r="E440" s="19" t="s">
        <v>790</v>
      </c>
      <c r="F440" s="18" t="s">
        <v>13</v>
      </c>
      <c r="G440" s="29"/>
      <c r="H440" s="32" t="str">
        <f>IF(Prueba[[#This Row],[Cant.]]=0,"",IF(OR(Prueba[[#This Row],[Cant.2]]="",Prueba[[#This Row],[Puesto2]]=""),"?",Prueba[[#This Row],[Puesto2]]))</f>
        <v/>
      </c>
      <c r="I440" s="31"/>
      <c r="J440" s="32"/>
      <c r="K440" s="14">
        <v>1</v>
      </c>
      <c r="L440" s="14"/>
      <c r="M440" s="31">
        <v>1</v>
      </c>
      <c r="N440" s="32">
        <f>IF(Prueba[[#This Row],[Cant.4]]=0,"",IF(OR(Prueba[[#This Row],[Cant.6]]="",Prueba[[#This Row],[Puesto6]]=""),"?",Prueba[[#This Row],[Puesto6]]))</f>
        <v>6</v>
      </c>
      <c r="O440" s="31">
        <v>1</v>
      </c>
      <c r="P440" s="32">
        <f>IF(Prueba[[#This Row],[Cant.5]]=0,"",IF(OR(Prueba[[#This Row],[Cant.6]]="",Prueba[[#This Row],[Puesto6]]=""),"?",Prueba[[#This Row],[Puesto6]]))</f>
        <v>6</v>
      </c>
      <c r="Q440" s="31">
        <v>1</v>
      </c>
      <c r="R440" s="32">
        <v>6</v>
      </c>
      <c r="S440" s="14">
        <v>1</v>
      </c>
      <c r="T440" s="14">
        <v>6</v>
      </c>
      <c r="U440" s="31"/>
      <c r="V440" s="32" t="s">
        <v>1663</v>
      </c>
      <c r="W440" s="19"/>
      <c r="X440" s="19" t="s">
        <v>1667</v>
      </c>
      <c r="Y440" s="19" t="s">
        <v>1663</v>
      </c>
      <c r="Z440" s="19" t="s">
        <v>1663</v>
      </c>
      <c r="AA440" s="19" t="s">
        <v>1663</v>
      </c>
      <c r="AB440" s="19" t="s">
        <v>1663</v>
      </c>
    </row>
    <row r="441" spans="1:28" s="18" customFormat="1">
      <c r="A441" s="18" t="s">
        <v>946</v>
      </c>
      <c r="B441" s="18" t="s">
        <v>9</v>
      </c>
      <c r="C441" s="18" t="s">
        <v>944</v>
      </c>
      <c r="D441" s="18" t="s">
        <v>947</v>
      </c>
      <c r="E441" s="19" t="s">
        <v>790</v>
      </c>
      <c r="F441" s="18" t="s">
        <v>13</v>
      </c>
      <c r="G441" s="29"/>
      <c r="H441" s="32" t="str">
        <f>IF(Prueba[[#This Row],[Cant.]]=0,"",IF(OR(Prueba[[#This Row],[Cant.2]]="",Prueba[[#This Row],[Puesto2]]=""),"?",Prueba[[#This Row],[Puesto2]]))</f>
        <v/>
      </c>
      <c r="I441" s="31"/>
      <c r="J441" s="32"/>
      <c r="K441" s="14">
        <v>1</v>
      </c>
      <c r="L441" s="14"/>
      <c r="M441" s="31">
        <v>1</v>
      </c>
      <c r="N441" s="32">
        <f>IF(Prueba[[#This Row],[Cant.4]]=0,"",IF(OR(Prueba[[#This Row],[Cant.6]]="",Prueba[[#This Row],[Puesto6]]=""),"?",Prueba[[#This Row],[Puesto6]]))</f>
        <v>6</v>
      </c>
      <c r="O441" s="31">
        <v>1</v>
      </c>
      <c r="P441" s="32">
        <f>IF(Prueba[[#This Row],[Cant.5]]=0,"",IF(OR(Prueba[[#This Row],[Cant.6]]="",Prueba[[#This Row],[Puesto6]]=""),"?",Prueba[[#This Row],[Puesto6]]))</f>
        <v>6</v>
      </c>
      <c r="Q441" s="31">
        <v>1</v>
      </c>
      <c r="R441" s="32">
        <v>6</v>
      </c>
      <c r="S441" s="14">
        <v>1</v>
      </c>
      <c r="T441" s="14">
        <v>6</v>
      </c>
      <c r="U441" s="31"/>
      <c r="V441" s="32" t="s">
        <v>1663</v>
      </c>
      <c r="W441" s="19"/>
      <c r="X441" s="19" t="s">
        <v>1667</v>
      </c>
      <c r="Y441" s="19" t="s">
        <v>1663</v>
      </c>
      <c r="Z441" s="19" t="s">
        <v>1663</v>
      </c>
      <c r="AA441" s="19" t="s">
        <v>1663</v>
      </c>
      <c r="AB441" s="19" t="s">
        <v>1663</v>
      </c>
    </row>
    <row r="442" spans="1:28" s="18" customFormat="1">
      <c r="A442" s="18" t="s">
        <v>948</v>
      </c>
      <c r="B442" s="18" t="s">
        <v>9</v>
      </c>
      <c r="C442" s="18" t="s">
        <v>944</v>
      </c>
      <c r="D442" s="18" t="s">
        <v>949</v>
      </c>
      <c r="E442" s="19" t="s">
        <v>790</v>
      </c>
      <c r="F442" s="18" t="s">
        <v>13</v>
      </c>
      <c r="G442" s="29"/>
      <c r="H442" s="32" t="str">
        <f>IF(Prueba[[#This Row],[Cant.]]=0,"",IF(OR(Prueba[[#This Row],[Cant.2]]="",Prueba[[#This Row],[Puesto2]]=""),"?",Prueba[[#This Row],[Puesto2]]))</f>
        <v/>
      </c>
      <c r="I442" s="31"/>
      <c r="J442" s="32"/>
      <c r="K442" s="14">
        <v>1</v>
      </c>
      <c r="L442" s="14"/>
      <c r="M442" s="31">
        <v>1</v>
      </c>
      <c r="N442" s="32">
        <f>IF(Prueba[[#This Row],[Cant.4]]=0,"",IF(OR(Prueba[[#This Row],[Cant.6]]="",Prueba[[#This Row],[Puesto6]]=""),"?",Prueba[[#This Row],[Puesto6]]))</f>
        <v>6</v>
      </c>
      <c r="O442" s="31">
        <v>1</v>
      </c>
      <c r="P442" s="32">
        <f>IF(Prueba[[#This Row],[Cant.5]]=0,"",IF(OR(Prueba[[#This Row],[Cant.6]]="",Prueba[[#This Row],[Puesto6]]=""),"?",Prueba[[#This Row],[Puesto6]]))</f>
        <v>6</v>
      </c>
      <c r="Q442" s="31">
        <v>1</v>
      </c>
      <c r="R442" s="32">
        <v>6</v>
      </c>
      <c r="S442" s="14">
        <v>1</v>
      </c>
      <c r="T442" s="14">
        <v>6</v>
      </c>
      <c r="U442" s="31"/>
      <c r="V442" s="32" t="s">
        <v>1663</v>
      </c>
      <c r="W442" s="19"/>
      <c r="X442" s="19" t="s">
        <v>1667</v>
      </c>
      <c r="Y442" s="19" t="s">
        <v>1663</v>
      </c>
      <c r="Z442" s="19" t="s">
        <v>1663</v>
      </c>
      <c r="AA442" s="19" t="s">
        <v>1663</v>
      </c>
      <c r="AB442" s="19" t="s">
        <v>1663</v>
      </c>
    </row>
    <row r="443" spans="1:28" s="18" customFormat="1">
      <c r="A443" s="18" t="s">
        <v>950</v>
      </c>
      <c r="B443" s="18" t="s">
        <v>9</v>
      </c>
      <c r="C443" s="18" t="s">
        <v>944</v>
      </c>
      <c r="D443" s="18" t="s">
        <v>945</v>
      </c>
      <c r="E443" s="19" t="s">
        <v>790</v>
      </c>
      <c r="F443" s="18" t="s">
        <v>13</v>
      </c>
      <c r="G443" s="29"/>
      <c r="H443" s="32" t="str">
        <f>IF(Prueba[[#This Row],[Cant.]]=0,"",IF(OR(Prueba[[#This Row],[Cant.2]]="",Prueba[[#This Row],[Puesto2]]=""),"?",Prueba[[#This Row],[Puesto2]]))</f>
        <v/>
      </c>
      <c r="I443" s="31"/>
      <c r="J443" s="32"/>
      <c r="K443" s="14">
        <v>1</v>
      </c>
      <c r="L443" s="14"/>
      <c r="M443" s="31">
        <v>1</v>
      </c>
      <c r="N443" s="32">
        <f>IF(Prueba[[#This Row],[Cant.4]]=0,"",IF(OR(Prueba[[#This Row],[Cant.6]]="",Prueba[[#This Row],[Puesto6]]=""),"?",Prueba[[#This Row],[Puesto6]]))</f>
        <v>6</v>
      </c>
      <c r="O443" s="31">
        <v>1</v>
      </c>
      <c r="P443" s="32">
        <f>IF(Prueba[[#This Row],[Cant.5]]=0,"",IF(OR(Prueba[[#This Row],[Cant.6]]="",Prueba[[#This Row],[Puesto6]]=""),"?",Prueba[[#This Row],[Puesto6]]))</f>
        <v>6</v>
      </c>
      <c r="Q443" s="31">
        <v>1</v>
      </c>
      <c r="R443" s="32">
        <v>6</v>
      </c>
      <c r="S443" s="14">
        <v>1</v>
      </c>
      <c r="T443" s="14">
        <v>6</v>
      </c>
      <c r="U443" s="31"/>
      <c r="V443" s="32" t="s">
        <v>1663</v>
      </c>
      <c r="W443" s="19"/>
      <c r="X443" s="19" t="s">
        <v>1667</v>
      </c>
      <c r="Y443" s="19" t="s">
        <v>1663</v>
      </c>
      <c r="Z443" s="19" t="s">
        <v>1663</v>
      </c>
      <c r="AA443" s="19" t="s">
        <v>1663</v>
      </c>
      <c r="AB443" s="19" t="s">
        <v>1663</v>
      </c>
    </row>
    <row r="444" spans="1:28" s="18" customFormat="1">
      <c r="A444" s="18" t="s">
        <v>951</v>
      </c>
      <c r="B444" s="18" t="s">
        <v>9</v>
      </c>
      <c r="C444" s="18" t="s">
        <v>10</v>
      </c>
      <c r="D444" s="18" t="s">
        <v>952</v>
      </c>
      <c r="E444" s="19" t="s">
        <v>308</v>
      </c>
      <c r="F444" s="18" t="s">
        <v>13</v>
      </c>
      <c r="G444" s="29"/>
      <c r="H444" s="32" t="str">
        <f>IF(Prueba[[#This Row],[Cant.]]=0,"",IF(OR(Prueba[[#This Row],[Cant.2]]="",Prueba[[#This Row],[Puesto2]]=""),"?",Prueba[[#This Row],[Puesto2]]))</f>
        <v/>
      </c>
      <c r="I444" s="31"/>
      <c r="J444" s="32"/>
      <c r="K444" s="14">
        <v>1</v>
      </c>
      <c r="L444" s="14"/>
      <c r="M444" s="31">
        <v>1</v>
      </c>
      <c r="N444" s="32">
        <f>IF(Prueba[[#This Row],[Cant.4]]=0,"",IF(OR(Prueba[[#This Row],[Cant.6]]="",Prueba[[#This Row],[Puesto6]]=""),"?",Prueba[[#This Row],[Puesto6]]))</f>
        <v>6</v>
      </c>
      <c r="O444" s="31">
        <v>1</v>
      </c>
      <c r="P444" s="32">
        <f>IF(Prueba[[#This Row],[Cant.5]]=0,"",IF(OR(Prueba[[#This Row],[Cant.6]]="",Prueba[[#This Row],[Puesto6]]=""),"?",Prueba[[#This Row],[Puesto6]]))</f>
        <v>6</v>
      </c>
      <c r="Q444" s="31">
        <v>1</v>
      </c>
      <c r="R444" s="32">
        <v>6</v>
      </c>
      <c r="S444" s="14">
        <v>1</v>
      </c>
      <c r="T444" s="14">
        <v>6</v>
      </c>
      <c r="U444" s="31"/>
      <c r="V444" s="32" t="s">
        <v>1663</v>
      </c>
      <c r="W444" s="19"/>
      <c r="X444" s="19" t="s">
        <v>1667</v>
      </c>
      <c r="Y444" s="19" t="s">
        <v>1663</v>
      </c>
      <c r="Z444" s="19" t="s">
        <v>1663</v>
      </c>
      <c r="AA444" s="19" t="s">
        <v>1663</v>
      </c>
      <c r="AB444" s="19" t="s">
        <v>1663</v>
      </c>
    </row>
    <row r="445" spans="1:28" s="18" customFormat="1">
      <c r="A445" s="18" t="s">
        <v>953</v>
      </c>
      <c r="B445" s="18" t="s">
        <v>9</v>
      </c>
      <c r="C445" s="18" t="s">
        <v>10</v>
      </c>
      <c r="D445" s="18" t="s">
        <v>952</v>
      </c>
      <c r="E445" s="19" t="s">
        <v>308</v>
      </c>
      <c r="F445" s="18" t="s">
        <v>13</v>
      </c>
      <c r="G445" s="29"/>
      <c r="H445" s="32" t="str">
        <f>IF(Prueba[[#This Row],[Cant.]]=0,"",IF(OR(Prueba[[#This Row],[Cant.2]]="",Prueba[[#This Row],[Puesto2]]=""),"?",Prueba[[#This Row],[Puesto2]]))</f>
        <v/>
      </c>
      <c r="I445" s="31"/>
      <c r="J445" s="32"/>
      <c r="K445" s="14">
        <v>1</v>
      </c>
      <c r="L445" s="14"/>
      <c r="M445" s="31">
        <v>1</v>
      </c>
      <c r="N445" s="32">
        <f>IF(Prueba[[#This Row],[Cant.4]]=0,"",IF(OR(Prueba[[#This Row],[Cant.6]]="",Prueba[[#This Row],[Puesto6]]=""),"?",Prueba[[#This Row],[Puesto6]]))</f>
        <v>6</v>
      </c>
      <c r="O445" s="31">
        <v>1</v>
      </c>
      <c r="P445" s="32">
        <f>IF(Prueba[[#This Row],[Cant.5]]=0,"",IF(OR(Prueba[[#This Row],[Cant.6]]="",Prueba[[#This Row],[Puesto6]]=""),"?",Prueba[[#This Row],[Puesto6]]))</f>
        <v>6</v>
      </c>
      <c r="Q445" s="31">
        <v>1</v>
      </c>
      <c r="R445" s="32">
        <v>6</v>
      </c>
      <c r="S445" s="14">
        <v>1</v>
      </c>
      <c r="T445" s="14">
        <v>6</v>
      </c>
      <c r="U445" s="31"/>
      <c r="V445" s="32" t="s">
        <v>1663</v>
      </c>
      <c r="W445" s="19"/>
      <c r="X445" s="19" t="s">
        <v>1667</v>
      </c>
      <c r="Y445" s="19" t="s">
        <v>1663</v>
      </c>
      <c r="Z445" s="19" t="s">
        <v>1663</v>
      </c>
      <c r="AA445" s="19" t="s">
        <v>1663</v>
      </c>
      <c r="AB445" s="19" t="s">
        <v>1663</v>
      </c>
    </row>
    <row r="446" spans="1:28" s="18" customFormat="1">
      <c r="A446" s="18" t="s">
        <v>954</v>
      </c>
      <c r="B446" s="18" t="s">
        <v>9</v>
      </c>
      <c r="C446" s="18" t="s">
        <v>955</v>
      </c>
      <c r="D446" s="18" t="s">
        <v>956</v>
      </c>
      <c r="E446" s="19" t="s">
        <v>308</v>
      </c>
      <c r="F446" s="18" t="s">
        <v>13</v>
      </c>
      <c r="G446" s="29"/>
      <c r="H446" s="32" t="str">
        <f>IF(Prueba[[#This Row],[Cant.]]=0,"",IF(OR(Prueba[[#This Row],[Cant.2]]="",Prueba[[#This Row],[Puesto2]]=""),"?",Prueba[[#This Row],[Puesto2]]))</f>
        <v/>
      </c>
      <c r="I446" s="31"/>
      <c r="J446" s="32"/>
      <c r="K446" s="14">
        <v>1</v>
      </c>
      <c r="L446" s="14"/>
      <c r="M446" s="31">
        <v>1</v>
      </c>
      <c r="N446" s="32">
        <f>IF(Prueba[[#This Row],[Cant.4]]=0,"",IF(OR(Prueba[[#This Row],[Cant.6]]="",Prueba[[#This Row],[Puesto6]]=""),"?",Prueba[[#This Row],[Puesto6]]))</f>
        <v>0</v>
      </c>
      <c r="O446" s="31">
        <v>1</v>
      </c>
      <c r="P446" s="32">
        <f>IF(Prueba[[#This Row],[Cant.5]]=0,"",IF(OR(Prueba[[#This Row],[Cant.6]]="",Prueba[[#This Row],[Puesto6]]=""),"?",Prueba[[#This Row],[Puesto6]]))</f>
        <v>0</v>
      </c>
      <c r="Q446" s="31">
        <v>1</v>
      </c>
      <c r="R446" s="32">
        <v>0</v>
      </c>
      <c r="S446" s="14">
        <v>1</v>
      </c>
      <c r="T446" s="14">
        <v>0</v>
      </c>
      <c r="U446" s="31"/>
      <c r="V446" s="32" t="s">
        <v>1663</v>
      </c>
      <c r="W446" s="19"/>
      <c r="X446" s="19" t="s">
        <v>1667</v>
      </c>
      <c r="Y446" s="19" t="s">
        <v>1663</v>
      </c>
      <c r="Z446" s="19" t="s">
        <v>1663</v>
      </c>
      <c r="AA446" s="19" t="s">
        <v>1663</v>
      </c>
      <c r="AB446" s="19" t="s">
        <v>1663</v>
      </c>
    </row>
    <row r="447" spans="1:28" s="18" customFormat="1">
      <c r="A447" s="18" t="s">
        <v>957</v>
      </c>
      <c r="B447" s="18" t="s">
        <v>9</v>
      </c>
      <c r="C447" s="18" t="s">
        <v>958</v>
      </c>
      <c r="D447" s="18" t="s">
        <v>366</v>
      </c>
      <c r="E447" s="19" t="s">
        <v>308</v>
      </c>
      <c r="F447" s="18" t="s">
        <v>13</v>
      </c>
      <c r="G447" s="29"/>
      <c r="H447" s="32" t="str">
        <f>IF(Prueba[[#This Row],[Cant.]]=0,"",IF(OR(Prueba[[#This Row],[Cant.2]]="",Prueba[[#This Row],[Puesto2]]=""),"?",Prueba[[#This Row],[Puesto2]]))</f>
        <v/>
      </c>
      <c r="I447" s="31"/>
      <c r="J447" s="32"/>
      <c r="K447" s="14">
        <v>1</v>
      </c>
      <c r="L447" s="14"/>
      <c r="M447" s="31">
        <v>1</v>
      </c>
      <c r="N447" s="32">
        <f>IF(Prueba[[#This Row],[Cant.4]]=0,"",IF(OR(Prueba[[#This Row],[Cant.6]]="",Prueba[[#This Row],[Puesto6]]=""),"?",Prueba[[#This Row],[Puesto6]]))</f>
        <v>6</v>
      </c>
      <c r="O447" s="31">
        <v>1</v>
      </c>
      <c r="P447" s="32">
        <f>IF(Prueba[[#This Row],[Cant.5]]=0,"",IF(OR(Prueba[[#This Row],[Cant.6]]="",Prueba[[#This Row],[Puesto6]]=""),"?",Prueba[[#This Row],[Puesto6]]))</f>
        <v>6</v>
      </c>
      <c r="Q447" s="31">
        <v>1</v>
      </c>
      <c r="R447" s="32">
        <v>6</v>
      </c>
      <c r="S447" s="14">
        <v>1</v>
      </c>
      <c r="T447" s="14">
        <v>6</v>
      </c>
      <c r="U447" s="31"/>
      <c r="V447" s="32" t="s">
        <v>1663</v>
      </c>
      <c r="W447" s="19"/>
      <c r="X447" s="19" t="s">
        <v>1667</v>
      </c>
      <c r="Y447" s="19" t="s">
        <v>1663</v>
      </c>
      <c r="Z447" s="19" t="s">
        <v>1663</v>
      </c>
      <c r="AA447" s="19" t="s">
        <v>1663</v>
      </c>
      <c r="AB447" s="19" t="s">
        <v>1663</v>
      </c>
    </row>
    <row r="448" spans="1:28" s="18" customFormat="1">
      <c r="A448" s="18" t="s">
        <v>959</v>
      </c>
      <c r="B448" s="18" t="s">
        <v>9</v>
      </c>
      <c r="C448" s="18" t="s">
        <v>960</v>
      </c>
      <c r="D448" s="18" t="s">
        <v>961</v>
      </c>
      <c r="E448" s="19" t="s">
        <v>308</v>
      </c>
      <c r="F448" s="18" t="s">
        <v>13</v>
      </c>
      <c r="G448" s="29"/>
      <c r="H448" s="32" t="str">
        <f>IF(Prueba[[#This Row],[Cant.]]=0,"",IF(OR(Prueba[[#This Row],[Cant.2]]="",Prueba[[#This Row],[Puesto2]]=""),"?",Prueba[[#This Row],[Puesto2]]))</f>
        <v/>
      </c>
      <c r="I448" s="31"/>
      <c r="J448" s="32"/>
      <c r="K448" s="14">
        <v>1</v>
      </c>
      <c r="L448" s="14"/>
      <c r="M448" s="31"/>
      <c r="N448" s="32" t="str">
        <f>IF(Prueba[[#This Row],[Cant.4]]=0,"",IF(OR(Prueba[[#This Row],[Cant.6]]="",Prueba[[#This Row],[Puesto6]]=""),"?",Prueba[[#This Row],[Puesto6]]))</f>
        <v/>
      </c>
      <c r="O448" s="31">
        <v>1</v>
      </c>
      <c r="P448" s="32">
        <v>6</v>
      </c>
      <c r="Q448" s="31"/>
      <c r="R448" s="32"/>
      <c r="S448" s="14"/>
      <c r="T448" s="14"/>
      <c r="U448" s="31"/>
      <c r="V448" s="32" t="s">
        <v>1663</v>
      </c>
      <c r="W448" s="19"/>
      <c r="X448" s="19" t="s">
        <v>1667</v>
      </c>
      <c r="Y448" s="19" t="s">
        <v>1663</v>
      </c>
      <c r="Z448" s="19" t="s">
        <v>1663</v>
      </c>
      <c r="AA448" s="19" t="s">
        <v>1663</v>
      </c>
      <c r="AB448" s="19" t="s">
        <v>1663</v>
      </c>
    </row>
    <row r="449" spans="1:28" s="18" customFormat="1">
      <c r="A449" s="18" t="s">
        <v>962</v>
      </c>
      <c r="B449" s="18" t="s">
        <v>9</v>
      </c>
      <c r="C449" s="18" t="s">
        <v>960</v>
      </c>
      <c r="D449" s="18" t="s">
        <v>963</v>
      </c>
      <c r="E449" s="19" t="s">
        <v>308</v>
      </c>
      <c r="F449" s="18" t="s">
        <v>13</v>
      </c>
      <c r="G449" s="29"/>
      <c r="H449" s="32" t="str">
        <f>IF(Prueba[[#This Row],[Cant.]]=0,"",IF(OR(Prueba[[#This Row],[Cant.2]]="",Prueba[[#This Row],[Puesto2]]=""),"?",Prueba[[#This Row],[Puesto2]]))</f>
        <v/>
      </c>
      <c r="I449" s="31"/>
      <c r="J449" s="32"/>
      <c r="K449" s="14">
        <v>1</v>
      </c>
      <c r="L449" s="14"/>
      <c r="M449" s="31"/>
      <c r="N449" s="32" t="str">
        <f>IF(Prueba[[#This Row],[Cant.4]]=0,"",IF(OR(Prueba[[#This Row],[Cant.6]]="",Prueba[[#This Row],[Puesto6]]=""),"?",Prueba[[#This Row],[Puesto6]]))</f>
        <v/>
      </c>
      <c r="O449" s="31">
        <v>1</v>
      </c>
      <c r="P449" s="32">
        <v>6</v>
      </c>
      <c r="Q449" s="31"/>
      <c r="R449" s="32"/>
      <c r="S449" s="14"/>
      <c r="T449" s="14"/>
      <c r="U449" s="31"/>
      <c r="V449" s="32" t="s">
        <v>1663</v>
      </c>
      <c r="W449" s="19"/>
      <c r="X449" s="19" t="s">
        <v>1667</v>
      </c>
      <c r="Y449" s="19" t="s">
        <v>1663</v>
      </c>
      <c r="Z449" s="19" t="s">
        <v>1663</v>
      </c>
      <c r="AA449" s="19" t="s">
        <v>1663</v>
      </c>
      <c r="AB449" s="19" t="s">
        <v>1663</v>
      </c>
    </row>
    <row r="450" spans="1:28" s="18" customFormat="1">
      <c r="A450" s="18" t="s">
        <v>1925</v>
      </c>
      <c r="B450" s="18" t="s">
        <v>1806</v>
      </c>
      <c r="C450" s="18" t="s">
        <v>1774</v>
      </c>
      <c r="D450" s="18" t="s">
        <v>1926</v>
      </c>
      <c r="E450" s="19" t="s">
        <v>308</v>
      </c>
      <c r="F450" s="18" t="s">
        <v>13</v>
      </c>
      <c r="G450" s="29"/>
      <c r="H450" s="32" t="str">
        <f>IF(Prueba[[#This Row],[Cant.]]=0,"",IF(OR(Prueba[[#This Row],[Cant.2]]="",Prueba[[#This Row],[Puesto2]]=""),"?",Prueba[[#This Row],[Puesto2]]))</f>
        <v/>
      </c>
      <c r="I450" s="31"/>
      <c r="J450" s="32"/>
      <c r="K450" s="14"/>
      <c r="L450" s="14"/>
      <c r="M450" s="31">
        <v>1</v>
      </c>
      <c r="N450" s="32">
        <f>IF(Prueba[[#This Row],[Cant.4]]=0,"",IF(OR(Prueba[[#This Row],[Cant.6]]="",Prueba[[#This Row],[Puesto6]]=""),"?",Prueba[[#This Row],[Puesto6]]))</f>
        <v>6</v>
      </c>
      <c r="O450" s="31"/>
      <c r="P450" s="32" t="str">
        <f>IF(Prueba[[#This Row],[Cant.5]]=0,"",IF(OR(Prueba[[#This Row],[Cant.6]]="",Prueba[[#This Row],[Puesto6]]=""),"?",Prueba[[#This Row],[Puesto6]]))</f>
        <v/>
      </c>
      <c r="Q450" s="31">
        <v>1</v>
      </c>
      <c r="R450" s="32">
        <v>6</v>
      </c>
      <c r="S450" s="14">
        <v>1</v>
      </c>
      <c r="T450" s="14">
        <v>6</v>
      </c>
      <c r="U450" s="31"/>
      <c r="V450" s="32" t="s">
        <v>1663</v>
      </c>
      <c r="W450" s="19"/>
      <c r="X450" s="19" t="s">
        <v>1667</v>
      </c>
      <c r="Y450" s="19" t="s">
        <v>1663</v>
      </c>
      <c r="Z450" s="19" t="s">
        <v>1663</v>
      </c>
      <c r="AA450" s="19" t="s">
        <v>1663</v>
      </c>
      <c r="AB450" s="19" t="s">
        <v>1663</v>
      </c>
    </row>
    <row r="451" spans="1:28" s="18" customFormat="1">
      <c r="A451" s="18" t="s">
        <v>964</v>
      </c>
      <c r="B451" s="18" t="s">
        <v>9</v>
      </c>
      <c r="C451" s="18" t="s">
        <v>965</v>
      </c>
      <c r="D451" s="18" t="s">
        <v>965</v>
      </c>
      <c r="E451" s="19" t="s">
        <v>18</v>
      </c>
      <c r="F451" s="18" t="s">
        <v>13</v>
      </c>
      <c r="G451" s="29"/>
      <c r="H451" s="32" t="str">
        <f>IF(Prueba[[#This Row],[Cant.]]=0,"",IF(OR(Prueba[[#This Row],[Cant.2]]="",Prueba[[#This Row],[Puesto2]]=""),"?",Prueba[[#This Row],[Puesto2]]))</f>
        <v/>
      </c>
      <c r="I451" s="31"/>
      <c r="J451" s="32"/>
      <c r="K451" s="14">
        <v>1</v>
      </c>
      <c r="L451" s="14"/>
      <c r="M451" s="31">
        <v>1</v>
      </c>
      <c r="N451" s="32">
        <f>IF(Prueba[[#This Row],[Cant.4]]=0,"",IF(OR(Prueba[[#This Row],[Cant.6]]="",Prueba[[#This Row],[Puesto6]]=""),"?",Prueba[[#This Row],[Puesto6]]))</f>
        <v>0</v>
      </c>
      <c r="O451" s="31">
        <v>1</v>
      </c>
      <c r="P451" s="32">
        <f>IF(Prueba[[#This Row],[Cant.5]]=0,"",IF(OR(Prueba[[#This Row],[Cant.6]]="",Prueba[[#This Row],[Puesto6]]=""),"?",Prueba[[#This Row],[Puesto6]]))</f>
        <v>0</v>
      </c>
      <c r="Q451" s="31">
        <v>1</v>
      </c>
      <c r="R451" s="32">
        <v>0</v>
      </c>
      <c r="S451" s="14"/>
      <c r="T451" s="14"/>
      <c r="U451" s="31"/>
      <c r="V451" s="32" t="s">
        <v>1663</v>
      </c>
      <c r="W451" s="19"/>
      <c r="X451" s="19" t="s">
        <v>1667</v>
      </c>
      <c r="Y451" s="19" t="s">
        <v>1663</v>
      </c>
      <c r="Z451" s="19" t="s">
        <v>1663</v>
      </c>
      <c r="AA451" s="19" t="s">
        <v>1663</v>
      </c>
      <c r="AB451" s="19" t="s">
        <v>1663</v>
      </c>
    </row>
    <row r="452" spans="1:28" s="18" customFormat="1">
      <c r="A452" s="18" t="s">
        <v>966</v>
      </c>
      <c r="B452" s="18" t="s">
        <v>9</v>
      </c>
      <c r="C452" s="18" t="s">
        <v>965</v>
      </c>
      <c r="D452" s="18" t="s">
        <v>965</v>
      </c>
      <c r="E452" s="19" t="s">
        <v>18</v>
      </c>
      <c r="F452" s="18" t="s">
        <v>13</v>
      </c>
      <c r="G452" s="29"/>
      <c r="H452" s="32" t="str">
        <f>IF(Prueba[[#This Row],[Cant.]]=0,"",IF(OR(Prueba[[#This Row],[Cant.2]]="",Prueba[[#This Row],[Puesto2]]=""),"?",Prueba[[#This Row],[Puesto2]]))</f>
        <v/>
      </c>
      <c r="I452" s="31"/>
      <c r="J452" s="32"/>
      <c r="K452" s="14">
        <v>1</v>
      </c>
      <c r="L452" s="14"/>
      <c r="M452" s="31">
        <v>1</v>
      </c>
      <c r="N452" s="32">
        <f>IF(Prueba[[#This Row],[Cant.4]]=0,"",IF(OR(Prueba[[#This Row],[Cant.6]]="",Prueba[[#This Row],[Puesto6]]=""),"?",Prueba[[#This Row],[Puesto6]]))</f>
        <v>0</v>
      </c>
      <c r="O452" s="31">
        <v>1</v>
      </c>
      <c r="P452" s="32">
        <f>IF(Prueba[[#This Row],[Cant.5]]=0,"",IF(OR(Prueba[[#This Row],[Cant.6]]="",Prueba[[#This Row],[Puesto6]]=""),"?",Prueba[[#This Row],[Puesto6]]))</f>
        <v>0</v>
      </c>
      <c r="Q452" s="31">
        <v>1</v>
      </c>
      <c r="R452" s="32">
        <v>0</v>
      </c>
      <c r="S452" s="14"/>
      <c r="T452" s="14"/>
      <c r="U452" s="31"/>
      <c r="V452" s="32" t="s">
        <v>1663</v>
      </c>
      <c r="W452" s="19"/>
      <c r="X452" s="19" t="s">
        <v>1667</v>
      </c>
      <c r="Y452" s="19" t="s">
        <v>1663</v>
      </c>
      <c r="Z452" s="19" t="s">
        <v>1663</v>
      </c>
      <c r="AA452" s="19" t="s">
        <v>1663</v>
      </c>
      <c r="AB452" s="19" t="s">
        <v>1663</v>
      </c>
    </row>
    <row r="453" spans="1:28" s="18" customFormat="1">
      <c r="A453" s="18" t="s">
        <v>967</v>
      </c>
      <c r="B453" s="18" t="s">
        <v>9</v>
      </c>
      <c r="C453" s="18" t="s">
        <v>84</v>
      </c>
      <c r="D453" s="18" t="s">
        <v>41</v>
      </c>
      <c r="E453" s="19" t="s">
        <v>39</v>
      </c>
      <c r="F453" s="18" t="s">
        <v>13</v>
      </c>
      <c r="G453" s="29"/>
      <c r="H453" s="32" t="str">
        <f>IF(Prueba[[#This Row],[Cant.]]=0,"",IF(OR(Prueba[[#This Row],[Cant.2]]="",Prueba[[#This Row],[Puesto2]]=""),"?",Prueba[[#This Row],[Puesto2]]))</f>
        <v/>
      </c>
      <c r="I453" s="31"/>
      <c r="J453" s="32"/>
      <c r="K453" s="14">
        <v>1</v>
      </c>
      <c r="L453" s="14"/>
      <c r="M453" s="31">
        <v>1</v>
      </c>
      <c r="N453" s="32">
        <f>IF(Prueba[[#This Row],[Cant.4]]=0,"",IF(OR(Prueba[[#This Row],[Cant.6]]="",Prueba[[#This Row],[Puesto6]]=""),"?",Prueba[[#This Row],[Puesto6]]))</f>
        <v>0</v>
      </c>
      <c r="O453" s="31">
        <v>1</v>
      </c>
      <c r="P453" s="32">
        <f>IF(Prueba[[#This Row],[Cant.5]]=0,"",IF(OR(Prueba[[#This Row],[Cant.6]]="",Prueba[[#This Row],[Puesto6]]=""),"?",Prueba[[#This Row],[Puesto6]]))</f>
        <v>0</v>
      </c>
      <c r="Q453" s="31">
        <v>1</v>
      </c>
      <c r="R453" s="32">
        <v>0</v>
      </c>
      <c r="S453" s="14">
        <v>1</v>
      </c>
      <c r="T453" s="14">
        <v>0</v>
      </c>
      <c r="U453" s="31"/>
      <c r="V453" s="32" t="s">
        <v>1663</v>
      </c>
      <c r="W453" s="19"/>
      <c r="X453" s="19" t="s">
        <v>1667</v>
      </c>
      <c r="Y453" s="19" t="s">
        <v>1663</v>
      </c>
      <c r="Z453" s="19" t="s">
        <v>1663</v>
      </c>
      <c r="AA453" s="19" t="s">
        <v>1663</v>
      </c>
      <c r="AB453" s="19" t="s">
        <v>1663</v>
      </c>
    </row>
    <row r="454" spans="1:28" s="18" customFormat="1">
      <c r="A454" s="18" t="s">
        <v>1307</v>
      </c>
      <c r="B454" s="18" t="s">
        <v>9</v>
      </c>
      <c r="C454" s="18" t="s">
        <v>402</v>
      </c>
      <c r="D454" s="18" t="s">
        <v>403</v>
      </c>
      <c r="E454" s="19" t="s">
        <v>18</v>
      </c>
      <c r="F454" s="18" t="s">
        <v>13</v>
      </c>
      <c r="G454" s="29"/>
      <c r="H454" s="32" t="str">
        <f>IF(Prueba[[#This Row],[Cant.]]=0,"",IF(OR(Prueba[[#This Row],[Cant.2]]="",Prueba[[#This Row],[Puesto2]]=""),"?",Prueba[[#This Row],[Puesto2]]))</f>
        <v/>
      </c>
      <c r="I454" s="31"/>
      <c r="J454" s="32"/>
      <c r="K454" s="14">
        <v>1</v>
      </c>
      <c r="L454" s="14"/>
      <c r="M454" s="31">
        <v>1</v>
      </c>
      <c r="N454" s="32" t="str">
        <f>IF(Prueba[[#This Row],[Cant.4]]=0,"",IF(OR(Prueba[[#This Row],[Cant.6]]="",Prueba[[#This Row],[Puesto6]]=""),"?",Prueba[[#This Row],[Puesto6]]))</f>
        <v>C</v>
      </c>
      <c r="O454" s="31">
        <v>1</v>
      </c>
      <c r="P454" s="32" t="str">
        <f>IF(Prueba[[#This Row],[Cant.5]]=0,"",IF(OR(Prueba[[#This Row],[Cant.6]]="",Prueba[[#This Row],[Puesto6]]=""),"?",Prueba[[#This Row],[Puesto6]]))</f>
        <v>C</v>
      </c>
      <c r="Q454" s="31">
        <v>1</v>
      </c>
      <c r="R454" s="32" t="s">
        <v>1402</v>
      </c>
      <c r="S454" s="14">
        <v>1</v>
      </c>
      <c r="T454" s="14" t="s">
        <v>1402</v>
      </c>
      <c r="U454" s="31">
        <v>1</v>
      </c>
      <c r="V454" s="32" t="s">
        <v>1402</v>
      </c>
      <c r="W454" s="19"/>
      <c r="X454" s="19" t="s">
        <v>1667</v>
      </c>
      <c r="Y454" s="19" t="s">
        <v>1663</v>
      </c>
      <c r="Z454" s="19" t="s">
        <v>1663</v>
      </c>
      <c r="AA454" s="19" t="s">
        <v>1663</v>
      </c>
      <c r="AB454" s="19" t="s">
        <v>1663</v>
      </c>
    </row>
    <row r="455" spans="1:28" s="18" customFormat="1">
      <c r="A455" s="18" t="s">
        <v>968</v>
      </c>
      <c r="B455" s="18" t="s">
        <v>9</v>
      </c>
      <c r="C455" s="18" t="s">
        <v>969</v>
      </c>
      <c r="D455" s="18" t="s">
        <v>970</v>
      </c>
      <c r="E455" s="19" t="s">
        <v>308</v>
      </c>
      <c r="F455" s="18" t="s">
        <v>13</v>
      </c>
      <c r="G455" s="29"/>
      <c r="H455" s="32" t="str">
        <f>IF(Prueba[[#This Row],[Cant.]]=0,"",IF(OR(Prueba[[#This Row],[Cant.2]]="",Prueba[[#This Row],[Puesto2]]=""),"?",Prueba[[#This Row],[Puesto2]]))</f>
        <v/>
      </c>
      <c r="I455" s="31"/>
      <c r="J455" s="32"/>
      <c r="K455" s="14">
        <v>1</v>
      </c>
      <c r="L455" s="14"/>
      <c r="M455" s="31">
        <v>1</v>
      </c>
      <c r="N455" s="32">
        <f>IF(Prueba[[#This Row],[Cant.4]]=0,"",IF(OR(Prueba[[#This Row],[Cant.6]]="",Prueba[[#This Row],[Puesto6]]=""),"?",Prueba[[#This Row],[Puesto6]]))</f>
        <v>6</v>
      </c>
      <c r="O455" s="31">
        <v>1</v>
      </c>
      <c r="P455" s="32">
        <f>IF(Prueba[[#This Row],[Cant.5]]=0,"",IF(OR(Prueba[[#This Row],[Cant.6]]="",Prueba[[#This Row],[Puesto6]]=""),"?",Prueba[[#This Row],[Puesto6]]))</f>
        <v>6</v>
      </c>
      <c r="Q455" s="31">
        <v>1</v>
      </c>
      <c r="R455" s="32">
        <v>6</v>
      </c>
      <c r="S455" s="14">
        <v>1</v>
      </c>
      <c r="T455" s="14">
        <v>6</v>
      </c>
      <c r="U455" s="31"/>
      <c r="V455" s="32" t="s">
        <v>1663</v>
      </c>
      <c r="W455" s="19"/>
      <c r="X455" s="19" t="s">
        <v>1667</v>
      </c>
      <c r="Y455" s="19" t="s">
        <v>1663</v>
      </c>
      <c r="Z455" s="19" t="s">
        <v>1663</v>
      </c>
      <c r="AA455" s="19" t="s">
        <v>1663</v>
      </c>
      <c r="AB455" s="19" t="s">
        <v>1663</v>
      </c>
    </row>
    <row r="456" spans="1:28" s="18" customFormat="1">
      <c r="A456" s="18" t="s">
        <v>971</v>
      </c>
      <c r="B456" s="18" t="s">
        <v>9</v>
      </c>
      <c r="C456" s="18" t="s">
        <v>413</v>
      </c>
      <c r="D456" s="18" t="s">
        <v>972</v>
      </c>
      <c r="E456" s="19" t="s">
        <v>39</v>
      </c>
      <c r="F456" s="18" t="s">
        <v>13</v>
      </c>
      <c r="G456" s="29"/>
      <c r="H456" s="32" t="str">
        <f>IF(Prueba[[#This Row],[Cant.]]=0,"",IF(OR(Prueba[[#This Row],[Cant.2]]="",Prueba[[#This Row],[Puesto2]]=""),"?",Prueba[[#This Row],[Puesto2]]))</f>
        <v/>
      </c>
      <c r="I456" s="31"/>
      <c r="J456" s="32"/>
      <c r="K456" s="14">
        <v>1</v>
      </c>
      <c r="L456" s="14"/>
      <c r="M456" s="31">
        <v>1</v>
      </c>
      <c r="N456" s="32" t="str">
        <f>IF(Prueba[[#This Row],[Cant.4]]=0,"",IF(OR(Prueba[[#This Row],[Cant.6]]="",Prueba[[#This Row],[Puesto6]]=""),"?",Prueba[[#This Row],[Puesto6]]))</f>
        <v>D</v>
      </c>
      <c r="O456" s="31">
        <v>1</v>
      </c>
      <c r="P456" s="32" t="str">
        <f>IF(Prueba[[#This Row],[Cant.5]]=0,"",IF(OR(Prueba[[#This Row],[Cant.6]]="",Prueba[[#This Row],[Puesto6]]=""),"?",Prueba[[#This Row],[Puesto6]]))</f>
        <v>D</v>
      </c>
      <c r="Q456" s="31">
        <v>1</v>
      </c>
      <c r="R456" s="32" t="s">
        <v>1399</v>
      </c>
      <c r="S456" s="14">
        <v>1</v>
      </c>
      <c r="T456" s="14" t="s">
        <v>1399</v>
      </c>
      <c r="U456" s="31"/>
      <c r="V456" s="32" t="s">
        <v>1663</v>
      </c>
      <c r="W456" s="19"/>
      <c r="X456" s="19" t="s">
        <v>1667</v>
      </c>
      <c r="Y456" s="19" t="s">
        <v>1663</v>
      </c>
      <c r="Z456" s="19" t="s">
        <v>1663</v>
      </c>
      <c r="AA456" s="19" t="s">
        <v>1663</v>
      </c>
      <c r="AB456" s="19" t="s">
        <v>1663</v>
      </c>
    </row>
    <row r="457" spans="1:28" s="18" customFormat="1">
      <c r="A457" s="18" t="s">
        <v>515</v>
      </c>
      <c r="B457" s="18" t="s">
        <v>9</v>
      </c>
      <c r="C457" s="18" t="s">
        <v>516</v>
      </c>
      <c r="D457" s="18" t="s">
        <v>517</v>
      </c>
      <c r="E457" s="19" t="s">
        <v>308</v>
      </c>
      <c r="F457" s="18" t="s">
        <v>13</v>
      </c>
      <c r="G457" s="29">
        <v>1</v>
      </c>
      <c r="H457" s="32">
        <f>IF(Prueba[[#This Row],[Cant.]]=0,"",IF(OR(Prueba[[#This Row],[Cant.2]]="",Prueba[[#This Row],[Puesto2]]=""),"?",Prueba[[#This Row],[Puesto2]]))</f>
        <v>0</v>
      </c>
      <c r="I457" s="31">
        <v>1</v>
      </c>
      <c r="J457" s="32">
        <v>0</v>
      </c>
      <c r="K457" s="14">
        <v>1</v>
      </c>
      <c r="L457" s="14"/>
      <c r="M457" s="31">
        <v>1</v>
      </c>
      <c r="N457" s="32">
        <f>IF(Prueba[[#This Row],[Cant.4]]=0,"",IF(OR(Prueba[[#This Row],[Cant.6]]="",Prueba[[#This Row],[Puesto6]]=""),"?",Prueba[[#This Row],[Puesto6]]))</f>
        <v>0</v>
      </c>
      <c r="O457" s="31">
        <v>1</v>
      </c>
      <c r="P457" s="32">
        <f>IF(Prueba[[#This Row],[Cant.5]]=0,"",IF(OR(Prueba[[#This Row],[Cant.6]]="",Prueba[[#This Row],[Puesto6]]=""),"?",Prueba[[#This Row],[Puesto6]]))</f>
        <v>0</v>
      </c>
      <c r="Q457" s="31">
        <v>1</v>
      </c>
      <c r="R457" s="32">
        <v>0</v>
      </c>
      <c r="S457" s="14">
        <v>1</v>
      </c>
      <c r="T457" s="14">
        <v>0</v>
      </c>
      <c r="U457" s="31"/>
      <c r="V457" s="32" t="s">
        <v>1663</v>
      </c>
      <c r="W457" s="19"/>
      <c r="X457" s="19" t="s">
        <v>1667</v>
      </c>
      <c r="Y457" s="19" t="s">
        <v>1663</v>
      </c>
      <c r="Z457" s="19" t="s">
        <v>1663</v>
      </c>
      <c r="AA457" s="19" t="s">
        <v>1663</v>
      </c>
      <c r="AB457" s="19" t="s">
        <v>1663</v>
      </c>
    </row>
    <row r="458" spans="1:28" s="18" customFormat="1">
      <c r="A458" s="18" t="s">
        <v>518</v>
      </c>
      <c r="B458" s="18" t="s">
        <v>9</v>
      </c>
      <c r="C458" s="18" t="s">
        <v>516</v>
      </c>
      <c r="D458" s="18" t="s">
        <v>519</v>
      </c>
      <c r="E458" s="19" t="s">
        <v>308</v>
      </c>
      <c r="F458" s="18" t="s">
        <v>13</v>
      </c>
      <c r="G458" s="29">
        <v>1</v>
      </c>
      <c r="H458" s="32">
        <f>IF(Prueba[[#This Row],[Cant.]]=0,"",IF(OR(Prueba[[#This Row],[Cant.2]]="",Prueba[[#This Row],[Puesto2]]=""),"?",Prueba[[#This Row],[Puesto2]]))</f>
        <v>0</v>
      </c>
      <c r="I458" s="31">
        <v>1</v>
      </c>
      <c r="J458" s="32">
        <v>0</v>
      </c>
      <c r="K458" s="14">
        <v>1</v>
      </c>
      <c r="L458" s="14"/>
      <c r="M458" s="31">
        <v>1</v>
      </c>
      <c r="N458" s="32">
        <f>IF(Prueba[[#This Row],[Cant.4]]=0,"",IF(OR(Prueba[[#This Row],[Cant.6]]="",Prueba[[#This Row],[Puesto6]]=""),"?",Prueba[[#This Row],[Puesto6]]))</f>
        <v>0</v>
      </c>
      <c r="O458" s="31">
        <v>1</v>
      </c>
      <c r="P458" s="32">
        <f>IF(Prueba[[#This Row],[Cant.5]]=0,"",IF(OR(Prueba[[#This Row],[Cant.6]]="",Prueba[[#This Row],[Puesto6]]=""),"?",Prueba[[#This Row],[Puesto6]]))</f>
        <v>0</v>
      </c>
      <c r="Q458" s="31">
        <v>1</v>
      </c>
      <c r="R458" s="32">
        <v>0</v>
      </c>
      <c r="S458" s="14">
        <v>1</v>
      </c>
      <c r="T458" s="14">
        <v>0</v>
      </c>
      <c r="U458" s="31"/>
      <c r="V458" s="32" t="s">
        <v>1663</v>
      </c>
      <c r="W458" s="19"/>
      <c r="X458" s="19" t="s">
        <v>1667</v>
      </c>
      <c r="Y458" s="19" t="s">
        <v>1663</v>
      </c>
      <c r="Z458" s="19" t="s">
        <v>1663</v>
      </c>
      <c r="AA458" s="19" t="s">
        <v>1663</v>
      </c>
      <c r="AB458" s="19" t="s">
        <v>1663</v>
      </c>
    </row>
    <row r="459" spans="1:28" s="18" customFormat="1">
      <c r="A459" s="18" t="s">
        <v>1927</v>
      </c>
      <c r="C459" s="18" t="s">
        <v>1928</v>
      </c>
      <c r="D459" s="18" t="s">
        <v>1928</v>
      </c>
      <c r="E459" s="19" t="s">
        <v>22</v>
      </c>
      <c r="G459" s="29"/>
      <c r="H459" s="32" t="str">
        <f>IF(Prueba[[#This Row],[Cant.]]=0,"",IF(OR(Prueba[[#This Row],[Cant.2]]="",Prueba[[#This Row],[Puesto2]]=""),"?",Prueba[[#This Row],[Puesto2]]))</f>
        <v/>
      </c>
      <c r="I459" s="31"/>
      <c r="J459" s="32"/>
      <c r="K459" s="14"/>
      <c r="L459" s="14"/>
      <c r="M459" s="31"/>
      <c r="N459" s="32" t="str">
        <f>IF(Prueba[[#This Row],[Cant.4]]=0,"",IF(OR(Prueba[[#This Row],[Cant.6]]="",Prueba[[#This Row],[Puesto6]]=""),"?",Prueba[[#This Row],[Puesto6]]))</f>
        <v/>
      </c>
      <c r="O459" s="31"/>
      <c r="P459" s="32" t="str">
        <f>IF(Prueba[[#This Row],[Cant.5]]=0,"",IF(OR(Prueba[[#This Row],[Cant.6]]="",Prueba[[#This Row],[Puesto6]]=""),"?",Prueba[[#This Row],[Puesto6]]))</f>
        <v/>
      </c>
      <c r="Q459" s="31"/>
      <c r="R459" s="32"/>
      <c r="S459" s="14"/>
      <c r="T459" s="14"/>
      <c r="U459" s="31"/>
      <c r="V459" s="32" t="s">
        <v>1663</v>
      </c>
      <c r="W459" s="19">
        <v>16</v>
      </c>
      <c r="X459" s="19" t="s">
        <v>1664</v>
      </c>
      <c r="Y459" s="19">
        <v>2</v>
      </c>
      <c r="Z459" s="19" t="s">
        <v>1402</v>
      </c>
      <c r="AA459" s="19">
        <v>2</v>
      </c>
      <c r="AB459" s="19" t="s">
        <v>1402</v>
      </c>
    </row>
    <row r="460" spans="1:28" s="18" customFormat="1">
      <c r="A460" s="18" t="s">
        <v>973</v>
      </c>
      <c r="B460" s="18" t="s">
        <v>9</v>
      </c>
      <c r="C460" s="18" t="s">
        <v>974</v>
      </c>
      <c r="D460" s="18" t="s">
        <v>975</v>
      </c>
      <c r="E460" s="19" t="s">
        <v>22</v>
      </c>
      <c r="F460" s="18" t="s">
        <v>13</v>
      </c>
      <c r="G460" s="29"/>
      <c r="H460" s="32" t="str">
        <f>IF(Prueba[[#This Row],[Cant.]]=0,"",IF(OR(Prueba[[#This Row],[Cant.2]]="",Prueba[[#This Row],[Puesto2]]=""),"?",Prueba[[#This Row],[Puesto2]]))</f>
        <v/>
      </c>
      <c r="I460" s="31"/>
      <c r="J460" s="32"/>
      <c r="K460" s="14">
        <v>1</v>
      </c>
      <c r="L460" s="14"/>
      <c r="M460" s="31">
        <v>1</v>
      </c>
      <c r="N460" s="32">
        <f>IF(Prueba[[#This Row],[Cant.4]]=0,"",IF(OR(Prueba[[#This Row],[Cant.6]]="",Prueba[[#This Row],[Puesto6]]=""),"?",Prueba[[#This Row],[Puesto6]]))</f>
        <v>5</v>
      </c>
      <c r="O460" s="31">
        <v>1</v>
      </c>
      <c r="P460" s="32">
        <f>IF(Prueba[[#This Row],[Cant.5]]=0,"",IF(OR(Prueba[[#This Row],[Cant.6]]="",Prueba[[#This Row],[Puesto6]]=""),"?",Prueba[[#This Row],[Puesto6]]))</f>
        <v>5</v>
      </c>
      <c r="Q460" s="31">
        <v>1</v>
      </c>
      <c r="R460" s="32">
        <v>5</v>
      </c>
      <c r="S460" s="14">
        <v>1</v>
      </c>
      <c r="T460" s="14">
        <v>5</v>
      </c>
      <c r="U460" s="31"/>
      <c r="V460" s="32" t="s">
        <v>1663</v>
      </c>
      <c r="W460" s="19">
        <v>8</v>
      </c>
      <c r="X460" s="19" t="s">
        <v>1664</v>
      </c>
      <c r="Y460" s="19" t="s">
        <v>1663</v>
      </c>
      <c r="Z460" s="19" t="s">
        <v>1663</v>
      </c>
      <c r="AA460" s="19" t="s">
        <v>1663</v>
      </c>
      <c r="AB460" s="19" t="s">
        <v>1663</v>
      </c>
    </row>
    <row r="461" spans="1:28" s="18" customFormat="1">
      <c r="A461" s="18" t="s">
        <v>1929</v>
      </c>
      <c r="B461" s="18" t="s">
        <v>9</v>
      </c>
      <c r="C461" s="18" t="s">
        <v>1930</v>
      </c>
      <c r="D461" s="18" t="s">
        <v>1931</v>
      </c>
      <c r="E461" s="19" t="s">
        <v>1733</v>
      </c>
      <c r="F461" s="18" t="s">
        <v>13</v>
      </c>
      <c r="G461" s="29"/>
      <c r="H461" s="32" t="str">
        <f>IF(Prueba[[#This Row],[Cant.]]=0,"",IF(OR(Prueba[[#This Row],[Cant.2]]="",Prueba[[#This Row],[Puesto2]]=""),"?",Prueba[[#This Row],[Puesto2]]))</f>
        <v/>
      </c>
      <c r="I461" s="31"/>
      <c r="J461" s="32"/>
      <c r="K461" s="14"/>
      <c r="L461" s="14"/>
      <c r="M461" s="31"/>
      <c r="N461" s="32" t="str">
        <f>IF(Prueba[[#This Row],[Cant.4]]=0,"",IF(OR(Prueba[[#This Row],[Cant.6]]="",Prueba[[#This Row],[Puesto6]]=""),"?",Prueba[[#This Row],[Puesto6]]))</f>
        <v/>
      </c>
      <c r="O461" s="31"/>
      <c r="P461" s="32" t="str">
        <f>IF(Prueba[[#This Row],[Cant.5]]=0,"",IF(OR(Prueba[[#This Row],[Cant.6]]="",Prueba[[#This Row],[Puesto6]]=""),"?",Prueba[[#This Row],[Puesto6]]))</f>
        <v/>
      </c>
      <c r="Q461" s="31"/>
      <c r="R461" s="32"/>
      <c r="S461" s="14">
        <v>4</v>
      </c>
      <c r="T461" s="14">
        <v>4</v>
      </c>
      <c r="U461" s="31"/>
      <c r="V461" s="32" t="s">
        <v>1663</v>
      </c>
      <c r="W461" s="19">
        <v>32</v>
      </c>
      <c r="X461" s="19" t="s">
        <v>1664</v>
      </c>
      <c r="Y461" s="19" t="s">
        <v>1663</v>
      </c>
      <c r="Z461" s="19" t="s">
        <v>1663</v>
      </c>
      <c r="AA461" s="19" t="s">
        <v>1663</v>
      </c>
      <c r="AB461" s="19" t="s">
        <v>1663</v>
      </c>
    </row>
    <row r="462" spans="1:28" s="18" customFormat="1">
      <c r="A462" s="18" t="s">
        <v>520</v>
      </c>
      <c r="B462" s="18" t="s">
        <v>9</v>
      </c>
      <c r="C462" s="18" t="s">
        <v>56</v>
      </c>
      <c r="D462" s="18" t="s">
        <v>521</v>
      </c>
      <c r="E462" s="19" t="s">
        <v>22</v>
      </c>
      <c r="F462" s="18" t="s">
        <v>13</v>
      </c>
      <c r="G462" s="29">
        <v>1</v>
      </c>
      <c r="H462" s="32">
        <f>IF(Prueba[[#This Row],[Cant.]]=0,"",IF(OR(Prueba[[#This Row],[Cant.2]]="",Prueba[[#This Row],[Puesto2]]=""),"?",Prueba[[#This Row],[Puesto2]]))</f>
        <v>4</v>
      </c>
      <c r="I462" s="31">
        <v>1</v>
      </c>
      <c r="J462" s="32">
        <v>4</v>
      </c>
      <c r="K462" s="14">
        <v>1</v>
      </c>
      <c r="L462" s="14"/>
      <c r="M462" s="31">
        <v>1</v>
      </c>
      <c r="N462" s="32">
        <f>IF(Prueba[[#This Row],[Cant.4]]=0,"",IF(OR(Prueba[[#This Row],[Cant.6]]="",Prueba[[#This Row],[Puesto6]]=""),"?",Prueba[[#This Row],[Puesto6]]))</f>
        <v>4</v>
      </c>
      <c r="O462" s="31">
        <v>1</v>
      </c>
      <c r="P462" s="32">
        <f>IF(Prueba[[#This Row],[Cant.5]]=0,"",IF(OR(Prueba[[#This Row],[Cant.6]]="",Prueba[[#This Row],[Puesto6]]=""),"?",Prueba[[#This Row],[Puesto6]]))</f>
        <v>4</v>
      </c>
      <c r="Q462" s="31">
        <v>1</v>
      </c>
      <c r="R462" s="32">
        <v>4</v>
      </c>
      <c r="S462" s="14">
        <v>1</v>
      </c>
      <c r="T462" s="14">
        <v>4</v>
      </c>
      <c r="U462" s="31"/>
      <c r="V462" s="32" t="s">
        <v>1663</v>
      </c>
      <c r="W462" s="19">
        <v>8</v>
      </c>
      <c r="X462" s="19" t="s">
        <v>1664</v>
      </c>
      <c r="Y462" s="19">
        <v>2</v>
      </c>
      <c r="Z462" s="19">
        <v>4</v>
      </c>
      <c r="AA462" s="19">
        <v>2</v>
      </c>
      <c r="AB462" s="19">
        <v>4</v>
      </c>
    </row>
    <row r="463" spans="1:28" s="18" customFormat="1">
      <c r="A463" s="18" t="s">
        <v>522</v>
      </c>
      <c r="B463" s="18" t="s">
        <v>9</v>
      </c>
      <c r="C463" s="18" t="s">
        <v>56</v>
      </c>
      <c r="D463" s="18" t="s">
        <v>521</v>
      </c>
      <c r="E463" s="19" t="s">
        <v>22</v>
      </c>
      <c r="F463" s="18" t="s">
        <v>13</v>
      </c>
      <c r="G463" s="29">
        <v>1</v>
      </c>
      <c r="H463" s="32">
        <f>IF(Prueba[[#This Row],[Cant.]]=0,"",IF(OR(Prueba[[#This Row],[Cant.2]]="",Prueba[[#This Row],[Puesto2]]=""),"?",Prueba[[#This Row],[Puesto2]]))</f>
        <v>4</v>
      </c>
      <c r="I463" s="31">
        <v>1</v>
      </c>
      <c r="J463" s="32">
        <v>4</v>
      </c>
      <c r="K463" s="14">
        <v>1</v>
      </c>
      <c r="L463" s="14"/>
      <c r="M463" s="31">
        <v>1</v>
      </c>
      <c r="N463" s="32">
        <f>IF(Prueba[[#This Row],[Cant.4]]=0,"",IF(OR(Prueba[[#This Row],[Cant.6]]="",Prueba[[#This Row],[Puesto6]]=""),"?",Prueba[[#This Row],[Puesto6]]))</f>
        <v>4</v>
      </c>
      <c r="O463" s="31">
        <v>1</v>
      </c>
      <c r="P463" s="32">
        <f>IF(Prueba[[#This Row],[Cant.5]]=0,"",IF(OR(Prueba[[#This Row],[Cant.6]]="",Prueba[[#This Row],[Puesto6]]=""),"?",Prueba[[#This Row],[Puesto6]]))</f>
        <v>4</v>
      </c>
      <c r="Q463" s="31">
        <v>1</v>
      </c>
      <c r="R463" s="32">
        <v>4</v>
      </c>
      <c r="S463" s="14">
        <v>1</v>
      </c>
      <c r="T463" s="14">
        <v>4</v>
      </c>
      <c r="U463" s="31"/>
      <c r="V463" s="32" t="s">
        <v>1663</v>
      </c>
      <c r="W463" s="19">
        <v>8</v>
      </c>
      <c r="X463" s="19" t="s">
        <v>1664</v>
      </c>
      <c r="Y463" s="19">
        <v>2</v>
      </c>
      <c r="Z463" s="19">
        <v>4</v>
      </c>
      <c r="AA463" s="19">
        <v>2</v>
      </c>
      <c r="AB463" s="19">
        <v>4</v>
      </c>
    </row>
    <row r="464" spans="1:28" s="18" customFormat="1">
      <c r="A464" s="18" t="s">
        <v>1439</v>
      </c>
      <c r="B464" s="18" t="s">
        <v>9</v>
      </c>
      <c r="C464" s="18" t="s">
        <v>1932</v>
      </c>
      <c r="D464" s="18" t="s">
        <v>1933</v>
      </c>
      <c r="E464" s="19" t="s">
        <v>12</v>
      </c>
      <c r="F464" s="18" t="s">
        <v>13</v>
      </c>
      <c r="G464" s="29"/>
      <c r="H464" s="32" t="str">
        <f>IF(Prueba[[#This Row],[Cant.]]=0,"",IF(OR(Prueba[[#This Row],[Cant.2]]="",Prueba[[#This Row],[Puesto2]]=""),"?",Prueba[[#This Row],[Puesto2]]))</f>
        <v/>
      </c>
      <c r="I464" s="31"/>
      <c r="J464" s="32"/>
      <c r="K464" s="14"/>
      <c r="L464" s="14"/>
      <c r="M464" s="31"/>
      <c r="N464" s="32" t="str">
        <f>IF(Prueba[[#This Row],[Cant.4]]=0,"",IF(OR(Prueba[[#This Row],[Cant.6]]="",Prueba[[#This Row],[Puesto6]]=""),"?",Prueba[[#This Row],[Puesto6]]))</f>
        <v/>
      </c>
      <c r="O464" s="31"/>
      <c r="P464" s="32" t="str">
        <f>IF(Prueba[[#This Row],[Cant.5]]=0,"",IF(OR(Prueba[[#This Row],[Cant.6]]="",Prueba[[#This Row],[Puesto6]]=""),"?",Prueba[[#This Row],[Puesto6]]))</f>
        <v/>
      </c>
      <c r="Q464" s="31"/>
      <c r="R464" s="32"/>
      <c r="S464" s="14"/>
      <c r="T464" s="14"/>
      <c r="U464" s="31">
        <v>1</v>
      </c>
      <c r="V464" s="32">
        <v>6</v>
      </c>
      <c r="W464" s="19"/>
      <c r="X464" s="19" t="s">
        <v>1667</v>
      </c>
      <c r="Y464" s="19" t="s">
        <v>1663</v>
      </c>
      <c r="Z464" s="19" t="s">
        <v>1663</v>
      </c>
      <c r="AA464" s="19" t="s">
        <v>1663</v>
      </c>
      <c r="AB464" s="19" t="s">
        <v>1663</v>
      </c>
    </row>
    <row r="465" spans="1:28" s="18" customFormat="1">
      <c r="A465" s="18" t="s">
        <v>1330</v>
      </c>
      <c r="B465" s="18" t="s">
        <v>9</v>
      </c>
      <c r="C465" s="18" t="s">
        <v>1331</v>
      </c>
      <c r="D465" s="18" t="s">
        <v>564</v>
      </c>
      <c r="E465" s="19" t="s">
        <v>12</v>
      </c>
      <c r="F465" s="18" t="s">
        <v>13</v>
      </c>
      <c r="G465" s="29"/>
      <c r="H465" s="32" t="str">
        <f>IF(Prueba[[#This Row],[Cant.]]=0,"",IF(OR(Prueba[[#This Row],[Cant.2]]="",Prueba[[#This Row],[Puesto2]]=""),"?",Prueba[[#This Row],[Puesto2]]))</f>
        <v/>
      </c>
      <c r="I465" s="31"/>
      <c r="J465" s="32"/>
      <c r="K465" s="14">
        <v>1</v>
      </c>
      <c r="L465" s="14"/>
      <c r="M465" s="31">
        <v>1</v>
      </c>
      <c r="N465" s="32" t="str">
        <f>IF(Prueba[[#This Row],[Cant.4]]=0,"",IF(OR(Prueba[[#This Row],[Cant.6]]="",Prueba[[#This Row],[Puesto6]]=""),"?",Prueba[[#This Row],[Puesto6]]))</f>
        <v>D</v>
      </c>
      <c r="O465" s="31"/>
      <c r="P465" s="32" t="str">
        <f>IF(Prueba[[#This Row],[Cant.5]]=0,"",IF(OR(Prueba[[#This Row],[Cant.6]]="",Prueba[[#This Row],[Puesto6]]=""),"?",Prueba[[#This Row],[Puesto6]]))</f>
        <v/>
      </c>
      <c r="Q465" s="31">
        <v>1</v>
      </c>
      <c r="R465" s="32" t="s">
        <v>1399</v>
      </c>
      <c r="S465" s="14">
        <v>1</v>
      </c>
      <c r="T465" s="14" t="s">
        <v>1399</v>
      </c>
      <c r="U465" s="31"/>
      <c r="V465" s="32" t="s">
        <v>1663</v>
      </c>
      <c r="W465" s="19"/>
      <c r="X465" s="19" t="s">
        <v>1667</v>
      </c>
      <c r="Y465" s="19" t="s">
        <v>1663</v>
      </c>
      <c r="Z465" s="19" t="s">
        <v>1663</v>
      </c>
      <c r="AA465" s="19" t="s">
        <v>1663</v>
      </c>
      <c r="AB465" s="19" t="s">
        <v>1663</v>
      </c>
    </row>
    <row r="466" spans="1:28" s="18" customFormat="1">
      <c r="A466" s="18" t="s">
        <v>976</v>
      </c>
      <c r="B466" s="18" t="s">
        <v>9</v>
      </c>
      <c r="C466" s="18" t="s">
        <v>161</v>
      </c>
      <c r="D466" s="18" t="s">
        <v>162</v>
      </c>
      <c r="E466" s="19" t="s">
        <v>39</v>
      </c>
      <c r="F466" s="18" t="s">
        <v>13</v>
      </c>
      <c r="G466" s="29"/>
      <c r="H466" s="32" t="str">
        <f>IF(Prueba[[#This Row],[Cant.]]=0,"",IF(OR(Prueba[[#This Row],[Cant.2]]="",Prueba[[#This Row],[Puesto2]]=""),"?",Prueba[[#This Row],[Puesto2]]))</f>
        <v/>
      </c>
      <c r="I466" s="31"/>
      <c r="J466" s="32"/>
      <c r="K466" s="14">
        <v>2</v>
      </c>
      <c r="L466" s="14"/>
      <c r="M466" s="31">
        <v>2</v>
      </c>
      <c r="N466" s="32">
        <f>IF(Prueba[[#This Row],[Cant.4]]=0,"",IF(OR(Prueba[[#This Row],[Cant.6]]="",Prueba[[#This Row],[Puesto6]]=""),"?",Prueba[[#This Row],[Puesto6]]))</f>
        <v>3</v>
      </c>
      <c r="O466" s="31">
        <v>2</v>
      </c>
      <c r="P466" s="32">
        <f>IF(Prueba[[#This Row],[Cant.5]]=0,"",IF(OR(Prueba[[#This Row],[Cant.6]]="",Prueba[[#This Row],[Puesto6]]=""),"?",Prueba[[#This Row],[Puesto6]]))</f>
        <v>3</v>
      </c>
      <c r="Q466" s="31">
        <v>2</v>
      </c>
      <c r="R466" s="32">
        <v>3</v>
      </c>
      <c r="S466" s="14">
        <v>2</v>
      </c>
      <c r="T466" s="14">
        <v>3</v>
      </c>
      <c r="U466" s="31"/>
      <c r="V466" s="32" t="s">
        <v>1663</v>
      </c>
      <c r="W466" s="19"/>
      <c r="X466" s="19" t="s">
        <v>1667</v>
      </c>
      <c r="Y466" s="19" t="s">
        <v>1663</v>
      </c>
      <c r="Z466" s="19" t="s">
        <v>1663</v>
      </c>
      <c r="AA466" s="19" t="s">
        <v>1663</v>
      </c>
      <c r="AB466" s="19" t="s">
        <v>1663</v>
      </c>
    </row>
    <row r="467" spans="1:28" s="18" customFormat="1">
      <c r="A467" s="18" t="s">
        <v>1934</v>
      </c>
      <c r="B467" s="18" t="s">
        <v>9</v>
      </c>
      <c r="C467" s="18" t="s">
        <v>1853</v>
      </c>
      <c r="D467" s="18" t="s">
        <v>1854</v>
      </c>
      <c r="E467" s="19" t="s">
        <v>1733</v>
      </c>
      <c r="F467" s="18" t="s">
        <v>13</v>
      </c>
      <c r="G467" s="29"/>
      <c r="H467" s="32" t="str">
        <f>IF(Prueba[[#This Row],[Cant.]]=0,"",IF(OR(Prueba[[#This Row],[Cant.2]]="",Prueba[[#This Row],[Puesto2]]=""),"?",Prueba[[#This Row],[Puesto2]]))</f>
        <v/>
      </c>
      <c r="I467" s="31"/>
      <c r="J467" s="32"/>
      <c r="K467" s="14"/>
      <c r="L467" s="14"/>
      <c r="M467" s="31"/>
      <c r="N467" s="32" t="str">
        <f>IF(Prueba[[#This Row],[Cant.4]]=0,"",IF(OR(Prueba[[#This Row],[Cant.6]]="",Prueba[[#This Row],[Puesto6]]=""),"?",Prueba[[#This Row],[Puesto6]]))</f>
        <v/>
      </c>
      <c r="O467" s="31"/>
      <c r="P467" s="32" t="str">
        <f>IF(Prueba[[#This Row],[Cant.5]]=0,"",IF(OR(Prueba[[#This Row],[Cant.6]]="",Prueba[[#This Row],[Puesto6]]=""),"?",Prueba[[#This Row],[Puesto6]]))</f>
        <v/>
      </c>
      <c r="Q467" s="31"/>
      <c r="R467" s="32"/>
      <c r="S467" s="14">
        <v>8</v>
      </c>
      <c r="T467" s="14">
        <v>3</v>
      </c>
      <c r="U467" s="31"/>
      <c r="V467" s="32" t="s">
        <v>1663</v>
      </c>
      <c r="W467" s="19">
        <v>64</v>
      </c>
      <c r="X467" s="19" t="s">
        <v>1664</v>
      </c>
      <c r="Y467" s="19" t="s">
        <v>1663</v>
      </c>
      <c r="Z467" s="19" t="s">
        <v>1663</v>
      </c>
      <c r="AA467" s="19" t="s">
        <v>1663</v>
      </c>
      <c r="AB467" s="19" t="s">
        <v>1663</v>
      </c>
    </row>
    <row r="468" spans="1:28" s="18" customFormat="1">
      <c r="A468" s="18" t="s">
        <v>977</v>
      </c>
      <c r="B468" s="18" t="s">
        <v>9</v>
      </c>
      <c r="C468" s="18" t="s">
        <v>193</v>
      </c>
      <c r="D468" s="18" t="s">
        <v>194</v>
      </c>
      <c r="E468" s="19" t="s">
        <v>195</v>
      </c>
      <c r="F468" s="18" t="s">
        <v>13</v>
      </c>
      <c r="G468" s="29"/>
      <c r="H468" s="32" t="str">
        <f>IF(Prueba[[#This Row],[Cant.]]=0,"",IF(OR(Prueba[[#This Row],[Cant.2]]="",Prueba[[#This Row],[Puesto2]]=""),"?",Prueba[[#This Row],[Puesto2]]))</f>
        <v/>
      </c>
      <c r="I468" s="31"/>
      <c r="J468" s="32"/>
      <c r="K468" s="14">
        <v>1</v>
      </c>
      <c r="L468" s="14"/>
      <c r="M468" s="31"/>
      <c r="N468" s="32" t="str">
        <f>IF(Prueba[[#This Row],[Cant.4]]=0,"",IF(OR(Prueba[[#This Row],[Cant.6]]="",Prueba[[#This Row],[Puesto6]]=""),"?",Prueba[[#This Row],[Puesto6]]))</f>
        <v/>
      </c>
      <c r="O468" s="31"/>
      <c r="P468" s="32" t="str">
        <f>IF(Prueba[[#This Row],[Cant.5]]=0,"",IF(OR(Prueba[[#This Row],[Cant.6]]="",Prueba[[#This Row],[Puesto6]]=""),"?",Prueba[[#This Row],[Puesto6]]))</f>
        <v/>
      </c>
      <c r="Q468" s="31"/>
      <c r="R468" s="32"/>
      <c r="S468" s="14"/>
      <c r="T468" s="14"/>
      <c r="U468" s="31"/>
      <c r="V468" s="32" t="s">
        <v>1663</v>
      </c>
      <c r="W468" s="19"/>
      <c r="X468" s="19" t="s">
        <v>1667</v>
      </c>
      <c r="Y468" s="19" t="s">
        <v>1663</v>
      </c>
      <c r="Z468" s="19" t="s">
        <v>1663</v>
      </c>
      <c r="AA468" s="19" t="s">
        <v>1663</v>
      </c>
      <c r="AB468" s="19" t="s">
        <v>1663</v>
      </c>
    </row>
    <row r="469" spans="1:28" s="18" customFormat="1" ht="15.6">
      <c r="A469" s="18" t="s">
        <v>1935</v>
      </c>
      <c r="B469" s="18" t="s">
        <v>9</v>
      </c>
      <c r="C469" s="18" t="s">
        <v>1936</v>
      </c>
      <c r="D469" s="18" t="s">
        <v>1937</v>
      </c>
      <c r="E469" s="92" t="s">
        <v>39</v>
      </c>
      <c r="F469" s="18" t="s">
        <v>13</v>
      </c>
      <c r="G469" s="29"/>
      <c r="H469" s="32" t="str">
        <f>IF(Prueba[[#This Row],[Cant.]]=0,"",IF(OR(Prueba[[#This Row],[Cant.2]]="",Prueba[[#This Row],[Puesto2]]=""),"?",Prueba[[#This Row],[Puesto2]]))</f>
        <v/>
      </c>
      <c r="I469" s="31"/>
      <c r="J469" s="32"/>
      <c r="K469" s="14"/>
      <c r="L469" s="14"/>
      <c r="M469" s="31"/>
      <c r="N469" s="32" t="str">
        <f>IF(Prueba[[#This Row],[Cant.4]]=0,"",IF(OR(Prueba[[#This Row],[Cant.6]]="",Prueba[[#This Row],[Puesto6]]=""),"?",Prueba[[#This Row],[Puesto6]]))</f>
        <v/>
      </c>
      <c r="O469" s="31"/>
      <c r="P469" s="32" t="str">
        <f>IF(Prueba[[#This Row],[Cant.5]]=0,"",IF(OR(Prueba[[#This Row],[Cant.6]]="",Prueba[[#This Row],[Puesto6]]=""),"?",Prueba[[#This Row],[Puesto6]]))</f>
        <v/>
      </c>
      <c r="Q469" s="31"/>
      <c r="R469" s="32"/>
      <c r="S469" s="14">
        <v>2</v>
      </c>
      <c r="T469" s="14" t="s">
        <v>1421</v>
      </c>
      <c r="U469" s="31"/>
      <c r="V469" s="32" t="s">
        <v>1663</v>
      </c>
      <c r="W469" s="19"/>
      <c r="X469" s="19" t="s">
        <v>1667</v>
      </c>
      <c r="Y469" s="19" t="s">
        <v>1663</v>
      </c>
      <c r="Z469" s="19" t="s">
        <v>1663</v>
      </c>
      <c r="AA469" s="19" t="s">
        <v>1663</v>
      </c>
      <c r="AB469" s="19" t="s">
        <v>1663</v>
      </c>
    </row>
    <row r="470" spans="1:28" s="18" customFormat="1">
      <c r="A470" s="18" t="s">
        <v>1441</v>
      </c>
      <c r="B470" s="18" t="s">
        <v>9</v>
      </c>
      <c r="C470" s="18" t="s">
        <v>1799</v>
      </c>
      <c r="D470" s="18" t="s">
        <v>1938</v>
      </c>
      <c r="E470" s="19" t="s">
        <v>18</v>
      </c>
      <c r="F470" s="18" t="s">
        <v>13</v>
      </c>
      <c r="G470" s="29"/>
      <c r="H470" s="32" t="str">
        <f>IF(Prueba[[#This Row],[Cant.]]=0,"",IF(OR(Prueba[[#This Row],[Cant.2]]="",Prueba[[#This Row],[Puesto2]]=""),"?",Prueba[[#This Row],[Puesto2]]))</f>
        <v/>
      </c>
      <c r="I470" s="31"/>
      <c r="J470" s="32"/>
      <c r="K470" s="14"/>
      <c r="L470" s="14"/>
      <c r="M470" s="31"/>
      <c r="N470" s="32" t="str">
        <f>IF(Prueba[[#This Row],[Cant.4]]=0,"",IF(OR(Prueba[[#This Row],[Cant.6]]="",Prueba[[#This Row],[Puesto6]]=""),"?",Prueba[[#This Row],[Puesto6]]))</f>
        <v/>
      </c>
      <c r="O470" s="31"/>
      <c r="P470" s="32" t="str">
        <f>IF(Prueba[[#This Row],[Cant.5]]=0,"",IF(OR(Prueba[[#This Row],[Cant.6]]="",Prueba[[#This Row],[Puesto6]]=""),"?",Prueba[[#This Row],[Puesto6]]))</f>
        <v/>
      </c>
      <c r="Q470" s="31"/>
      <c r="R470" s="32"/>
      <c r="S470" s="14"/>
      <c r="T470" s="14"/>
      <c r="U470" s="31">
        <v>2</v>
      </c>
      <c r="V470" s="32" t="s">
        <v>1402</v>
      </c>
      <c r="W470" s="19"/>
      <c r="X470" s="19" t="s">
        <v>1667</v>
      </c>
      <c r="Y470" s="19" t="s">
        <v>1663</v>
      </c>
      <c r="Z470" s="19" t="s">
        <v>1663</v>
      </c>
      <c r="AA470" s="19" t="s">
        <v>1663</v>
      </c>
      <c r="AB470" s="19" t="s">
        <v>1663</v>
      </c>
    </row>
    <row r="471" spans="1:28" s="18" customFormat="1">
      <c r="A471" s="18" t="s">
        <v>978</v>
      </c>
      <c r="B471" s="18" t="s">
        <v>9</v>
      </c>
      <c r="C471" s="18" t="s">
        <v>979</v>
      </c>
      <c r="D471" s="18" t="s">
        <v>979</v>
      </c>
      <c r="E471" s="19" t="s">
        <v>22</v>
      </c>
      <c r="F471" s="18" t="s">
        <v>13</v>
      </c>
      <c r="G471" s="29"/>
      <c r="H471" s="32" t="str">
        <f>IF(Prueba[[#This Row],[Cant.]]=0,"",IF(OR(Prueba[[#This Row],[Cant.2]]="",Prueba[[#This Row],[Puesto2]]=""),"?",Prueba[[#This Row],[Puesto2]]))</f>
        <v/>
      </c>
      <c r="I471" s="31"/>
      <c r="J471" s="32"/>
      <c r="K471" s="14">
        <v>1</v>
      </c>
      <c r="L471" s="14"/>
      <c r="M471" s="31">
        <v>1</v>
      </c>
      <c r="N471" s="32" t="str">
        <f>IF(Prueba[[#This Row],[Cant.4]]=0,"",IF(OR(Prueba[[#This Row],[Cant.6]]="",Prueba[[#This Row],[Puesto6]]=""),"?",Prueba[[#This Row],[Puesto6]]))</f>
        <v>C</v>
      </c>
      <c r="O471" s="31">
        <v>1</v>
      </c>
      <c r="P471" s="32" t="str">
        <f>IF(Prueba[[#This Row],[Cant.5]]=0,"",IF(OR(Prueba[[#This Row],[Cant.6]]="",Prueba[[#This Row],[Puesto6]]=""),"?",Prueba[[#This Row],[Puesto6]]))</f>
        <v>C</v>
      </c>
      <c r="Q471" s="31">
        <v>1</v>
      </c>
      <c r="R471" s="32" t="s">
        <v>1402</v>
      </c>
      <c r="S471" s="14">
        <v>1</v>
      </c>
      <c r="T471" s="14" t="s">
        <v>1402</v>
      </c>
      <c r="U471" s="31">
        <v>1</v>
      </c>
      <c r="V471" s="32" t="s">
        <v>1402</v>
      </c>
      <c r="W471" s="19">
        <v>8</v>
      </c>
      <c r="X471" s="19" t="s">
        <v>1664</v>
      </c>
      <c r="Y471" s="19" t="s">
        <v>1663</v>
      </c>
      <c r="Z471" s="19" t="s">
        <v>1663</v>
      </c>
      <c r="AA471" s="19" t="s">
        <v>1663</v>
      </c>
      <c r="AB471" s="19" t="s">
        <v>1663</v>
      </c>
    </row>
    <row r="472" spans="1:28" s="18" customFormat="1">
      <c r="A472" s="18" t="s">
        <v>980</v>
      </c>
      <c r="B472" s="18" t="s">
        <v>9</v>
      </c>
      <c r="C472" s="18" t="s">
        <v>187</v>
      </c>
      <c r="D472" s="18" t="s">
        <v>979</v>
      </c>
      <c r="E472" s="19" t="s">
        <v>22</v>
      </c>
      <c r="F472" s="18" t="s">
        <v>13</v>
      </c>
      <c r="G472" s="29"/>
      <c r="H472" s="32" t="str">
        <f>IF(Prueba[[#This Row],[Cant.]]=0,"",IF(OR(Prueba[[#This Row],[Cant.2]]="",Prueba[[#This Row],[Puesto2]]=""),"?",Prueba[[#This Row],[Puesto2]]))</f>
        <v/>
      </c>
      <c r="I472" s="31"/>
      <c r="J472" s="32"/>
      <c r="K472" s="14">
        <v>1</v>
      </c>
      <c r="L472" s="14"/>
      <c r="M472" s="31">
        <v>1</v>
      </c>
      <c r="N472" s="32" t="str">
        <f>IF(Prueba[[#This Row],[Cant.4]]=0,"",IF(OR(Prueba[[#This Row],[Cant.6]]="",Prueba[[#This Row],[Puesto6]]=""),"?",Prueba[[#This Row],[Puesto6]]))</f>
        <v>C</v>
      </c>
      <c r="O472" s="31">
        <v>1</v>
      </c>
      <c r="P472" s="32" t="str">
        <f>IF(Prueba[[#This Row],[Cant.5]]=0,"",IF(OR(Prueba[[#This Row],[Cant.6]]="",Prueba[[#This Row],[Puesto6]]=""),"?",Prueba[[#This Row],[Puesto6]]))</f>
        <v>C</v>
      </c>
      <c r="Q472" s="31">
        <v>1</v>
      </c>
      <c r="R472" s="32" t="s">
        <v>1402</v>
      </c>
      <c r="S472" s="14">
        <v>1</v>
      </c>
      <c r="T472" s="14" t="s">
        <v>1402</v>
      </c>
      <c r="U472" s="31">
        <v>1</v>
      </c>
      <c r="V472" s="32" t="s">
        <v>1402</v>
      </c>
      <c r="W472" s="19">
        <v>8</v>
      </c>
      <c r="X472" s="19" t="s">
        <v>1664</v>
      </c>
      <c r="Y472" s="19" t="s">
        <v>1663</v>
      </c>
      <c r="Z472" s="19" t="s">
        <v>1663</v>
      </c>
      <c r="AA472" s="19" t="s">
        <v>1663</v>
      </c>
      <c r="AB472" s="19" t="s">
        <v>1663</v>
      </c>
    </row>
    <row r="473" spans="1:28" s="18" customFormat="1">
      <c r="A473" s="18" t="s">
        <v>1332</v>
      </c>
      <c r="B473" s="18" t="s">
        <v>9</v>
      </c>
      <c r="C473" s="18" t="s">
        <v>1366</v>
      </c>
      <c r="D473" s="18" t="s">
        <v>1939</v>
      </c>
      <c r="E473" s="19" t="s">
        <v>18</v>
      </c>
      <c r="F473" s="18" t="s">
        <v>13</v>
      </c>
      <c r="G473" s="29"/>
      <c r="H473" s="32" t="str">
        <f>IF(Prueba[[#This Row],[Cant.]]=0,"",IF(OR(Prueba[[#This Row],[Cant.2]]="",Prueba[[#This Row],[Puesto2]]=""),"?",Prueba[[#This Row],[Puesto2]]))</f>
        <v/>
      </c>
      <c r="I473" s="31"/>
      <c r="J473" s="32"/>
      <c r="K473" s="14">
        <v>1</v>
      </c>
      <c r="L473" s="14"/>
      <c r="M473" s="31"/>
      <c r="N473" s="32" t="str">
        <f>IF(Prueba[[#This Row],[Cant.4]]=0,"",IF(OR(Prueba[[#This Row],[Cant.6]]="",Prueba[[#This Row],[Puesto6]]=""),"?",Prueba[[#This Row],[Puesto6]]))</f>
        <v/>
      </c>
      <c r="O473" s="31"/>
      <c r="P473" s="32" t="str">
        <f>IF(Prueba[[#This Row],[Cant.5]]=0,"",IF(OR(Prueba[[#This Row],[Cant.6]]="",Prueba[[#This Row],[Puesto6]]=""),"?",Prueba[[#This Row],[Puesto6]]))</f>
        <v/>
      </c>
      <c r="Q473" s="31"/>
      <c r="R473" s="32"/>
      <c r="S473" s="14"/>
      <c r="T473" s="14"/>
      <c r="U473" s="31"/>
      <c r="V473" s="32" t="s">
        <v>1663</v>
      </c>
      <c r="W473" s="19"/>
      <c r="X473" s="19" t="s">
        <v>1667</v>
      </c>
      <c r="Y473" s="19" t="s">
        <v>1663</v>
      </c>
      <c r="Z473" s="19" t="s">
        <v>1663</v>
      </c>
      <c r="AA473" s="19" t="s">
        <v>1663</v>
      </c>
      <c r="AB473" s="19" t="s">
        <v>1663</v>
      </c>
    </row>
    <row r="474" spans="1:28" s="18" customFormat="1">
      <c r="A474" s="18" t="s">
        <v>1940</v>
      </c>
      <c r="B474" s="18" t="s">
        <v>9</v>
      </c>
      <c r="C474" s="18" t="s">
        <v>1333</v>
      </c>
      <c r="D474" s="18" t="s">
        <v>17</v>
      </c>
      <c r="E474" s="19" t="s">
        <v>18</v>
      </c>
      <c r="F474" s="18" t="s">
        <v>13</v>
      </c>
      <c r="G474" s="29"/>
      <c r="H474" s="32" t="str">
        <f>IF(Prueba[[#This Row],[Cant.]]=0,"",IF(OR(Prueba[[#This Row],[Cant.2]]="",Prueba[[#This Row],[Puesto2]]=""),"?",Prueba[[#This Row],[Puesto2]]))</f>
        <v/>
      </c>
      <c r="I474" s="31"/>
      <c r="J474" s="32"/>
      <c r="K474" s="14"/>
      <c r="L474" s="14"/>
      <c r="M474" s="31"/>
      <c r="N474" s="32" t="str">
        <f>IF(Prueba[[#This Row],[Cant.4]]=0,"",IF(OR(Prueba[[#This Row],[Cant.6]]="",Prueba[[#This Row],[Puesto6]]=""),"?",Prueba[[#This Row],[Puesto6]]))</f>
        <v/>
      </c>
      <c r="O474" s="31"/>
      <c r="P474" s="32" t="str">
        <f>IF(Prueba[[#This Row],[Cant.5]]=0,"",IF(OR(Prueba[[#This Row],[Cant.6]]="",Prueba[[#This Row],[Puesto6]]=""),"?",Prueba[[#This Row],[Puesto6]]))</f>
        <v/>
      </c>
      <c r="Q474" s="31"/>
      <c r="R474" s="32"/>
      <c r="S474" s="14"/>
      <c r="T474" s="14"/>
      <c r="U474" s="31"/>
      <c r="V474" s="32" t="s">
        <v>1663</v>
      </c>
      <c r="W474" s="19" t="s">
        <v>1941</v>
      </c>
      <c r="X474" s="19" t="s">
        <v>1667</v>
      </c>
      <c r="Y474" s="19" t="s">
        <v>1663</v>
      </c>
      <c r="Z474" s="19" t="s">
        <v>1663</v>
      </c>
      <c r="AA474" s="19" t="s">
        <v>1663</v>
      </c>
      <c r="AB474" s="19" t="s">
        <v>1663</v>
      </c>
    </row>
    <row r="475" spans="1:28" s="18" customFormat="1">
      <c r="A475" s="18" t="s">
        <v>981</v>
      </c>
      <c r="B475" s="18" t="s">
        <v>9</v>
      </c>
      <c r="C475" s="18" t="s">
        <v>16</v>
      </c>
      <c r="D475" s="18" t="s">
        <v>982</v>
      </c>
      <c r="E475" s="19" t="s">
        <v>12</v>
      </c>
      <c r="F475" s="18" t="s">
        <v>13</v>
      </c>
      <c r="G475" s="29"/>
      <c r="H475" s="32" t="str">
        <f>IF(Prueba[[#This Row],[Cant.]]=0,"",IF(OR(Prueba[[#This Row],[Cant.2]]="",Prueba[[#This Row],[Puesto2]]=""),"?",Prueba[[#This Row],[Puesto2]]))</f>
        <v/>
      </c>
      <c r="I475" s="31"/>
      <c r="J475" s="32"/>
      <c r="K475" s="14">
        <v>1</v>
      </c>
      <c r="L475" s="14"/>
      <c r="M475" s="31"/>
      <c r="N475" s="32" t="str">
        <f>IF(Prueba[[#This Row],[Cant.4]]=0,"",IF(OR(Prueba[[#This Row],[Cant.6]]="",Prueba[[#This Row],[Puesto6]]=""),"?",Prueba[[#This Row],[Puesto6]]))</f>
        <v/>
      </c>
      <c r="O475" s="31"/>
      <c r="P475" s="32" t="str">
        <f>IF(Prueba[[#This Row],[Cant.5]]=0,"",IF(OR(Prueba[[#This Row],[Cant.6]]="",Prueba[[#This Row],[Puesto6]]=""),"?",Prueba[[#This Row],[Puesto6]]))</f>
        <v/>
      </c>
      <c r="Q475" s="31"/>
      <c r="R475" s="32"/>
      <c r="S475" s="14"/>
      <c r="T475" s="14"/>
      <c r="U475" s="31">
        <v>1</v>
      </c>
      <c r="V475" s="32" t="s">
        <v>1402</v>
      </c>
      <c r="W475" s="19"/>
      <c r="X475" s="19" t="s">
        <v>1667</v>
      </c>
      <c r="Y475" s="19" t="s">
        <v>1663</v>
      </c>
      <c r="Z475" s="19" t="s">
        <v>1663</v>
      </c>
      <c r="AA475" s="19" t="s">
        <v>1663</v>
      </c>
      <c r="AB475" s="19" t="s">
        <v>1663</v>
      </c>
    </row>
    <row r="476" spans="1:28" s="18" customFormat="1">
      <c r="A476" s="18" t="s">
        <v>983</v>
      </c>
      <c r="B476" s="18" t="s">
        <v>9</v>
      </c>
      <c r="C476" s="18" t="s">
        <v>16</v>
      </c>
      <c r="D476" s="18" t="s">
        <v>984</v>
      </c>
      <c r="E476" s="19" t="s">
        <v>18</v>
      </c>
      <c r="F476" s="18" t="s">
        <v>13</v>
      </c>
      <c r="G476" s="29"/>
      <c r="H476" s="32" t="str">
        <f>IF(Prueba[[#This Row],[Cant.]]=0,"",IF(OR(Prueba[[#This Row],[Cant.2]]="",Prueba[[#This Row],[Puesto2]]=""),"?",Prueba[[#This Row],[Puesto2]]))</f>
        <v/>
      </c>
      <c r="I476" s="31"/>
      <c r="J476" s="32"/>
      <c r="K476" s="14">
        <v>1</v>
      </c>
      <c r="L476" s="14"/>
      <c r="M476" s="31"/>
      <c r="N476" s="32" t="str">
        <f>IF(Prueba[[#This Row],[Cant.4]]=0,"",IF(OR(Prueba[[#This Row],[Cant.6]]="",Prueba[[#This Row],[Puesto6]]=""),"?",Prueba[[#This Row],[Puesto6]]))</f>
        <v/>
      </c>
      <c r="O476" s="31"/>
      <c r="P476" s="32" t="str">
        <f>IF(Prueba[[#This Row],[Cant.5]]=0,"",IF(OR(Prueba[[#This Row],[Cant.6]]="",Prueba[[#This Row],[Puesto6]]=""),"?",Prueba[[#This Row],[Puesto6]]))</f>
        <v/>
      </c>
      <c r="Q476" s="31"/>
      <c r="R476" s="32"/>
      <c r="S476" s="14"/>
      <c r="T476" s="14"/>
      <c r="U476" s="31">
        <v>1</v>
      </c>
      <c r="V476" s="32" t="s">
        <v>1402</v>
      </c>
      <c r="W476" s="19"/>
      <c r="X476" s="19" t="s">
        <v>1667</v>
      </c>
      <c r="Y476" s="19" t="s">
        <v>1663</v>
      </c>
      <c r="Z476" s="19" t="s">
        <v>1663</v>
      </c>
      <c r="AA476" s="19" t="s">
        <v>1663</v>
      </c>
      <c r="AB476" s="19" t="s">
        <v>1663</v>
      </c>
    </row>
    <row r="477" spans="1:28" s="18" customFormat="1" ht="15.6">
      <c r="A477" s="18" t="s">
        <v>1942</v>
      </c>
      <c r="B477" s="18" t="s">
        <v>9</v>
      </c>
      <c r="C477" s="18" t="s">
        <v>1943</v>
      </c>
      <c r="D477" s="18" t="s">
        <v>1944</v>
      </c>
      <c r="E477" s="92" t="s">
        <v>18</v>
      </c>
      <c r="F477" s="18" t="s">
        <v>13</v>
      </c>
      <c r="G477" s="29"/>
      <c r="H477" s="32" t="str">
        <f>IF(Prueba[[#This Row],[Cant.]]=0,"",IF(OR(Prueba[[#This Row],[Cant.2]]="",Prueba[[#This Row],[Puesto2]]=""),"?",Prueba[[#This Row],[Puesto2]]))</f>
        <v/>
      </c>
      <c r="I477" s="31"/>
      <c r="J477" s="32"/>
      <c r="K477" s="14"/>
      <c r="L477" s="14"/>
      <c r="M477" s="31"/>
      <c r="N477" s="32" t="str">
        <f>IF(Prueba[[#This Row],[Cant.4]]=0,"",IF(OR(Prueba[[#This Row],[Cant.6]]="",Prueba[[#This Row],[Puesto6]]=""),"?",Prueba[[#This Row],[Puesto6]]))</f>
        <v/>
      </c>
      <c r="O477" s="31"/>
      <c r="P477" s="32" t="str">
        <f>IF(Prueba[[#This Row],[Cant.5]]=0,"",IF(OR(Prueba[[#This Row],[Cant.6]]="",Prueba[[#This Row],[Puesto6]]=""),"?",Prueba[[#This Row],[Puesto6]]))</f>
        <v/>
      </c>
      <c r="Q477" s="31"/>
      <c r="R477" s="32"/>
      <c r="S477" s="14">
        <v>2</v>
      </c>
      <c r="T477" s="14" t="s">
        <v>1402</v>
      </c>
      <c r="U477" s="31"/>
      <c r="V477" s="32" t="s">
        <v>1663</v>
      </c>
      <c r="W477" s="19"/>
      <c r="X477" s="19" t="s">
        <v>1667</v>
      </c>
      <c r="Y477" s="19" t="s">
        <v>1663</v>
      </c>
      <c r="Z477" s="19" t="s">
        <v>1663</v>
      </c>
      <c r="AA477" s="19" t="s">
        <v>1663</v>
      </c>
      <c r="AB477" s="19" t="s">
        <v>1663</v>
      </c>
    </row>
    <row r="478" spans="1:28" s="18" customFormat="1" ht="15.6">
      <c r="A478" s="18" t="s">
        <v>1945</v>
      </c>
      <c r="B478" s="18" t="s">
        <v>9</v>
      </c>
      <c r="C478" s="18" t="s">
        <v>1946</v>
      </c>
      <c r="D478" s="18" t="s">
        <v>1947</v>
      </c>
      <c r="E478" s="92" t="s">
        <v>39</v>
      </c>
      <c r="F478" s="18" t="s">
        <v>13</v>
      </c>
      <c r="G478" s="29"/>
      <c r="H478" s="32" t="str">
        <f>IF(Prueba[[#This Row],[Cant.]]=0,"",IF(OR(Prueba[[#This Row],[Cant.2]]="",Prueba[[#This Row],[Puesto2]]=""),"?",Prueba[[#This Row],[Puesto2]]))</f>
        <v/>
      </c>
      <c r="I478" s="31"/>
      <c r="J478" s="32"/>
      <c r="K478" s="14"/>
      <c r="L478" s="14"/>
      <c r="M478" s="31"/>
      <c r="N478" s="32" t="str">
        <f>IF(Prueba[[#This Row],[Cant.4]]=0,"",IF(OR(Prueba[[#This Row],[Cant.6]]="",Prueba[[#This Row],[Puesto6]]=""),"?",Prueba[[#This Row],[Puesto6]]))</f>
        <v/>
      </c>
      <c r="O478" s="31"/>
      <c r="P478" s="32" t="str">
        <f>IF(Prueba[[#This Row],[Cant.5]]=0,"",IF(OR(Prueba[[#This Row],[Cant.6]]="",Prueba[[#This Row],[Puesto6]]=""),"?",Prueba[[#This Row],[Puesto6]]))</f>
        <v/>
      </c>
      <c r="Q478" s="31"/>
      <c r="R478" s="32"/>
      <c r="S478" s="14">
        <v>1</v>
      </c>
      <c r="T478" s="14">
        <v>0</v>
      </c>
      <c r="U478" s="31"/>
      <c r="V478" s="32" t="s">
        <v>1663</v>
      </c>
      <c r="W478" s="19"/>
      <c r="X478" s="19" t="s">
        <v>1667</v>
      </c>
      <c r="Y478" s="19" t="s">
        <v>1663</v>
      </c>
      <c r="Z478" s="19" t="s">
        <v>1663</v>
      </c>
      <c r="AA478" s="19" t="s">
        <v>1663</v>
      </c>
      <c r="AB478" s="19" t="s">
        <v>1663</v>
      </c>
    </row>
    <row r="479" spans="1:28" s="18" customFormat="1" ht="15.6">
      <c r="A479" s="18" t="s">
        <v>1948</v>
      </c>
      <c r="B479" s="18" t="s">
        <v>9</v>
      </c>
      <c r="C479" s="18" t="s">
        <v>1946</v>
      </c>
      <c r="D479" s="18" t="s">
        <v>1947</v>
      </c>
      <c r="E479" s="102" t="s">
        <v>39</v>
      </c>
      <c r="F479" s="18" t="s">
        <v>13</v>
      </c>
      <c r="G479" s="29"/>
      <c r="H479" s="32" t="str">
        <f>IF(Prueba[[#This Row],[Cant.]]=0,"",IF(OR(Prueba[[#This Row],[Cant.2]]="",Prueba[[#This Row],[Puesto2]]=""),"?",Prueba[[#This Row],[Puesto2]]))</f>
        <v/>
      </c>
      <c r="I479" s="31"/>
      <c r="J479" s="32"/>
      <c r="K479" s="14"/>
      <c r="L479" s="14"/>
      <c r="M479" s="31"/>
      <c r="N479" s="32" t="str">
        <f>IF(Prueba[[#This Row],[Cant.4]]=0,"",IF(OR(Prueba[[#This Row],[Cant.6]]="",Prueba[[#This Row],[Puesto6]]=""),"?",Prueba[[#This Row],[Puesto6]]))</f>
        <v/>
      </c>
      <c r="O479" s="31"/>
      <c r="P479" s="32" t="str">
        <f>IF(Prueba[[#This Row],[Cant.5]]=0,"",IF(OR(Prueba[[#This Row],[Cant.6]]="",Prueba[[#This Row],[Puesto6]]=""),"?",Prueba[[#This Row],[Puesto6]]))</f>
        <v/>
      </c>
      <c r="Q479" s="31"/>
      <c r="R479" s="32"/>
      <c r="S479" s="14">
        <v>1</v>
      </c>
      <c r="T479" s="14">
        <v>0</v>
      </c>
      <c r="U479" s="31"/>
      <c r="V479" s="32" t="s">
        <v>1663</v>
      </c>
      <c r="W479" s="19"/>
      <c r="X479" s="19" t="s">
        <v>1667</v>
      </c>
      <c r="Y479" s="19" t="s">
        <v>1663</v>
      </c>
      <c r="Z479" s="19" t="s">
        <v>1663</v>
      </c>
      <c r="AA479" s="19" t="s">
        <v>1663</v>
      </c>
      <c r="AB479" s="19" t="s">
        <v>1663</v>
      </c>
    </row>
    <row r="480" spans="1:28" s="18" customFormat="1">
      <c r="A480" s="18" t="s">
        <v>985</v>
      </c>
      <c r="B480" s="18" t="s">
        <v>9</v>
      </c>
      <c r="C480" s="18" t="s">
        <v>986</v>
      </c>
      <c r="D480" s="18" t="s">
        <v>987</v>
      </c>
      <c r="E480" s="19" t="s">
        <v>39</v>
      </c>
      <c r="F480" s="18" t="s">
        <v>13</v>
      </c>
      <c r="G480" s="29"/>
      <c r="H480" s="32" t="str">
        <f>IF(Prueba[[#This Row],[Cant.]]=0,"",IF(OR(Prueba[[#This Row],[Cant.2]]="",Prueba[[#This Row],[Puesto2]]=""),"?",Prueba[[#This Row],[Puesto2]]))</f>
        <v/>
      </c>
      <c r="I480" s="31"/>
      <c r="J480" s="32"/>
      <c r="K480" s="14">
        <v>1</v>
      </c>
      <c r="L480" s="14"/>
      <c r="M480" s="31">
        <v>1</v>
      </c>
      <c r="N480" s="32" t="str">
        <f>IF(Prueba[[#This Row],[Cant.4]]=0,"",IF(OR(Prueba[[#This Row],[Cant.6]]="",Prueba[[#This Row],[Puesto6]]=""),"?",Prueba[[#This Row],[Puesto6]]))</f>
        <v>C</v>
      </c>
      <c r="O480" s="31">
        <v>1</v>
      </c>
      <c r="P480" s="32" t="str">
        <f>IF(Prueba[[#This Row],[Cant.5]]=0,"",IF(OR(Prueba[[#This Row],[Cant.6]]="",Prueba[[#This Row],[Puesto6]]=""),"?",Prueba[[#This Row],[Puesto6]]))</f>
        <v>C</v>
      </c>
      <c r="Q480" s="31">
        <v>1</v>
      </c>
      <c r="R480" s="32" t="s">
        <v>1402</v>
      </c>
      <c r="S480" s="14"/>
      <c r="T480" s="14"/>
      <c r="U480" s="31"/>
      <c r="V480" s="32" t="s">
        <v>1663</v>
      </c>
      <c r="W480" s="19"/>
      <c r="X480" s="19" t="s">
        <v>1667</v>
      </c>
      <c r="Y480" s="19" t="s">
        <v>1663</v>
      </c>
      <c r="Z480" s="19" t="s">
        <v>1663</v>
      </c>
      <c r="AA480" s="19" t="s">
        <v>1663</v>
      </c>
      <c r="AB480" s="19" t="s">
        <v>1663</v>
      </c>
    </row>
    <row r="481" spans="1:28" s="18" customFormat="1">
      <c r="A481" s="18" t="s">
        <v>988</v>
      </c>
      <c r="B481" s="18" t="s">
        <v>9</v>
      </c>
      <c r="C481" s="18" t="s">
        <v>84</v>
      </c>
      <c r="D481" s="18" t="s">
        <v>989</v>
      </c>
      <c r="E481" s="19" t="s">
        <v>18</v>
      </c>
      <c r="F481" s="18" t="s">
        <v>13</v>
      </c>
      <c r="G481" s="29"/>
      <c r="H481" s="32" t="str">
        <f>IF(Prueba[[#This Row],[Cant.]]=0,"",IF(OR(Prueba[[#This Row],[Cant.2]]="",Prueba[[#This Row],[Puesto2]]=""),"?",Prueba[[#This Row],[Puesto2]]))</f>
        <v/>
      </c>
      <c r="I481" s="31"/>
      <c r="J481" s="32"/>
      <c r="K481" s="14">
        <v>1</v>
      </c>
      <c r="L481" s="14"/>
      <c r="M481" s="31">
        <v>1</v>
      </c>
      <c r="N481" s="32" t="str">
        <f>IF(Prueba[[#This Row],[Cant.4]]=0,"",IF(OR(Prueba[[#This Row],[Cant.6]]="",Prueba[[#This Row],[Puesto6]]=""),"?",Prueba[[#This Row],[Puesto6]]))</f>
        <v>C</v>
      </c>
      <c r="O481" s="31">
        <v>1</v>
      </c>
      <c r="P481" s="32" t="str">
        <f>IF(Prueba[[#This Row],[Cant.5]]=0,"",IF(OR(Prueba[[#This Row],[Cant.6]]="",Prueba[[#This Row],[Puesto6]]=""),"?",Prueba[[#This Row],[Puesto6]]))</f>
        <v>C</v>
      </c>
      <c r="Q481" s="31">
        <v>1</v>
      </c>
      <c r="R481" s="32" t="s">
        <v>1402</v>
      </c>
      <c r="S481" s="14"/>
      <c r="T481" s="14"/>
      <c r="U481" s="31"/>
      <c r="V481" s="32" t="s">
        <v>1663</v>
      </c>
      <c r="W481" s="19"/>
      <c r="X481" s="19" t="s">
        <v>1667</v>
      </c>
      <c r="Y481" s="19" t="s">
        <v>1663</v>
      </c>
      <c r="Z481" s="19" t="s">
        <v>1663</v>
      </c>
      <c r="AA481" s="19" t="s">
        <v>1663</v>
      </c>
      <c r="AB481" s="19" t="s">
        <v>1663</v>
      </c>
    </row>
    <row r="482" spans="1:28" s="18" customFormat="1">
      <c r="A482" s="18" t="s">
        <v>990</v>
      </c>
      <c r="B482" s="18" t="s">
        <v>9</v>
      </c>
      <c r="C482" s="18" t="s">
        <v>753</v>
      </c>
      <c r="D482" s="18" t="s">
        <v>489</v>
      </c>
      <c r="E482" s="19" t="s">
        <v>22</v>
      </c>
      <c r="F482" s="18" t="s">
        <v>13</v>
      </c>
      <c r="G482" s="29"/>
      <c r="H482" s="32" t="str">
        <f>IF(Prueba[[#This Row],[Cant.]]=0,"",IF(OR(Prueba[[#This Row],[Cant.2]]="",Prueba[[#This Row],[Puesto2]]=""),"?",Prueba[[#This Row],[Puesto2]]))</f>
        <v/>
      </c>
      <c r="I482" s="31"/>
      <c r="J482" s="32"/>
      <c r="K482" s="14">
        <v>1</v>
      </c>
      <c r="L482" s="14"/>
      <c r="M482" s="31">
        <v>1</v>
      </c>
      <c r="N482" s="32">
        <f>IF(Prueba[[#This Row],[Cant.4]]=0,"",IF(OR(Prueba[[#This Row],[Cant.6]]="",Prueba[[#This Row],[Puesto6]]=""),"?",Prueba[[#This Row],[Puesto6]]))</f>
        <v>0</v>
      </c>
      <c r="O482" s="31">
        <v>1</v>
      </c>
      <c r="P482" s="32">
        <f>IF(Prueba[[#This Row],[Cant.5]]=0,"",IF(OR(Prueba[[#This Row],[Cant.6]]="",Prueba[[#This Row],[Puesto6]]=""),"?",Prueba[[#This Row],[Puesto6]]))</f>
        <v>0</v>
      </c>
      <c r="Q482" s="31">
        <v>1</v>
      </c>
      <c r="R482" s="32">
        <v>0</v>
      </c>
      <c r="S482" s="14">
        <v>1</v>
      </c>
      <c r="T482" s="14">
        <v>0</v>
      </c>
      <c r="U482" s="31"/>
      <c r="V482" s="32" t="s">
        <v>1663</v>
      </c>
      <c r="W482" s="19">
        <v>8</v>
      </c>
      <c r="X482" s="19" t="s">
        <v>1664</v>
      </c>
      <c r="Y482" s="19" t="s">
        <v>1663</v>
      </c>
      <c r="Z482" s="19" t="s">
        <v>1663</v>
      </c>
      <c r="AA482" s="19" t="s">
        <v>1663</v>
      </c>
      <c r="AB482" s="19" t="s">
        <v>1663</v>
      </c>
    </row>
    <row r="483" spans="1:28" s="18" customFormat="1">
      <c r="A483" s="18" t="s">
        <v>1949</v>
      </c>
      <c r="B483" s="18" t="s">
        <v>9</v>
      </c>
      <c r="C483" s="18" t="s">
        <v>1950</v>
      </c>
      <c r="D483" s="18" t="s">
        <v>1951</v>
      </c>
      <c r="E483" s="19" t="s">
        <v>923</v>
      </c>
      <c r="F483" s="18" t="s">
        <v>13</v>
      </c>
      <c r="G483" s="29"/>
      <c r="H483" s="32" t="str">
        <f>IF(Prueba[[#This Row],[Cant.]]=0,"",IF(OR(Prueba[[#This Row],[Cant.2]]="",Prueba[[#This Row],[Puesto2]]=""),"?",Prueba[[#This Row],[Puesto2]]))</f>
        <v/>
      </c>
      <c r="I483" s="31"/>
      <c r="J483" s="32"/>
      <c r="K483" s="14"/>
      <c r="L483" s="14"/>
      <c r="M483" s="31"/>
      <c r="N483" s="32" t="str">
        <f>IF(Prueba[[#This Row],[Cant.4]]=0,"",IF(OR(Prueba[[#This Row],[Cant.6]]="",Prueba[[#This Row],[Puesto6]]=""),"?",Prueba[[#This Row],[Puesto6]]))</f>
        <v/>
      </c>
      <c r="O483" s="31"/>
      <c r="P483" s="32" t="str">
        <f>IF(Prueba[[#This Row],[Cant.5]]=0,"",IF(OR(Prueba[[#This Row],[Cant.6]]="",Prueba[[#This Row],[Puesto6]]=""),"?",Prueba[[#This Row],[Puesto6]]))</f>
        <v/>
      </c>
      <c r="Q483" s="31"/>
      <c r="R483" s="32"/>
      <c r="S483" s="14">
        <v>1</v>
      </c>
      <c r="T483" s="14">
        <v>3</v>
      </c>
      <c r="U483" s="31"/>
      <c r="V483" s="32" t="s">
        <v>1663</v>
      </c>
      <c r="W483" s="19"/>
      <c r="X483" s="19" t="s">
        <v>1667</v>
      </c>
      <c r="Y483" s="19" t="s">
        <v>1663</v>
      </c>
      <c r="Z483" s="19" t="s">
        <v>1663</v>
      </c>
      <c r="AA483" s="19" t="s">
        <v>1663</v>
      </c>
      <c r="AB483" s="19" t="s">
        <v>1663</v>
      </c>
    </row>
    <row r="484" spans="1:28" s="18" customFormat="1">
      <c r="A484" s="18" t="s">
        <v>1952</v>
      </c>
      <c r="B484" s="18" t="s">
        <v>9</v>
      </c>
      <c r="C484" s="18" t="s">
        <v>1953</v>
      </c>
      <c r="D484" s="18" t="s">
        <v>1954</v>
      </c>
      <c r="E484" s="19" t="s">
        <v>1733</v>
      </c>
      <c r="F484" s="18" t="s">
        <v>13</v>
      </c>
      <c r="G484" s="29"/>
      <c r="H484" s="32" t="str">
        <f>IF(Prueba[[#This Row],[Cant.]]=0,"",IF(OR(Prueba[[#This Row],[Cant.2]]="",Prueba[[#This Row],[Puesto2]]=""),"?",Prueba[[#This Row],[Puesto2]]))</f>
        <v/>
      </c>
      <c r="I484" s="31"/>
      <c r="J484" s="32"/>
      <c r="K484" s="14"/>
      <c r="L484" s="14"/>
      <c r="M484" s="31"/>
      <c r="N484" s="32" t="str">
        <f>IF(Prueba[[#This Row],[Cant.4]]=0,"",IF(OR(Prueba[[#This Row],[Cant.6]]="",Prueba[[#This Row],[Puesto6]]=""),"?",Prueba[[#This Row],[Puesto6]]))</f>
        <v/>
      </c>
      <c r="O484" s="31"/>
      <c r="P484" s="32" t="str">
        <f>IF(Prueba[[#This Row],[Cant.5]]=0,"",IF(OR(Prueba[[#This Row],[Cant.6]]="",Prueba[[#This Row],[Puesto6]]=""),"?",Prueba[[#This Row],[Puesto6]]))</f>
        <v/>
      </c>
      <c r="Q484" s="31"/>
      <c r="R484" s="32"/>
      <c r="S484" s="14">
        <v>2</v>
      </c>
      <c r="T484" s="14">
        <v>3</v>
      </c>
      <c r="U484" s="31"/>
      <c r="V484" s="32" t="s">
        <v>1663</v>
      </c>
      <c r="W484" s="19">
        <v>16</v>
      </c>
      <c r="X484" s="19" t="s">
        <v>1664</v>
      </c>
      <c r="Y484" s="19" t="s">
        <v>1663</v>
      </c>
      <c r="Z484" s="19" t="s">
        <v>1663</v>
      </c>
      <c r="AA484" s="19" t="s">
        <v>1663</v>
      </c>
      <c r="AB484" s="19" t="s">
        <v>1663</v>
      </c>
    </row>
    <row r="485" spans="1:28" s="18" customFormat="1">
      <c r="A485" s="18" t="s">
        <v>991</v>
      </c>
      <c r="B485" s="18" t="s">
        <v>9</v>
      </c>
      <c r="C485" s="18" t="s">
        <v>586</v>
      </c>
      <c r="D485" s="18" t="s">
        <v>587</v>
      </c>
      <c r="E485" s="19" t="s">
        <v>22</v>
      </c>
      <c r="F485" s="18" t="s">
        <v>13</v>
      </c>
      <c r="G485" s="29"/>
      <c r="H485" s="32" t="str">
        <f>IF(Prueba[[#This Row],[Cant.]]=0,"",IF(OR(Prueba[[#This Row],[Cant.2]]="",Prueba[[#This Row],[Puesto2]]=""),"?",Prueba[[#This Row],[Puesto2]]))</f>
        <v/>
      </c>
      <c r="I485" s="31"/>
      <c r="J485" s="32"/>
      <c r="K485" s="14">
        <v>4</v>
      </c>
      <c r="L485" s="14"/>
      <c r="M485" s="31">
        <v>4</v>
      </c>
      <c r="N485" s="32">
        <f>IF(Prueba[[#This Row],[Cant.4]]=0,"",IF(OR(Prueba[[#This Row],[Cant.6]]="",Prueba[[#This Row],[Puesto6]]=""),"?",Prueba[[#This Row],[Puesto6]]))</f>
        <v>5</v>
      </c>
      <c r="O485" s="31">
        <v>4</v>
      </c>
      <c r="P485" s="32">
        <f>IF(Prueba[[#This Row],[Cant.5]]=0,"",IF(OR(Prueba[[#This Row],[Cant.6]]="",Prueba[[#This Row],[Puesto6]]=""),"?",Prueba[[#This Row],[Puesto6]]))</f>
        <v>5</v>
      </c>
      <c r="Q485" s="31">
        <v>4</v>
      </c>
      <c r="R485" s="32">
        <v>5</v>
      </c>
      <c r="S485" s="14">
        <v>4</v>
      </c>
      <c r="T485" s="14">
        <v>5</v>
      </c>
      <c r="U485" s="31">
        <v>4</v>
      </c>
      <c r="V485" s="32">
        <v>5</v>
      </c>
      <c r="W485" s="19">
        <v>32</v>
      </c>
      <c r="X485" s="19" t="s">
        <v>1664</v>
      </c>
      <c r="Y485" s="19" t="s">
        <v>1663</v>
      </c>
      <c r="Z485" s="19" t="s">
        <v>1663</v>
      </c>
      <c r="AA485" s="19" t="s">
        <v>1663</v>
      </c>
      <c r="AB485" s="19" t="s">
        <v>1663</v>
      </c>
    </row>
    <row r="486" spans="1:28" s="18" customFormat="1">
      <c r="A486" s="18" t="s">
        <v>1955</v>
      </c>
      <c r="B486" s="18" t="s">
        <v>9</v>
      </c>
      <c r="C486" s="18" t="s">
        <v>1853</v>
      </c>
      <c r="D486" s="18" t="s">
        <v>1854</v>
      </c>
      <c r="E486" s="19" t="s">
        <v>1733</v>
      </c>
      <c r="F486" s="18" t="s">
        <v>13</v>
      </c>
      <c r="G486" s="29"/>
      <c r="H486" s="32" t="str">
        <f>IF(Prueba[[#This Row],[Cant.]]=0,"",IF(OR(Prueba[[#This Row],[Cant.2]]="",Prueba[[#This Row],[Puesto2]]=""),"?",Prueba[[#This Row],[Puesto2]]))</f>
        <v/>
      </c>
      <c r="I486" s="31"/>
      <c r="J486" s="32"/>
      <c r="K486" s="14"/>
      <c r="L486" s="14"/>
      <c r="M486" s="31"/>
      <c r="N486" s="32" t="str">
        <f>IF(Prueba[[#This Row],[Cant.4]]=0,"",IF(OR(Prueba[[#This Row],[Cant.6]]="",Prueba[[#This Row],[Puesto6]]=""),"?",Prueba[[#This Row],[Puesto6]]))</f>
        <v/>
      </c>
      <c r="O486" s="31"/>
      <c r="P486" s="32" t="str">
        <f>IF(Prueba[[#This Row],[Cant.5]]=0,"",IF(OR(Prueba[[#This Row],[Cant.6]]="",Prueba[[#This Row],[Puesto6]]=""),"?",Prueba[[#This Row],[Puesto6]]))</f>
        <v/>
      </c>
      <c r="Q486" s="31"/>
      <c r="R486" s="32"/>
      <c r="S486" s="14">
        <v>6</v>
      </c>
      <c r="T486" s="14">
        <v>0</v>
      </c>
      <c r="U486" s="31"/>
      <c r="V486" s="32" t="s">
        <v>1663</v>
      </c>
      <c r="W486" s="19">
        <v>80</v>
      </c>
      <c r="X486" s="19" t="s">
        <v>1664</v>
      </c>
      <c r="Y486" s="19" t="s">
        <v>1663</v>
      </c>
      <c r="Z486" s="19" t="s">
        <v>1663</v>
      </c>
      <c r="AA486" s="19" t="s">
        <v>1663</v>
      </c>
      <c r="AB486" s="19" t="s">
        <v>1663</v>
      </c>
    </row>
    <row r="487" spans="1:28" s="18" customFormat="1">
      <c r="A487" s="18" t="s">
        <v>1956</v>
      </c>
      <c r="B487" s="18" t="s">
        <v>9</v>
      </c>
      <c r="C487" s="18" t="s">
        <v>1930</v>
      </c>
      <c r="D487" s="18" t="s">
        <v>1931</v>
      </c>
      <c r="E487" s="19" t="s">
        <v>1733</v>
      </c>
      <c r="F487" s="18" t="s">
        <v>13</v>
      </c>
      <c r="G487" s="29"/>
      <c r="H487" s="32" t="str">
        <f>IF(Prueba[[#This Row],[Cant.]]=0,"",IF(OR(Prueba[[#This Row],[Cant.2]]="",Prueba[[#This Row],[Puesto2]]=""),"?",Prueba[[#This Row],[Puesto2]]))</f>
        <v/>
      </c>
      <c r="I487" s="31"/>
      <c r="J487" s="32"/>
      <c r="K487" s="14"/>
      <c r="L487" s="14"/>
      <c r="M487" s="31"/>
      <c r="N487" s="32" t="str">
        <f>IF(Prueba[[#This Row],[Cant.4]]=0,"",IF(OR(Prueba[[#This Row],[Cant.6]]="",Prueba[[#This Row],[Puesto6]]=""),"?",Prueba[[#This Row],[Puesto6]]))</f>
        <v/>
      </c>
      <c r="O487" s="31"/>
      <c r="P487" s="32" t="str">
        <f>IF(Prueba[[#This Row],[Cant.5]]=0,"",IF(OR(Prueba[[#This Row],[Cant.6]]="",Prueba[[#This Row],[Puesto6]]=""),"?",Prueba[[#This Row],[Puesto6]]))</f>
        <v/>
      </c>
      <c r="Q487" s="31"/>
      <c r="R487" s="32"/>
      <c r="S487" s="14">
        <v>16</v>
      </c>
      <c r="T487" s="14" t="s">
        <v>1957</v>
      </c>
      <c r="U487" s="31"/>
      <c r="V487" s="32" t="s">
        <v>1663</v>
      </c>
      <c r="W487" s="19">
        <v>96</v>
      </c>
      <c r="X487" s="19" t="s">
        <v>1664</v>
      </c>
      <c r="Y487" s="19" t="s">
        <v>1663</v>
      </c>
      <c r="Z487" s="19" t="s">
        <v>1663</v>
      </c>
      <c r="AA487" s="19" t="s">
        <v>1663</v>
      </c>
      <c r="AB487" s="19" t="s">
        <v>1663</v>
      </c>
    </row>
    <row r="488" spans="1:28" s="18" customFormat="1">
      <c r="A488" s="18" t="s">
        <v>1958</v>
      </c>
      <c r="B488" s="18" t="s">
        <v>9</v>
      </c>
      <c r="C488" s="18" t="s">
        <v>1959</v>
      </c>
      <c r="D488" s="18" t="s">
        <v>1960</v>
      </c>
      <c r="E488" s="19" t="s">
        <v>1733</v>
      </c>
      <c r="F488" s="18" t="s">
        <v>13</v>
      </c>
      <c r="G488" s="29"/>
      <c r="H488" s="32" t="str">
        <f>IF(Prueba[[#This Row],[Cant.]]=0,"",IF(OR(Prueba[[#This Row],[Cant.2]]="",Prueba[[#This Row],[Puesto2]]=""),"?",Prueba[[#This Row],[Puesto2]]))</f>
        <v/>
      </c>
      <c r="I488" s="31"/>
      <c r="J488" s="32"/>
      <c r="K488" s="14"/>
      <c r="L488" s="14"/>
      <c r="M488" s="31"/>
      <c r="N488" s="32" t="str">
        <f>IF(Prueba[[#This Row],[Cant.4]]=0,"",IF(OR(Prueba[[#This Row],[Cant.6]]="",Prueba[[#This Row],[Puesto6]]=""),"?",Prueba[[#This Row],[Puesto6]]))</f>
        <v/>
      </c>
      <c r="O488" s="31"/>
      <c r="P488" s="32" t="str">
        <f>IF(Prueba[[#This Row],[Cant.5]]=0,"",IF(OR(Prueba[[#This Row],[Cant.6]]="",Prueba[[#This Row],[Puesto6]]=""),"?",Prueba[[#This Row],[Puesto6]]))</f>
        <v/>
      </c>
      <c r="Q488" s="31"/>
      <c r="R488" s="32"/>
      <c r="S488" s="14">
        <v>6</v>
      </c>
      <c r="T488" s="14">
        <v>0</v>
      </c>
      <c r="U488" s="31"/>
      <c r="V488" s="32" t="s">
        <v>1663</v>
      </c>
      <c r="W488" s="19">
        <v>48</v>
      </c>
      <c r="X488" s="19" t="s">
        <v>1664</v>
      </c>
      <c r="Y488" s="19" t="s">
        <v>1663</v>
      </c>
      <c r="Z488" s="19" t="s">
        <v>1663</v>
      </c>
      <c r="AA488" s="19" t="s">
        <v>1663</v>
      </c>
      <c r="AB488" s="19" t="s">
        <v>1663</v>
      </c>
    </row>
    <row r="489" spans="1:28" s="18" customFormat="1">
      <c r="A489" s="18" t="s">
        <v>1961</v>
      </c>
      <c r="B489" s="18" t="s">
        <v>9</v>
      </c>
      <c r="C489" s="18" t="s">
        <v>1962</v>
      </c>
      <c r="D489" s="18" t="s">
        <v>1963</v>
      </c>
      <c r="E489" s="19" t="s">
        <v>1733</v>
      </c>
      <c r="F489" s="18" t="s">
        <v>13</v>
      </c>
      <c r="G489" s="29"/>
      <c r="H489" s="32" t="str">
        <f>IF(Prueba[[#This Row],[Cant.]]=0,"",IF(OR(Prueba[[#This Row],[Cant.2]]="",Prueba[[#This Row],[Puesto2]]=""),"?",Prueba[[#This Row],[Puesto2]]))</f>
        <v/>
      </c>
      <c r="I489" s="31"/>
      <c r="J489" s="32"/>
      <c r="K489" s="14"/>
      <c r="L489" s="14"/>
      <c r="M489" s="31"/>
      <c r="N489" s="32" t="str">
        <f>IF(Prueba[[#This Row],[Cant.4]]=0,"",IF(OR(Prueba[[#This Row],[Cant.6]]="",Prueba[[#This Row],[Puesto6]]=""),"?",Prueba[[#This Row],[Puesto6]]))</f>
        <v/>
      </c>
      <c r="O489" s="31"/>
      <c r="P489" s="32" t="str">
        <f>IF(Prueba[[#This Row],[Cant.5]]=0,"",IF(OR(Prueba[[#This Row],[Cant.6]]="",Prueba[[#This Row],[Puesto6]]=""),"?",Prueba[[#This Row],[Puesto6]]))</f>
        <v/>
      </c>
      <c r="Q489" s="31"/>
      <c r="R489" s="32"/>
      <c r="S489" s="14">
        <v>2</v>
      </c>
      <c r="T489" s="14"/>
      <c r="U489" s="31"/>
      <c r="V489" s="32" t="s">
        <v>1663</v>
      </c>
      <c r="W489" s="19">
        <v>16</v>
      </c>
      <c r="X489" s="19" t="s">
        <v>1664</v>
      </c>
      <c r="Y489" s="19" t="s">
        <v>1663</v>
      </c>
      <c r="Z489" s="19" t="s">
        <v>1663</v>
      </c>
      <c r="AA489" s="19" t="s">
        <v>1663</v>
      </c>
      <c r="AB489" s="19" t="s">
        <v>1663</v>
      </c>
    </row>
    <row r="490" spans="1:28" s="18" customFormat="1">
      <c r="A490" s="18" t="s">
        <v>1964</v>
      </c>
      <c r="B490" s="18" t="s">
        <v>9</v>
      </c>
      <c r="C490" s="18" t="s">
        <v>1837</v>
      </c>
      <c r="D490" s="18" t="s">
        <v>1965</v>
      </c>
      <c r="E490" s="19" t="s">
        <v>1733</v>
      </c>
      <c r="F490" s="18" t="s">
        <v>13</v>
      </c>
      <c r="G490" s="29"/>
      <c r="H490" s="32" t="str">
        <f>IF(Prueba[[#This Row],[Cant.]]=0,"",IF(OR(Prueba[[#This Row],[Cant.2]]="",Prueba[[#This Row],[Puesto2]]=""),"?",Prueba[[#This Row],[Puesto2]]))</f>
        <v/>
      </c>
      <c r="I490" s="31"/>
      <c r="J490" s="32"/>
      <c r="K490" s="14"/>
      <c r="L490" s="14"/>
      <c r="M490" s="31"/>
      <c r="N490" s="32" t="str">
        <f>IF(Prueba[[#This Row],[Cant.4]]=0,"",IF(OR(Prueba[[#This Row],[Cant.6]]="",Prueba[[#This Row],[Puesto6]]=""),"?",Prueba[[#This Row],[Puesto6]]))</f>
        <v/>
      </c>
      <c r="O490" s="31"/>
      <c r="P490" s="32" t="str">
        <f>IF(Prueba[[#This Row],[Cant.5]]=0,"",IF(OR(Prueba[[#This Row],[Cant.6]]="",Prueba[[#This Row],[Puesto6]]=""),"?",Prueba[[#This Row],[Puesto6]]))</f>
        <v/>
      </c>
      <c r="Q490" s="31"/>
      <c r="R490" s="32"/>
      <c r="S490" s="14">
        <v>8</v>
      </c>
      <c r="T490" s="14">
        <v>4</v>
      </c>
      <c r="U490" s="31"/>
      <c r="V490" s="32" t="s">
        <v>1663</v>
      </c>
      <c r="W490" s="19">
        <v>64</v>
      </c>
      <c r="X490" s="19" t="s">
        <v>1664</v>
      </c>
      <c r="Y490" s="19" t="s">
        <v>1663</v>
      </c>
      <c r="Z490" s="19" t="s">
        <v>1663</v>
      </c>
      <c r="AA490" s="19" t="s">
        <v>1663</v>
      </c>
      <c r="AB490" s="19" t="s">
        <v>1663</v>
      </c>
    </row>
    <row r="491" spans="1:28" s="18" customFormat="1" ht="15.6">
      <c r="A491" s="18" t="s">
        <v>1443</v>
      </c>
      <c r="B491" s="18" t="s">
        <v>9</v>
      </c>
      <c r="C491" s="18" t="s">
        <v>1966</v>
      </c>
      <c r="D491" s="18" t="s">
        <v>1967</v>
      </c>
      <c r="E491" s="92" t="s">
        <v>12</v>
      </c>
      <c r="F491" s="18" t="s">
        <v>13</v>
      </c>
      <c r="G491" s="29"/>
      <c r="H491" s="32" t="str">
        <f>IF(Prueba[[#This Row],[Cant.]]=0,"",IF(OR(Prueba[[#This Row],[Cant.2]]="",Prueba[[#This Row],[Puesto2]]=""),"?",Prueba[[#This Row],[Puesto2]]))</f>
        <v/>
      </c>
      <c r="I491" s="31"/>
      <c r="J491" s="32"/>
      <c r="K491" s="14"/>
      <c r="L491" s="14"/>
      <c r="M491" s="31"/>
      <c r="N491" s="32" t="str">
        <f>IF(Prueba[[#This Row],[Cant.4]]=0,"",IF(OR(Prueba[[#This Row],[Cant.6]]="",Prueba[[#This Row],[Puesto6]]=""),"?",Prueba[[#This Row],[Puesto6]]))</f>
        <v/>
      </c>
      <c r="O491" s="31"/>
      <c r="P491" s="32" t="str">
        <f>IF(Prueba[[#This Row],[Cant.5]]=0,"",IF(OR(Prueba[[#This Row],[Cant.6]]="",Prueba[[#This Row],[Puesto6]]=""),"?",Prueba[[#This Row],[Puesto6]]))</f>
        <v/>
      </c>
      <c r="Q491" s="31"/>
      <c r="R491" s="32"/>
      <c r="S491" s="14">
        <v>1</v>
      </c>
      <c r="T491" s="14">
        <v>5</v>
      </c>
      <c r="U491" s="31">
        <v>1</v>
      </c>
      <c r="V491" s="32">
        <v>5</v>
      </c>
      <c r="W491" s="19"/>
      <c r="X491" s="19" t="s">
        <v>1667</v>
      </c>
      <c r="Y491" s="19" t="s">
        <v>1663</v>
      </c>
      <c r="Z491" s="19" t="s">
        <v>1663</v>
      </c>
      <c r="AA491" s="19" t="s">
        <v>1663</v>
      </c>
      <c r="AB491" s="19" t="s">
        <v>1663</v>
      </c>
    </row>
    <row r="492" spans="1:28" s="18" customFormat="1">
      <c r="A492" s="18" t="s">
        <v>1968</v>
      </c>
      <c r="C492" s="18" t="s">
        <v>1969</v>
      </c>
      <c r="D492" s="18" t="s">
        <v>1969</v>
      </c>
      <c r="E492" s="19" t="s">
        <v>22</v>
      </c>
      <c r="G492" s="29"/>
      <c r="H492" s="32" t="str">
        <f>IF(Prueba[[#This Row],[Cant.]]=0,"",IF(OR(Prueba[[#This Row],[Cant.2]]="",Prueba[[#This Row],[Puesto2]]=""),"?",Prueba[[#This Row],[Puesto2]]))</f>
        <v/>
      </c>
      <c r="I492" s="31"/>
      <c r="J492" s="32"/>
      <c r="K492" s="14"/>
      <c r="L492" s="14"/>
      <c r="M492" s="31"/>
      <c r="N492" s="32" t="str">
        <f>IF(Prueba[[#This Row],[Cant.4]]=0,"",IF(OR(Prueba[[#This Row],[Cant.6]]="",Prueba[[#This Row],[Puesto6]]=""),"?",Prueba[[#This Row],[Puesto6]]))</f>
        <v/>
      </c>
      <c r="O492" s="31"/>
      <c r="P492" s="32" t="str">
        <f>IF(Prueba[[#This Row],[Cant.5]]=0,"",IF(OR(Prueba[[#This Row],[Cant.6]]="",Prueba[[#This Row],[Puesto6]]=""),"?",Prueba[[#This Row],[Puesto6]]))</f>
        <v/>
      </c>
      <c r="Q492" s="31"/>
      <c r="R492" s="32"/>
      <c r="S492" s="14"/>
      <c r="T492" s="14"/>
      <c r="U492" s="31"/>
      <c r="V492" s="32" t="s">
        <v>1663</v>
      </c>
      <c r="W492" s="19">
        <v>16</v>
      </c>
      <c r="X492" s="19" t="s">
        <v>1664</v>
      </c>
      <c r="Y492" s="19">
        <v>2</v>
      </c>
      <c r="Z492" s="19">
        <v>2</v>
      </c>
      <c r="AA492" s="19">
        <v>2</v>
      </c>
      <c r="AB492" s="19">
        <v>2</v>
      </c>
    </row>
    <row r="493" spans="1:28" s="18" customFormat="1">
      <c r="A493" s="18" t="s">
        <v>1970</v>
      </c>
      <c r="B493" s="18" t="s">
        <v>1806</v>
      </c>
      <c r="C493" s="18" t="s">
        <v>1971</v>
      </c>
      <c r="D493" s="18" t="s">
        <v>1972</v>
      </c>
      <c r="E493" s="19" t="s">
        <v>1815</v>
      </c>
      <c r="F493" s="18" t="s">
        <v>13</v>
      </c>
      <c r="G493" s="29"/>
      <c r="H493" s="32" t="str">
        <f>IF(Prueba[[#This Row],[Cant.]]=0,"",IF(OR(Prueba[[#This Row],[Cant.2]]="",Prueba[[#This Row],[Puesto2]]=""),"?",Prueba[[#This Row],[Puesto2]]))</f>
        <v/>
      </c>
      <c r="I493" s="31"/>
      <c r="J493" s="32"/>
      <c r="K493" s="14"/>
      <c r="L493" s="14"/>
      <c r="M493" s="31"/>
      <c r="N493" s="32" t="str">
        <f>IF(Prueba[[#This Row],[Cant.4]]=0,"",IF(OR(Prueba[[#This Row],[Cant.6]]="",Prueba[[#This Row],[Puesto6]]=""),"?",Prueba[[#This Row],[Puesto6]]))</f>
        <v/>
      </c>
      <c r="O493" s="31">
        <v>1</v>
      </c>
      <c r="P493" s="32">
        <v>6</v>
      </c>
      <c r="Q493" s="31"/>
      <c r="R493" s="32"/>
      <c r="S493" s="14"/>
      <c r="T493" s="14"/>
      <c r="U493" s="31"/>
      <c r="V493" s="32" t="s">
        <v>1663</v>
      </c>
      <c r="W493" s="19"/>
      <c r="X493" s="19" t="s">
        <v>1667</v>
      </c>
      <c r="Y493" s="19" t="s">
        <v>1663</v>
      </c>
      <c r="Z493" s="19" t="s">
        <v>1663</v>
      </c>
      <c r="AA493" s="19" t="s">
        <v>1663</v>
      </c>
      <c r="AB493" s="19" t="s">
        <v>1663</v>
      </c>
    </row>
    <row r="494" spans="1:28" s="18" customFormat="1">
      <c r="A494" s="18" t="s">
        <v>992</v>
      </c>
      <c r="B494" s="18" t="s">
        <v>9</v>
      </c>
      <c r="C494" s="18" t="s">
        <v>993</v>
      </c>
      <c r="D494" s="18" t="s">
        <v>24</v>
      </c>
      <c r="E494" s="19" t="s">
        <v>12</v>
      </c>
      <c r="F494" s="18" t="s">
        <v>13</v>
      </c>
      <c r="G494" s="29"/>
      <c r="H494" s="32" t="str">
        <f>IF(Prueba[[#This Row],[Cant.]]=0,"",IF(OR(Prueba[[#This Row],[Cant.2]]="",Prueba[[#This Row],[Puesto2]]=""),"?",Prueba[[#This Row],[Puesto2]]))</f>
        <v/>
      </c>
      <c r="I494" s="31"/>
      <c r="J494" s="32"/>
      <c r="K494" s="14">
        <v>1</v>
      </c>
      <c r="L494" s="14"/>
      <c r="M494" s="31">
        <v>1</v>
      </c>
      <c r="N494" s="32">
        <f>IF(Prueba[[#This Row],[Cant.4]]=0,"",IF(OR(Prueba[[#This Row],[Cant.6]]="",Prueba[[#This Row],[Puesto6]]=""),"?",Prueba[[#This Row],[Puesto6]]))</f>
        <v>6</v>
      </c>
      <c r="O494" s="31"/>
      <c r="P494" s="32" t="str">
        <f>IF(Prueba[[#This Row],[Cant.5]]=0,"",IF(OR(Prueba[[#This Row],[Cant.6]]="",Prueba[[#This Row],[Puesto6]]=""),"?",Prueba[[#This Row],[Puesto6]]))</f>
        <v/>
      </c>
      <c r="Q494" s="31">
        <v>1</v>
      </c>
      <c r="R494" s="32">
        <v>6</v>
      </c>
      <c r="S494" s="14">
        <v>1</v>
      </c>
      <c r="T494" s="14">
        <v>6</v>
      </c>
      <c r="U494" s="31">
        <v>1</v>
      </c>
      <c r="V494" s="32">
        <v>6</v>
      </c>
      <c r="W494" s="19"/>
      <c r="X494" s="19" t="s">
        <v>1667</v>
      </c>
      <c r="Y494" s="19" t="s">
        <v>1663</v>
      </c>
      <c r="Z494" s="19" t="s">
        <v>1663</v>
      </c>
      <c r="AA494" s="19" t="s">
        <v>1663</v>
      </c>
      <c r="AB494" s="19" t="s">
        <v>1663</v>
      </c>
    </row>
    <row r="495" spans="1:28" s="18" customFormat="1">
      <c r="A495" s="18" t="s">
        <v>1973</v>
      </c>
      <c r="B495" s="18" t="s">
        <v>9</v>
      </c>
      <c r="C495" s="18" t="s">
        <v>1335</v>
      </c>
      <c r="D495" s="18" t="s">
        <v>1336</v>
      </c>
      <c r="E495" s="19" t="s">
        <v>51</v>
      </c>
      <c r="F495" s="18" t="s">
        <v>13</v>
      </c>
      <c r="G495" s="29"/>
      <c r="H495" s="32" t="str">
        <f>IF(Prueba[[#This Row],[Cant.]]=0,"",IF(OR(Prueba[[#This Row],[Cant.2]]="",Prueba[[#This Row],[Puesto2]]=""),"?",Prueba[[#This Row],[Puesto2]]))</f>
        <v/>
      </c>
      <c r="I495" s="31"/>
      <c r="J495" s="32"/>
      <c r="K495" s="14">
        <v>1</v>
      </c>
      <c r="L495" s="14"/>
      <c r="M495" s="31"/>
      <c r="N495" s="32" t="str">
        <f>IF(Prueba[[#This Row],[Cant.4]]=0,"",IF(OR(Prueba[[#This Row],[Cant.6]]="",Prueba[[#This Row],[Puesto6]]=""),"?",Prueba[[#This Row],[Puesto6]]))</f>
        <v/>
      </c>
      <c r="O495" s="31"/>
      <c r="P495" s="32" t="str">
        <f>IF(Prueba[[#This Row],[Cant.5]]=0,"",IF(OR(Prueba[[#This Row],[Cant.6]]="",Prueba[[#This Row],[Puesto6]]=""),"?",Prueba[[#This Row],[Puesto6]]))</f>
        <v/>
      </c>
      <c r="Q495" s="31"/>
      <c r="R495" s="32"/>
      <c r="S495" s="14"/>
      <c r="T495" s="14"/>
      <c r="U495" s="31"/>
      <c r="V495" s="32" t="s">
        <v>1663</v>
      </c>
      <c r="W495" s="19"/>
      <c r="X495" s="19" t="s">
        <v>1667</v>
      </c>
      <c r="Y495" s="19" t="s">
        <v>1663</v>
      </c>
      <c r="Z495" s="19" t="s">
        <v>1663</v>
      </c>
      <c r="AA495" s="19" t="s">
        <v>1663</v>
      </c>
      <c r="AB495" s="19" t="s">
        <v>1663</v>
      </c>
    </row>
    <row r="496" spans="1:28" s="18" customFormat="1">
      <c r="A496" s="18" t="s">
        <v>1974</v>
      </c>
      <c r="B496" s="18" t="s">
        <v>1806</v>
      </c>
      <c r="C496" s="18" t="s">
        <v>1884</v>
      </c>
      <c r="D496" s="18" t="s">
        <v>1885</v>
      </c>
      <c r="E496" s="19" t="s">
        <v>51</v>
      </c>
      <c r="F496" s="18" t="s">
        <v>13</v>
      </c>
      <c r="G496" s="29"/>
      <c r="H496" s="32" t="str">
        <f>IF(Prueba[[#This Row],[Cant.]]=0,"",IF(OR(Prueba[[#This Row],[Cant.2]]="",Prueba[[#This Row],[Puesto2]]=""),"?",Prueba[[#This Row],[Puesto2]]))</f>
        <v/>
      </c>
      <c r="I496" s="31"/>
      <c r="J496" s="32"/>
      <c r="K496" s="14"/>
      <c r="L496" s="14"/>
      <c r="M496" s="31">
        <v>1</v>
      </c>
      <c r="N496" s="32">
        <v>6</v>
      </c>
      <c r="O496" s="31"/>
      <c r="P496" s="32" t="str">
        <f>IF(Prueba[[#This Row],[Cant.5]]=0,"",IF(OR(Prueba[[#This Row],[Cant.6]]="",Prueba[[#This Row],[Puesto6]]=""),"?",Prueba[[#This Row],[Puesto6]]))</f>
        <v/>
      </c>
      <c r="Q496" s="31"/>
      <c r="R496" s="32"/>
      <c r="S496" s="14"/>
      <c r="T496" s="14"/>
      <c r="U496" s="31"/>
      <c r="V496" s="32" t="s">
        <v>1663</v>
      </c>
      <c r="W496" s="19"/>
      <c r="X496" s="19" t="s">
        <v>1667</v>
      </c>
      <c r="Y496" s="19" t="s">
        <v>1663</v>
      </c>
      <c r="Z496" s="19" t="s">
        <v>1663</v>
      </c>
      <c r="AA496" s="19" t="s">
        <v>1663</v>
      </c>
      <c r="AB496" s="19" t="s">
        <v>1663</v>
      </c>
    </row>
    <row r="497" spans="1:28" s="18" customFormat="1">
      <c r="A497" s="18" t="s">
        <v>1975</v>
      </c>
      <c r="B497" s="18" t="s">
        <v>9</v>
      </c>
      <c r="C497" s="18" t="s">
        <v>1884</v>
      </c>
      <c r="D497" s="18" t="s">
        <v>1885</v>
      </c>
      <c r="E497" s="19" t="s">
        <v>51</v>
      </c>
      <c r="F497" s="18" t="s">
        <v>13</v>
      </c>
      <c r="G497" s="29"/>
      <c r="H497" s="32" t="str">
        <f>IF(Prueba[[#This Row],[Cant.]]=0,"",IF(OR(Prueba[[#This Row],[Cant.2]]="",Prueba[[#This Row],[Puesto2]]=""),"?",Prueba[[#This Row],[Puesto2]]))</f>
        <v/>
      </c>
      <c r="I497" s="31"/>
      <c r="J497" s="32"/>
      <c r="K497" s="14"/>
      <c r="L497" s="14"/>
      <c r="M497" s="31"/>
      <c r="N497" s="32" t="str">
        <f>IF(Prueba[[#This Row],[Cant.4]]=0,"",IF(OR(Prueba[[#This Row],[Cant.6]]="",Prueba[[#This Row],[Puesto6]]=""),"?",Prueba[[#This Row],[Puesto6]]))</f>
        <v/>
      </c>
      <c r="O497" s="31"/>
      <c r="P497" s="32" t="str">
        <f>IF(Prueba[[#This Row],[Cant.5]]=0,"",IF(OR(Prueba[[#This Row],[Cant.6]]="",Prueba[[#This Row],[Puesto6]]=""),"?",Prueba[[#This Row],[Puesto6]]))</f>
        <v/>
      </c>
      <c r="Q497" s="31">
        <v>1</v>
      </c>
      <c r="R497" s="32">
        <v>6</v>
      </c>
      <c r="S497" s="14"/>
      <c r="T497" s="14"/>
      <c r="U497" s="31"/>
      <c r="V497" s="32" t="s">
        <v>1663</v>
      </c>
      <c r="W497" s="19"/>
      <c r="X497" s="19" t="s">
        <v>1667</v>
      </c>
      <c r="Y497" s="19" t="s">
        <v>1663</v>
      </c>
      <c r="Z497" s="19" t="s">
        <v>1663</v>
      </c>
      <c r="AA497" s="19" t="s">
        <v>1663</v>
      </c>
      <c r="AB497" s="19" t="s">
        <v>1663</v>
      </c>
    </row>
    <row r="498" spans="1:28" s="18" customFormat="1">
      <c r="A498" s="18" t="s">
        <v>1976</v>
      </c>
      <c r="B498" s="18" t="s">
        <v>9</v>
      </c>
      <c r="C498" s="18" t="s">
        <v>1884</v>
      </c>
      <c r="D498" s="18" t="s">
        <v>1885</v>
      </c>
      <c r="E498" s="19" t="s">
        <v>51</v>
      </c>
      <c r="F498" s="18" t="s">
        <v>13</v>
      </c>
      <c r="G498" s="29"/>
      <c r="H498" s="32" t="str">
        <f>IF(Prueba[[#This Row],[Cant.]]=0,"",IF(OR(Prueba[[#This Row],[Cant.2]]="",Prueba[[#This Row],[Puesto2]]=""),"?",Prueba[[#This Row],[Puesto2]]))</f>
        <v/>
      </c>
      <c r="I498" s="31"/>
      <c r="J498" s="32"/>
      <c r="K498" s="14"/>
      <c r="L498" s="14"/>
      <c r="M498" s="31"/>
      <c r="N498" s="32" t="str">
        <f>IF(Prueba[[#This Row],[Cant.4]]=0,"",IF(OR(Prueba[[#This Row],[Cant.6]]="",Prueba[[#This Row],[Puesto6]]=""),"?",Prueba[[#This Row],[Puesto6]]))</f>
        <v/>
      </c>
      <c r="O498" s="31"/>
      <c r="P498" s="32" t="str">
        <f>IF(Prueba[[#This Row],[Cant.5]]=0,"",IF(OR(Prueba[[#This Row],[Cant.6]]="",Prueba[[#This Row],[Puesto6]]=""),"?",Prueba[[#This Row],[Puesto6]]))</f>
        <v/>
      </c>
      <c r="Q498" s="31"/>
      <c r="R498" s="32"/>
      <c r="S498" s="14">
        <v>1</v>
      </c>
      <c r="T498" s="14">
        <v>6</v>
      </c>
      <c r="U498" s="31"/>
      <c r="V498" s="32" t="s">
        <v>1663</v>
      </c>
      <c r="W498" s="19"/>
      <c r="X498" s="19" t="s">
        <v>1667</v>
      </c>
      <c r="Y498" s="19" t="s">
        <v>1663</v>
      </c>
      <c r="Z498" s="19" t="s">
        <v>1663</v>
      </c>
      <c r="AA498" s="19" t="s">
        <v>1663</v>
      </c>
      <c r="AB498" s="19" t="s">
        <v>1663</v>
      </c>
    </row>
    <row r="499" spans="1:28" s="18" customFormat="1">
      <c r="A499" s="18" t="s">
        <v>1977</v>
      </c>
      <c r="B499" s="18" t="s">
        <v>9</v>
      </c>
      <c r="C499" s="18" t="s">
        <v>1338</v>
      </c>
      <c r="D499" s="18" t="s">
        <v>1339</v>
      </c>
      <c r="E499" s="19" t="s">
        <v>1340</v>
      </c>
      <c r="F499" s="18" t="s">
        <v>13</v>
      </c>
      <c r="G499" s="29"/>
      <c r="H499" s="32" t="str">
        <f>IF(Prueba[[#This Row],[Cant.]]=0,"",IF(OR(Prueba[[#This Row],[Cant.2]]="",Prueba[[#This Row],[Puesto2]]=""),"?",Prueba[[#This Row],[Puesto2]]))</f>
        <v/>
      </c>
      <c r="I499" s="31"/>
      <c r="J499" s="32"/>
      <c r="K499" s="14">
        <v>1</v>
      </c>
      <c r="L499" s="14"/>
      <c r="M499" s="31"/>
      <c r="N499" s="32" t="str">
        <f>IF(Prueba[[#This Row],[Cant.4]]=0,"",IF(OR(Prueba[[#This Row],[Cant.6]]="",Prueba[[#This Row],[Puesto6]]=""),"?",Prueba[[#This Row],[Puesto6]]))</f>
        <v/>
      </c>
      <c r="O499" s="31"/>
      <c r="P499" s="32" t="str">
        <f>IF(Prueba[[#This Row],[Cant.5]]=0,"",IF(OR(Prueba[[#This Row],[Cant.6]]="",Prueba[[#This Row],[Puesto6]]=""),"?",Prueba[[#This Row],[Puesto6]]))</f>
        <v/>
      </c>
      <c r="Q499" s="31"/>
      <c r="R499" s="32"/>
      <c r="S499" s="14"/>
      <c r="T499" s="14"/>
      <c r="U499" s="31"/>
      <c r="V499" s="32" t="s">
        <v>1663</v>
      </c>
      <c r="W499" s="19"/>
      <c r="X499" s="19" t="s">
        <v>1667</v>
      </c>
      <c r="Y499" s="19" t="s">
        <v>1663</v>
      </c>
      <c r="Z499" s="19" t="s">
        <v>1663</v>
      </c>
      <c r="AA499" s="19" t="s">
        <v>1663</v>
      </c>
      <c r="AB499" s="19" t="s">
        <v>1663</v>
      </c>
    </row>
    <row r="500" spans="1:28" s="18" customFormat="1">
      <c r="A500" s="18" t="s">
        <v>1978</v>
      </c>
      <c r="B500" s="18" t="s">
        <v>1806</v>
      </c>
      <c r="C500" s="18" t="s">
        <v>1683</v>
      </c>
      <c r="D500" s="18" t="s">
        <v>1890</v>
      </c>
      <c r="E500" s="19" t="s">
        <v>1340</v>
      </c>
      <c r="F500" s="18" t="s">
        <v>13</v>
      </c>
      <c r="G500" s="29"/>
      <c r="H500" s="32" t="str">
        <f>IF(Prueba[[#This Row],[Cant.]]=0,"",IF(OR(Prueba[[#This Row],[Cant.2]]="",Prueba[[#This Row],[Puesto2]]=""),"?",Prueba[[#This Row],[Puesto2]]))</f>
        <v/>
      </c>
      <c r="I500" s="31"/>
      <c r="J500" s="32"/>
      <c r="K500" s="14"/>
      <c r="L500" s="14"/>
      <c r="M500" s="31">
        <v>1</v>
      </c>
      <c r="N500" s="32">
        <v>5</v>
      </c>
      <c r="O500" s="31"/>
      <c r="P500" s="32" t="str">
        <f>IF(Prueba[[#This Row],[Cant.5]]=0,"",IF(OR(Prueba[[#This Row],[Cant.6]]="",Prueba[[#This Row],[Puesto6]]=""),"?",Prueba[[#This Row],[Puesto6]]))</f>
        <v/>
      </c>
      <c r="Q500" s="31"/>
      <c r="R500" s="32"/>
      <c r="S500" s="14"/>
      <c r="T500" s="14"/>
      <c r="U500" s="31"/>
      <c r="V500" s="32" t="s">
        <v>1663</v>
      </c>
      <c r="W500" s="19"/>
      <c r="X500" s="19" t="s">
        <v>1667</v>
      </c>
      <c r="Y500" s="19" t="s">
        <v>1663</v>
      </c>
      <c r="Z500" s="19" t="s">
        <v>1663</v>
      </c>
      <c r="AA500" s="19" t="s">
        <v>1663</v>
      </c>
      <c r="AB500" s="19" t="s">
        <v>1663</v>
      </c>
    </row>
    <row r="501" spans="1:28" s="18" customFormat="1">
      <c r="A501" s="18" t="s">
        <v>1979</v>
      </c>
      <c r="B501" s="18" t="s">
        <v>9</v>
      </c>
      <c r="C501" s="18" t="s">
        <v>1683</v>
      </c>
      <c r="D501" s="18" t="s">
        <v>1890</v>
      </c>
      <c r="E501" s="19" t="s">
        <v>1340</v>
      </c>
      <c r="F501" s="18" t="s">
        <v>13</v>
      </c>
      <c r="G501" s="29"/>
      <c r="H501" s="32" t="str">
        <f>IF(Prueba[[#This Row],[Cant.]]=0,"",IF(OR(Prueba[[#This Row],[Cant.2]]="",Prueba[[#This Row],[Puesto2]]=""),"?",Prueba[[#This Row],[Puesto2]]))</f>
        <v/>
      </c>
      <c r="I501" s="31"/>
      <c r="J501" s="32"/>
      <c r="K501" s="14"/>
      <c r="L501" s="14"/>
      <c r="M501" s="31"/>
      <c r="N501" s="32" t="str">
        <f>IF(Prueba[[#This Row],[Cant.4]]=0,"",IF(OR(Prueba[[#This Row],[Cant.6]]="",Prueba[[#This Row],[Puesto6]]=""),"?",Prueba[[#This Row],[Puesto6]]))</f>
        <v/>
      </c>
      <c r="O501" s="31"/>
      <c r="P501" s="32" t="str">
        <f>IF(Prueba[[#This Row],[Cant.5]]=0,"",IF(OR(Prueba[[#This Row],[Cant.6]]="",Prueba[[#This Row],[Puesto6]]=""),"?",Prueba[[#This Row],[Puesto6]]))</f>
        <v/>
      </c>
      <c r="Q501" s="31">
        <v>1</v>
      </c>
      <c r="R501" s="32">
        <v>5</v>
      </c>
      <c r="S501" s="14"/>
      <c r="T501" s="14"/>
      <c r="U501" s="31"/>
      <c r="V501" s="32" t="s">
        <v>1663</v>
      </c>
      <c r="W501" s="19"/>
      <c r="X501" s="19" t="s">
        <v>1667</v>
      </c>
      <c r="Y501" s="19" t="s">
        <v>1663</v>
      </c>
      <c r="Z501" s="19" t="s">
        <v>1663</v>
      </c>
      <c r="AA501" s="19" t="s">
        <v>1663</v>
      </c>
      <c r="AB501" s="19" t="s">
        <v>1663</v>
      </c>
    </row>
    <row r="502" spans="1:28" s="18" customFormat="1">
      <c r="A502" s="18" t="s">
        <v>1980</v>
      </c>
      <c r="B502" s="18" t="s">
        <v>9</v>
      </c>
      <c r="C502" s="18" t="s">
        <v>1683</v>
      </c>
      <c r="D502" s="18" t="s">
        <v>1890</v>
      </c>
      <c r="E502" s="19" t="s">
        <v>1340</v>
      </c>
      <c r="F502" s="18" t="s">
        <v>13</v>
      </c>
      <c r="G502" s="29"/>
      <c r="H502" s="32" t="str">
        <f>IF(Prueba[[#This Row],[Cant.]]=0,"",IF(OR(Prueba[[#This Row],[Cant.2]]="",Prueba[[#This Row],[Puesto2]]=""),"?",Prueba[[#This Row],[Puesto2]]))</f>
        <v/>
      </c>
      <c r="I502" s="31"/>
      <c r="J502" s="32"/>
      <c r="K502" s="14"/>
      <c r="L502" s="14"/>
      <c r="M502" s="31"/>
      <c r="N502" s="32" t="str">
        <f>IF(Prueba[[#This Row],[Cant.4]]=0,"",IF(OR(Prueba[[#This Row],[Cant.6]]="",Prueba[[#This Row],[Puesto6]]=""),"?",Prueba[[#This Row],[Puesto6]]))</f>
        <v/>
      </c>
      <c r="O502" s="31"/>
      <c r="P502" s="32" t="str">
        <f>IF(Prueba[[#This Row],[Cant.5]]=0,"",IF(OR(Prueba[[#This Row],[Cant.6]]="",Prueba[[#This Row],[Puesto6]]=""),"?",Prueba[[#This Row],[Puesto6]]))</f>
        <v/>
      </c>
      <c r="Q502" s="31"/>
      <c r="R502" s="32"/>
      <c r="S502" s="14">
        <v>1</v>
      </c>
      <c r="T502" s="14">
        <v>5</v>
      </c>
      <c r="U502" s="31"/>
      <c r="V502" s="32" t="s">
        <v>1663</v>
      </c>
      <c r="W502" s="19"/>
      <c r="X502" s="19" t="s">
        <v>1667</v>
      </c>
      <c r="Y502" s="19" t="s">
        <v>1663</v>
      </c>
      <c r="Z502" s="19" t="s">
        <v>1663</v>
      </c>
      <c r="AA502" s="19" t="s">
        <v>1663</v>
      </c>
      <c r="AB502" s="19" t="s">
        <v>1663</v>
      </c>
    </row>
    <row r="503" spans="1:28" s="18" customFormat="1">
      <c r="A503" s="18" t="s">
        <v>994</v>
      </c>
      <c r="B503" s="18" t="s">
        <v>9</v>
      </c>
      <c r="C503" s="18" t="s">
        <v>995</v>
      </c>
      <c r="D503" s="18" t="s">
        <v>996</v>
      </c>
      <c r="E503" s="19" t="s">
        <v>18</v>
      </c>
      <c r="F503" s="18" t="s">
        <v>13</v>
      </c>
      <c r="G503" s="29"/>
      <c r="H503" s="32" t="str">
        <f>IF(Prueba[[#This Row],[Cant.]]=0,"",IF(OR(Prueba[[#This Row],[Cant.2]]="",Prueba[[#This Row],[Puesto2]]=""),"?",Prueba[[#This Row],[Puesto2]]))</f>
        <v/>
      </c>
      <c r="I503" s="31"/>
      <c r="J503" s="32"/>
      <c r="K503" s="14">
        <v>1</v>
      </c>
      <c r="L503" s="14"/>
      <c r="M503" s="31">
        <v>1</v>
      </c>
      <c r="N503" s="32">
        <f>IF(Prueba[[#This Row],[Cant.4]]=0,"",IF(OR(Prueba[[#This Row],[Cant.6]]="",Prueba[[#This Row],[Puesto6]]=""),"?",Prueba[[#This Row],[Puesto6]]))</f>
        <v>0</v>
      </c>
      <c r="O503" s="31">
        <v>1</v>
      </c>
      <c r="P503" s="32">
        <f>IF(Prueba[[#This Row],[Cant.5]]=0,"",IF(OR(Prueba[[#This Row],[Cant.6]]="",Prueba[[#This Row],[Puesto6]]=""),"?",Prueba[[#This Row],[Puesto6]]))</f>
        <v>0</v>
      </c>
      <c r="Q503" s="31">
        <v>1</v>
      </c>
      <c r="R503" s="32">
        <v>0</v>
      </c>
      <c r="S503" s="14">
        <v>1</v>
      </c>
      <c r="T503" s="14">
        <v>0</v>
      </c>
      <c r="U503" s="31"/>
      <c r="V503" s="32" t="s">
        <v>1663</v>
      </c>
      <c r="W503" s="19"/>
      <c r="X503" s="19" t="s">
        <v>1667</v>
      </c>
      <c r="Y503" s="19" t="s">
        <v>1663</v>
      </c>
      <c r="Z503" s="19" t="s">
        <v>1663</v>
      </c>
      <c r="AA503" s="19" t="s">
        <v>1663</v>
      </c>
      <c r="AB503" s="19" t="s">
        <v>1663</v>
      </c>
    </row>
    <row r="504" spans="1:28" s="18" customFormat="1">
      <c r="A504" s="18" t="s">
        <v>997</v>
      </c>
      <c r="B504" s="18" t="s">
        <v>9</v>
      </c>
      <c r="C504" s="18" t="s">
        <v>64</v>
      </c>
      <c r="D504" s="18" t="s">
        <v>998</v>
      </c>
      <c r="E504" s="19" t="s">
        <v>12</v>
      </c>
      <c r="F504" s="18" t="s">
        <v>13</v>
      </c>
      <c r="G504" s="29"/>
      <c r="H504" s="32" t="str">
        <f>IF(Prueba[[#This Row],[Cant.]]=0,"",IF(OR(Prueba[[#This Row],[Cant.2]]="",Prueba[[#This Row],[Puesto2]]=""),"?",Prueba[[#This Row],[Puesto2]]))</f>
        <v/>
      </c>
      <c r="I504" s="31"/>
      <c r="J504" s="32"/>
      <c r="K504" s="14">
        <v>1</v>
      </c>
      <c r="L504" s="14"/>
      <c r="M504" s="31">
        <v>1</v>
      </c>
      <c r="N504" s="32">
        <f>IF(Prueba[[#This Row],[Cant.4]]=0,"",IF(OR(Prueba[[#This Row],[Cant.6]]="",Prueba[[#This Row],[Puesto6]]=""),"?",Prueba[[#This Row],[Puesto6]]))</f>
        <v>5</v>
      </c>
      <c r="O504" s="31">
        <v>1</v>
      </c>
      <c r="P504" s="32">
        <f>IF(Prueba[[#This Row],[Cant.5]]=0,"",IF(OR(Prueba[[#This Row],[Cant.6]]="",Prueba[[#This Row],[Puesto6]]=""),"?",Prueba[[#This Row],[Puesto6]]))</f>
        <v>5</v>
      </c>
      <c r="Q504" s="31">
        <v>1</v>
      </c>
      <c r="R504" s="32">
        <v>5</v>
      </c>
      <c r="S504" s="14"/>
      <c r="T504" s="14"/>
      <c r="U504" s="31"/>
      <c r="V504" s="32" t="s">
        <v>1663</v>
      </c>
      <c r="W504" s="19"/>
      <c r="X504" s="19" t="s">
        <v>1667</v>
      </c>
      <c r="Y504" s="19" t="s">
        <v>1663</v>
      </c>
      <c r="Z504" s="19" t="s">
        <v>1663</v>
      </c>
      <c r="AA504" s="19" t="s">
        <v>1663</v>
      </c>
      <c r="AB504" s="19" t="s">
        <v>1663</v>
      </c>
    </row>
    <row r="505" spans="1:28" s="18" customFormat="1">
      <c r="A505" s="18" t="s">
        <v>999</v>
      </c>
      <c r="B505" s="18" t="s">
        <v>9</v>
      </c>
      <c r="C505" s="18" t="s">
        <v>1000</v>
      </c>
      <c r="D505" s="18" t="s">
        <v>1001</v>
      </c>
      <c r="E505" s="19" t="s">
        <v>308</v>
      </c>
      <c r="F505" s="18" t="s">
        <v>13</v>
      </c>
      <c r="G505" s="29"/>
      <c r="H505" s="32" t="str">
        <f>IF(Prueba[[#This Row],[Cant.]]=0,"",IF(OR(Prueba[[#This Row],[Cant.2]]="",Prueba[[#This Row],[Puesto2]]=""),"?",Prueba[[#This Row],[Puesto2]]))</f>
        <v/>
      </c>
      <c r="I505" s="31"/>
      <c r="J505" s="32"/>
      <c r="K505" s="14">
        <v>1</v>
      </c>
      <c r="L505" s="14"/>
      <c r="M505" s="31">
        <v>1</v>
      </c>
      <c r="N505" s="32" t="str">
        <f>IF(Prueba[[#This Row],[Cant.4]]=0,"",IF(OR(Prueba[[#This Row],[Cant.6]]="",Prueba[[#This Row],[Puesto6]]=""),"?",Prueba[[#This Row],[Puesto6]]))</f>
        <v>D</v>
      </c>
      <c r="O505" s="31">
        <v>1</v>
      </c>
      <c r="P505" s="32" t="str">
        <f>IF(Prueba[[#This Row],[Cant.5]]=0,"",IF(OR(Prueba[[#This Row],[Cant.6]]="",Prueba[[#This Row],[Puesto6]]=""),"?",Prueba[[#This Row],[Puesto6]]))</f>
        <v>D</v>
      </c>
      <c r="Q505" s="31">
        <v>1</v>
      </c>
      <c r="R505" s="32" t="s">
        <v>1399</v>
      </c>
      <c r="S505" s="14"/>
      <c r="T505" s="14"/>
      <c r="U505" s="31"/>
      <c r="V505" s="32" t="s">
        <v>1663</v>
      </c>
      <c r="W505" s="19"/>
      <c r="X505" s="19" t="s">
        <v>1667</v>
      </c>
      <c r="Y505" s="19" t="s">
        <v>1663</v>
      </c>
      <c r="Z505" s="19" t="s">
        <v>1663</v>
      </c>
      <c r="AA505" s="19" t="s">
        <v>1663</v>
      </c>
      <c r="AB505" s="19" t="s">
        <v>1663</v>
      </c>
    </row>
    <row r="506" spans="1:28" s="18" customFormat="1" ht="15.6">
      <c r="A506" s="18" t="s">
        <v>1981</v>
      </c>
      <c r="B506" s="18" t="s">
        <v>9</v>
      </c>
      <c r="C506" s="18" t="s">
        <v>1982</v>
      </c>
      <c r="D506" s="18" t="s">
        <v>1983</v>
      </c>
      <c r="E506" s="92" t="s">
        <v>308</v>
      </c>
      <c r="F506" s="18" t="s">
        <v>13</v>
      </c>
      <c r="G506" s="29"/>
      <c r="H506" s="32" t="str">
        <f>IF(Prueba[[#This Row],[Cant.]]=0,"",IF(OR(Prueba[[#This Row],[Cant.2]]="",Prueba[[#This Row],[Puesto2]]=""),"?",Prueba[[#This Row],[Puesto2]]))</f>
        <v/>
      </c>
      <c r="I506" s="31"/>
      <c r="J506" s="32"/>
      <c r="K506" s="14"/>
      <c r="L506" s="14"/>
      <c r="M506" s="31"/>
      <c r="N506" s="32" t="str">
        <f>IF(Prueba[[#This Row],[Cant.4]]=0,"",IF(OR(Prueba[[#This Row],[Cant.6]]="",Prueba[[#This Row],[Puesto6]]=""),"?",Prueba[[#This Row],[Puesto6]]))</f>
        <v/>
      </c>
      <c r="O506" s="31"/>
      <c r="P506" s="32" t="str">
        <f>IF(Prueba[[#This Row],[Cant.5]]=0,"",IF(OR(Prueba[[#This Row],[Cant.6]]="",Prueba[[#This Row],[Puesto6]]=""),"?",Prueba[[#This Row],[Puesto6]]))</f>
        <v/>
      </c>
      <c r="Q506" s="31"/>
      <c r="R506" s="32"/>
      <c r="S506" s="14">
        <v>1</v>
      </c>
      <c r="T506" s="14" t="s">
        <v>1402</v>
      </c>
      <c r="U506" s="31"/>
      <c r="V506" s="32" t="s">
        <v>1663</v>
      </c>
      <c r="W506" s="19"/>
      <c r="X506" s="19" t="s">
        <v>1667</v>
      </c>
      <c r="Y506" s="19" t="s">
        <v>1663</v>
      </c>
      <c r="Z506" s="19" t="s">
        <v>1663</v>
      </c>
      <c r="AA506" s="19" t="s">
        <v>1663</v>
      </c>
      <c r="AB506" s="19" t="s">
        <v>1663</v>
      </c>
    </row>
    <row r="507" spans="1:28" s="18" customFormat="1">
      <c r="A507" s="18" t="s">
        <v>1002</v>
      </c>
      <c r="B507" s="18" t="s">
        <v>9</v>
      </c>
      <c r="C507" s="18" t="s">
        <v>200</v>
      </c>
      <c r="D507" s="18" t="s">
        <v>745</v>
      </c>
      <c r="E507" s="19" t="s">
        <v>12</v>
      </c>
      <c r="F507" s="18" t="s">
        <v>13</v>
      </c>
      <c r="G507" s="29"/>
      <c r="H507" s="32" t="str">
        <f>IF(Prueba[[#This Row],[Cant.]]=0,"",IF(OR(Prueba[[#This Row],[Cant.2]]="",Prueba[[#This Row],[Puesto2]]=""),"?",Prueba[[#This Row],[Puesto2]]))</f>
        <v/>
      </c>
      <c r="I507" s="31"/>
      <c r="J507" s="32"/>
      <c r="K507" s="14">
        <v>2</v>
      </c>
      <c r="L507" s="14"/>
      <c r="M507" s="31">
        <v>2</v>
      </c>
      <c r="N507" s="32">
        <f>IF(Prueba[[#This Row],[Cant.4]]=0,"",IF(OR(Prueba[[#This Row],[Cant.6]]="",Prueba[[#This Row],[Puesto6]]=""),"?",Prueba[[#This Row],[Puesto6]]))</f>
        <v>5</v>
      </c>
      <c r="O507" s="31">
        <v>2</v>
      </c>
      <c r="P507" s="32">
        <f>IF(Prueba[[#This Row],[Cant.5]]=0,"",IF(OR(Prueba[[#This Row],[Cant.6]]="",Prueba[[#This Row],[Puesto6]]=""),"?",Prueba[[#This Row],[Puesto6]]))</f>
        <v>5</v>
      </c>
      <c r="Q507" s="31">
        <v>2</v>
      </c>
      <c r="R507" s="32">
        <v>5</v>
      </c>
      <c r="S507" s="14">
        <v>2</v>
      </c>
      <c r="T507" s="14">
        <v>5</v>
      </c>
      <c r="U507" s="31"/>
      <c r="V507" s="32" t="s">
        <v>1663</v>
      </c>
      <c r="W507" s="19"/>
      <c r="X507" s="19" t="s">
        <v>1667</v>
      </c>
      <c r="Y507" s="19" t="s">
        <v>1663</v>
      </c>
      <c r="Z507" s="19" t="s">
        <v>1663</v>
      </c>
      <c r="AA507" s="19" t="s">
        <v>1663</v>
      </c>
      <c r="AB507" s="19" t="s">
        <v>1663</v>
      </c>
    </row>
    <row r="508" spans="1:28" s="18" customFormat="1">
      <c r="A508" s="18" t="s">
        <v>1003</v>
      </c>
      <c r="B508" s="18" t="s">
        <v>9</v>
      </c>
      <c r="C508" s="18" t="s">
        <v>1004</v>
      </c>
      <c r="D508" s="18" t="s">
        <v>1005</v>
      </c>
      <c r="E508" s="19" t="s">
        <v>39</v>
      </c>
      <c r="F508" s="18" t="s">
        <v>13</v>
      </c>
      <c r="G508" s="29"/>
      <c r="H508" s="32" t="str">
        <f>IF(Prueba[[#This Row],[Cant.]]=0,"",IF(OR(Prueba[[#This Row],[Cant.2]]="",Prueba[[#This Row],[Puesto2]]=""),"?",Prueba[[#This Row],[Puesto2]]))</f>
        <v/>
      </c>
      <c r="I508" s="31"/>
      <c r="J508" s="32"/>
      <c r="K508" s="14">
        <v>1</v>
      </c>
      <c r="L508" s="14"/>
      <c r="M508" s="31">
        <v>1</v>
      </c>
      <c r="N508" s="32">
        <f>IF(Prueba[[#This Row],[Cant.4]]=0,"",IF(OR(Prueba[[#This Row],[Cant.6]]="",Prueba[[#This Row],[Puesto6]]=""),"?",Prueba[[#This Row],[Puesto6]]))</f>
        <v>5</v>
      </c>
      <c r="O508" s="31">
        <v>1</v>
      </c>
      <c r="P508" s="32">
        <f>IF(Prueba[[#This Row],[Cant.5]]=0,"",IF(OR(Prueba[[#This Row],[Cant.6]]="",Prueba[[#This Row],[Puesto6]]=""),"?",Prueba[[#This Row],[Puesto6]]))</f>
        <v>5</v>
      </c>
      <c r="Q508" s="31">
        <v>1</v>
      </c>
      <c r="R508" s="32">
        <v>5</v>
      </c>
      <c r="S508" s="14">
        <v>1</v>
      </c>
      <c r="T508" s="14">
        <v>5</v>
      </c>
      <c r="U508" s="31"/>
      <c r="V508" s="32" t="s">
        <v>1663</v>
      </c>
      <c r="W508" s="19"/>
      <c r="X508" s="19" t="s">
        <v>1667</v>
      </c>
      <c r="Y508" s="19" t="s">
        <v>1663</v>
      </c>
      <c r="Z508" s="19" t="s">
        <v>1663</v>
      </c>
      <c r="AA508" s="19" t="s">
        <v>1663</v>
      </c>
      <c r="AB508" s="19" t="s">
        <v>1663</v>
      </c>
    </row>
    <row r="509" spans="1:28" s="18" customFormat="1">
      <c r="A509" s="18" t="s">
        <v>1006</v>
      </c>
      <c r="B509" s="18" t="s">
        <v>9</v>
      </c>
      <c r="C509" s="18" t="s">
        <v>1007</v>
      </c>
      <c r="D509" s="18" t="s">
        <v>1008</v>
      </c>
      <c r="E509" s="19" t="s">
        <v>923</v>
      </c>
      <c r="F509" s="18" t="s">
        <v>13</v>
      </c>
      <c r="G509" s="29"/>
      <c r="H509" s="32" t="str">
        <f>IF(Prueba[[#This Row],[Cant.]]=0,"",IF(OR(Prueba[[#This Row],[Cant.2]]="",Prueba[[#This Row],[Puesto2]]=""),"?",Prueba[[#This Row],[Puesto2]]))</f>
        <v/>
      </c>
      <c r="I509" s="31"/>
      <c r="J509" s="32"/>
      <c r="K509" s="14">
        <v>1</v>
      </c>
      <c r="L509" s="14"/>
      <c r="M509" s="31">
        <v>1</v>
      </c>
      <c r="N509" s="32">
        <f>IF(Prueba[[#This Row],[Cant.4]]=0,"",IF(OR(Prueba[[#This Row],[Cant.6]]="",Prueba[[#This Row],[Puesto6]]=""),"?",Prueba[[#This Row],[Puesto6]]))</f>
        <v>5</v>
      </c>
      <c r="O509" s="31">
        <v>1</v>
      </c>
      <c r="P509" s="32">
        <f>IF(Prueba[[#This Row],[Cant.5]]=0,"",IF(OR(Prueba[[#This Row],[Cant.6]]="",Prueba[[#This Row],[Puesto6]]=""),"?",Prueba[[#This Row],[Puesto6]]))</f>
        <v>5</v>
      </c>
      <c r="Q509" s="31">
        <v>1</v>
      </c>
      <c r="R509" s="32">
        <v>5</v>
      </c>
      <c r="S509" s="14"/>
      <c r="T509" s="14"/>
      <c r="U509" s="31"/>
      <c r="V509" s="32" t="s">
        <v>1663</v>
      </c>
      <c r="W509" s="19"/>
      <c r="X509" s="19" t="s">
        <v>1667</v>
      </c>
      <c r="Y509" s="19" t="s">
        <v>1663</v>
      </c>
      <c r="Z509" s="19" t="s">
        <v>1663</v>
      </c>
      <c r="AA509" s="19" t="s">
        <v>1663</v>
      </c>
      <c r="AB509" s="19" t="s">
        <v>1663</v>
      </c>
    </row>
    <row r="510" spans="1:28" s="18" customFormat="1">
      <c r="A510" s="18" t="s">
        <v>1984</v>
      </c>
      <c r="B510" s="18" t="s">
        <v>9</v>
      </c>
      <c r="C510" s="18" t="s">
        <v>1985</v>
      </c>
      <c r="D510" s="18" t="s">
        <v>1986</v>
      </c>
      <c r="E510" s="19" t="s">
        <v>70</v>
      </c>
      <c r="F510" s="18" t="s">
        <v>13</v>
      </c>
      <c r="G510" s="29"/>
      <c r="H510" s="32" t="str">
        <f>IF(Prueba[[#This Row],[Cant.]]=0,"",IF(OR(Prueba[[#This Row],[Cant.2]]="",Prueba[[#This Row],[Puesto2]]=""),"?",Prueba[[#This Row],[Puesto2]]))</f>
        <v/>
      </c>
      <c r="I510" s="31"/>
      <c r="J510" s="32"/>
      <c r="K510" s="14"/>
      <c r="L510" s="14"/>
      <c r="M510" s="31"/>
      <c r="N510" s="32" t="str">
        <f>IF(Prueba[[#This Row],[Cant.4]]=0,"",IF(OR(Prueba[[#This Row],[Cant.6]]="",Prueba[[#This Row],[Puesto6]]=""),"?",Prueba[[#This Row],[Puesto6]]))</f>
        <v/>
      </c>
      <c r="O510" s="31"/>
      <c r="P510" s="32" t="str">
        <f>IF(Prueba[[#This Row],[Cant.5]]=0,"",IF(OR(Prueba[[#This Row],[Cant.6]]="",Prueba[[#This Row],[Puesto6]]=""),"?",Prueba[[#This Row],[Puesto6]]))</f>
        <v/>
      </c>
      <c r="Q510" s="31"/>
      <c r="R510" s="32"/>
      <c r="S510" s="14">
        <v>1</v>
      </c>
      <c r="T510" s="14" t="s">
        <v>1399</v>
      </c>
      <c r="U510" s="31"/>
      <c r="V510" s="32" t="s">
        <v>1663</v>
      </c>
      <c r="W510" s="19"/>
      <c r="X510" s="19" t="s">
        <v>1667</v>
      </c>
      <c r="Y510" s="19" t="s">
        <v>1663</v>
      </c>
      <c r="Z510" s="19" t="s">
        <v>1663</v>
      </c>
      <c r="AA510" s="19" t="s">
        <v>1663</v>
      </c>
      <c r="AB510" s="19" t="s">
        <v>1663</v>
      </c>
    </row>
    <row r="511" spans="1:28" s="18" customFormat="1" ht="15.6">
      <c r="A511" s="18" t="s">
        <v>1987</v>
      </c>
      <c r="B511" s="18" t="s">
        <v>9</v>
      </c>
      <c r="C511" s="18" t="s">
        <v>1807</v>
      </c>
      <c r="D511" s="18" t="s">
        <v>1988</v>
      </c>
      <c r="E511" s="92" t="s">
        <v>18</v>
      </c>
      <c r="F511" s="18" t="s">
        <v>13</v>
      </c>
      <c r="G511" s="29"/>
      <c r="H511" s="32" t="str">
        <f>IF(Prueba[[#This Row],[Cant.]]=0,"",IF(OR(Prueba[[#This Row],[Cant.2]]="",Prueba[[#This Row],[Puesto2]]=""),"?",Prueba[[#This Row],[Puesto2]]))</f>
        <v/>
      </c>
      <c r="I511" s="31"/>
      <c r="J511" s="32"/>
      <c r="K511" s="14"/>
      <c r="L511" s="14"/>
      <c r="M511" s="31"/>
      <c r="N511" s="32" t="str">
        <f>IF(Prueba[[#This Row],[Cant.4]]=0,"",IF(OR(Prueba[[#This Row],[Cant.6]]="",Prueba[[#This Row],[Puesto6]]=""),"?",Prueba[[#This Row],[Puesto6]]))</f>
        <v/>
      </c>
      <c r="O511" s="31"/>
      <c r="P511" s="32" t="str">
        <f>IF(Prueba[[#This Row],[Cant.5]]=0,"",IF(OR(Prueba[[#This Row],[Cant.6]]="",Prueba[[#This Row],[Puesto6]]=""),"?",Prueba[[#This Row],[Puesto6]]))</f>
        <v/>
      </c>
      <c r="Q511" s="31"/>
      <c r="R511" s="32"/>
      <c r="S511" s="14">
        <v>2</v>
      </c>
      <c r="T511" s="14">
        <v>3</v>
      </c>
      <c r="U511" s="31"/>
      <c r="V511" s="32" t="s">
        <v>1663</v>
      </c>
      <c r="W511" s="19"/>
      <c r="X511" s="19" t="s">
        <v>1667</v>
      </c>
      <c r="Y511" s="19" t="s">
        <v>1663</v>
      </c>
      <c r="Z511" s="19" t="s">
        <v>1663</v>
      </c>
      <c r="AA511" s="19" t="s">
        <v>1663</v>
      </c>
      <c r="AB511" s="19" t="s">
        <v>1663</v>
      </c>
    </row>
    <row r="512" spans="1:28" s="18" customFormat="1">
      <c r="A512" s="18" t="s">
        <v>1009</v>
      </c>
      <c r="B512" s="18" t="s">
        <v>9</v>
      </c>
      <c r="C512" s="18" t="s">
        <v>788</v>
      </c>
      <c r="D512" s="18" t="s">
        <v>789</v>
      </c>
      <c r="E512" s="19" t="s">
        <v>18</v>
      </c>
      <c r="F512" s="18" t="s">
        <v>13</v>
      </c>
      <c r="G512" s="29"/>
      <c r="H512" s="32" t="str">
        <f>IF(Prueba[[#This Row],[Cant.]]=0,"",IF(OR(Prueba[[#This Row],[Cant.2]]="",Prueba[[#This Row],[Puesto2]]=""),"?",Prueba[[#This Row],[Puesto2]]))</f>
        <v/>
      </c>
      <c r="I512" s="31"/>
      <c r="J512" s="32"/>
      <c r="K512" s="14">
        <v>2</v>
      </c>
      <c r="L512" s="14"/>
      <c r="M512" s="31">
        <v>2</v>
      </c>
      <c r="N512" s="32">
        <f>IF(Prueba[[#This Row],[Cant.4]]=0,"",IF(OR(Prueba[[#This Row],[Cant.6]]="",Prueba[[#This Row],[Puesto6]]=""),"?",Prueba[[#This Row],[Puesto6]]))</f>
        <v>3</v>
      </c>
      <c r="O512" s="31">
        <v>2</v>
      </c>
      <c r="P512" s="32">
        <f>IF(Prueba[[#This Row],[Cant.5]]=0,"",IF(OR(Prueba[[#This Row],[Cant.6]]="",Prueba[[#This Row],[Puesto6]]=""),"?",Prueba[[#This Row],[Puesto6]]))</f>
        <v>3</v>
      </c>
      <c r="Q512" s="31">
        <v>2</v>
      </c>
      <c r="R512" s="32">
        <v>3</v>
      </c>
      <c r="S512" s="14"/>
      <c r="T512" s="14"/>
      <c r="U512" s="31"/>
      <c r="V512" s="32" t="s">
        <v>1663</v>
      </c>
      <c r="W512" s="19"/>
      <c r="X512" s="19" t="s">
        <v>1667</v>
      </c>
      <c r="Y512" s="19" t="s">
        <v>1663</v>
      </c>
      <c r="Z512" s="19" t="s">
        <v>1663</v>
      </c>
      <c r="AA512" s="19" t="s">
        <v>1663</v>
      </c>
      <c r="AB512" s="19" t="s">
        <v>1663</v>
      </c>
    </row>
    <row r="513" spans="1:28" s="18" customFormat="1">
      <c r="A513" s="18" t="s">
        <v>1010</v>
      </c>
      <c r="B513" s="18" t="s">
        <v>9</v>
      </c>
      <c r="C513" s="18" t="s">
        <v>84</v>
      </c>
      <c r="D513" s="18" t="s">
        <v>41</v>
      </c>
      <c r="E513" s="19" t="s">
        <v>39</v>
      </c>
      <c r="F513" s="18" t="s">
        <v>13</v>
      </c>
      <c r="G513" s="29"/>
      <c r="H513" s="32" t="str">
        <f>IF(Prueba[[#This Row],[Cant.]]=0,"",IF(OR(Prueba[[#This Row],[Cant.2]]="",Prueba[[#This Row],[Puesto2]]=""),"?",Prueba[[#This Row],[Puesto2]]))</f>
        <v/>
      </c>
      <c r="I513" s="31"/>
      <c r="J513" s="32"/>
      <c r="K513" s="14">
        <v>1</v>
      </c>
      <c r="L513" s="14"/>
      <c r="M513" s="31">
        <v>1</v>
      </c>
      <c r="N513" s="32">
        <f>IF(Prueba[[#This Row],[Cant.4]]=0,"",IF(OR(Prueba[[#This Row],[Cant.6]]="",Prueba[[#This Row],[Puesto6]]=""),"?",Prueba[[#This Row],[Puesto6]]))</f>
        <v>5</v>
      </c>
      <c r="O513" s="31">
        <v>1</v>
      </c>
      <c r="P513" s="32">
        <f>IF(Prueba[[#This Row],[Cant.5]]=0,"",IF(OR(Prueba[[#This Row],[Cant.6]]="",Prueba[[#This Row],[Puesto6]]=""),"?",Prueba[[#This Row],[Puesto6]]))</f>
        <v>5</v>
      </c>
      <c r="Q513" s="31">
        <v>1</v>
      </c>
      <c r="R513" s="32">
        <v>5</v>
      </c>
      <c r="S513" s="14">
        <v>1</v>
      </c>
      <c r="T513" s="14">
        <v>5</v>
      </c>
      <c r="U513" s="31"/>
      <c r="V513" s="32" t="s">
        <v>1663</v>
      </c>
      <c r="W513" s="19"/>
      <c r="X513" s="19" t="s">
        <v>1667</v>
      </c>
      <c r="Y513" s="19" t="s">
        <v>1663</v>
      </c>
      <c r="Z513" s="19" t="s">
        <v>1663</v>
      </c>
      <c r="AA513" s="19" t="s">
        <v>1663</v>
      </c>
      <c r="AB513" s="19" t="s">
        <v>1663</v>
      </c>
    </row>
    <row r="514" spans="1:28" s="18" customFormat="1">
      <c r="A514" s="18" t="s">
        <v>1011</v>
      </c>
      <c r="B514" s="18" t="s">
        <v>9</v>
      </c>
      <c r="C514" s="18" t="s">
        <v>84</v>
      </c>
      <c r="D514" s="18" t="s">
        <v>41</v>
      </c>
      <c r="E514" s="19" t="s">
        <v>39</v>
      </c>
      <c r="F514" s="18" t="s">
        <v>13</v>
      </c>
      <c r="G514" s="29"/>
      <c r="H514" s="32" t="str">
        <f>IF(Prueba[[#This Row],[Cant.]]=0,"",IF(OR(Prueba[[#This Row],[Cant.2]]="",Prueba[[#This Row],[Puesto2]]=""),"?",Prueba[[#This Row],[Puesto2]]))</f>
        <v/>
      </c>
      <c r="I514" s="31"/>
      <c r="J514" s="32"/>
      <c r="K514" s="14">
        <v>1</v>
      </c>
      <c r="L514" s="14"/>
      <c r="M514" s="31">
        <v>1</v>
      </c>
      <c r="N514" s="32">
        <f>IF(Prueba[[#This Row],[Cant.4]]=0,"",IF(OR(Prueba[[#This Row],[Cant.6]]="",Prueba[[#This Row],[Puesto6]]=""),"?",Prueba[[#This Row],[Puesto6]]))</f>
        <v>0</v>
      </c>
      <c r="O514" s="31">
        <v>1</v>
      </c>
      <c r="P514" s="32">
        <f>IF(Prueba[[#This Row],[Cant.5]]=0,"",IF(OR(Prueba[[#This Row],[Cant.6]]="",Prueba[[#This Row],[Puesto6]]=""),"?",Prueba[[#This Row],[Puesto6]]))</f>
        <v>0</v>
      </c>
      <c r="Q514" s="31">
        <v>1</v>
      </c>
      <c r="R514" s="32">
        <v>0</v>
      </c>
      <c r="S514" s="14">
        <v>1</v>
      </c>
      <c r="T514" s="14">
        <v>0</v>
      </c>
      <c r="U514" s="31"/>
      <c r="V514" s="32" t="s">
        <v>1663</v>
      </c>
      <c r="W514" s="19"/>
      <c r="X514" s="19" t="s">
        <v>1667</v>
      </c>
      <c r="Y514" s="19" t="s">
        <v>1663</v>
      </c>
      <c r="Z514" s="19" t="s">
        <v>1663</v>
      </c>
      <c r="AA514" s="19" t="s">
        <v>1663</v>
      </c>
      <c r="AB514" s="19" t="s">
        <v>1663</v>
      </c>
    </row>
    <row r="515" spans="1:28" s="18" customFormat="1">
      <c r="A515" s="18" t="s">
        <v>1012</v>
      </c>
      <c r="B515" s="18" t="s">
        <v>9</v>
      </c>
      <c r="C515" s="18" t="s">
        <v>1013</v>
      </c>
      <c r="D515" s="18" t="s">
        <v>232</v>
      </c>
      <c r="E515" s="19" t="s">
        <v>39</v>
      </c>
      <c r="F515" s="18" t="s">
        <v>13</v>
      </c>
      <c r="G515" s="29"/>
      <c r="H515" s="32" t="str">
        <f>IF(Prueba[[#This Row],[Cant.]]=0,"",IF(OR(Prueba[[#This Row],[Cant.2]]="",Prueba[[#This Row],[Puesto2]]=""),"?",Prueba[[#This Row],[Puesto2]]))</f>
        <v/>
      </c>
      <c r="I515" s="31"/>
      <c r="J515" s="32"/>
      <c r="K515" s="14">
        <v>1</v>
      </c>
      <c r="L515" s="14"/>
      <c r="M515" s="31">
        <v>1</v>
      </c>
      <c r="N515" s="32" t="str">
        <f>IF(Prueba[[#This Row],[Cant.4]]=0,"",IF(OR(Prueba[[#This Row],[Cant.6]]="",Prueba[[#This Row],[Puesto6]]=""),"?",Prueba[[#This Row],[Puesto6]]))</f>
        <v>D</v>
      </c>
      <c r="O515" s="31">
        <v>1</v>
      </c>
      <c r="P515" s="32" t="str">
        <f>IF(Prueba[[#This Row],[Cant.5]]=0,"",IF(OR(Prueba[[#This Row],[Cant.6]]="",Prueba[[#This Row],[Puesto6]]=""),"?",Prueba[[#This Row],[Puesto6]]))</f>
        <v>D</v>
      </c>
      <c r="Q515" s="31">
        <v>1</v>
      </c>
      <c r="R515" s="32" t="s">
        <v>1399</v>
      </c>
      <c r="S515" s="14"/>
      <c r="T515" s="14"/>
      <c r="U515" s="31"/>
      <c r="V515" s="32" t="s">
        <v>1663</v>
      </c>
      <c r="W515" s="19"/>
      <c r="X515" s="19" t="s">
        <v>1667</v>
      </c>
      <c r="Y515" s="19" t="s">
        <v>1663</v>
      </c>
      <c r="Z515" s="19" t="s">
        <v>1663</v>
      </c>
      <c r="AA515" s="19" t="s">
        <v>1663</v>
      </c>
      <c r="AB515" s="19" t="s">
        <v>1663</v>
      </c>
    </row>
    <row r="516" spans="1:28" s="18" customFormat="1">
      <c r="A516" s="18" t="s">
        <v>1014</v>
      </c>
      <c r="B516" s="18" t="s">
        <v>9</v>
      </c>
      <c r="C516" s="18" t="s">
        <v>1015</v>
      </c>
      <c r="D516" s="18" t="s">
        <v>1016</v>
      </c>
      <c r="E516" s="19" t="s">
        <v>12</v>
      </c>
      <c r="F516" s="18" t="s">
        <v>13</v>
      </c>
      <c r="G516" s="29"/>
      <c r="H516" s="32" t="str">
        <f>IF(Prueba[[#This Row],[Cant.]]=0,"",IF(OR(Prueba[[#This Row],[Cant.2]]="",Prueba[[#This Row],[Puesto2]]=""),"?",Prueba[[#This Row],[Puesto2]]))</f>
        <v/>
      </c>
      <c r="I516" s="31"/>
      <c r="J516" s="32"/>
      <c r="K516" s="14">
        <v>1</v>
      </c>
      <c r="L516" s="14"/>
      <c r="M516" s="31"/>
      <c r="N516" s="32" t="str">
        <f>IF(Prueba[[#This Row],[Cant.4]]=0,"",IF(OR(Prueba[[#This Row],[Cant.6]]="",Prueba[[#This Row],[Puesto6]]=""),"?",Prueba[[#This Row],[Puesto6]]))</f>
        <v/>
      </c>
      <c r="O516" s="31"/>
      <c r="P516" s="32" t="str">
        <f>IF(Prueba[[#This Row],[Cant.5]]=0,"",IF(OR(Prueba[[#This Row],[Cant.6]]="",Prueba[[#This Row],[Puesto6]]=""),"?",Prueba[[#This Row],[Puesto6]]))</f>
        <v/>
      </c>
      <c r="Q516" s="31"/>
      <c r="R516" s="32"/>
      <c r="S516" s="14"/>
      <c r="T516" s="14"/>
      <c r="U516" s="31"/>
      <c r="V516" s="32" t="s">
        <v>1663</v>
      </c>
      <c r="W516" s="19"/>
      <c r="X516" s="19" t="s">
        <v>1667</v>
      </c>
      <c r="Y516" s="19" t="s">
        <v>1663</v>
      </c>
      <c r="Z516" s="19" t="s">
        <v>1663</v>
      </c>
      <c r="AA516" s="19" t="s">
        <v>1663</v>
      </c>
      <c r="AB516" s="19" t="s">
        <v>1663</v>
      </c>
    </row>
    <row r="517" spans="1:28" s="18" customFormat="1">
      <c r="A517" s="18" t="s">
        <v>1017</v>
      </c>
      <c r="B517" s="18" t="s">
        <v>9</v>
      </c>
      <c r="C517" s="18" t="s">
        <v>1018</v>
      </c>
      <c r="D517" s="18" t="s">
        <v>1019</v>
      </c>
      <c r="E517" s="19" t="s">
        <v>18</v>
      </c>
      <c r="F517" s="18" t="s">
        <v>13</v>
      </c>
      <c r="G517" s="29"/>
      <c r="H517" s="32" t="str">
        <f>IF(Prueba[[#This Row],[Cant.]]=0,"",IF(OR(Prueba[[#This Row],[Cant.2]]="",Prueba[[#This Row],[Puesto2]]=""),"?",Prueba[[#This Row],[Puesto2]]))</f>
        <v/>
      </c>
      <c r="I517" s="31"/>
      <c r="J517" s="32"/>
      <c r="K517" s="14">
        <v>2</v>
      </c>
      <c r="L517" s="14"/>
      <c r="M517" s="31">
        <v>2</v>
      </c>
      <c r="N517" s="32">
        <f>IF(Prueba[[#This Row],[Cant.4]]=0,"",IF(OR(Prueba[[#This Row],[Cant.6]]="",Prueba[[#This Row],[Puesto6]]=""),"?",Prueba[[#This Row],[Puesto6]]))</f>
        <v>5</v>
      </c>
      <c r="O517" s="31">
        <v>2</v>
      </c>
      <c r="P517" s="32">
        <f>IF(Prueba[[#This Row],[Cant.5]]=0,"",IF(OR(Prueba[[#This Row],[Cant.6]]="",Prueba[[#This Row],[Puesto6]]=""),"?",Prueba[[#This Row],[Puesto6]]))</f>
        <v>5</v>
      </c>
      <c r="Q517" s="31">
        <v>2</v>
      </c>
      <c r="R517" s="32">
        <v>5</v>
      </c>
      <c r="S517" s="14">
        <v>2</v>
      </c>
      <c r="T517" s="14">
        <v>5</v>
      </c>
      <c r="U517" s="31"/>
      <c r="V517" s="32" t="s">
        <v>1663</v>
      </c>
      <c r="W517" s="19"/>
      <c r="X517" s="19" t="s">
        <v>1667</v>
      </c>
      <c r="Y517" s="19" t="s">
        <v>1663</v>
      </c>
      <c r="Z517" s="19" t="s">
        <v>1663</v>
      </c>
      <c r="AA517" s="19" t="s">
        <v>1663</v>
      </c>
      <c r="AB517" s="19" t="s">
        <v>1663</v>
      </c>
    </row>
    <row r="518" spans="1:28" s="18" customFormat="1">
      <c r="A518" s="18" t="s">
        <v>523</v>
      </c>
      <c r="B518" s="18" t="s">
        <v>9</v>
      </c>
      <c r="C518" s="18" t="s">
        <v>20</v>
      </c>
      <c r="D518" s="18" t="s">
        <v>21</v>
      </c>
      <c r="E518" s="19" t="s">
        <v>22</v>
      </c>
      <c r="F518" s="18" t="s">
        <v>13</v>
      </c>
      <c r="G518" s="29">
        <v>6</v>
      </c>
      <c r="H518" s="32">
        <f>IF(Prueba[[#This Row],[Cant.]]=0,"",IF(OR(Prueba[[#This Row],[Cant.2]]="",Prueba[[#This Row],[Puesto2]]=""),"?",Prueba[[#This Row],[Puesto2]]))</f>
        <v>5</v>
      </c>
      <c r="I518" s="31">
        <v>6</v>
      </c>
      <c r="J518" s="32">
        <v>5</v>
      </c>
      <c r="K518" s="14">
        <v>1</v>
      </c>
      <c r="L518" s="14">
        <v>5</v>
      </c>
      <c r="M518" s="31">
        <v>1</v>
      </c>
      <c r="N518" s="32">
        <v>5</v>
      </c>
      <c r="O518" s="31">
        <v>1</v>
      </c>
      <c r="P518" s="105">
        <v>5</v>
      </c>
      <c r="Q518" s="31">
        <v>1</v>
      </c>
      <c r="R518" s="32">
        <v>5</v>
      </c>
      <c r="S518" s="121">
        <v>2</v>
      </c>
      <c r="T518" s="14">
        <v>5</v>
      </c>
      <c r="U518" s="31"/>
      <c r="V518" s="32" t="s">
        <v>1663</v>
      </c>
      <c r="W518" s="19">
        <v>48</v>
      </c>
      <c r="X518" s="19" t="s">
        <v>1664</v>
      </c>
      <c r="Y518" s="19">
        <v>5</v>
      </c>
      <c r="Z518" s="19" t="s">
        <v>1989</v>
      </c>
      <c r="AA518" s="19">
        <v>5</v>
      </c>
      <c r="AB518" s="19" t="s">
        <v>1990</v>
      </c>
    </row>
    <row r="519" spans="1:28" s="18" customFormat="1">
      <c r="A519" s="18" t="s">
        <v>1991</v>
      </c>
      <c r="B519" s="18" t="s">
        <v>1806</v>
      </c>
      <c r="C519" s="18" t="s">
        <v>1892</v>
      </c>
      <c r="D519" s="18" t="s">
        <v>1893</v>
      </c>
      <c r="E519" s="19" t="s">
        <v>1733</v>
      </c>
      <c r="F519" s="18" t="s">
        <v>13</v>
      </c>
      <c r="G519" s="29"/>
      <c r="H519" s="32" t="str">
        <f>IF(Prueba[[#This Row],[Cant.]]=0,"",IF(OR(Prueba[[#This Row],[Cant.2]]="",Prueba[[#This Row],[Puesto2]]=""),"?",Prueba[[#This Row],[Puesto2]]))</f>
        <v/>
      </c>
      <c r="I519" s="31"/>
      <c r="J519" s="32"/>
      <c r="K519" s="14"/>
      <c r="L519" s="14"/>
      <c r="M519" s="31">
        <v>1</v>
      </c>
      <c r="N519" s="32">
        <f>IF(Prueba[[#This Row],[Cant.4]]=0,"",IF(OR(Prueba[[#This Row],[Cant.6]]="",Prueba[[#This Row],[Puesto6]]=""),"?",Prueba[[#This Row],[Puesto6]]))</f>
        <v>5</v>
      </c>
      <c r="O519" s="31"/>
      <c r="P519" s="32"/>
      <c r="Q519" s="31">
        <v>1</v>
      </c>
      <c r="R519" s="32">
        <v>5</v>
      </c>
      <c r="S519" s="14"/>
      <c r="T519" s="14"/>
      <c r="U519" s="31"/>
      <c r="V519" s="32" t="s">
        <v>1663</v>
      </c>
      <c r="W519" s="19">
        <v>8</v>
      </c>
      <c r="X519" s="19" t="s">
        <v>1664</v>
      </c>
      <c r="Y519" s="19" t="s">
        <v>1663</v>
      </c>
      <c r="Z519" s="19" t="s">
        <v>1663</v>
      </c>
      <c r="AA519" s="19" t="s">
        <v>1663</v>
      </c>
      <c r="AB519" s="19" t="s">
        <v>1663</v>
      </c>
    </row>
    <row r="520" spans="1:28" s="18" customFormat="1">
      <c r="A520" s="18" t="s">
        <v>1020</v>
      </c>
      <c r="B520" s="18" t="s">
        <v>9</v>
      </c>
      <c r="C520" s="18" t="s">
        <v>1021</v>
      </c>
      <c r="D520" s="18" t="s">
        <v>1022</v>
      </c>
      <c r="E520" s="19" t="s">
        <v>790</v>
      </c>
      <c r="F520" s="18" t="s">
        <v>13</v>
      </c>
      <c r="G520" s="29"/>
      <c r="H520" s="32" t="str">
        <f>IF(Prueba[[#This Row],[Cant.]]=0,"",IF(OR(Prueba[[#This Row],[Cant.2]]="",Prueba[[#This Row],[Puesto2]]=""),"?",Prueba[[#This Row],[Puesto2]]))</f>
        <v/>
      </c>
      <c r="I520" s="31"/>
      <c r="J520" s="32"/>
      <c r="K520" s="14">
        <v>1</v>
      </c>
      <c r="L520" s="14"/>
      <c r="M520" s="31">
        <v>1</v>
      </c>
      <c r="N520" s="32">
        <f>IF(Prueba[[#This Row],[Cant.4]]=0,"",IF(OR(Prueba[[#This Row],[Cant.6]]="",Prueba[[#This Row],[Puesto6]]=""),"?",Prueba[[#This Row],[Puesto6]]))</f>
        <v>5</v>
      </c>
      <c r="O520" s="31">
        <v>1</v>
      </c>
      <c r="P520" s="32">
        <f>IF(Prueba[[#This Row],[Cant.5]]=0,"",IF(OR(Prueba[[#This Row],[Cant.6]]="",Prueba[[#This Row],[Puesto6]]=""),"?",Prueba[[#This Row],[Puesto6]]))</f>
        <v>5</v>
      </c>
      <c r="Q520" s="31">
        <v>1</v>
      </c>
      <c r="R520" s="32">
        <v>5</v>
      </c>
      <c r="S520" s="14">
        <v>1</v>
      </c>
      <c r="T520" s="14">
        <v>5</v>
      </c>
      <c r="U520" s="31"/>
      <c r="V520" s="32" t="s">
        <v>1663</v>
      </c>
      <c r="W520" s="19"/>
      <c r="X520" s="19" t="s">
        <v>1667</v>
      </c>
      <c r="Y520" s="19" t="s">
        <v>1663</v>
      </c>
      <c r="Z520" s="19" t="s">
        <v>1663</v>
      </c>
      <c r="AA520" s="19" t="s">
        <v>1663</v>
      </c>
      <c r="AB520" s="19" t="s">
        <v>1663</v>
      </c>
    </row>
    <row r="521" spans="1:28" s="18" customFormat="1">
      <c r="A521" s="18" t="s">
        <v>1992</v>
      </c>
      <c r="B521" s="18" t="s">
        <v>1806</v>
      </c>
      <c r="C521" s="18" t="s">
        <v>1807</v>
      </c>
      <c r="D521" s="18" t="s">
        <v>1988</v>
      </c>
      <c r="E521" s="19" t="s">
        <v>790</v>
      </c>
      <c r="F521" s="18" t="s">
        <v>13</v>
      </c>
      <c r="G521" s="29"/>
      <c r="H521" s="32" t="str">
        <f>IF(Prueba[[#This Row],[Cant.]]=0,"",IF(OR(Prueba[[#This Row],[Cant.2]]="",Prueba[[#This Row],[Puesto2]]=""),"?",Prueba[[#This Row],[Puesto2]]))</f>
        <v/>
      </c>
      <c r="I521" s="31"/>
      <c r="J521" s="32"/>
      <c r="K521" s="14"/>
      <c r="L521" s="14"/>
      <c r="M521" s="31">
        <v>1</v>
      </c>
      <c r="N521" s="32">
        <f>IF(Prueba[[#This Row],[Cant.4]]=0,"",IF(OR(Prueba[[#This Row],[Cant.6]]="",Prueba[[#This Row],[Puesto6]]=""),"?",Prueba[[#This Row],[Puesto6]]))</f>
        <v>5</v>
      </c>
      <c r="O521" s="31"/>
      <c r="P521" s="32" t="str">
        <f>IF(Prueba[[#This Row],[Cant.5]]=0,"",IF(OR(Prueba[[#This Row],[Cant.6]]="",Prueba[[#This Row],[Puesto6]]=""),"?",Prueba[[#This Row],[Puesto6]]))</f>
        <v/>
      </c>
      <c r="Q521" s="31">
        <v>1</v>
      </c>
      <c r="R521" s="32">
        <v>5</v>
      </c>
      <c r="S521" s="14"/>
      <c r="T521" s="14"/>
      <c r="U521" s="31"/>
      <c r="V521" s="32" t="s">
        <v>1663</v>
      </c>
      <c r="W521" s="19"/>
      <c r="X521" s="19" t="s">
        <v>1667</v>
      </c>
      <c r="Y521" s="19" t="s">
        <v>1663</v>
      </c>
      <c r="Z521" s="19" t="s">
        <v>1663</v>
      </c>
      <c r="AA521" s="19" t="s">
        <v>1663</v>
      </c>
      <c r="AB521" s="19" t="s">
        <v>1663</v>
      </c>
    </row>
    <row r="522" spans="1:28" s="18" customFormat="1">
      <c r="A522" s="18" t="s">
        <v>1023</v>
      </c>
      <c r="B522" s="18" t="s">
        <v>9</v>
      </c>
      <c r="C522" s="18" t="s">
        <v>788</v>
      </c>
      <c r="D522" s="18" t="s">
        <v>789</v>
      </c>
      <c r="E522" s="19" t="s">
        <v>790</v>
      </c>
      <c r="F522" s="18" t="s">
        <v>13</v>
      </c>
      <c r="G522" s="29"/>
      <c r="H522" s="32" t="str">
        <f>IF(Prueba[[#This Row],[Cant.]]=0,"",IF(OR(Prueba[[#This Row],[Cant.2]]="",Prueba[[#This Row],[Puesto2]]=""),"?",Prueba[[#This Row],[Puesto2]]))</f>
        <v/>
      </c>
      <c r="I522" s="31"/>
      <c r="J522" s="32"/>
      <c r="K522" s="14">
        <v>1</v>
      </c>
      <c r="L522" s="14"/>
      <c r="M522" s="31"/>
      <c r="N522" s="32" t="str">
        <f>IF(Prueba[[#This Row],[Cant.4]]=0,"",IF(OR(Prueba[[#This Row],[Cant.6]]="",Prueba[[#This Row],[Puesto6]]=""),"?",Prueba[[#This Row],[Puesto6]]))</f>
        <v/>
      </c>
      <c r="O522" s="31">
        <v>1</v>
      </c>
      <c r="P522" s="32">
        <v>5</v>
      </c>
      <c r="Q522" s="31"/>
      <c r="R522" s="32"/>
      <c r="S522" s="14"/>
      <c r="T522" s="14"/>
      <c r="U522" s="31"/>
      <c r="V522" s="32" t="s">
        <v>1663</v>
      </c>
      <c r="W522" s="19"/>
      <c r="X522" s="19" t="s">
        <v>1667</v>
      </c>
      <c r="Y522" s="19" t="s">
        <v>1663</v>
      </c>
      <c r="Z522" s="19" t="s">
        <v>1663</v>
      </c>
      <c r="AA522" s="19" t="s">
        <v>1663</v>
      </c>
      <c r="AB522" s="19" t="s">
        <v>1663</v>
      </c>
    </row>
    <row r="523" spans="1:28" s="18" customFormat="1">
      <c r="A523" s="18" t="s">
        <v>1445</v>
      </c>
      <c r="B523" s="18" t="s">
        <v>9</v>
      </c>
      <c r="C523" s="18" t="s">
        <v>1901</v>
      </c>
      <c r="D523" s="18" t="s">
        <v>1866</v>
      </c>
      <c r="E523" s="19" t="s">
        <v>1733</v>
      </c>
      <c r="F523" s="18" t="s">
        <v>13</v>
      </c>
      <c r="G523" s="29"/>
      <c r="H523" s="32" t="str">
        <f>IF(Prueba[[#This Row],[Cant.]]=0,"",IF(OR(Prueba[[#This Row],[Cant.2]]="",Prueba[[#This Row],[Puesto2]]=""),"?",Prueba[[#This Row],[Puesto2]]))</f>
        <v/>
      </c>
      <c r="I523" s="31"/>
      <c r="J523" s="32"/>
      <c r="K523" s="14"/>
      <c r="L523" s="14"/>
      <c r="M523" s="31"/>
      <c r="N523" s="32" t="str">
        <f>IF(Prueba[[#This Row],[Cant.4]]=0,"",IF(OR(Prueba[[#This Row],[Cant.6]]="",Prueba[[#This Row],[Puesto6]]=""),"?",Prueba[[#This Row],[Puesto6]]))</f>
        <v/>
      </c>
      <c r="O523" s="31"/>
      <c r="P523" s="32" t="str">
        <f>IF(Prueba[[#This Row],[Cant.5]]=0,"",IF(OR(Prueba[[#This Row],[Cant.6]]="",Prueba[[#This Row],[Puesto6]]=""),"?",Prueba[[#This Row],[Puesto6]]))</f>
        <v/>
      </c>
      <c r="Q523" s="31"/>
      <c r="R523" s="32"/>
      <c r="S523" s="14"/>
      <c r="T523" s="14"/>
      <c r="U523" s="31">
        <v>2</v>
      </c>
      <c r="V523" s="32">
        <v>6</v>
      </c>
      <c r="W523" s="19">
        <v>16</v>
      </c>
      <c r="X523" s="19" t="s">
        <v>1664</v>
      </c>
      <c r="Y523" s="19" t="s">
        <v>1663</v>
      </c>
      <c r="Z523" s="19" t="s">
        <v>1663</v>
      </c>
      <c r="AA523" s="19" t="s">
        <v>1663</v>
      </c>
      <c r="AB523" s="19" t="s">
        <v>1663</v>
      </c>
    </row>
    <row r="524" spans="1:28" s="18" customFormat="1">
      <c r="A524" s="18" t="s">
        <v>1024</v>
      </c>
      <c r="B524" s="18" t="s">
        <v>9</v>
      </c>
      <c r="C524" s="18" t="s">
        <v>1025</v>
      </c>
      <c r="D524" s="18" t="s">
        <v>1026</v>
      </c>
      <c r="E524" s="19" t="s">
        <v>39</v>
      </c>
      <c r="F524" s="18" t="s">
        <v>13</v>
      </c>
      <c r="G524" s="29"/>
      <c r="H524" s="32" t="str">
        <f>IF(Prueba[[#This Row],[Cant.]]=0,"",IF(OR(Prueba[[#This Row],[Cant.2]]="",Prueba[[#This Row],[Puesto2]]=""),"?",Prueba[[#This Row],[Puesto2]]))</f>
        <v/>
      </c>
      <c r="I524" s="31"/>
      <c r="J524" s="32"/>
      <c r="K524" s="14">
        <v>1</v>
      </c>
      <c r="L524" s="14"/>
      <c r="M524" s="31">
        <v>1</v>
      </c>
      <c r="N524" s="32">
        <f>IF(Prueba[[#This Row],[Cant.4]]=0,"",IF(OR(Prueba[[#This Row],[Cant.6]]="",Prueba[[#This Row],[Puesto6]]=""),"?",Prueba[[#This Row],[Puesto6]]))</f>
        <v>5</v>
      </c>
      <c r="O524" s="31">
        <v>1</v>
      </c>
      <c r="P524" s="32">
        <f>IF(Prueba[[#This Row],[Cant.5]]=0,"",IF(OR(Prueba[[#This Row],[Cant.6]]="",Prueba[[#This Row],[Puesto6]]=""),"?",Prueba[[#This Row],[Puesto6]]))</f>
        <v>5</v>
      </c>
      <c r="Q524" s="31">
        <v>1</v>
      </c>
      <c r="R524" s="32">
        <v>5</v>
      </c>
      <c r="S524" s="14">
        <v>1</v>
      </c>
      <c r="T524" s="14">
        <v>5</v>
      </c>
      <c r="U524" s="31"/>
      <c r="V524" s="32" t="s">
        <v>1663</v>
      </c>
      <c r="W524" s="19"/>
      <c r="X524" s="19" t="s">
        <v>1667</v>
      </c>
      <c r="Y524" s="19" t="s">
        <v>1663</v>
      </c>
      <c r="Z524" s="19" t="s">
        <v>1663</v>
      </c>
      <c r="AA524" s="19" t="s">
        <v>1663</v>
      </c>
      <c r="AB524" s="19" t="s">
        <v>1663</v>
      </c>
    </row>
    <row r="525" spans="1:28" s="18" customFormat="1">
      <c r="A525" s="18" t="s">
        <v>1027</v>
      </c>
      <c r="B525" s="18" t="s">
        <v>9</v>
      </c>
      <c r="C525" s="18" t="s">
        <v>1028</v>
      </c>
      <c r="D525" s="18" t="s">
        <v>1029</v>
      </c>
      <c r="E525" s="19" t="s">
        <v>39</v>
      </c>
      <c r="F525" s="18" t="s">
        <v>13</v>
      </c>
      <c r="G525" s="29"/>
      <c r="H525" s="32" t="str">
        <f>IF(Prueba[[#This Row],[Cant.]]=0,"",IF(OR(Prueba[[#This Row],[Cant.2]]="",Prueba[[#This Row],[Puesto2]]=""),"?",Prueba[[#This Row],[Puesto2]]))</f>
        <v/>
      </c>
      <c r="I525" s="31"/>
      <c r="J525" s="32"/>
      <c r="K525" s="14">
        <v>1</v>
      </c>
      <c r="L525" s="14"/>
      <c r="M525" s="31">
        <v>1</v>
      </c>
      <c r="N525" s="32">
        <f>IF(Prueba[[#This Row],[Cant.4]]=0,"",IF(OR(Prueba[[#This Row],[Cant.6]]="",Prueba[[#This Row],[Puesto6]]=""),"?",Prueba[[#This Row],[Puesto6]]))</f>
        <v>0</v>
      </c>
      <c r="O525" s="31">
        <v>1</v>
      </c>
      <c r="P525" s="32">
        <f>IF(Prueba[[#This Row],[Cant.5]]=0,"",IF(OR(Prueba[[#This Row],[Cant.6]]="",Prueba[[#This Row],[Puesto6]]=""),"?",Prueba[[#This Row],[Puesto6]]))</f>
        <v>0</v>
      </c>
      <c r="Q525" s="31">
        <v>1</v>
      </c>
      <c r="R525" s="32">
        <v>0</v>
      </c>
      <c r="S525" s="14">
        <v>1</v>
      </c>
      <c r="T525" s="14">
        <v>0</v>
      </c>
      <c r="U525" s="31"/>
      <c r="V525" s="32" t="s">
        <v>1663</v>
      </c>
      <c r="W525" s="19"/>
      <c r="X525" s="19" t="s">
        <v>1667</v>
      </c>
      <c r="Y525" s="19" t="s">
        <v>1663</v>
      </c>
      <c r="Z525" s="19" t="s">
        <v>1663</v>
      </c>
      <c r="AA525" s="19" t="s">
        <v>1663</v>
      </c>
      <c r="AB525" s="19" t="s">
        <v>1663</v>
      </c>
    </row>
    <row r="526" spans="1:28" s="18" customFormat="1">
      <c r="A526" s="18" t="s">
        <v>1030</v>
      </c>
      <c r="B526" s="18" t="s">
        <v>9</v>
      </c>
      <c r="C526" s="18" t="s">
        <v>1031</v>
      </c>
      <c r="D526" s="18" t="s">
        <v>1032</v>
      </c>
      <c r="E526" s="19" t="s">
        <v>18</v>
      </c>
      <c r="F526" s="18" t="s">
        <v>13</v>
      </c>
      <c r="G526" s="29"/>
      <c r="H526" s="32" t="str">
        <f>IF(Prueba[[#This Row],[Cant.]]=0,"",IF(OR(Prueba[[#This Row],[Cant.2]]="",Prueba[[#This Row],[Puesto2]]=""),"?",Prueba[[#This Row],[Puesto2]]))</f>
        <v/>
      </c>
      <c r="I526" s="31"/>
      <c r="J526" s="32"/>
      <c r="K526" s="14">
        <v>1</v>
      </c>
      <c r="L526" s="14"/>
      <c r="M526" s="31">
        <v>1</v>
      </c>
      <c r="N526" s="32">
        <f>IF(Prueba[[#This Row],[Cant.4]]=0,"",IF(OR(Prueba[[#This Row],[Cant.6]]="",Prueba[[#This Row],[Puesto6]]=""),"?",Prueba[[#This Row],[Puesto6]]))</f>
        <v>2</v>
      </c>
      <c r="O526" s="31">
        <v>1</v>
      </c>
      <c r="P526" s="32">
        <f>IF(Prueba[[#This Row],[Cant.5]]=0,"",IF(OR(Prueba[[#This Row],[Cant.6]]="",Prueba[[#This Row],[Puesto6]]=""),"?",Prueba[[#This Row],[Puesto6]]))</f>
        <v>2</v>
      </c>
      <c r="Q526" s="31">
        <v>1</v>
      </c>
      <c r="R526" s="32">
        <v>2</v>
      </c>
      <c r="S526" s="14">
        <v>1</v>
      </c>
      <c r="T526" s="14">
        <v>2</v>
      </c>
      <c r="U526" s="31"/>
      <c r="V526" s="32" t="s">
        <v>1663</v>
      </c>
      <c r="W526" s="19"/>
      <c r="X526" s="19" t="s">
        <v>1667</v>
      </c>
      <c r="Y526" s="19" t="s">
        <v>1663</v>
      </c>
      <c r="Z526" s="19" t="s">
        <v>1663</v>
      </c>
      <c r="AA526" s="19" t="s">
        <v>1663</v>
      </c>
      <c r="AB526" s="19" t="s">
        <v>1663</v>
      </c>
    </row>
    <row r="527" spans="1:28" s="18" customFormat="1">
      <c r="A527" s="18" t="s">
        <v>1033</v>
      </c>
      <c r="B527" s="18" t="s">
        <v>9</v>
      </c>
      <c r="C527" s="18" t="s">
        <v>84</v>
      </c>
      <c r="D527" s="18" t="s">
        <v>41</v>
      </c>
      <c r="E527" s="19" t="s">
        <v>39</v>
      </c>
      <c r="F527" s="18" t="s">
        <v>13</v>
      </c>
      <c r="G527" s="29"/>
      <c r="H527" s="32" t="str">
        <f>IF(Prueba[[#This Row],[Cant.]]=0,"",IF(OR(Prueba[[#This Row],[Cant.2]]="",Prueba[[#This Row],[Puesto2]]=""),"?",Prueba[[#This Row],[Puesto2]]))</f>
        <v/>
      </c>
      <c r="I527" s="31"/>
      <c r="J527" s="32"/>
      <c r="K527" s="14">
        <v>4</v>
      </c>
      <c r="L527" s="14"/>
      <c r="M527" s="31">
        <v>4</v>
      </c>
      <c r="N527" s="32">
        <f>IF(Prueba[[#This Row],[Cant.4]]=0,"",IF(OR(Prueba[[#This Row],[Cant.6]]="",Prueba[[#This Row],[Puesto6]]=""),"?",Prueba[[#This Row],[Puesto6]]))</f>
        <v>0</v>
      </c>
      <c r="O527" s="31">
        <v>2</v>
      </c>
      <c r="P527" s="32">
        <f>IF(Prueba[[#This Row],[Cant.5]]=0,"",IF(OR(Prueba[[#This Row],[Cant.6]]="",Prueba[[#This Row],[Puesto6]]=""),"?",Prueba[[#This Row],[Puesto6]]))</f>
        <v>0</v>
      </c>
      <c r="Q527" s="31">
        <v>4</v>
      </c>
      <c r="R527" s="32">
        <v>0</v>
      </c>
      <c r="S527" s="14">
        <v>4</v>
      </c>
      <c r="T527" s="14">
        <v>0</v>
      </c>
      <c r="U527" s="31">
        <v>2</v>
      </c>
      <c r="V527" s="32">
        <v>0</v>
      </c>
      <c r="W527" s="19"/>
      <c r="X527" s="19" t="s">
        <v>1667</v>
      </c>
      <c r="Y527" s="19" t="s">
        <v>1663</v>
      </c>
      <c r="Z527" s="19" t="s">
        <v>1663</v>
      </c>
      <c r="AA527" s="19" t="s">
        <v>1663</v>
      </c>
      <c r="AB527" s="19" t="s">
        <v>1663</v>
      </c>
    </row>
    <row r="528" spans="1:28" s="18" customFormat="1">
      <c r="A528" s="18" t="s">
        <v>1034</v>
      </c>
      <c r="B528" s="18" t="s">
        <v>9</v>
      </c>
      <c r="C528" s="18" t="s">
        <v>31</v>
      </c>
      <c r="D528" s="18" t="s">
        <v>1035</v>
      </c>
      <c r="E528" s="19" t="s">
        <v>18</v>
      </c>
      <c r="F528" s="18" t="s">
        <v>13</v>
      </c>
      <c r="G528" s="29"/>
      <c r="H528" s="32" t="str">
        <f>IF(Prueba[[#This Row],[Cant.]]=0,"",IF(OR(Prueba[[#This Row],[Cant.2]]="",Prueba[[#This Row],[Puesto2]]=""),"?",Prueba[[#This Row],[Puesto2]]))</f>
        <v/>
      </c>
      <c r="I528" s="31"/>
      <c r="J528" s="32"/>
      <c r="K528" s="14">
        <v>1</v>
      </c>
      <c r="L528" s="14"/>
      <c r="M528" s="31">
        <v>1</v>
      </c>
      <c r="N528" s="32">
        <f>IF(Prueba[[#This Row],[Cant.4]]=0,"",IF(OR(Prueba[[#This Row],[Cant.6]]="",Prueba[[#This Row],[Puesto6]]=""),"?",Prueba[[#This Row],[Puesto6]]))</f>
        <v>2</v>
      </c>
      <c r="O528" s="31">
        <v>1</v>
      </c>
      <c r="P528" s="32">
        <f>IF(Prueba[[#This Row],[Cant.5]]=0,"",IF(OR(Prueba[[#This Row],[Cant.6]]="",Prueba[[#This Row],[Puesto6]]=""),"?",Prueba[[#This Row],[Puesto6]]))</f>
        <v>2</v>
      </c>
      <c r="Q528" s="31">
        <v>1</v>
      </c>
      <c r="R528" s="32">
        <v>2</v>
      </c>
      <c r="S528" s="14">
        <v>1</v>
      </c>
      <c r="T528" s="14">
        <v>2</v>
      </c>
      <c r="U528" s="31"/>
      <c r="V528" s="32" t="s">
        <v>1663</v>
      </c>
      <c r="W528" s="19"/>
      <c r="X528" s="19" t="s">
        <v>1667</v>
      </c>
      <c r="Y528" s="19" t="s">
        <v>1663</v>
      </c>
      <c r="Z528" s="19" t="s">
        <v>1663</v>
      </c>
      <c r="AA528" s="19" t="s">
        <v>1663</v>
      </c>
      <c r="AB528" s="19" t="s">
        <v>1663</v>
      </c>
    </row>
    <row r="529" spans="1:28" s="18" customFormat="1">
      <c r="A529" s="18" t="s">
        <v>1036</v>
      </c>
      <c r="B529" s="18" t="s">
        <v>9</v>
      </c>
      <c r="C529" s="18" t="s">
        <v>1037</v>
      </c>
      <c r="D529" s="18" t="s">
        <v>1035</v>
      </c>
      <c r="E529" s="19" t="s">
        <v>18</v>
      </c>
      <c r="F529" s="18" t="s">
        <v>13</v>
      </c>
      <c r="G529" s="29"/>
      <c r="H529" s="32" t="str">
        <f>IF(Prueba[[#This Row],[Cant.]]=0,"",IF(OR(Prueba[[#This Row],[Cant.2]]="",Prueba[[#This Row],[Puesto2]]=""),"?",Prueba[[#This Row],[Puesto2]]))</f>
        <v/>
      </c>
      <c r="I529" s="31"/>
      <c r="J529" s="32"/>
      <c r="K529" s="14">
        <v>1</v>
      </c>
      <c r="L529" s="14"/>
      <c r="M529" s="31">
        <v>1</v>
      </c>
      <c r="N529" s="32">
        <f>IF(Prueba[[#This Row],[Cant.4]]=0,"",IF(OR(Prueba[[#This Row],[Cant.6]]="",Prueba[[#This Row],[Puesto6]]=""),"?",Prueba[[#This Row],[Puesto6]]))</f>
        <v>2</v>
      </c>
      <c r="O529" s="31">
        <v>1</v>
      </c>
      <c r="P529" s="32">
        <f>IF(Prueba[[#This Row],[Cant.5]]=0,"",IF(OR(Prueba[[#This Row],[Cant.6]]="",Prueba[[#This Row],[Puesto6]]=""),"?",Prueba[[#This Row],[Puesto6]]))</f>
        <v>2</v>
      </c>
      <c r="Q529" s="31">
        <v>1</v>
      </c>
      <c r="R529" s="32">
        <v>2</v>
      </c>
      <c r="S529" s="14">
        <v>1</v>
      </c>
      <c r="T529" s="14">
        <v>2</v>
      </c>
      <c r="U529" s="31"/>
      <c r="V529" s="32" t="s">
        <v>1663</v>
      </c>
      <c r="W529" s="19"/>
      <c r="X529" s="19" t="s">
        <v>1667</v>
      </c>
      <c r="Y529" s="19" t="s">
        <v>1663</v>
      </c>
      <c r="Z529" s="19" t="s">
        <v>1663</v>
      </c>
      <c r="AA529" s="19" t="s">
        <v>1663</v>
      </c>
      <c r="AB529" s="19" t="s">
        <v>1663</v>
      </c>
    </row>
    <row r="530" spans="1:28" s="18" customFormat="1">
      <c r="A530" s="18" t="s">
        <v>1038</v>
      </c>
      <c r="B530" s="18" t="s">
        <v>9</v>
      </c>
      <c r="C530" s="18" t="s">
        <v>955</v>
      </c>
      <c r="D530" s="18" t="s">
        <v>41</v>
      </c>
      <c r="E530" s="19" t="s">
        <v>18</v>
      </c>
      <c r="F530" s="18" t="s">
        <v>13</v>
      </c>
      <c r="G530" s="29"/>
      <c r="H530" s="32" t="str">
        <f>IF(Prueba[[#This Row],[Cant.]]=0,"",IF(OR(Prueba[[#This Row],[Cant.2]]="",Prueba[[#This Row],[Puesto2]]=""),"?",Prueba[[#This Row],[Puesto2]]))</f>
        <v/>
      </c>
      <c r="I530" s="31"/>
      <c r="J530" s="32"/>
      <c r="K530" s="14">
        <v>1</v>
      </c>
      <c r="L530" s="14"/>
      <c r="M530" s="31">
        <v>1</v>
      </c>
      <c r="N530" s="32">
        <f>IF(Prueba[[#This Row],[Cant.4]]=0,"",IF(OR(Prueba[[#This Row],[Cant.6]]="",Prueba[[#This Row],[Puesto6]]=""),"?",Prueba[[#This Row],[Puesto6]]))</f>
        <v>0</v>
      </c>
      <c r="O530" s="31">
        <v>1</v>
      </c>
      <c r="P530" s="32">
        <f>IF(Prueba[[#This Row],[Cant.5]]=0,"",IF(OR(Prueba[[#This Row],[Cant.6]]="",Prueba[[#This Row],[Puesto6]]=""),"?",Prueba[[#This Row],[Puesto6]]))</f>
        <v>0</v>
      </c>
      <c r="Q530" s="31">
        <v>1</v>
      </c>
      <c r="R530" s="32">
        <v>0</v>
      </c>
      <c r="S530" s="14">
        <v>1</v>
      </c>
      <c r="T530" s="14">
        <v>0</v>
      </c>
      <c r="U530" s="31"/>
      <c r="V530" s="32" t="s">
        <v>1663</v>
      </c>
      <c r="W530" s="19"/>
      <c r="X530" s="19" t="s">
        <v>1667</v>
      </c>
      <c r="Y530" s="19" t="s">
        <v>1663</v>
      </c>
      <c r="Z530" s="19" t="s">
        <v>1663</v>
      </c>
      <c r="AA530" s="19" t="s">
        <v>1663</v>
      </c>
      <c r="AB530" s="19" t="s">
        <v>1663</v>
      </c>
    </row>
    <row r="531" spans="1:28" s="18" customFormat="1">
      <c r="A531" s="18" t="s">
        <v>1039</v>
      </c>
      <c r="B531" s="18" t="s">
        <v>9</v>
      </c>
      <c r="C531" s="18" t="s">
        <v>21</v>
      </c>
      <c r="D531" s="18" t="s">
        <v>21</v>
      </c>
      <c r="E531" s="19" t="s">
        <v>22</v>
      </c>
      <c r="F531" s="18" t="s">
        <v>13</v>
      </c>
      <c r="G531" s="29"/>
      <c r="H531" s="32" t="str">
        <f>IF(Prueba[[#This Row],[Cant.]]=0,"",IF(OR(Prueba[[#This Row],[Cant.2]]="",Prueba[[#This Row],[Puesto2]]=""),"?",Prueba[[#This Row],[Puesto2]]))</f>
        <v/>
      </c>
      <c r="I531" s="31"/>
      <c r="J531" s="32"/>
      <c r="K531" s="14">
        <v>1</v>
      </c>
      <c r="L531" s="14"/>
      <c r="M531" s="31">
        <v>1</v>
      </c>
      <c r="N531" s="32">
        <f>IF(Prueba[[#This Row],[Cant.4]]=0,"",IF(OR(Prueba[[#This Row],[Cant.6]]="",Prueba[[#This Row],[Puesto6]]=""),"?",Prueba[[#This Row],[Puesto6]]))</f>
        <v>3</v>
      </c>
      <c r="O531" s="31">
        <v>1</v>
      </c>
      <c r="P531" s="32">
        <f>IF(Prueba[[#This Row],[Cant.5]]=0,"",IF(OR(Prueba[[#This Row],[Cant.6]]="",Prueba[[#This Row],[Puesto6]]=""),"?",Prueba[[#This Row],[Puesto6]]))</f>
        <v>3</v>
      </c>
      <c r="Q531" s="31">
        <v>1</v>
      </c>
      <c r="R531" s="32">
        <v>3</v>
      </c>
      <c r="S531" s="14">
        <v>1</v>
      </c>
      <c r="T531" s="14">
        <v>3</v>
      </c>
      <c r="U531" s="31"/>
      <c r="V531" s="32" t="s">
        <v>1663</v>
      </c>
      <c r="W531" s="19">
        <v>8</v>
      </c>
      <c r="X531" s="19" t="s">
        <v>1664</v>
      </c>
      <c r="Y531" s="19" t="s">
        <v>1663</v>
      </c>
      <c r="Z531" s="19" t="s">
        <v>1663</v>
      </c>
      <c r="AA531" s="19" t="s">
        <v>1663</v>
      </c>
      <c r="AB531" s="19" t="s">
        <v>1663</v>
      </c>
    </row>
    <row r="532" spans="1:28" s="18" customFormat="1">
      <c r="A532" s="18" t="s">
        <v>1040</v>
      </c>
      <c r="B532" s="18" t="s">
        <v>9</v>
      </c>
      <c r="C532" s="18" t="s">
        <v>20</v>
      </c>
      <c r="D532" s="18" t="s">
        <v>21</v>
      </c>
      <c r="E532" s="19" t="s">
        <v>22</v>
      </c>
      <c r="F532" s="18" t="s">
        <v>13</v>
      </c>
      <c r="G532" s="29"/>
      <c r="H532" s="32" t="str">
        <f>IF(Prueba[[#This Row],[Cant.]]=0,"",IF(OR(Prueba[[#This Row],[Cant.2]]="",Prueba[[#This Row],[Puesto2]]=""),"?",Prueba[[#This Row],[Puesto2]]))</f>
        <v/>
      </c>
      <c r="I532" s="31"/>
      <c r="J532" s="32"/>
      <c r="K532" s="14">
        <v>1</v>
      </c>
      <c r="L532" s="14"/>
      <c r="M532" s="31">
        <v>1</v>
      </c>
      <c r="N532" s="32">
        <f>IF(Prueba[[#This Row],[Cant.4]]=0,"",IF(OR(Prueba[[#This Row],[Cant.6]]="",Prueba[[#This Row],[Puesto6]]=""),"?",Prueba[[#This Row],[Puesto6]]))</f>
        <v>3</v>
      </c>
      <c r="O532" s="31">
        <v>1</v>
      </c>
      <c r="P532" s="32">
        <f>IF(Prueba[[#This Row],[Cant.5]]=0,"",IF(OR(Prueba[[#This Row],[Cant.6]]="",Prueba[[#This Row],[Puesto6]]=""),"?",Prueba[[#This Row],[Puesto6]]))</f>
        <v>3</v>
      </c>
      <c r="Q532" s="31">
        <v>1</v>
      </c>
      <c r="R532" s="32">
        <v>3</v>
      </c>
      <c r="S532" s="14">
        <v>1</v>
      </c>
      <c r="T532" s="14">
        <v>3</v>
      </c>
      <c r="U532" s="31"/>
      <c r="V532" s="32" t="s">
        <v>1663</v>
      </c>
      <c r="W532" s="19">
        <v>8</v>
      </c>
      <c r="X532" s="19" t="s">
        <v>1664</v>
      </c>
      <c r="Y532" s="19" t="s">
        <v>1663</v>
      </c>
      <c r="Z532" s="19" t="s">
        <v>1663</v>
      </c>
      <c r="AA532" s="19" t="s">
        <v>1663</v>
      </c>
      <c r="AB532" s="19" t="s">
        <v>1663</v>
      </c>
    </row>
    <row r="533" spans="1:28" s="18" customFormat="1">
      <c r="A533" s="18" t="s">
        <v>1446</v>
      </c>
      <c r="B533" s="18" t="s">
        <v>9</v>
      </c>
      <c r="C533" s="18" t="s">
        <v>1901</v>
      </c>
      <c r="D533" s="18" t="s">
        <v>1866</v>
      </c>
      <c r="E533" s="19" t="s">
        <v>1815</v>
      </c>
      <c r="F533" s="18" t="s">
        <v>13</v>
      </c>
      <c r="G533" s="29"/>
      <c r="H533" s="32" t="str">
        <f>IF(Prueba[[#This Row],[Cant.]]=0,"",IF(OR(Prueba[[#This Row],[Cant.2]]="",Prueba[[#This Row],[Puesto2]]=""),"?",Prueba[[#This Row],[Puesto2]]))</f>
        <v/>
      </c>
      <c r="I533" s="31"/>
      <c r="J533" s="32"/>
      <c r="K533" s="14"/>
      <c r="L533" s="14"/>
      <c r="M533" s="31"/>
      <c r="N533" s="32" t="str">
        <f>IF(Prueba[[#This Row],[Cant.4]]=0,"",IF(OR(Prueba[[#This Row],[Cant.6]]="",Prueba[[#This Row],[Puesto6]]=""),"?",Prueba[[#This Row],[Puesto6]]))</f>
        <v/>
      </c>
      <c r="O533" s="31"/>
      <c r="P533" s="32" t="str">
        <f>IF(Prueba[[#This Row],[Cant.5]]=0,"",IF(OR(Prueba[[#This Row],[Cant.6]]="",Prueba[[#This Row],[Puesto6]]=""),"?",Prueba[[#This Row],[Puesto6]]))</f>
        <v/>
      </c>
      <c r="Q533" s="31"/>
      <c r="R533" s="32"/>
      <c r="S533" s="14"/>
      <c r="T533" s="14"/>
      <c r="U533" s="31">
        <v>1</v>
      </c>
      <c r="V533" s="32">
        <v>3</v>
      </c>
      <c r="W533" s="19"/>
      <c r="X533" s="19" t="s">
        <v>1667</v>
      </c>
      <c r="Y533" s="19" t="s">
        <v>1663</v>
      </c>
      <c r="Z533" s="19" t="s">
        <v>1663</v>
      </c>
      <c r="AA533" s="19" t="s">
        <v>1663</v>
      </c>
      <c r="AB533" s="19" t="s">
        <v>1663</v>
      </c>
    </row>
    <row r="534" spans="1:28" s="18" customFormat="1">
      <c r="A534" s="18" t="s">
        <v>1041</v>
      </c>
      <c r="B534" s="18" t="s">
        <v>9</v>
      </c>
      <c r="C534" s="18" t="s">
        <v>1042</v>
      </c>
      <c r="D534" s="18" t="s">
        <v>1043</v>
      </c>
      <c r="E534" s="19" t="s">
        <v>39</v>
      </c>
      <c r="F534" s="18" t="s">
        <v>13</v>
      </c>
      <c r="G534" s="29"/>
      <c r="H534" s="32" t="str">
        <f>IF(Prueba[[#This Row],[Cant.]]=0,"",IF(OR(Prueba[[#This Row],[Cant.2]]="",Prueba[[#This Row],[Puesto2]]=""),"?",Prueba[[#This Row],[Puesto2]]))</f>
        <v/>
      </c>
      <c r="I534" s="31"/>
      <c r="J534" s="32"/>
      <c r="K534" s="14">
        <v>1</v>
      </c>
      <c r="L534" s="14"/>
      <c r="M534" s="31">
        <v>1</v>
      </c>
      <c r="N534" s="32">
        <f>IF(Prueba[[#This Row],[Cant.4]]=0,"",IF(OR(Prueba[[#This Row],[Cant.6]]="",Prueba[[#This Row],[Puesto6]]=""),"?",Prueba[[#This Row],[Puesto6]]))</f>
        <v>3</v>
      </c>
      <c r="O534" s="31">
        <v>1</v>
      </c>
      <c r="P534" s="32">
        <f>IF(Prueba[[#This Row],[Cant.5]]=0,"",IF(OR(Prueba[[#This Row],[Cant.6]]="",Prueba[[#This Row],[Puesto6]]=""),"?",Prueba[[#This Row],[Puesto6]]))</f>
        <v>3</v>
      </c>
      <c r="Q534" s="31">
        <v>1</v>
      </c>
      <c r="R534" s="32">
        <v>3</v>
      </c>
      <c r="S534" s="14">
        <v>1</v>
      </c>
      <c r="T534" s="14">
        <v>3</v>
      </c>
      <c r="U534" s="31"/>
      <c r="V534" s="32" t="s">
        <v>1663</v>
      </c>
      <c r="W534" s="19"/>
      <c r="X534" s="19" t="s">
        <v>1667</v>
      </c>
      <c r="Y534" s="19" t="s">
        <v>1663</v>
      </c>
      <c r="Z534" s="19" t="s">
        <v>1663</v>
      </c>
      <c r="AA534" s="19" t="s">
        <v>1663</v>
      </c>
      <c r="AB534" s="19" t="s">
        <v>1663</v>
      </c>
    </row>
    <row r="535" spans="1:28" s="18" customFormat="1">
      <c r="A535" s="18" t="s">
        <v>1044</v>
      </c>
      <c r="B535" s="18" t="s">
        <v>9</v>
      </c>
      <c r="C535" s="18" t="s">
        <v>84</v>
      </c>
      <c r="D535" s="18" t="s">
        <v>41</v>
      </c>
      <c r="E535" s="19" t="s">
        <v>39</v>
      </c>
      <c r="F535" s="18" t="s">
        <v>13</v>
      </c>
      <c r="G535" s="29"/>
      <c r="H535" s="32" t="str">
        <f>IF(Prueba[[#This Row],[Cant.]]=0,"",IF(OR(Prueba[[#This Row],[Cant.2]]="",Prueba[[#This Row],[Puesto2]]=""),"?",Prueba[[#This Row],[Puesto2]]))</f>
        <v/>
      </c>
      <c r="I535" s="31"/>
      <c r="J535" s="32"/>
      <c r="K535" s="14">
        <v>1</v>
      </c>
      <c r="L535" s="14"/>
      <c r="M535" s="31">
        <v>1</v>
      </c>
      <c r="N535" s="32">
        <f>IF(Prueba[[#This Row],[Cant.4]]=0,"",IF(OR(Prueba[[#This Row],[Cant.6]]="",Prueba[[#This Row],[Puesto6]]=""),"?",Prueba[[#This Row],[Puesto6]]))</f>
        <v>0</v>
      </c>
      <c r="O535" s="31">
        <v>1</v>
      </c>
      <c r="P535" s="32">
        <f>IF(Prueba[[#This Row],[Cant.5]]=0,"",IF(OR(Prueba[[#This Row],[Cant.6]]="",Prueba[[#This Row],[Puesto6]]=""),"?",Prueba[[#This Row],[Puesto6]]))</f>
        <v>0</v>
      </c>
      <c r="Q535" s="31">
        <v>1</v>
      </c>
      <c r="R535" s="32">
        <v>0</v>
      </c>
      <c r="S535" s="14">
        <v>1</v>
      </c>
      <c r="T535" s="14">
        <v>0</v>
      </c>
      <c r="U535" s="31"/>
      <c r="V535" s="32" t="s">
        <v>1663</v>
      </c>
      <c r="W535" s="19"/>
      <c r="X535" s="19" t="s">
        <v>1667</v>
      </c>
      <c r="Y535" s="19" t="s">
        <v>1663</v>
      </c>
      <c r="Z535" s="19" t="s">
        <v>1663</v>
      </c>
      <c r="AA535" s="19" t="s">
        <v>1663</v>
      </c>
      <c r="AB535" s="19" t="s">
        <v>1663</v>
      </c>
    </row>
    <row r="536" spans="1:28" s="18" customFormat="1">
      <c r="A536" s="18" t="s">
        <v>1993</v>
      </c>
      <c r="B536" s="18" t="s">
        <v>1806</v>
      </c>
      <c r="C536" s="18" t="s">
        <v>1903</v>
      </c>
      <c r="D536" s="18" t="s">
        <v>1890</v>
      </c>
      <c r="E536" s="19" t="s">
        <v>1340</v>
      </c>
      <c r="F536" s="18" t="s">
        <v>13</v>
      </c>
      <c r="G536" s="29"/>
      <c r="H536" s="32" t="str">
        <f>IF(Prueba[[#This Row],[Cant.]]=0,"",IF(OR(Prueba[[#This Row],[Cant.2]]="",Prueba[[#This Row],[Puesto2]]=""),"?",Prueba[[#This Row],[Puesto2]]))</f>
        <v/>
      </c>
      <c r="I536" s="31"/>
      <c r="J536" s="32"/>
      <c r="K536" s="14"/>
      <c r="L536" s="14"/>
      <c r="M536" s="31">
        <v>1</v>
      </c>
      <c r="N536" s="32">
        <v>3</v>
      </c>
      <c r="O536" s="31"/>
      <c r="P536" s="32" t="str">
        <f>IF(Prueba[[#This Row],[Cant.5]]=0,"",IF(OR(Prueba[[#This Row],[Cant.6]]="",Prueba[[#This Row],[Puesto6]]=""),"?",Prueba[[#This Row],[Puesto6]]))</f>
        <v/>
      </c>
      <c r="Q536" s="31"/>
      <c r="R536" s="32"/>
      <c r="S536" s="14"/>
      <c r="T536" s="14"/>
      <c r="U536" s="31"/>
      <c r="V536" s="32" t="s">
        <v>1663</v>
      </c>
      <c r="W536" s="19"/>
      <c r="X536" s="19" t="s">
        <v>1667</v>
      </c>
      <c r="Y536" s="19" t="s">
        <v>1663</v>
      </c>
      <c r="Z536" s="19" t="s">
        <v>1663</v>
      </c>
      <c r="AA536" s="19" t="s">
        <v>1663</v>
      </c>
      <c r="AB536" s="19" t="s">
        <v>1663</v>
      </c>
    </row>
    <row r="537" spans="1:28" s="18" customFormat="1">
      <c r="A537" s="18" t="s">
        <v>1994</v>
      </c>
      <c r="B537" s="18" t="s">
        <v>9</v>
      </c>
      <c r="C537" s="18" t="s">
        <v>1903</v>
      </c>
      <c r="D537" s="18" t="s">
        <v>1890</v>
      </c>
      <c r="E537" s="19" t="s">
        <v>1340</v>
      </c>
      <c r="F537" s="18" t="s">
        <v>13</v>
      </c>
      <c r="G537" s="29"/>
      <c r="H537" s="32" t="str">
        <f>IF(Prueba[[#This Row],[Cant.]]=0,"",IF(OR(Prueba[[#This Row],[Cant.2]]="",Prueba[[#This Row],[Puesto2]]=""),"?",Prueba[[#This Row],[Puesto2]]))</f>
        <v/>
      </c>
      <c r="I537" s="31"/>
      <c r="J537" s="32"/>
      <c r="K537" s="14"/>
      <c r="L537" s="14"/>
      <c r="M537" s="31"/>
      <c r="N537" s="32" t="str">
        <f>IF(Prueba[[#This Row],[Cant.4]]=0,"",IF(OR(Prueba[[#This Row],[Cant.6]]="",Prueba[[#This Row],[Puesto6]]=""),"?",Prueba[[#This Row],[Puesto6]]))</f>
        <v/>
      </c>
      <c r="O537" s="31"/>
      <c r="P537" s="32" t="str">
        <f>IF(Prueba[[#This Row],[Cant.5]]=0,"",IF(OR(Prueba[[#This Row],[Cant.6]]="",Prueba[[#This Row],[Puesto6]]=""),"?",Prueba[[#This Row],[Puesto6]]))</f>
        <v/>
      </c>
      <c r="Q537" s="31">
        <v>1</v>
      </c>
      <c r="R537" s="32">
        <v>5</v>
      </c>
      <c r="S537" s="14"/>
      <c r="T537" s="14"/>
      <c r="U537" s="31"/>
      <c r="V537" s="32" t="s">
        <v>1663</v>
      </c>
      <c r="W537" s="19"/>
      <c r="X537" s="19" t="s">
        <v>1667</v>
      </c>
      <c r="Y537" s="19" t="s">
        <v>1663</v>
      </c>
      <c r="Z537" s="19" t="s">
        <v>1663</v>
      </c>
      <c r="AA537" s="19" t="s">
        <v>1663</v>
      </c>
      <c r="AB537" s="19" t="s">
        <v>1663</v>
      </c>
    </row>
    <row r="538" spans="1:28" s="18" customFormat="1">
      <c r="A538" s="18" t="s">
        <v>1045</v>
      </c>
      <c r="B538" s="18" t="s">
        <v>9</v>
      </c>
      <c r="C538" s="18" t="s">
        <v>1046</v>
      </c>
      <c r="D538" s="18" t="s">
        <v>59</v>
      </c>
      <c r="E538" s="19" t="s">
        <v>1047</v>
      </c>
      <c r="F538" s="18" t="s">
        <v>13</v>
      </c>
      <c r="G538" s="29"/>
      <c r="H538" s="32" t="str">
        <f>IF(Prueba[[#This Row],[Cant.]]=0,"",IF(OR(Prueba[[#This Row],[Cant.2]]="",Prueba[[#This Row],[Puesto2]]=""),"?",Prueba[[#This Row],[Puesto2]]))</f>
        <v/>
      </c>
      <c r="I538" s="31"/>
      <c r="J538" s="32"/>
      <c r="K538" s="14">
        <v>1</v>
      </c>
      <c r="L538" s="14"/>
      <c r="M538" s="31">
        <v>1</v>
      </c>
      <c r="N538" s="32" t="str">
        <f>IF(Prueba[[#This Row],[Cant.4]]=0,"",IF(OR(Prueba[[#This Row],[Cant.6]]="",Prueba[[#This Row],[Puesto6]]=""),"?",Prueba[[#This Row],[Puesto6]]))</f>
        <v>B</v>
      </c>
      <c r="O538" s="31">
        <v>1</v>
      </c>
      <c r="P538" s="32" t="str">
        <f>IF(Prueba[[#This Row],[Cant.5]]=0,"",IF(OR(Prueba[[#This Row],[Cant.6]]="",Prueba[[#This Row],[Puesto6]]=""),"?",Prueba[[#This Row],[Puesto6]]))</f>
        <v>B</v>
      </c>
      <c r="Q538" s="31">
        <v>1</v>
      </c>
      <c r="R538" s="32" t="s">
        <v>1447</v>
      </c>
      <c r="S538" s="14">
        <v>1</v>
      </c>
      <c r="T538" s="14" t="s">
        <v>1447</v>
      </c>
      <c r="U538" s="31"/>
      <c r="V538" s="32" t="s">
        <v>1663</v>
      </c>
      <c r="W538" s="19"/>
      <c r="X538" s="19" t="s">
        <v>1667</v>
      </c>
      <c r="Y538" s="19" t="s">
        <v>1663</v>
      </c>
      <c r="Z538" s="19" t="s">
        <v>1663</v>
      </c>
      <c r="AA538" s="19" t="s">
        <v>1663</v>
      </c>
      <c r="AB538" s="19" t="s">
        <v>1663</v>
      </c>
    </row>
    <row r="539" spans="1:28" s="18" customFormat="1">
      <c r="A539" s="18" t="s">
        <v>1048</v>
      </c>
      <c r="B539" s="18" t="s">
        <v>9</v>
      </c>
      <c r="C539" s="18" t="s">
        <v>241</v>
      </c>
      <c r="D539" s="18" t="s">
        <v>1049</v>
      </c>
      <c r="E539" s="19" t="s">
        <v>22</v>
      </c>
      <c r="F539" s="18" t="s">
        <v>13</v>
      </c>
      <c r="G539" s="29"/>
      <c r="H539" s="32" t="str">
        <f>IF(Prueba[[#This Row],[Cant.]]=0,"",IF(OR(Prueba[[#This Row],[Cant.2]]="",Prueba[[#This Row],[Puesto2]]=""),"?",Prueba[[#This Row],[Puesto2]]))</f>
        <v/>
      </c>
      <c r="I539" s="31"/>
      <c r="J539" s="32"/>
      <c r="K539" s="14">
        <v>7</v>
      </c>
      <c r="L539" s="14"/>
      <c r="M539" s="31">
        <v>7</v>
      </c>
      <c r="N539" s="32">
        <f>IF(Prueba[[#This Row],[Cant.4]]=0,"",IF(OR(Prueba[[#This Row],[Cant.6]]="",Prueba[[#This Row],[Puesto6]]=""),"?",Prueba[[#This Row],[Puesto6]]))</f>
        <v>3</v>
      </c>
      <c r="O539" s="31">
        <v>7</v>
      </c>
      <c r="P539" s="32">
        <f>IF(Prueba[[#This Row],[Cant.5]]=0,"",IF(OR(Prueba[[#This Row],[Cant.6]]="",Prueba[[#This Row],[Puesto6]]=""),"?",Prueba[[#This Row],[Puesto6]]))</f>
        <v>3</v>
      </c>
      <c r="Q539" s="31">
        <v>7</v>
      </c>
      <c r="R539" s="32">
        <v>3</v>
      </c>
      <c r="S539" s="14">
        <v>3</v>
      </c>
      <c r="T539" s="14">
        <v>3</v>
      </c>
      <c r="U539" s="31"/>
      <c r="V539" s="32" t="s">
        <v>1663</v>
      </c>
      <c r="W539" s="19">
        <v>56</v>
      </c>
      <c r="X539" s="19" t="s">
        <v>1664</v>
      </c>
      <c r="Y539" s="19" t="s">
        <v>1663</v>
      </c>
      <c r="Z539" s="19" t="s">
        <v>1663</v>
      </c>
      <c r="AA539" s="19" t="s">
        <v>1663</v>
      </c>
      <c r="AB539" s="19" t="s">
        <v>1663</v>
      </c>
    </row>
    <row r="540" spans="1:28" s="18" customFormat="1">
      <c r="A540" s="18" t="s">
        <v>1050</v>
      </c>
      <c r="B540" s="18" t="s">
        <v>9</v>
      </c>
      <c r="C540" s="18" t="s">
        <v>150</v>
      </c>
      <c r="D540" s="18" t="s">
        <v>1051</v>
      </c>
      <c r="E540" s="19" t="s">
        <v>39</v>
      </c>
      <c r="F540" s="18" t="s">
        <v>13</v>
      </c>
      <c r="G540" s="29"/>
      <c r="H540" s="32" t="str">
        <f>IF(Prueba[[#This Row],[Cant.]]=0,"",IF(OR(Prueba[[#This Row],[Cant.2]]="",Prueba[[#This Row],[Puesto2]]=""),"?",Prueba[[#This Row],[Puesto2]]))</f>
        <v/>
      </c>
      <c r="I540" s="31"/>
      <c r="J540" s="32"/>
      <c r="K540" s="14">
        <v>1</v>
      </c>
      <c r="L540" s="14"/>
      <c r="M540" s="31">
        <v>1</v>
      </c>
      <c r="N540" s="32" t="str">
        <f>IF(Prueba[[#This Row],[Cant.4]]=0,"",IF(OR(Prueba[[#This Row],[Cant.6]]="",Prueba[[#This Row],[Puesto6]]=""),"?",Prueba[[#This Row],[Puesto6]]))</f>
        <v>B</v>
      </c>
      <c r="O540" s="31">
        <v>1</v>
      </c>
      <c r="P540" s="32" t="str">
        <f>IF(Prueba[[#This Row],[Cant.5]]=0,"",IF(OR(Prueba[[#This Row],[Cant.6]]="",Prueba[[#This Row],[Puesto6]]=""),"?",Prueba[[#This Row],[Puesto6]]))</f>
        <v>B</v>
      </c>
      <c r="Q540" s="31">
        <v>1</v>
      </c>
      <c r="R540" s="32" t="s">
        <v>1447</v>
      </c>
      <c r="S540" s="14">
        <v>1</v>
      </c>
      <c r="T540" s="14" t="s">
        <v>1447</v>
      </c>
      <c r="U540" s="31"/>
      <c r="V540" s="32" t="s">
        <v>1663</v>
      </c>
      <c r="W540" s="19"/>
      <c r="X540" s="19" t="s">
        <v>1667</v>
      </c>
      <c r="Y540" s="19" t="s">
        <v>1663</v>
      </c>
      <c r="Z540" s="19" t="s">
        <v>1663</v>
      </c>
      <c r="AA540" s="19" t="s">
        <v>1663</v>
      </c>
      <c r="AB540" s="19" t="s">
        <v>1663</v>
      </c>
    </row>
    <row r="541" spans="1:28" s="18" customFormat="1">
      <c r="A541" s="18" t="s">
        <v>1052</v>
      </c>
      <c r="B541" s="18" t="s">
        <v>9</v>
      </c>
      <c r="C541" s="18" t="s">
        <v>84</v>
      </c>
      <c r="D541" s="18" t="s">
        <v>41</v>
      </c>
      <c r="E541" s="19" t="s">
        <v>39</v>
      </c>
      <c r="F541" s="18" t="s">
        <v>13</v>
      </c>
      <c r="G541" s="29"/>
      <c r="H541" s="32" t="str">
        <f>IF(Prueba[[#This Row],[Cant.]]=0,"",IF(OR(Prueba[[#This Row],[Cant.2]]="",Prueba[[#This Row],[Puesto2]]=""),"?",Prueba[[#This Row],[Puesto2]]))</f>
        <v/>
      </c>
      <c r="I541" s="31"/>
      <c r="J541" s="32"/>
      <c r="K541" s="14">
        <v>2</v>
      </c>
      <c r="L541" s="14"/>
      <c r="M541" s="31">
        <v>2</v>
      </c>
      <c r="N541" s="32" t="str">
        <f>IF(Prueba[[#This Row],[Cant.4]]=0,"",IF(OR(Prueba[[#This Row],[Cant.6]]="",Prueba[[#This Row],[Puesto6]]=""),"?",Prueba[[#This Row],[Puesto6]]))</f>
        <v>B</v>
      </c>
      <c r="O541" s="31">
        <v>2</v>
      </c>
      <c r="P541" s="32" t="str">
        <f>IF(Prueba[[#This Row],[Cant.5]]=0,"",IF(OR(Prueba[[#This Row],[Cant.6]]="",Prueba[[#This Row],[Puesto6]]=""),"?",Prueba[[#This Row],[Puesto6]]))</f>
        <v>B</v>
      </c>
      <c r="Q541" s="31">
        <v>2</v>
      </c>
      <c r="R541" s="32" t="s">
        <v>1447</v>
      </c>
      <c r="S541" s="14">
        <v>2</v>
      </c>
      <c r="T541" s="14" t="s">
        <v>1447</v>
      </c>
      <c r="U541" s="31">
        <v>2</v>
      </c>
      <c r="V541" s="32" t="s">
        <v>1447</v>
      </c>
      <c r="W541" s="19"/>
      <c r="X541" s="19" t="s">
        <v>1667</v>
      </c>
      <c r="Y541" s="19" t="s">
        <v>1663</v>
      </c>
      <c r="Z541" s="19" t="s">
        <v>1663</v>
      </c>
      <c r="AA541" s="19" t="s">
        <v>1663</v>
      </c>
      <c r="AB541" s="19" t="s">
        <v>1663</v>
      </c>
    </row>
    <row r="542" spans="1:28" s="18" customFormat="1" ht="15.6">
      <c r="A542" s="18" t="s">
        <v>1995</v>
      </c>
      <c r="B542" s="18" t="s">
        <v>9</v>
      </c>
      <c r="C542" s="18" t="s">
        <v>1996</v>
      </c>
      <c r="D542" s="18" t="s">
        <v>1997</v>
      </c>
      <c r="E542" s="92" t="s">
        <v>39</v>
      </c>
      <c r="F542" s="18" t="s">
        <v>13</v>
      </c>
      <c r="G542" s="29"/>
      <c r="H542" s="32" t="str">
        <f>IF(Prueba[[#This Row],[Cant.]]=0,"",IF(OR(Prueba[[#This Row],[Cant.2]]="",Prueba[[#This Row],[Puesto2]]=""),"?",Prueba[[#This Row],[Puesto2]]))</f>
        <v/>
      </c>
      <c r="I542" s="31"/>
      <c r="J542" s="32"/>
      <c r="K542" s="14"/>
      <c r="L542" s="14"/>
      <c r="M542" s="31"/>
      <c r="N542" s="32" t="str">
        <f>IF(Prueba[[#This Row],[Cant.4]]=0,"",IF(OR(Prueba[[#This Row],[Cant.6]]="",Prueba[[#This Row],[Puesto6]]=""),"?",Prueba[[#This Row],[Puesto6]]))</f>
        <v/>
      </c>
      <c r="O542" s="31"/>
      <c r="P542" s="32" t="str">
        <f>IF(Prueba[[#This Row],[Cant.5]]=0,"",IF(OR(Prueba[[#This Row],[Cant.6]]="",Prueba[[#This Row],[Puesto6]]=""),"?",Prueba[[#This Row],[Puesto6]]))</f>
        <v/>
      </c>
      <c r="Q542" s="31"/>
      <c r="R542" s="32"/>
      <c r="S542" s="14">
        <v>1</v>
      </c>
      <c r="T542" s="14" t="s">
        <v>1447</v>
      </c>
      <c r="U542" s="31"/>
      <c r="V542" s="32" t="s">
        <v>1663</v>
      </c>
      <c r="W542" s="19"/>
      <c r="X542" s="19" t="s">
        <v>1667</v>
      </c>
      <c r="Y542" s="19" t="s">
        <v>1663</v>
      </c>
      <c r="Z542" s="19" t="s">
        <v>1663</v>
      </c>
      <c r="AA542" s="19" t="s">
        <v>1663</v>
      </c>
      <c r="AB542" s="19" t="s">
        <v>1663</v>
      </c>
    </row>
    <row r="543" spans="1:28" s="18" customFormat="1">
      <c r="A543" s="18" t="s">
        <v>1053</v>
      </c>
      <c r="B543" s="18" t="s">
        <v>9</v>
      </c>
      <c r="C543" s="18" t="s">
        <v>131</v>
      </c>
      <c r="D543" s="18" t="s">
        <v>1054</v>
      </c>
      <c r="E543" s="19" t="s">
        <v>39</v>
      </c>
      <c r="F543" s="18" t="s">
        <v>13</v>
      </c>
      <c r="G543" s="29"/>
      <c r="H543" s="32" t="str">
        <f>IF(Prueba[[#This Row],[Cant.]]=0,"",IF(OR(Prueba[[#This Row],[Cant.2]]="",Prueba[[#This Row],[Puesto2]]=""),"?",Prueba[[#This Row],[Puesto2]]))</f>
        <v/>
      </c>
      <c r="I543" s="31"/>
      <c r="J543" s="32"/>
      <c r="K543" s="14">
        <v>1</v>
      </c>
      <c r="L543" s="14"/>
      <c r="M543" s="31">
        <v>1</v>
      </c>
      <c r="N543" s="32" t="str">
        <f>IF(Prueba[[#This Row],[Cant.4]]=0,"",IF(OR(Prueba[[#This Row],[Cant.6]]="",Prueba[[#This Row],[Puesto6]]=""),"?",Prueba[[#This Row],[Puesto6]]))</f>
        <v>B</v>
      </c>
      <c r="O543" s="31">
        <v>1</v>
      </c>
      <c r="P543" s="32" t="str">
        <f>IF(Prueba[[#This Row],[Cant.5]]=0,"",IF(OR(Prueba[[#This Row],[Cant.6]]="",Prueba[[#This Row],[Puesto6]]=""),"?",Prueba[[#This Row],[Puesto6]]))</f>
        <v>B</v>
      </c>
      <c r="Q543" s="31">
        <v>1</v>
      </c>
      <c r="R543" s="32" t="s">
        <v>1447</v>
      </c>
      <c r="S543" s="14"/>
      <c r="T543" s="14"/>
      <c r="U543" s="31"/>
      <c r="V543" s="32" t="s">
        <v>1663</v>
      </c>
      <c r="W543" s="19"/>
      <c r="X543" s="19" t="s">
        <v>1667</v>
      </c>
      <c r="Y543" s="19" t="s">
        <v>1663</v>
      </c>
      <c r="Z543" s="19" t="s">
        <v>1663</v>
      </c>
      <c r="AA543" s="19" t="s">
        <v>1663</v>
      </c>
      <c r="AB543" s="19" t="s">
        <v>1663</v>
      </c>
    </row>
    <row r="544" spans="1:28" s="18" customFormat="1" ht="15.6">
      <c r="A544" s="18" t="s">
        <v>1998</v>
      </c>
      <c r="B544" s="18" t="s">
        <v>9</v>
      </c>
      <c r="C544" s="18" t="s">
        <v>1996</v>
      </c>
      <c r="D544" s="18" t="s">
        <v>1997</v>
      </c>
      <c r="E544" s="92" t="s">
        <v>39</v>
      </c>
      <c r="F544" s="18" t="s">
        <v>13</v>
      </c>
      <c r="G544" s="29"/>
      <c r="H544" s="32" t="str">
        <f>IF(Prueba[[#This Row],[Cant.]]=0,"",IF(OR(Prueba[[#This Row],[Cant.2]]="",Prueba[[#This Row],[Puesto2]]=""),"?",Prueba[[#This Row],[Puesto2]]))</f>
        <v/>
      </c>
      <c r="I544" s="31"/>
      <c r="J544" s="32"/>
      <c r="K544" s="14"/>
      <c r="L544" s="14"/>
      <c r="M544" s="31"/>
      <c r="N544" s="32" t="str">
        <f>IF(Prueba[[#This Row],[Cant.4]]=0,"",IF(OR(Prueba[[#This Row],[Cant.6]]="",Prueba[[#This Row],[Puesto6]]=""),"?",Prueba[[#This Row],[Puesto6]]))</f>
        <v/>
      </c>
      <c r="O544" s="31"/>
      <c r="P544" s="32" t="str">
        <f>IF(Prueba[[#This Row],[Cant.5]]=0,"",IF(OR(Prueba[[#This Row],[Cant.6]]="",Prueba[[#This Row],[Puesto6]]=""),"?",Prueba[[#This Row],[Puesto6]]))</f>
        <v/>
      </c>
      <c r="Q544" s="31"/>
      <c r="R544" s="32"/>
      <c r="S544" s="14">
        <v>1</v>
      </c>
      <c r="T544" s="14" t="s">
        <v>1447</v>
      </c>
      <c r="U544" s="31"/>
      <c r="V544" s="32" t="s">
        <v>1663</v>
      </c>
      <c r="W544" s="19"/>
      <c r="X544" s="19" t="s">
        <v>1667</v>
      </c>
      <c r="Y544" s="19" t="s">
        <v>1663</v>
      </c>
      <c r="Z544" s="19" t="s">
        <v>1663</v>
      </c>
      <c r="AA544" s="19" t="s">
        <v>1663</v>
      </c>
      <c r="AB544" s="19" t="s">
        <v>1663</v>
      </c>
    </row>
    <row r="545" spans="1:28" s="18" customFormat="1">
      <c r="A545" s="18" t="s">
        <v>1055</v>
      </c>
      <c r="B545" s="18" t="s">
        <v>9</v>
      </c>
      <c r="C545" s="18" t="s">
        <v>131</v>
      </c>
      <c r="D545" s="18" t="s">
        <v>1056</v>
      </c>
      <c r="E545" s="19" t="s">
        <v>39</v>
      </c>
      <c r="F545" s="18" t="s">
        <v>13</v>
      </c>
      <c r="G545" s="29"/>
      <c r="H545" s="32" t="str">
        <f>IF(Prueba[[#This Row],[Cant.]]=0,"",IF(OR(Prueba[[#This Row],[Cant.2]]="",Prueba[[#This Row],[Puesto2]]=""),"?",Prueba[[#This Row],[Puesto2]]))</f>
        <v/>
      </c>
      <c r="I545" s="31"/>
      <c r="J545" s="32"/>
      <c r="K545" s="14">
        <v>1</v>
      </c>
      <c r="L545" s="14"/>
      <c r="M545" s="31">
        <v>1</v>
      </c>
      <c r="N545" s="32" t="str">
        <f>IF(Prueba[[#This Row],[Cant.4]]=0,"",IF(OR(Prueba[[#This Row],[Cant.6]]="",Prueba[[#This Row],[Puesto6]]=""),"?",Prueba[[#This Row],[Puesto6]]))</f>
        <v>B</v>
      </c>
      <c r="O545" s="31">
        <v>1</v>
      </c>
      <c r="P545" s="32" t="str">
        <f>IF(Prueba[[#This Row],[Cant.5]]=0,"",IF(OR(Prueba[[#This Row],[Cant.6]]="",Prueba[[#This Row],[Puesto6]]=""),"?",Prueba[[#This Row],[Puesto6]]))</f>
        <v>B</v>
      </c>
      <c r="Q545" s="31">
        <v>1</v>
      </c>
      <c r="R545" s="32" t="s">
        <v>1447</v>
      </c>
      <c r="S545" s="14"/>
      <c r="T545" s="14"/>
      <c r="U545" s="31"/>
      <c r="V545" s="32" t="s">
        <v>1663</v>
      </c>
      <c r="W545" s="19"/>
      <c r="X545" s="19" t="s">
        <v>1667</v>
      </c>
      <c r="Y545" s="19" t="s">
        <v>1663</v>
      </c>
      <c r="Z545" s="19" t="s">
        <v>1663</v>
      </c>
      <c r="AA545" s="19" t="s">
        <v>1663</v>
      </c>
      <c r="AB545" s="19" t="s">
        <v>1663</v>
      </c>
    </row>
    <row r="546" spans="1:28" s="18" customFormat="1">
      <c r="A546" s="18" t="s">
        <v>1313</v>
      </c>
      <c r="B546" s="18" t="s">
        <v>9</v>
      </c>
      <c r="C546" s="18" t="s">
        <v>1314</v>
      </c>
      <c r="D546" s="18" t="s">
        <v>1315</v>
      </c>
      <c r="E546" s="19" t="s">
        <v>39</v>
      </c>
      <c r="F546" s="18" t="s">
        <v>13</v>
      </c>
      <c r="G546" s="29"/>
      <c r="H546" s="32" t="str">
        <f>IF(Prueba[[#This Row],[Cant.]]=0,"",IF(OR(Prueba[[#This Row],[Cant.2]]="",Prueba[[#This Row],[Puesto2]]=""),"?",Prueba[[#This Row],[Puesto2]]))</f>
        <v/>
      </c>
      <c r="I546" s="31"/>
      <c r="J546" s="32"/>
      <c r="K546" s="14">
        <v>1</v>
      </c>
      <c r="L546" s="14"/>
      <c r="M546" s="31">
        <v>1</v>
      </c>
      <c r="N546" s="32">
        <f>IF(Prueba[[#This Row],[Cant.4]]=0,"",IF(OR(Prueba[[#This Row],[Cant.6]]="",Prueba[[#This Row],[Puesto6]]=""),"?",Prueba[[#This Row],[Puesto6]]))</f>
        <v>0</v>
      </c>
      <c r="O546" s="31">
        <v>1</v>
      </c>
      <c r="P546" s="32">
        <f>IF(Prueba[[#This Row],[Cant.5]]=0,"",IF(OR(Prueba[[#This Row],[Cant.6]]="",Prueba[[#This Row],[Puesto6]]=""),"?",Prueba[[#This Row],[Puesto6]]))</f>
        <v>0</v>
      </c>
      <c r="Q546" s="31">
        <v>1</v>
      </c>
      <c r="R546" s="32">
        <v>0</v>
      </c>
      <c r="S546" s="14">
        <v>1</v>
      </c>
      <c r="T546" s="14">
        <v>0</v>
      </c>
      <c r="U546" s="31"/>
      <c r="V546" s="32" t="s">
        <v>1663</v>
      </c>
      <c r="W546" s="19"/>
      <c r="X546" s="19" t="s">
        <v>1667</v>
      </c>
      <c r="Y546" s="19" t="s">
        <v>1663</v>
      </c>
      <c r="Z546" s="19" t="s">
        <v>1663</v>
      </c>
      <c r="AA546" s="19" t="s">
        <v>1663</v>
      </c>
      <c r="AB546" s="19" t="s">
        <v>1663</v>
      </c>
    </row>
    <row r="547" spans="1:28" s="18" customFormat="1">
      <c r="A547" s="18" t="s">
        <v>1057</v>
      </c>
      <c r="B547" s="18" t="s">
        <v>9</v>
      </c>
      <c r="C547" s="18" t="s">
        <v>171</v>
      </c>
      <c r="D547" s="18" t="s">
        <v>1058</v>
      </c>
      <c r="E547" s="19" t="s">
        <v>12</v>
      </c>
      <c r="F547" s="18" t="s">
        <v>13</v>
      </c>
      <c r="G547" s="29"/>
      <c r="H547" s="32" t="str">
        <f>IF(Prueba[[#This Row],[Cant.]]=0,"",IF(OR(Prueba[[#This Row],[Cant.2]]="",Prueba[[#This Row],[Puesto2]]=""),"?",Prueba[[#This Row],[Puesto2]]))</f>
        <v/>
      </c>
      <c r="I547" s="31"/>
      <c r="J547" s="32"/>
      <c r="K547" s="14">
        <v>1</v>
      </c>
      <c r="L547" s="14"/>
      <c r="M547" s="31"/>
      <c r="N547" s="32" t="str">
        <f>IF(Prueba[[#This Row],[Cant.4]]=0,"",IF(OR(Prueba[[#This Row],[Cant.6]]="",Prueba[[#This Row],[Puesto6]]=""),"?",Prueba[[#This Row],[Puesto6]]))</f>
        <v/>
      </c>
      <c r="O547" s="31"/>
      <c r="P547" s="32" t="str">
        <f>IF(Prueba[[#This Row],[Cant.5]]=0,"",IF(OR(Prueba[[#This Row],[Cant.6]]="",Prueba[[#This Row],[Puesto6]]=""),"?",Prueba[[#This Row],[Puesto6]]))</f>
        <v/>
      </c>
      <c r="Q547" s="31"/>
      <c r="R547" s="32"/>
      <c r="S547" s="14"/>
      <c r="T547" s="14"/>
      <c r="U547" s="31"/>
      <c r="V547" s="32" t="s">
        <v>1663</v>
      </c>
      <c r="W547" s="19"/>
      <c r="X547" s="19" t="s">
        <v>1667</v>
      </c>
      <c r="Y547" s="19" t="s">
        <v>1663</v>
      </c>
      <c r="Z547" s="19" t="s">
        <v>1663</v>
      </c>
      <c r="AA547" s="19" t="s">
        <v>1663</v>
      </c>
      <c r="AB547" s="19" t="s">
        <v>1663</v>
      </c>
    </row>
    <row r="548" spans="1:28" s="18" customFormat="1">
      <c r="A548" s="18" t="s">
        <v>1059</v>
      </c>
      <c r="B548" s="18" t="s">
        <v>9</v>
      </c>
      <c r="C548" s="18" t="s">
        <v>113</v>
      </c>
      <c r="D548" s="18" t="s">
        <v>1031</v>
      </c>
      <c r="E548" s="19" t="s">
        <v>18</v>
      </c>
      <c r="F548" s="18" t="s">
        <v>13</v>
      </c>
      <c r="G548" s="29"/>
      <c r="H548" s="32" t="str">
        <f>IF(Prueba[[#This Row],[Cant.]]=0,"",IF(OR(Prueba[[#This Row],[Cant.2]]="",Prueba[[#This Row],[Puesto2]]=""),"?",Prueba[[#This Row],[Puesto2]]))</f>
        <v/>
      </c>
      <c r="I548" s="31"/>
      <c r="J548" s="32"/>
      <c r="K548" s="14">
        <v>1</v>
      </c>
      <c r="L548" s="14"/>
      <c r="M548" s="31">
        <v>1</v>
      </c>
      <c r="N548" s="32">
        <f>IF(Prueba[[#This Row],[Cant.4]]=0,"",IF(OR(Prueba[[#This Row],[Cant.6]]="",Prueba[[#This Row],[Puesto6]]=""),"?",Prueba[[#This Row],[Puesto6]]))</f>
        <v>1</v>
      </c>
      <c r="O548" s="31">
        <v>1</v>
      </c>
      <c r="P548" s="32">
        <f>IF(Prueba[[#This Row],[Cant.5]]=0,"",IF(OR(Prueba[[#This Row],[Cant.6]]="",Prueba[[#This Row],[Puesto6]]=""),"?",Prueba[[#This Row],[Puesto6]]))</f>
        <v>1</v>
      </c>
      <c r="Q548" s="31">
        <v>1</v>
      </c>
      <c r="R548" s="32">
        <v>1</v>
      </c>
      <c r="S548" s="14">
        <v>1</v>
      </c>
      <c r="T548" s="14">
        <v>1</v>
      </c>
      <c r="U548" s="31"/>
      <c r="V548" s="32" t="s">
        <v>1663</v>
      </c>
      <c r="W548" s="19"/>
      <c r="X548" s="19" t="s">
        <v>1667</v>
      </c>
      <c r="Y548" s="19" t="s">
        <v>1663</v>
      </c>
      <c r="Z548" s="19" t="s">
        <v>1663</v>
      </c>
      <c r="AA548" s="19" t="s">
        <v>1663</v>
      </c>
      <c r="AB548" s="19" t="s">
        <v>1663</v>
      </c>
    </row>
    <row r="549" spans="1:28" s="18" customFormat="1">
      <c r="A549" s="18" t="s">
        <v>1060</v>
      </c>
      <c r="B549" s="18" t="s">
        <v>9</v>
      </c>
      <c r="C549" s="18" t="s">
        <v>1061</v>
      </c>
      <c r="D549" s="18" t="s">
        <v>181</v>
      </c>
      <c r="E549" s="19" t="s">
        <v>18</v>
      </c>
      <c r="F549" s="18" t="s">
        <v>13</v>
      </c>
      <c r="G549" s="29"/>
      <c r="H549" s="32" t="str">
        <f>IF(Prueba[[#This Row],[Cant.]]=0,"",IF(OR(Prueba[[#This Row],[Cant.2]]="",Prueba[[#This Row],[Puesto2]]=""),"?",Prueba[[#This Row],[Puesto2]]))</f>
        <v/>
      </c>
      <c r="I549" s="31"/>
      <c r="J549" s="32"/>
      <c r="K549" s="14">
        <v>1</v>
      </c>
      <c r="L549" s="14"/>
      <c r="M549" s="31">
        <v>1</v>
      </c>
      <c r="N549" s="32">
        <f>IF(Prueba[[#This Row],[Cant.4]]=0,"",IF(OR(Prueba[[#This Row],[Cant.6]]="",Prueba[[#This Row],[Puesto6]]=""),"?",Prueba[[#This Row],[Puesto6]]))</f>
        <v>1</v>
      </c>
      <c r="O549" s="31">
        <v>1</v>
      </c>
      <c r="P549" s="32">
        <f>IF(Prueba[[#This Row],[Cant.5]]=0,"",IF(OR(Prueba[[#This Row],[Cant.6]]="",Prueba[[#This Row],[Puesto6]]=""),"?",Prueba[[#This Row],[Puesto6]]))</f>
        <v>1</v>
      </c>
      <c r="Q549" s="31">
        <v>1</v>
      </c>
      <c r="R549" s="32">
        <v>1</v>
      </c>
      <c r="S549" s="14">
        <v>1</v>
      </c>
      <c r="T549" s="14">
        <v>1</v>
      </c>
      <c r="U549" s="31"/>
      <c r="V549" s="32" t="s">
        <v>1663</v>
      </c>
      <c r="W549" s="19"/>
      <c r="X549" s="19" t="s">
        <v>1667</v>
      </c>
      <c r="Y549" s="19" t="s">
        <v>1663</v>
      </c>
      <c r="Z549" s="19" t="s">
        <v>1663</v>
      </c>
      <c r="AA549" s="19" t="s">
        <v>1663</v>
      </c>
      <c r="AB549" s="19" t="s">
        <v>1663</v>
      </c>
    </row>
    <row r="550" spans="1:28" s="18" customFormat="1">
      <c r="A550" s="18" t="s">
        <v>1999</v>
      </c>
      <c r="B550" s="18" t="s">
        <v>1806</v>
      </c>
      <c r="C550" s="18" t="s">
        <v>2000</v>
      </c>
      <c r="D550" s="18" t="s">
        <v>2001</v>
      </c>
      <c r="E550" s="19" t="s">
        <v>195</v>
      </c>
      <c r="F550" s="18" t="s">
        <v>13</v>
      </c>
      <c r="G550" s="29"/>
      <c r="H550" s="32" t="str">
        <f>IF(Prueba[[#This Row],[Cant.]]=0,"",IF(OR(Prueba[[#This Row],[Cant.2]]="",Prueba[[#This Row],[Puesto2]]=""),"?",Prueba[[#This Row],[Puesto2]]))</f>
        <v/>
      </c>
      <c r="I550" s="31"/>
      <c r="J550" s="32"/>
      <c r="K550" s="14"/>
      <c r="L550" s="14"/>
      <c r="M550" s="31"/>
      <c r="N550" s="32" t="str">
        <f>IF(Prueba[[#This Row],[Cant.4]]=0,"",IF(OR(Prueba[[#This Row],[Cant.6]]="",Prueba[[#This Row],[Puesto6]]=""),"?",Prueba[[#This Row],[Puesto6]]))</f>
        <v/>
      </c>
      <c r="O550" s="31">
        <v>1</v>
      </c>
      <c r="P550" s="32" t="s">
        <v>1421</v>
      </c>
      <c r="Q550" s="31"/>
      <c r="R550" s="32"/>
      <c r="S550" s="14"/>
      <c r="T550" s="14"/>
      <c r="U550" s="31"/>
      <c r="V550" s="32" t="s">
        <v>1663</v>
      </c>
      <c r="W550" s="19"/>
      <c r="X550" s="19" t="s">
        <v>1667</v>
      </c>
      <c r="Y550" s="19" t="s">
        <v>1663</v>
      </c>
      <c r="Z550" s="19" t="s">
        <v>1663</v>
      </c>
      <c r="AA550" s="19" t="s">
        <v>1663</v>
      </c>
      <c r="AB550" s="19" t="s">
        <v>1663</v>
      </c>
    </row>
    <row r="551" spans="1:28" s="18" customFormat="1">
      <c r="A551" s="18" t="s">
        <v>2002</v>
      </c>
      <c r="B551" s="18" t="s">
        <v>1806</v>
      </c>
      <c r="C551" s="18" t="s">
        <v>2000</v>
      </c>
      <c r="D551" s="18" t="s">
        <v>2001</v>
      </c>
      <c r="E551" s="19" t="s">
        <v>195</v>
      </c>
      <c r="F551" s="18" t="s">
        <v>13</v>
      </c>
      <c r="G551" s="29"/>
      <c r="H551" s="32" t="str">
        <f>IF(Prueba[[#This Row],[Cant.]]=0,"",IF(OR(Prueba[[#This Row],[Cant.2]]="",Prueba[[#This Row],[Puesto2]]=""),"?",Prueba[[#This Row],[Puesto2]]))</f>
        <v/>
      </c>
      <c r="I551" s="31"/>
      <c r="J551" s="32"/>
      <c r="K551" s="14"/>
      <c r="L551" s="14"/>
      <c r="M551" s="31">
        <v>1</v>
      </c>
      <c r="N551" s="32" t="s">
        <v>1421</v>
      </c>
      <c r="O551" s="31"/>
      <c r="P551" s="32" t="str">
        <f>IF(Prueba[[#This Row],[Cant.5]]=0,"",IF(OR(Prueba[[#This Row],[Cant.6]]="",Prueba[[#This Row],[Puesto6]]=""),"?",Prueba[[#This Row],[Puesto6]]))</f>
        <v/>
      </c>
      <c r="Q551" s="31"/>
      <c r="R551" s="32"/>
      <c r="S551" s="14"/>
      <c r="T551" s="14"/>
      <c r="U551" s="31"/>
      <c r="V551" s="32" t="s">
        <v>1663</v>
      </c>
      <c r="W551" s="19"/>
      <c r="X551" s="19" t="s">
        <v>1667</v>
      </c>
      <c r="Y551" s="19" t="s">
        <v>1663</v>
      </c>
      <c r="Z551" s="19" t="s">
        <v>1663</v>
      </c>
      <c r="AA551" s="19" t="s">
        <v>1663</v>
      </c>
      <c r="AB551" s="19" t="s">
        <v>1663</v>
      </c>
    </row>
    <row r="552" spans="1:28" s="18" customFormat="1">
      <c r="A552" s="18" t="s">
        <v>2003</v>
      </c>
      <c r="B552" s="18" t="s">
        <v>9</v>
      </c>
      <c r="C552" s="18" t="s">
        <v>2000</v>
      </c>
      <c r="D552" s="18" t="s">
        <v>2001</v>
      </c>
      <c r="E552" s="19" t="s">
        <v>195</v>
      </c>
      <c r="F552" s="18" t="s">
        <v>13</v>
      </c>
      <c r="G552" s="29"/>
      <c r="H552" s="32" t="str">
        <f>IF(Prueba[[#This Row],[Cant.]]=0,"",IF(OR(Prueba[[#This Row],[Cant.2]]="",Prueba[[#This Row],[Puesto2]]=""),"?",Prueba[[#This Row],[Puesto2]]))</f>
        <v/>
      </c>
      <c r="I552" s="31"/>
      <c r="J552" s="32"/>
      <c r="K552" s="14"/>
      <c r="L552" s="14"/>
      <c r="M552" s="31"/>
      <c r="N552" s="32" t="str">
        <f>IF(Prueba[[#This Row],[Cant.4]]=0,"",IF(OR(Prueba[[#This Row],[Cant.6]]="",Prueba[[#This Row],[Puesto6]]=""),"?",Prueba[[#This Row],[Puesto6]]))</f>
        <v/>
      </c>
      <c r="O552" s="31"/>
      <c r="P552" s="32" t="str">
        <f>IF(Prueba[[#This Row],[Cant.5]]=0,"",IF(OR(Prueba[[#This Row],[Cant.6]]="",Prueba[[#This Row],[Puesto6]]=""),"?",Prueba[[#This Row],[Puesto6]]))</f>
        <v/>
      </c>
      <c r="Q552" s="31">
        <v>1</v>
      </c>
      <c r="R552" s="32" t="s">
        <v>1421</v>
      </c>
      <c r="S552" s="14"/>
      <c r="T552" s="14"/>
      <c r="U552" s="31"/>
      <c r="V552" s="32" t="s">
        <v>1663</v>
      </c>
      <c r="W552" s="19"/>
      <c r="X552" s="19" t="s">
        <v>1667</v>
      </c>
      <c r="Y552" s="19" t="s">
        <v>1663</v>
      </c>
      <c r="Z552" s="19" t="s">
        <v>1663</v>
      </c>
      <c r="AA552" s="19" t="s">
        <v>1663</v>
      </c>
      <c r="AB552" s="19" t="s">
        <v>1663</v>
      </c>
    </row>
    <row r="553" spans="1:28" s="18" customFormat="1">
      <c r="A553" s="18" t="s">
        <v>2004</v>
      </c>
      <c r="B553" s="18" t="s">
        <v>9</v>
      </c>
      <c r="C553" s="18" t="s">
        <v>2000</v>
      </c>
      <c r="D553" s="18" t="s">
        <v>2001</v>
      </c>
      <c r="E553" s="19" t="s">
        <v>195</v>
      </c>
      <c r="F553" s="18" t="s">
        <v>13</v>
      </c>
      <c r="G553" s="29"/>
      <c r="H553" s="32" t="str">
        <f>IF(Prueba[[#This Row],[Cant.]]=0,"",IF(OR(Prueba[[#This Row],[Cant.2]]="",Prueba[[#This Row],[Puesto2]]=""),"?",Prueba[[#This Row],[Puesto2]]))</f>
        <v/>
      </c>
      <c r="I553" s="31"/>
      <c r="J553" s="32"/>
      <c r="K553" s="14"/>
      <c r="L553" s="14"/>
      <c r="M553" s="31"/>
      <c r="N553" s="32" t="str">
        <f>IF(Prueba[[#This Row],[Cant.4]]=0,"",IF(OR(Prueba[[#This Row],[Cant.6]]="",Prueba[[#This Row],[Puesto6]]=""),"?",Prueba[[#This Row],[Puesto6]]))</f>
        <v/>
      </c>
      <c r="O553" s="31"/>
      <c r="P553" s="32" t="str">
        <f>IF(Prueba[[#This Row],[Cant.5]]=0,"",IF(OR(Prueba[[#This Row],[Cant.6]]="",Prueba[[#This Row],[Puesto6]]=""),"?",Prueba[[#This Row],[Puesto6]]))</f>
        <v/>
      </c>
      <c r="Q553" s="31"/>
      <c r="R553" s="32"/>
      <c r="S553" s="14">
        <v>1</v>
      </c>
      <c r="T553" s="14" t="s">
        <v>1421</v>
      </c>
      <c r="U553" s="31"/>
      <c r="V553" s="32" t="s">
        <v>1663</v>
      </c>
      <c r="W553" s="19"/>
      <c r="X553" s="19" t="s">
        <v>1667</v>
      </c>
      <c r="Y553" s="19" t="s">
        <v>1663</v>
      </c>
      <c r="Z553" s="19" t="s">
        <v>1663</v>
      </c>
      <c r="AA553" s="19" t="s">
        <v>1663</v>
      </c>
      <c r="AB553" s="19" t="s">
        <v>1663</v>
      </c>
    </row>
    <row r="554" spans="1:28" s="18" customFormat="1">
      <c r="A554" s="18" t="s">
        <v>1341</v>
      </c>
      <c r="B554" s="18" t="s">
        <v>9</v>
      </c>
      <c r="C554" s="18" t="s">
        <v>1342</v>
      </c>
      <c r="D554" s="18" t="s">
        <v>1343</v>
      </c>
      <c r="E554" s="19" t="s">
        <v>308</v>
      </c>
      <c r="F554" s="18" t="s">
        <v>13</v>
      </c>
      <c r="G554" s="29"/>
      <c r="H554" s="32" t="str">
        <f>IF(Prueba[[#This Row],[Cant.]]=0,"",IF(OR(Prueba[[#This Row],[Cant.2]]="",Prueba[[#This Row],[Puesto2]]=""),"?",Prueba[[#This Row],[Puesto2]]))</f>
        <v/>
      </c>
      <c r="I554" s="31"/>
      <c r="J554" s="32"/>
      <c r="K554" s="14">
        <v>2</v>
      </c>
      <c r="L554" s="14"/>
      <c r="M554" s="31">
        <v>2</v>
      </c>
      <c r="N554" s="32">
        <f>IF(Prueba[[#This Row],[Cant.4]]=0,"",IF(OR(Prueba[[#This Row],[Cant.6]]="",Prueba[[#This Row],[Puesto6]]=""),"?",Prueba[[#This Row],[Puesto6]]))</f>
        <v>0</v>
      </c>
      <c r="O554" s="31">
        <v>2</v>
      </c>
      <c r="P554" s="32">
        <f>IF(Prueba[[#This Row],[Cant.5]]=0,"",IF(OR(Prueba[[#This Row],[Cant.6]]="",Prueba[[#This Row],[Puesto6]]=""),"?",Prueba[[#This Row],[Puesto6]]))</f>
        <v>0</v>
      </c>
      <c r="Q554" s="31">
        <v>2</v>
      </c>
      <c r="R554" s="32">
        <v>0</v>
      </c>
      <c r="S554" s="14"/>
      <c r="T554" s="14"/>
      <c r="U554" s="31"/>
      <c r="V554" s="32" t="s">
        <v>1663</v>
      </c>
      <c r="W554" s="19"/>
      <c r="X554" s="19" t="s">
        <v>1667</v>
      </c>
      <c r="Y554" s="19" t="s">
        <v>1663</v>
      </c>
      <c r="Z554" s="19" t="s">
        <v>1663</v>
      </c>
      <c r="AA554" s="19" t="s">
        <v>1663</v>
      </c>
      <c r="AB554" s="19" t="s">
        <v>1663</v>
      </c>
    </row>
    <row r="555" spans="1:28" s="18" customFormat="1">
      <c r="A555" s="35" t="s">
        <v>2005</v>
      </c>
      <c r="B555" s="35" t="s">
        <v>9</v>
      </c>
      <c r="C555" s="35" t="s">
        <v>2006</v>
      </c>
      <c r="D555" s="35" t="s">
        <v>2007</v>
      </c>
      <c r="E555" s="36" t="s">
        <v>39</v>
      </c>
      <c r="F555" s="35" t="s">
        <v>13</v>
      </c>
      <c r="G555" s="29"/>
      <c r="H555" s="32" t="str">
        <f>IF(Prueba[[#This Row],[Cant.]]=0,"",IF(OR(Prueba[[#This Row],[Cant.2]]="",Prueba[[#This Row],[Puesto2]]=""),"?",Prueba[[#This Row],[Puesto2]]))</f>
        <v/>
      </c>
      <c r="I555" s="31"/>
      <c r="J555" s="32"/>
      <c r="K555" s="14"/>
      <c r="L555" s="14"/>
      <c r="M555" s="38"/>
      <c r="N555" s="32" t="str">
        <f>IF(Prueba[[#This Row],[Cant.4]]=0,"",IF(OR(Prueba[[#This Row],[Cant.6]]="",Prueba[[#This Row],[Puesto6]]=""),"?",Prueba[[#This Row],[Puesto6]]))</f>
        <v/>
      </c>
      <c r="O555" s="31"/>
      <c r="P555" s="32" t="str">
        <f>IF(Prueba[[#This Row],[Cant.5]]=0,"",IF(OR(Prueba[[#This Row],[Cant.6]]="",Prueba[[#This Row],[Puesto6]]=""),"?",Prueba[[#This Row],[Puesto6]]))</f>
        <v/>
      </c>
      <c r="Q555" s="31"/>
      <c r="R555" s="32"/>
      <c r="S555" s="37">
        <v>1</v>
      </c>
      <c r="T555" s="37">
        <v>3</v>
      </c>
      <c r="U555" s="31"/>
      <c r="V555" s="32" t="s">
        <v>1663</v>
      </c>
      <c r="W555" s="36"/>
      <c r="X555" s="19" t="s">
        <v>1667</v>
      </c>
      <c r="Y555" s="19" t="s">
        <v>1663</v>
      </c>
      <c r="Z555" s="19" t="s">
        <v>1663</v>
      </c>
      <c r="AA555" s="19" t="s">
        <v>1663</v>
      </c>
      <c r="AB555" s="19" t="s">
        <v>1663</v>
      </c>
    </row>
    <row r="556" spans="1:28" s="18" customFormat="1">
      <c r="A556" s="18" t="s">
        <v>1344</v>
      </c>
      <c r="B556" s="18" t="s">
        <v>9</v>
      </c>
      <c r="C556" s="18" t="s">
        <v>1345</v>
      </c>
      <c r="D556" s="18" t="s">
        <v>1346</v>
      </c>
      <c r="E556" s="19" t="s">
        <v>39</v>
      </c>
      <c r="F556" s="18" t="s">
        <v>13</v>
      </c>
      <c r="G556" s="29"/>
      <c r="H556" s="32" t="str">
        <f>IF(Prueba[[#This Row],[Cant.]]=0,"",IF(OR(Prueba[[#This Row],[Cant.2]]="",Prueba[[#This Row],[Puesto2]]=""),"?",Prueba[[#This Row],[Puesto2]]))</f>
        <v/>
      </c>
      <c r="I556" s="31"/>
      <c r="J556" s="32"/>
      <c r="K556" s="14">
        <v>1</v>
      </c>
      <c r="L556" s="14"/>
      <c r="M556" s="31">
        <v>1</v>
      </c>
      <c r="N556" s="32" t="s">
        <v>1402</v>
      </c>
      <c r="O556" s="31">
        <v>1</v>
      </c>
      <c r="P556" s="32" t="s">
        <v>1402</v>
      </c>
      <c r="Q556" s="31"/>
      <c r="R556" s="32"/>
      <c r="S556" s="14"/>
      <c r="T556" s="14"/>
      <c r="U556" s="31"/>
      <c r="V556" s="32" t="s">
        <v>1663</v>
      </c>
      <c r="W556" s="19"/>
      <c r="X556" s="19" t="s">
        <v>1667</v>
      </c>
      <c r="Y556" s="19" t="s">
        <v>1663</v>
      </c>
      <c r="Z556" s="19" t="s">
        <v>1663</v>
      </c>
      <c r="AA556" s="19" t="s">
        <v>1663</v>
      </c>
      <c r="AB556" s="19" t="s">
        <v>1663</v>
      </c>
    </row>
    <row r="557" spans="1:28" s="18" customFormat="1">
      <c r="A557" s="18" t="s">
        <v>2008</v>
      </c>
      <c r="B557" s="18" t="s">
        <v>9</v>
      </c>
      <c r="C557" s="18" t="s">
        <v>1910</v>
      </c>
      <c r="D557" s="18" t="s">
        <v>1911</v>
      </c>
      <c r="E557" s="19" t="s">
        <v>1815</v>
      </c>
      <c r="F557" s="18" t="s">
        <v>13</v>
      </c>
      <c r="G557" s="29"/>
      <c r="H557" s="32" t="str">
        <f>IF(Prueba[[#This Row],[Cant.]]=0,"",IF(OR(Prueba[[#This Row],[Cant.2]]="",Prueba[[#This Row],[Puesto2]]=""),"?",Prueba[[#This Row],[Puesto2]]))</f>
        <v/>
      </c>
      <c r="I557" s="31"/>
      <c r="J557" s="32"/>
      <c r="K557" s="14"/>
      <c r="L557" s="14"/>
      <c r="M557" s="31"/>
      <c r="N557" s="32" t="str">
        <f>IF(Prueba[[#This Row],[Cant.4]]=0,"",IF(OR(Prueba[[#This Row],[Cant.6]]="",Prueba[[#This Row],[Puesto6]]=""),"?",Prueba[[#This Row],[Puesto6]]))</f>
        <v/>
      </c>
      <c r="O557" s="31"/>
      <c r="P557" s="32" t="str">
        <f>IF(Prueba[[#This Row],[Cant.5]]=0,"",IF(OR(Prueba[[#This Row],[Cant.6]]="",Prueba[[#This Row],[Puesto6]]=""),"?",Prueba[[#This Row],[Puesto6]]))</f>
        <v/>
      </c>
      <c r="Q557" s="31">
        <v>1</v>
      </c>
      <c r="R557" s="32" t="s">
        <v>1402</v>
      </c>
      <c r="S557" s="14"/>
      <c r="T557" s="14"/>
      <c r="U557" s="31"/>
      <c r="V557" s="32" t="s">
        <v>1663</v>
      </c>
      <c r="W557" s="19"/>
      <c r="X557" s="19" t="s">
        <v>1667</v>
      </c>
      <c r="Y557" s="19" t="s">
        <v>1663</v>
      </c>
      <c r="Z557" s="19" t="s">
        <v>1663</v>
      </c>
      <c r="AA557" s="19" t="s">
        <v>1663</v>
      </c>
      <c r="AB557" s="19" t="s">
        <v>1663</v>
      </c>
    </row>
    <row r="558" spans="1:28" s="18" customFormat="1">
      <c r="A558" s="18" t="s">
        <v>1347</v>
      </c>
      <c r="B558" s="18" t="s">
        <v>9</v>
      </c>
      <c r="C558" s="18" t="s">
        <v>1348</v>
      </c>
      <c r="D558" s="18" t="s">
        <v>1346</v>
      </c>
      <c r="E558" s="19" t="s">
        <v>39</v>
      </c>
      <c r="F558" s="18" t="s">
        <v>13</v>
      </c>
      <c r="G558" s="29"/>
      <c r="H558" s="32" t="str">
        <f>IF(Prueba[[#This Row],[Cant.]]=0,"",IF(OR(Prueba[[#This Row],[Cant.2]]="",Prueba[[#This Row],[Puesto2]]=""),"?",Prueba[[#This Row],[Puesto2]]))</f>
        <v/>
      </c>
      <c r="I558" s="31"/>
      <c r="J558" s="32"/>
      <c r="K558" s="14">
        <v>1</v>
      </c>
      <c r="L558" s="14"/>
      <c r="M558" s="31">
        <v>1</v>
      </c>
      <c r="N558" s="32" t="str">
        <f>IF(Prueba[[#This Row],[Cant.4]]=0,"",IF(OR(Prueba[[#This Row],[Cant.6]]="",Prueba[[#This Row],[Puesto6]]=""),"?",Prueba[[#This Row],[Puesto6]]))</f>
        <v>C</v>
      </c>
      <c r="O558" s="31">
        <v>1</v>
      </c>
      <c r="P558" s="32" t="str">
        <f>IF(Prueba[[#This Row],[Cant.5]]=0,"",IF(OR(Prueba[[#This Row],[Cant.6]]="",Prueba[[#This Row],[Puesto6]]=""),"?",Prueba[[#This Row],[Puesto6]]))</f>
        <v>C</v>
      </c>
      <c r="Q558" s="31">
        <v>1</v>
      </c>
      <c r="R558" s="32" t="s">
        <v>1402</v>
      </c>
      <c r="S558" s="14"/>
      <c r="T558" s="14"/>
      <c r="U558" s="31"/>
      <c r="V558" s="32" t="s">
        <v>1663</v>
      </c>
      <c r="W558" s="19"/>
      <c r="X558" s="19" t="s">
        <v>1667</v>
      </c>
      <c r="Y558" s="19" t="s">
        <v>1663</v>
      </c>
      <c r="Z558" s="19" t="s">
        <v>1663</v>
      </c>
      <c r="AA558" s="19" t="s">
        <v>1663</v>
      </c>
      <c r="AB558" s="19" t="s">
        <v>1663</v>
      </c>
    </row>
    <row r="559" spans="1:28" s="18" customFormat="1">
      <c r="A559" s="18" t="s">
        <v>2009</v>
      </c>
      <c r="B559" s="18" t="s">
        <v>9</v>
      </c>
      <c r="C559" s="18" t="s">
        <v>1350</v>
      </c>
      <c r="D559" s="18" t="s">
        <v>1351</v>
      </c>
      <c r="E559" s="19" t="s">
        <v>230</v>
      </c>
      <c r="F559" s="18" t="s">
        <v>13</v>
      </c>
      <c r="G559" s="29"/>
      <c r="H559" s="32" t="str">
        <f>IF(Prueba[[#This Row],[Cant.]]=0,"",IF(OR(Prueba[[#This Row],[Cant.2]]="",Prueba[[#This Row],[Puesto2]]=""),"?",Prueba[[#This Row],[Puesto2]]))</f>
        <v/>
      </c>
      <c r="I559" s="31"/>
      <c r="J559" s="32"/>
      <c r="K559" s="14">
        <v>3</v>
      </c>
      <c r="L559" s="14"/>
      <c r="M559" s="31"/>
      <c r="N559" s="32" t="str">
        <f>IF(Prueba[[#This Row],[Cant.4]]=0,"",IF(OR(Prueba[[#This Row],[Cant.6]]="",Prueba[[#This Row],[Puesto6]]=""),"?",Prueba[[#This Row],[Puesto6]]))</f>
        <v/>
      </c>
      <c r="O559" s="31"/>
      <c r="P559" s="32" t="str">
        <f>IF(Prueba[[#This Row],[Cant.5]]=0,"",IF(OR(Prueba[[#This Row],[Cant.6]]="",Prueba[[#This Row],[Puesto6]]=""),"?",Prueba[[#This Row],[Puesto6]]))</f>
        <v/>
      </c>
      <c r="Q559" s="31"/>
      <c r="R559" s="32"/>
      <c r="S559" s="14"/>
      <c r="T559" s="14"/>
      <c r="U559" s="31"/>
      <c r="V559" s="32" t="s">
        <v>1663</v>
      </c>
      <c r="W559" s="19"/>
      <c r="X559" s="19" t="s">
        <v>1667</v>
      </c>
      <c r="Y559" s="19"/>
      <c r="Z559" s="19"/>
      <c r="AA559" s="19"/>
      <c r="AB559" s="19"/>
    </row>
    <row r="560" spans="1:28" s="18" customFormat="1">
      <c r="A560" s="18" t="s">
        <v>2010</v>
      </c>
      <c r="B560" s="18" t="s">
        <v>9</v>
      </c>
      <c r="C560" s="18" t="s">
        <v>1350</v>
      </c>
      <c r="D560" s="18" t="s">
        <v>1351</v>
      </c>
      <c r="E560" s="19" t="s">
        <v>230</v>
      </c>
      <c r="F560" s="18" t="s">
        <v>13</v>
      </c>
      <c r="G560" s="29" t="s">
        <v>2011</v>
      </c>
      <c r="H560" s="32" t="str">
        <f>IF(Prueba[[#This Row],[Cant.]]=0,"",IF(OR(Prueba[[#This Row],[Cant.2]]="",Prueba[[#This Row],[Puesto2]]=""),"?",Prueba[[#This Row],[Puesto2]]))</f>
        <v>?</v>
      </c>
      <c r="I560" s="31"/>
      <c r="J560" s="32"/>
      <c r="K560" s="14">
        <v>4</v>
      </c>
      <c r="L560" s="14"/>
      <c r="M560" s="31"/>
      <c r="N560" s="32" t="str">
        <f>IF(Prueba[[#This Row],[Cant.4]]=0,"",IF(OR(Prueba[[#This Row],[Cant.6]]="",Prueba[[#This Row],[Puesto6]]=""),"?",Prueba[[#This Row],[Puesto6]]))</f>
        <v/>
      </c>
      <c r="O560" s="31"/>
      <c r="P560" s="32" t="str">
        <f>IF(Prueba[[#This Row],[Cant.5]]=0,"",IF(OR(Prueba[[#This Row],[Cant.6]]="",Prueba[[#This Row],[Puesto6]]=""),"?",Prueba[[#This Row],[Puesto6]]))</f>
        <v/>
      </c>
      <c r="Q560" s="31"/>
      <c r="R560" s="32"/>
      <c r="S560" s="14"/>
      <c r="T560" s="14"/>
      <c r="U560" s="31"/>
      <c r="V560" s="32" t="s">
        <v>1663</v>
      </c>
      <c r="W560" s="19"/>
      <c r="X560" s="19" t="s">
        <v>1667</v>
      </c>
      <c r="Y560" s="19"/>
      <c r="Z560" s="19"/>
      <c r="AA560" s="19"/>
      <c r="AB560" s="19"/>
    </row>
    <row r="561" spans="1:28" s="18" customFormat="1">
      <c r="A561" s="18" t="s">
        <v>2012</v>
      </c>
      <c r="B561" s="18" t="s">
        <v>1806</v>
      </c>
      <c r="C561" s="18" t="s">
        <v>1726</v>
      </c>
      <c r="D561" s="18" t="s">
        <v>1913</v>
      </c>
      <c r="E561" s="19" t="s">
        <v>230</v>
      </c>
      <c r="F561" s="18" t="s">
        <v>13</v>
      </c>
      <c r="G561" s="29"/>
      <c r="H561" s="32" t="str">
        <f>IF(Prueba[[#This Row],[Cant.]]=0,"",IF(OR(Prueba[[#This Row],[Cant.2]]="",Prueba[[#This Row],[Puesto2]]=""),"?",Prueba[[#This Row],[Puesto2]]))</f>
        <v/>
      </c>
      <c r="I561" s="31"/>
      <c r="J561" s="32"/>
      <c r="K561" s="14"/>
      <c r="L561" s="14"/>
      <c r="M561" s="31">
        <v>3</v>
      </c>
      <c r="N561" s="32">
        <v>4</v>
      </c>
      <c r="O561" s="31">
        <v>3</v>
      </c>
      <c r="P561" s="32">
        <v>4</v>
      </c>
      <c r="Q561" s="31"/>
      <c r="R561" s="32"/>
      <c r="S561" s="31"/>
      <c r="T561" s="32"/>
      <c r="U561" s="31"/>
      <c r="V561" s="32" t="s">
        <v>1663</v>
      </c>
      <c r="W561" s="19"/>
      <c r="X561" s="19" t="s">
        <v>1667</v>
      </c>
      <c r="Y561" s="19" t="s">
        <v>1663</v>
      </c>
      <c r="Z561" s="19" t="s">
        <v>1663</v>
      </c>
      <c r="AA561" s="19" t="s">
        <v>1663</v>
      </c>
      <c r="AB561" s="19" t="s">
        <v>1663</v>
      </c>
    </row>
    <row r="562" spans="1:28" s="18" customFormat="1">
      <c r="A562" s="18" t="s">
        <v>2013</v>
      </c>
      <c r="B562" s="18" t="s">
        <v>1806</v>
      </c>
      <c r="C562" s="18" t="s">
        <v>1726</v>
      </c>
      <c r="D562" s="18" t="s">
        <v>1913</v>
      </c>
      <c r="E562" s="19" t="s">
        <v>230</v>
      </c>
      <c r="F562" s="18" t="s">
        <v>13</v>
      </c>
      <c r="G562" s="29"/>
      <c r="H562" s="32" t="str">
        <f>IF(Prueba[[#This Row],[Cant.]]=0,"",IF(OR(Prueba[[#This Row],[Cant.2]]="",Prueba[[#This Row],[Puesto2]]=""),"?",Prueba[[#This Row],[Puesto2]]))</f>
        <v/>
      </c>
      <c r="I562" s="31"/>
      <c r="J562" s="32"/>
      <c r="K562" s="14"/>
      <c r="L562" s="14"/>
      <c r="M562" s="31">
        <v>4</v>
      </c>
      <c r="N562" s="32">
        <v>4</v>
      </c>
      <c r="O562" s="31">
        <v>4</v>
      </c>
      <c r="P562" s="32">
        <v>4</v>
      </c>
      <c r="Q562" s="31"/>
      <c r="R562" s="32"/>
      <c r="S562" s="31"/>
      <c r="T562" s="32"/>
      <c r="U562" s="31"/>
      <c r="V562" s="32" t="s">
        <v>1663</v>
      </c>
      <c r="W562" s="19"/>
      <c r="X562" s="19" t="s">
        <v>1667</v>
      </c>
      <c r="Y562" s="19" t="s">
        <v>1663</v>
      </c>
      <c r="Z562" s="19" t="s">
        <v>1663</v>
      </c>
      <c r="AA562" s="19" t="s">
        <v>1663</v>
      </c>
      <c r="AB562" s="19" t="s">
        <v>1663</v>
      </c>
    </row>
    <row r="563" spans="1:28" s="18" customFormat="1">
      <c r="A563" s="18" t="s">
        <v>2014</v>
      </c>
      <c r="B563" s="18" t="s">
        <v>9</v>
      </c>
      <c r="C563" s="18" t="s">
        <v>1726</v>
      </c>
      <c r="D563" s="18" t="s">
        <v>1913</v>
      </c>
      <c r="E563" s="19" t="s">
        <v>230</v>
      </c>
      <c r="F563" s="18" t="s">
        <v>13</v>
      </c>
      <c r="G563" s="29"/>
      <c r="H563" s="32" t="str">
        <f>IF(Prueba[[#This Row],[Cant.]]=0,"",IF(OR(Prueba[[#This Row],[Cant.2]]="",Prueba[[#This Row],[Puesto2]]=""),"?",Prueba[[#This Row],[Puesto2]]))</f>
        <v/>
      </c>
      <c r="I563" s="31"/>
      <c r="J563" s="32"/>
      <c r="K563" s="14"/>
      <c r="L563" s="14"/>
      <c r="M563" s="31"/>
      <c r="N563" s="32" t="str">
        <f>IF(Prueba[[#This Row],[Cant.4]]=0,"",IF(OR(Prueba[[#This Row],[Cant.6]]="",Prueba[[#This Row],[Puesto6]]=""),"?",Prueba[[#This Row],[Puesto6]]))</f>
        <v/>
      </c>
      <c r="O563" s="31"/>
      <c r="P563" s="32" t="str">
        <f>IF(Prueba[[#This Row],[Cant.5]]=0,"",IF(OR(Prueba[[#This Row],[Cant.6]]="",Prueba[[#This Row],[Puesto6]]=""),"?",Prueba[[#This Row],[Puesto6]]))</f>
        <v/>
      </c>
      <c r="Q563" s="31">
        <v>3</v>
      </c>
      <c r="R563" s="32">
        <v>3</v>
      </c>
      <c r="S563" s="14"/>
      <c r="T563" s="14"/>
      <c r="U563" s="31"/>
      <c r="V563" s="32" t="s">
        <v>1663</v>
      </c>
      <c r="W563" s="19"/>
      <c r="X563" s="19" t="s">
        <v>1667</v>
      </c>
      <c r="Y563" s="19" t="s">
        <v>1663</v>
      </c>
      <c r="Z563" s="19" t="s">
        <v>1663</v>
      </c>
      <c r="AA563" s="19" t="s">
        <v>1663</v>
      </c>
      <c r="AB563" s="19" t="s">
        <v>1663</v>
      </c>
    </row>
    <row r="564" spans="1:28" s="18" customFormat="1">
      <c r="A564" s="18" t="s">
        <v>2015</v>
      </c>
      <c r="B564" s="18" t="s">
        <v>9</v>
      </c>
      <c r="C564" s="18" t="s">
        <v>1726</v>
      </c>
      <c r="D564" s="18" t="s">
        <v>1913</v>
      </c>
      <c r="E564" s="19" t="s">
        <v>230</v>
      </c>
      <c r="F564" s="18" t="s">
        <v>13</v>
      </c>
      <c r="G564" s="29"/>
      <c r="H564" s="32" t="str">
        <f>IF(Prueba[[#This Row],[Cant.]]=0,"",IF(OR(Prueba[[#This Row],[Cant.2]]="",Prueba[[#This Row],[Puesto2]]=""),"?",Prueba[[#This Row],[Puesto2]]))</f>
        <v/>
      </c>
      <c r="I564" s="31"/>
      <c r="J564" s="32"/>
      <c r="K564" s="14"/>
      <c r="L564" s="14"/>
      <c r="M564" s="31"/>
      <c r="N564" s="32" t="str">
        <f>IF(Prueba[[#This Row],[Cant.4]]=0,"",IF(OR(Prueba[[#This Row],[Cant.6]]="",Prueba[[#This Row],[Puesto6]]=""),"?",Prueba[[#This Row],[Puesto6]]))</f>
        <v/>
      </c>
      <c r="O564" s="31"/>
      <c r="P564" s="32" t="str">
        <f>IF(Prueba[[#This Row],[Cant.5]]=0,"",IF(OR(Prueba[[#This Row],[Cant.6]]="",Prueba[[#This Row],[Puesto6]]=""),"?",Prueba[[#This Row],[Puesto6]]))</f>
        <v/>
      </c>
      <c r="Q564" s="31">
        <v>4</v>
      </c>
      <c r="R564" s="32">
        <v>3</v>
      </c>
      <c r="S564" s="14"/>
      <c r="T564" s="14"/>
      <c r="U564" s="31"/>
      <c r="V564" s="32" t="s">
        <v>1663</v>
      </c>
      <c r="W564" s="19"/>
      <c r="X564" s="19" t="s">
        <v>1667</v>
      </c>
      <c r="Y564" s="19" t="s">
        <v>1663</v>
      </c>
      <c r="Z564" s="19" t="s">
        <v>1663</v>
      </c>
      <c r="AA564" s="19" t="s">
        <v>1663</v>
      </c>
      <c r="AB564" s="19" t="s">
        <v>1663</v>
      </c>
    </row>
    <row r="565" spans="1:28" s="18" customFormat="1">
      <c r="A565" s="18" t="s">
        <v>2016</v>
      </c>
      <c r="B565" s="18" t="s">
        <v>9</v>
      </c>
      <c r="C565" s="18" t="s">
        <v>1726</v>
      </c>
      <c r="D565" s="18" t="s">
        <v>1913</v>
      </c>
      <c r="E565" s="19" t="s">
        <v>230</v>
      </c>
      <c r="F565" s="18" t="s">
        <v>13</v>
      </c>
      <c r="G565" s="29"/>
      <c r="H565" s="32" t="str">
        <f>IF(Prueba[[#This Row],[Cant.]]=0,"",IF(OR(Prueba[[#This Row],[Cant.2]]="",Prueba[[#This Row],[Puesto2]]=""),"?",Prueba[[#This Row],[Puesto2]]))</f>
        <v/>
      </c>
      <c r="I565" s="31"/>
      <c r="J565" s="32"/>
      <c r="K565" s="14"/>
      <c r="L565" s="14"/>
      <c r="M565" s="31"/>
      <c r="N565" s="32" t="str">
        <f>IF(Prueba[[#This Row],[Cant.4]]=0,"",IF(OR(Prueba[[#This Row],[Cant.6]]="",Prueba[[#This Row],[Puesto6]]=""),"?",Prueba[[#This Row],[Puesto6]]))</f>
        <v/>
      </c>
      <c r="O565" s="31"/>
      <c r="P565" s="32" t="str">
        <f>IF(Prueba[[#This Row],[Cant.5]]=0,"",IF(OR(Prueba[[#This Row],[Cant.6]]="",Prueba[[#This Row],[Puesto6]]=""),"?",Prueba[[#This Row],[Puesto6]]))</f>
        <v/>
      </c>
      <c r="Q565" s="31"/>
      <c r="R565" s="32"/>
      <c r="S565" s="14">
        <v>3</v>
      </c>
      <c r="T565" s="14">
        <v>3</v>
      </c>
      <c r="U565" s="31"/>
      <c r="V565" s="32" t="s">
        <v>1663</v>
      </c>
      <c r="W565" s="19"/>
      <c r="X565" s="19" t="s">
        <v>1667</v>
      </c>
      <c r="Y565" s="19" t="s">
        <v>1663</v>
      </c>
      <c r="Z565" s="19" t="s">
        <v>1663</v>
      </c>
      <c r="AA565" s="19" t="s">
        <v>1663</v>
      </c>
      <c r="AB565" s="19" t="s">
        <v>1663</v>
      </c>
    </row>
    <row r="566" spans="1:28" s="18" customFormat="1">
      <c r="A566" s="18" t="s">
        <v>2017</v>
      </c>
      <c r="B566" s="18" t="s">
        <v>9</v>
      </c>
      <c r="C566" s="18" t="s">
        <v>1726</v>
      </c>
      <c r="D566" s="18" t="s">
        <v>1913</v>
      </c>
      <c r="E566" s="19" t="s">
        <v>230</v>
      </c>
      <c r="F566" s="18" t="s">
        <v>13</v>
      </c>
      <c r="G566" s="29"/>
      <c r="H566" s="32" t="str">
        <f>IF(Prueba[[#This Row],[Cant.]]=0,"",IF(OR(Prueba[[#This Row],[Cant.2]]="",Prueba[[#This Row],[Puesto2]]=""),"?",Prueba[[#This Row],[Puesto2]]))</f>
        <v/>
      </c>
      <c r="I566" s="31"/>
      <c r="J566" s="32"/>
      <c r="K566" s="14"/>
      <c r="L566" s="14"/>
      <c r="M566" s="31"/>
      <c r="N566" s="32" t="str">
        <f>IF(Prueba[[#This Row],[Cant.4]]=0,"",IF(OR(Prueba[[#This Row],[Cant.6]]="",Prueba[[#This Row],[Puesto6]]=""),"?",Prueba[[#This Row],[Puesto6]]))</f>
        <v/>
      </c>
      <c r="O566" s="31"/>
      <c r="P566" s="32" t="str">
        <f>IF(Prueba[[#This Row],[Cant.5]]=0,"",IF(OR(Prueba[[#This Row],[Cant.6]]="",Prueba[[#This Row],[Puesto6]]=""),"?",Prueba[[#This Row],[Puesto6]]))</f>
        <v/>
      </c>
      <c r="Q566" s="31"/>
      <c r="R566" s="32"/>
      <c r="S566" s="14">
        <v>4</v>
      </c>
      <c r="T566" s="14">
        <v>3</v>
      </c>
      <c r="U566" s="31"/>
      <c r="V566" s="32" t="s">
        <v>1663</v>
      </c>
      <c r="W566" s="19"/>
      <c r="X566" s="19" t="s">
        <v>1667</v>
      </c>
      <c r="Y566" s="19" t="s">
        <v>1663</v>
      </c>
      <c r="Z566" s="19" t="s">
        <v>1663</v>
      </c>
      <c r="AA566" s="19" t="s">
        <v>1663</v>
      </c>
      <c r="AB566" s="19" t="s">
        <v>1663</v>
      </c>
    </row>
    <row r="567" spans="1:28" s="18" customFormat="1">
      <c r="A567" s="18" t="s">
        <v>1062</v>
      </c>
      <c r="B567" s="18" t="s">
        <v>9</v>
      </c>
      <c r="C567" s="18" t="s">
        <v>1063</v>
      </c>
      <c r="D567" s="18" t="s">
        <v>1064</v>
      </c>
      <c r="E567" s="19" t="s">
        <v>22</v>
      </c>
      <c r="F567" s="18" t="s">
        <v>13</v>
      </c>
      <c r="G567" s="29"/>
      <c r="H567" s="32" t="str">
        <f>IF(Prueba[[#This Row],[Cant.]]=0,"",IF(OR(Prueba[[#This Row],[Cant.2]]="",Prueba[[#This Row],[Puesto2]]=""),"?",Prueba[[#This Row],[Puesto2]]))</f>
        <v/>
      </c>
      <c r="I567" s="31"/>
      <c r="J567" s="32"/>
      <c r="K567" s="14">
        <v>20</v>
      </c>
      <c r="L567" s="14"/>
      <c r="M567" s="31">
        <v>20</v>
      </c>
      <c r="N567" s="32">
        <f>IF(Prueba[[#This Row],[Cant.4]]=0,"",IF(OR(Prueba[[#This Row],[Cant.6]]="",Prueba[[#This Row],[Puesto6]]=""),"?",Prueba[[#This Row],[Puesto6]]))</f>
        <v>4</v>
      </c>
      <c r="O567" s="31">
        <v>20</v>
      </c>
      <c r="P567" s="32">
        <f>IF(Prueba[[#This Row],[Cant.5]]=0,"",IF(OR(Prueba[[#This Row],[Cant.6]]="",Prueba[[#This Row],[Puesto6]]=""),"?",Prueba[[#This Row],[Puesto6]]))</f>
        <v>4</v>
      </c>
      <c r="Q567" s="31">
        <v>20</v>
      </c>
      <c r="R567" s="32">
        <v>4</v>
      </c>
      <c r="S567" s="14">
        <v>20</v>
      </c>
      <c r="T567" s="14">
        <v>4</v>
      </c>
      <c r="U567" s="31">
        <v>20</v>
      </c>
      <c r="V567" s="32">
        <v>4</v>
      </c>
      <c r="W567" s="19">
        <v>160</v>
      </c>
      <c r="X567" s="19" t="s">
        <v>1664</v>
      </c>
      <c r="Y567" s="19" t="s">
        <v>1663</v>
      </c>
      <c r="Z567" s="19" t="s">
        <v>1663</v>
      </c>
      <c r="AA567" s="19" t="s">
        <v>1663</v>
      </c>
      <c r="AB567" s="19" t="s">
        <v>1663</v>
      </c>
    </row>
    <row r="568" spans="1:28" s="18" customFormat="1">
      <c r="A568" s="18" t="s">
        <v>524</v>
      </c>
      <c r="B568" s="18" t="s">
        <v>9</v>
      </c>
      <c r="C568" s="18" t="s">
        <v>525</v>
      </c>
      <c r="D568" s="18" t="s">
        <v>526</v>
      </c>
      <c r="E568" s="19" t="s">
        <v>22</v>
      </c>
      <c r="F568" s="18" t="s">
        <v>13</v>
      </c>
      <c r="G568" s="29">
        <v>2</v>
      </c>
      <c r="H568" s="32">
        <f>IF(Prueba[[#This Row],[Cant.]]=0,"",IF(OR(Prueba[[#This Row],[Cant.2]]="",Prueba[[#This Row],[Puesto2]]=""),"?",Prueba[[#This Row],[Puesto2]]))</f>
        <v>3</v>
      </c>
      <c r="I568" s="31">
        <v>2</v>
      </c>
      <c r="J568" s="32">
        <v>3</v>
      </c>
      <c r="K568" s="14">
        <v>2</v>
      </c>
      <c r="L568" s="14"/>
      <c r="M568" s="31">
        <v>2</v>
      </c>
      <c r="N568" s="32">
        <f>IF(Prueba[[#This Row],[Cant.4]]=0,"",IF(OR(Prueba[[#This Row],[Cant.6]]="",Prueba[[#This Row],[Puesto6]]=""),"?",Prueba[[#This Row],[Puesto6]]))</f>
        <v>3</v>
      </c>
      <c r="O568" s="31">
        <v>2</v>
      </c>
      <c r="P568" s="32">
        <f>IF(Prueba[[#This Row],[Cant.5]]=0,"",IF(OR(Prueba[[#This Row],[Cant.6]]="",Prueba[[#This Row],[Puesto6]]=""),"?",Prueba[[#This Row],[Puesto6]]))</f>
        <v>3</v>
      </c>
      <c r="Q568" s="31">
        <v>2</v>
      </c>
      <c r="R568" s="32">
        <v>3</v>
      </c>
      <c r="S568" s="14">
        <v>2</v>
      </c>
      <c r="T568" s="14">
        <v>3</v>
      </c>
      <c r="U568" s="31">
        <v>2</v>
      </c>
      <c r="V568" s="32">
        <v>3</v>
      </c>
      <c r="W568" s="19">
        <v>16</v>
      </c>
      <c r="X568" s="19" t="s">
        <v>1664</v>
      </c>
      <c r="Y568" s="19">
        <v>3</v>
      </c>
      <c r="Z568" s="19">
        <v>3</v>
      </c>
      <c r="AA568" s="19">
        <v>3</v>
      </c>
      <c r="AB568" s="19">
        <v>3</v>
      </c>
    </row>
    <row r="569" spans="1:28" s="18" customFormat="1">
      <c r="A569" s="18" t="s">
        <v>1065</v>
      </c>
      <c r="B569" s="18" t="s">
        <v>9</v>
      </c>
      <c r="C569" s="18" t="s">
        <v>116</v>
      </c>
      <c r="D569" s="18" t="s">
        <v>1066</v>
      </c>
      <c r="E569" s="19" t="s">
        <v>12</v>
      </c>
      <c r="F569" s="18" t="s">
        <v>13</v>
      </c>
      <c r="G569" s="29"/>
      <c r="H569" s="32" t="str">
        <f>IF(Prueba[[#This Row],[Cant.]]=0,"",IF(OR(Prueba[[#This Row],[Cant.2]]="",Prueba[[#This Row],[Puesto2]]=""),"?",Prueba[[#This Row],[Puesto2]]))</f>
        <v/>
      </c>
      <c r="I569" s="31"/>
      <c r="J569" s="32"/>
      <c r="K569" s="14">
        <v>2</v>
      </c>
      <c r="L569" s="14"/>
      <c r="M569" s="31">
        <v>2</v>
      </c>
      <c r="N569" s="32">
        <f>IF(Prueba[[#This Row],[Cant.4]]=0,"",IF(OR(Prueba[[#This Row],[Cant.6]]="",Prueba[[#This Row],[Puesto6]]=""),"?",Prueba[[#This Row],[Puesto6]]))</f>
        <v>2</v>
      </c>
      <c r="O569" s="31">
        <v>2</v>
      </c>
      <c r="P569" s="32">
        <f>IF(Prueba[[#This Row],[Cant.5]]=0,"",IF(OR(Prueba[[#This Row],[Cant.6]]="",Prueba[[#This Row],[Puesto6]]=""),"?",Prueba[[#This Row],[Puesto6]]))</f>
        <v>2</v>
      </c>
      <c r="Q569" s="31">
        <v>2</v>
      </c>
      <c r="R569" s="32">
        <v>2</v>
      </c>
      <c r="S569" s="14">
        <v>2</v>
      </c>
      <c r="T569" s="14">
        <v>2</v>
      </c>
      <c r="U569" s="31"/>
      <c r="V569" s="32" t="s">
        <v>1663</v>
      </c>
      <c r="W569" s="19"/>
      <c r="X569" s="19" t="s">
        <v>1667</v>
      </c>
      <c r="Y569" s="19" t="s">
        <v>1663</v>
      </c>
      <c r="Z569" s="19" t="s">
        <v>1663</v>
      </c>
      <c r="AA569" s="19" t="s">
        <v>1663</v>
      </c>
      <c r="AB569" s="19" t="s">
        <v>1663</v>
      </c>
    </row>
    <row r="570" spans="1:28" s="18" customFormat="1">
      <c r="A570" s="18" t="s">
        <v>1067</v>
      </c>
      <c r="B570" s="18" t="s">
        <v>9</v>
      </c>
      <c r="C570" s="18" t="s">
        <v>1068</v>
      </c>
      <c r="D570" s="18" t="s">
        <v>1069</v>
      </c>
      <c r="E570" s="19" t="s">
        <v>18</v>
      </c>
      <c r="F570" s="18" t="s">
        <v>13</v>
      </c>
      <c r="G570" s="29"/>
      <c r="H570" s="32" t="str">
        <f>IF(Prueba[[#This Row],[Cant.]]=0,"",IF(OR(Prueba[[#This Row],[Cant.2]]="",Prueba[[#This Row],[Puesto2]]=""),"?",Prueba[[#This Row],[Puesto2]]))</f>
        <v/>
      </c>
      <c r="I570" s="31"/>
      <c r="J570" s="32"/>
      <c r="K570" s="14">
        <v>1</v>
      </c>
      <c r="L570" s="14"/>
      <c r="M570" s="31">
        <v>1</v>
      </c>
      <c r="N570" s="32">
        <f>IF(Prueba[[#This Row],[Cant.4]]=0,"",IF(OR(Prueba[[#This Row],[Cant.6]]="",Prueba[[#This Row],[Puesto6]]=""),"?",Prueba[[#This Row],[Puesto6]]))</f>
        <v>4</v>
      </c>
      <c r="O570" s="31">
        <v>1</v>
      </c>
      <c r="P570" s="32">
        <f>IF(Prueba[[#This Row],[Cant.5]]=0,"",IF(OR(Prueba[[#This Row],[Cant.6]]="",Prueba[[#This Row],[Puesto6]]=""),"?",Prueba[[#This Row],[Puesto6]]))</f>
        <v>4</v>
      </c>
      <c r="Q570" s="31">
        <v>1</v>
      </c>
      <c r="R570" s="32">
        <v>4</v>
      </c>
      <c r="S570" s="14">
        <v>1</v>
      </c>
      <c r="T570" s="14">
        <v>4</v>
      </c>
      <c r="U570" s="31"/>
      <c r="V570" s="32" t="s">
        <v>1663</v>
      </c>
      <c r="W570" s="19"/>
      <c r="X570" s="19" t="s">
        <v>1667</v>
      </c>
      <c r="Y570" s="19" t="s">
        <v>1663</v>
      </c>
      <c r="Z570" s="19" t="s">
        <v>1663</v>
      </c>
      <c r="AA570" s="19" t="s">
        <v>1663</v>
      </c>
      <c r="AB570" s="19" t="s">
        <v>1663</v>
      </c>
    </row>
    <row r="571" spans="1:28" s="18" customFormat="1">
      <c r="A571" s="18" t="s">
        <v>2018</v>
      </c>
      <c r="B571" s="18" t="s">
        <v>9</v>
      </c>
      <c r="C571" s="18" t="s">
        <v>1799</v>
      </c>
      <c r="D571" s="18" t="s">
        <v>1938</v>
      </c>
      <c r="E571" s="19" t="s">
        <v>18</v>
      </c>
      <c r="F571" s="18" t="s">
        <v>13</v>
      </c>
      <c r="G571" s="29"/>
      <c r="H571" s="32" t="str">
        <f>IF(Prueba[[#This Row],[Cant.]]=0,"",IF(OR(Prueba[[#This Row],[Cant.2]]="",Prueba[[#This Row],[Puesto2]]=""),"?",Prueba[[#This Row],[Puesto2]]))</f>
        <v/>
      </c>
      <c r="I571" s="31"/>
      <c r="J571" s="32"/>
      <c r="K571" s="14"/>
      <c r="L571" s="14"/>
      <c r="M571" s="31"/>
      <c r="N571" s="32" t="str">
        <f>IF(Prueba[[#This Row],[Cant.4]]=0,"",IF(OR(Prueba[[#This Row],[Cant.6]]="",Prueba[[#This Row],[Puesto6]]=""),"?",Prueba[[#This Row],[Puesto6]]))</f>
        <v/>
      </c>
      <c r="O571" s="31"/>
      <c r="P571" s="32" t="str">
        <f>IF(Prueba[[#This Row],[Cant.5]]=0,"",IF(OR(Prueba[[#This Row],[Cant.6]]="",Prueba[[#This Row],[Puesto6]]=""),"?",Prueba[[#This Row],[Puesto6]]))</f>
        <v/>
      </c>
      <c r="Q571" s="31"/>
      <c r="R571" s="32"/>
      <c r="S571" s="14">
        <v>1</v>
      </c>
      <c r="T571" s="14" t="s">
        <v>1402</v>
      </c>
      <c r="U571" s="31"/>
      <c r="V571" s="32" t="s">
        <v>1663</v>
      </c>
      <c r="W571" s="19"/>
      <c r="X571" s="19" t="s">
        <v>1667</v>
      </c>
      <c r="Y571" s="19" t="s">
        <v>1663</v>
      </c>
      <c r="Z571" s="19" t="s">
        <v>1663</v>
      </c>
      <c r="AA571" s="19" t="s">
        <v>1663</v>
      </c>
      <c r="AB571" s="19" t="s">
        <v>1663</v>
      </c>
    </row>
    <row r="572" spans="1:28" s="18" customFormat="1">
      <c r="A572" s="18" t="s">
        <v>1070</v>
      </c>
      <c r="B572" s="18" t="s">
        <v>9</v>
      </c>
      <c r="C572" s="18" t="s">
        <v>1071</v>
      </c>
      <c r="D572" s="18" t="s">
        <v>1072</v>
      </c>
      <c r="E572" s="19" t="s">
        <v>18</v>
      </c>
      <c r="F572" s="18" t="s">
        <v>13</v>
      </c>
      <c r="G572" s="29"/>
      <c r="H572" s="32" t="str">
        <f>IF(Prueba[[#This Row],[Cant.]]=0,"",IF(OR(Prueba[[#This Row],[Cant.2]]="",Prueba[[#This Row],[Puesto2]]=""),"?",Prueba[[#This Row],[Puesto2]]))</f>
        <v/>
      </c>
      <c r="I572" s="31"/>
      <c r="J572" s="32"/>
      <c r="K572" s="14">
        <v>1</v>
      </c>
      <c r="L572" s="14"/>
      <c r="M572" s="31">
        <v>1</v>
      </c>
      <c r="N572" s="32" t="str">
        <f>IF(Prueba[[#This Row],[Cant.4]]=0,"",IF(OR(Prueba[[#This Row],[Cant.6]]="",Prueba[[#This Row],[Puesto6]]=""),"?",Prueba[[#This Row],[Puesto6]]))</f>
        <v>C</v>
      </c>
      <c r="O572" s="31">
        <v>1</v>
      </c>
      <c r="P572" s="32" t="str">
        <f>IF(Prueba[[#This Row],[Cant.5]]=0,"",IF(OR(Prueba[[#This Row],[Cant.6]]="",Prueba[[#This Row],[Puesto6]]=""),"?",Prueba[[#This Row],[Puesto6]]))</f>
        <v>C</v>
      </c>
      <c r="Q572" s="31">
        <v>1</v>
      </c>
      <c r="R572" s="32" t="s">
        <v>1402</v>
      </c>
      <c r="S572" s="14">
        <v>1</v>
      </c>
      <c r="T572" s="14" t="s">
        <v>1402</v>
      </c>
      <c r="U572" s="31"/>
      <c r="V572" s="32" t="s">
        <v>1663</v>
      </c>
      <c r="W572" s="19"/>
      <c r="X572" s="19" t="s">
        <v>1667</v>
      </c>
      <c r="Y572" s="19" t="s">
        <v>1663</v>
      </c>
      <c r="Z572" s="19" t="s">
        <v>1663</v>
      </c>
      <c r="AA572" s="19" t="s">
        <v>1663</v>
      </c>
      <c r="AB572" s="19" t="s">
        <v>1663</v>
      </c>
    </row>
    <row r="573" spans="1:28" s="18" customFormat="1">
      <c r="A573" s="18" t="s">
        <v>1073</v>
      </c>
      <c r="B573" s="18" t="s">
        <v>9</v>
      </c>
      <c r="C573" s="18" t="s">
        <v>1071</v>
      </c>
      <c r="D573" s="18" t="s">
        <v>1074</v>
      </c>
      <c r="E573" s="19" t="s">
        <v>18</v>
      </c>
      <c r="F573" s="18" t="s">
        <v>13</v>
      </c>
      <c r="G573" s="29"/>
      <c r="H573" s="32" t="str">
        <f>IF(Prueba[[#This Row],[Cant.]]=0,"",IF(OR(Prueba[[#This Row],[Cant.2]]="",Prueba[[#This Row],[Puesto2]]=""),"?",Prueba[[#This Row],[Puesto2]]))</f>
        <v/>
      </c>
      <c r="I573" s="31"/>
      <c r="J573" s="32"/>
      <c r="K573" s="14">
        <v>1</v>
      </c>
      <c r="L573" s="14"/>
      <c r="M573" s="31">
        <v>1</v>
      </c>
      <c r="N573" s="32" t="str">
        <f>IF(Prueba[[#This Row],[Cant.4]]=0,"",IF(OR(Prueba[[#This Row],[Cant.6]]="",Prueba[[#This Row],[Puesto6]]=""),"?",Prueba[[#This Row],[Puesto6]]))</f>
        <v>C</v>
      </c>
      <c r="O573" s="31">
        <v>1</v>
      </c>
      <c r="P573" s="32" t="str">
        <f>IF(Prueba[[#This Row],[Cant.5]]=0,"",IF(OR(Prueba[[#This Row],[Cant.6]]="",Prueba[[#This Row],[Puesto6]]=""),"?",Prueba[[#This Row],[Puesto6]]))</f>
        <v>C</v>
      </c>
      <c r="Q573" s="31">
        <v>1</v>
      </c>
      <c r="R573" s="32" t="s">
        <v>1402</v>
      </c>
      <c r="S573" s="14">
        <v>1</v>
      </c>
      <c r="T573" s="14" t="s">
        <v>1402</v>
      </c>
      <c r="U573" s="31"/>
      <c r="V573" s="32" t="s">
        <v>1663</v>
      </c>
      <c r="W573" s="19"/>
      <c r="X573" s="19" t="s">
        <v>1667</v>
      </c>
      <c r="Y573" s="19" t="s">
        <v>1663</v>
      </c>
      <c r="Z573" s="19" t="s">
        <v>1663</v>
      </c>
      <c r="AA573" s="19" t="s">
        <v>1663</v>
      </c>
      <c r="AB573" s="19" t="s">
        <v>1663</v>
      </c>
    </row>
    <row r="574" spans="1:28" s="18" customFormat="1">
      <c r="A574" s="18" t="s">
        <v>1075</v>
      </c>
      <c r="B574" s="18" t="s">
        <v>9</v>
      </c>
      <c r="C574" s="18" t="s">
        <v>272</v>
      </c>
      <c r="D574" s="18" t="s">
        <v>1076</v>
      </c>
      <c r="E574" s="19" t="s">
        <v>18</v>
      </c>
      <c r="F574" s="18" t="s">
        <v>13</v>
      </c>
      <c r="G574" s="29"/>
      <c r="H574" s="32" t="str">
        <f>IF(Prueba[[#This Row],[Cant.]]=0,"",IF(OR(Prueba[[#This Row],[Cant.2]]="",Prueba[[#This Row],[Puesto2]]=""),"?",Prueba[[#This Row],[Puesto2]]))</f>
        <v/>
      </c>
      <c r="I574" s="31"/>
      <c r="J574" s="32"/>
      <c r="K574" s="14">
        <v>1</v>
      </c>
      <c r="L574" s="14"/>
      <c r="M574" s="31">
        <v>1</v>
      </c>
      <c r="N574" s="32">
        <f>IF(Prueba[[#This Row],[Cant.4]]=0,"",IF(OR(Prueba[[#This Row],[Cant.6]]="",Prueba[[#This Row],[Puesto6]]=""),"?",Prueba[[#This Row],[Puesto6]]))</f>
        <v>4</v>
      </c>
      <c r="O574" s="31">
        <v>1</v>
      </c>
      <c r="P574" s="32">
        <f>IF(Prueba[[#This Row],[Cant.5]]=0,"",IF(OR(Prueba[[#This Row],[Cant.6]]="",Prueba[[#This Row],[Puesto6]]=""),"?",Prueba[[#This Row],[Puesto6]]))</f>
        <v>4</v>
      </c>
      <c r="Q574" s="31">
        <v>1</v>
      </c>
      <c r="R574" s="32">
        <v>4</v>
      </c>
      <c r="S574" s="14">
        <v>1</v>
      </c>
      <c r="T574" s="14">
        <v>4</v>
      </c>
      <c r="U574" s="31"/>
      <c r="V574" s="32" t="s">
        <v>1663</v>
      </c>
      <c r="W574" s="19"/>
      <c r="X574" s="19" t="s">
        <v>1667</v>
      </c>
      <c r="Y574" s="19" t="s">
        <v>1663</v>
      </c>
      <c r="Z574" s="19" t="s">
        <v>1663</v>
      </c>
      <c r="AA574" s="19" t="s">
        <v>1663</v>
      </c>
      <c r="AB574" s="19" t="s">
        <v>1663</v>
      </c>
    </row>
    <row r="575" spans="1:28" s="18" customFormat="1">
      <c r="A575" s="18" t="s">
        <v>527</v>
      </c>
      <c r="B575" s="18" t="s">
        <v>9</v>
      </c>
      <c r="C575" s="18" t="s">
        <v>528</v>
      </c>
      <c r="D575" s="18" t="s">
        <v>529</v>
      </c>
      <c r="E575" s="19" t="s">
        <v>22</v>
      </c>
      <c r="F575" s="18" t="s">
        <v>13</v>
      </c>
      <c r="G575" s="29">
        <v>3</v>
      </c>
      <c r="H575" s="32" t="str">
        <f>IF(Prueba[[#This Row],[Cant.]]=0,"",IF(OR(Prueba[[#This Row],[Cant.2]]="",Prueba[[#This Row],[Puesto2]]=""),"?",Prueba[[#This Row],[Puesto2]]))</f>
        <v>1xB + 2xC</v>
      </c>
      <c r="I575" s="31">
        <v>3</v>
      </c>
      <c r="J575" s="32" t="s">
        <v>2019</v>
      </c>
      <c r="K575" s="14">
        <v>3</v>
      </c>
      <c r="L575" s="14"/>
      <c r="M575" s="31">
        <v>3</v>
      </c>
      <c r="N575" s="32" t="str">
        <f>IF(Prueba[[#This Row],[Cant.4]]=0,"",IF(OR(Prueba[[#This Row],[Cant.6]]="",Prueba[[#This Row],[Puesto6]]=""),"?",Prueba[[#This Row],[Puesto6]]))</f>
        <v>1xB + 2xC</v>
      </c>
      <c r="O575" s="31">
        <v>3</v>
      </c>
      <c r="P575" s="32" t="str">
        <f>IF(Prueba[[#This Row],[Cant.5]]=0,"",IF(OR(Prueba[[#This Row],[Cant.6]]="",Prueba[[#This Row],[Puesto6]]=""),"?",Prueba[[#This Row],[Puesto6]]))</f>
        <v>1xB + 2xC</v>
      </c>
      <c r="Q575" s="31">
        <v>3</v>
      </c>
      <c r="R575" s="32" t="s">
        <v>2019</v>
      </c>
      <c r="S575" s="14">
        <v>3</v>
      </c>
      <c r="T575" s="14" t="s">
        <v>2020</v>
      </c>
      <c r="U575" s="31">
        <v>1</v>
      </c>
      <c r="V575" s="32" t="s">
        <v>1447</v>
      </c>
      <c r="W575" s="19">
        <v>16</v>
      </c>
      <c r="X575" s="19" t="s">
        <v>1664</v>
      </c>
      <c r="Y575" s="19">
        <v>4</v>
      </c>
      <c r="Z575" s="19" t="s">
        <v>2019</v>
      </c>
      <c r="AA575" s="19">
        <v>4</v>
      </c>
      <c r="AB575" s="19" t="s">
        <v>2019</v>
      </c>
    </row>
    <row r="576" spans="1:28" s="18" customFormat="1">
      <c r="A576" s="18" t="s">
        <v>1077</v>
      </c>
      <c r="B576" s="18" t="s">
        <v>9</v>
      </c>
      <c r="C576" s="18" t="s">
        <v>84</v>
      </c>
      <c r="D576" s="18" t="s">
        <v>41</v>
      </c>
      <c r="E576" s="19" t="s">
        <v>18</v>
      </c>
      <c r="F576" s="18" t="s">
        <v>13</v>
      </c>
      <c r="G576" s="29"/>
      <c r="H576" s="32" t="str">
        <f>IF(Prueba[[#This Row],[Cant.]]=0,"",IF(OR(Prueba[[#This Row],[Cant.2]]="",Prueba[[#This Row],[Puesto2]]=""),"?",Prueba[[#This Row],[Puesto2]]))</f>
        <v/>
      </c>
      <c r="I576" s="31"/>
      <c r="J576" s="32"/>
      <c r="K576" s="14">
        <v>1</v>
      </c>
      <c r="L576" s="14"/>
      <c r="M576" s="31">
        <v>1</v>
      </c>
      <c r="N576" s="32" t="str">
        <f>IF(Prueba[[#This Row],[Cant.4]]=0,"",IF(OR(Prueba[[#This Row],[Cant.6]]="",Prueba[[#This Row],[Puesto6]]=""),"?",Prueba[[#This Row],[Puesto6]]))</f>
        <v>C</v>
      </c>
      <c r="O576" s="31">
        <v>1</v>
      </c>
      <c r="P576" s="32" t="str">
        <f>IF(Prueba[[#This Row],[Cant.5]]=0,"",IF(OR(Prueba[[#This Row],[Cant.6]]="",Prueba[[#This Row],[Puesto6]]=""),"?",Prueba[[#This Row],[Puesto6]]))</f>
        <v>C</v>
      </c>
      <c r="Q576" s="31">
        <v>1</v>
      </c>
      <c r="R576" s="32" t="s">
        <v>1402</v>
      </c>
      <c r="S576" s="14">
        <v>1</v>
      </c>
      <c r="T576" s="14" t="s">
        <v>1402</v>
      </c>
      <c r="U576" s="31">
        <v>1</v>
      </c>
      <c r="V576" s="32" t="s">
        <v>1402</v>
      </c>
      <c r="W576" s="19"/>
      <c r="X576" s="19" t="s">
        <v>1667</v>
      </c>
      <c r="Y576" s="19" t="s">
        <v>1663</v>
      </c>
      <c r="Z576" s="19" t="s">
        <v>1663</v>
      </c>
      <c r="AA576" s="19" t="s">
        <v>1663</v>
      </c>
      <c r="AB576" s="19" t="s">
        <v>1663</v>
      </c>
    </row>
    <row r="577" spans="1:28" s="18" customFormat="1">
      <c r="A577" s="18" t="s">
        <v>1078</v>
      </c>
      <c r="B577" s="18" t="s">
        <v>9</v>
      </c>
      <c r="C577" s="18" t="s">
        <v>267</v>
      </c>
      <c r="D577" s="18" t="s">
        <v>1079</v>
      </c>
      <c r="E577" s="19" t="s">
        <v>18</v>
      </c>
      <c r="F577" s="18" t="s">
        <v>13</v>
      </c>
      <c r="G577" s="29"/>
      <c r="H577" s="32" t="str">
        <f>IF(Prueba[[#This Row],[Cant.]]=0,"",IF(OR(Prueba[[#This Row],[Cant.2]]="",Prueba[[#This Row],[Puesto2]]=""),"?",Prueba[[#This Row],[Puesto2]]))</f>
        <v/>
      </c>
      <c r="I577" s="31"/>
      <c r="J577" s="32"/>
      <c r="K577" s="14">
        <v>1</v>
      </c>
      <c r="L577" s="14"/>
      <c r="M577" s="31">
        <v>1</v>
      </c>
      <c r="N577" s="32" t="str">
        <f>IF(Prueba[[#This Row],[Cant.4]]=0,"",IF(OR(Prueba[[#This Row],[Cant.6]]="",Prueba[[#This Row],[Puesto6]]=""),"?",Prueba[[#This Row],[Puesto6]]))</f>
        <v>C</v>
      </c>
      <c r="O577" s="31">
        <v>1</v>
      </c>
      <c r="P577" s="32" t="str">
        <f>IF(Prueba[[#This Row],[Cant.5]]=0,"",IF(OR(Prueba[[#This Row],[Cant.6]]="",Prueba[[#This Row],[Puesto6]]=""),"?",Prueba[[#This Row],[Puesto6]]))</f>
        <v>C</v>
      </c>
      <c r="Q577" s="31">
        <v>1</v>
      </c>
      <c r="R577" s="32" t="s">
        <v>1402</v>
      </c>
      <c r="S577" s="14">
        <v>1</v>
      </c>
      <c r="T577" s="14" t="s">
        <v>1402</v>
      </c>
      <c r="U577" s="31">
        <v>1</v>
      </c>
      <c r="V577" s="32" t="s">
        <v>1402</v>
      </c>
      <c r="W577" s="19"/>
      <c r="X577" s="19" t="s">
        <v>1667</v>
      </c>
      <c r="Y577" s="19" t="s">
        <v>1663</v>
      </c>
      <c r="Z577" s="19" t="s">
        <v>1663</v>
      </c>
      <c r="AA577" s="19" t="s">
        <v>1663</v>
      </c>
      <c r="AB577" s="19" t="s">
        <v>1663</v>
      </c>
    </row>
    <row r="578" spans="1:28" s="18" customFormat="1">
      <c r="A578" s="18" t="s">
        <v>1080</v>
      </c>
      <c r="B578" s="18" t="s">
        <v>9</v>
      </c>
      <c r="C578" s="18" t="s">
        <v>84</v>
      </c>
      <c r="D578" s="18" t="s">
        <v>41</v>
      </c>
      <c r="E578" s="19" t="s">
        <v>18</v>
      </c>
      <c r="F578" s="18" t="s">
        <v>13</v>
      </c>
      <c r="G578" s="29"/>
      <c r="H578" s="32" t="str">
        <f>IF(Prueba[[#This Row],[Cant.]]=0,"",IF(OR(Prueba[[#This Row],[Cant.2]]="",Prueba[[#This Row],[Puesto2]]=""),"?",Prueba[[#This Row],[Puesto2]]))</f>
        <v/>
      </c>
      <c r="I578" s="31"/>
      <c r="J578" s="32"/>
      <c r="K578" s="14">
        <v>1</v>
      </c>
      <c r="L578" s="14"/>
      <c r="M578" s="31">
        <v>1</v>
      </c>
      <c r="N578" s="32">
        <f>IF(Prueba[[#This Row],[Cant.4]]=0,"",IF(OR(Prueba[[#This Row],[Cant.6]]="",Prueba[[#This Row],[Puesto6]]=""),"?",Prueba[[#This Row],[Puesto6]]))</f>
        <v>0</v>
      </c>
      <c r="O578" s="31">
        <v>1</v>
      </c>
      <c r="P578" s="32">
        <f>IF(Prueba[[#This Row],[Cant.5]]=0,"",IF(OR(Prueba[[#This Row],[Cant.6]]="",Prueba[[#This Row],[Puesto6]]=""),"?",Prueba[[#This Row],[Puesto6]]))</f>
        <v>0</v>
      </c>
      <c r="Q578" s="31">
        <v>1</v>
      </c>
      <c r="R578" s="32">
        <v>0</v>
      </c>
      <c r="S578" s="14">
        <v>1</v>
      </c>
      <c r="T578" s="14">
        <v>0</v>
      </c>
      <c r="U578" s="31"/>
      <c r="V578" s="113" t="s">
        <v>1663</v>
      </c>
      <c r="W578" s="19"/>
      <c r="X578" s="19" t="s">
        <v>1667</v>
      </c>
      <c r="Y578" s="19" t="s">
        <v>1663</v>
      </c>
      <c r="Z578" s="19" t="s">
        <v>1663</v>
      </c>
      <c r="AA578" s="19" t="s">
        <v>1663</v>
      </c>
      <c r="AB578" s="19" t="s">
        <v>1663</v>
      </c>
    </row>
    <row r="579" spans="1:28" s="18" customFormat="1">
      <c r="A579" s="18" t="s">
        <v>1353</v>
      </c>
      <c r="B579" s="18" t="s">
        <v>9</v>
      </c>
      <c r="C579" s="18" t="s">
        <v>1354</v>
      </c>
      <c r="D579" s="18" t="s">
        <v>41</v>
      </c>
      <c r="E579" s="19" t="s">
        <v>18</v>
      </c>
      <c r="F579" s="18" t="s">
        <v>13</v>
      </c>
      <c r="G579" s="29"/>
      <c r="H579" s="32" t="str">
        <f>IF(Prueba[[#This Row],[Cant.]]=0,"",IF(OR(Prueba[[#This Row],[Cant.2]]="",Prueba[[#This Row],[Puesto2]]=""),"?",Prueba[[#This Row],[Puesto2]]))</f>
        <v/>
      </c>
      <c r="I579" s="31"/>
      <c r="J579" s="32"/>
      <c r="K579" s="14">
        <v>1</v>
      </c>
      <c r="L579" s="14"/>
      <c r="M579" s="31">
        <v>1</v>
      </c>
      <c r="N579" s="32" t="str">
        <f>IF(Prueba[[#This Row],[Cant.4]]=0,"",IF(OR(Prueba[[#This Row],[Cant.6]]="",Prueba[[#This Row],[Puesto6]]=""),"?",Prueba[[#This Row],[Puesto6]]))</f>
        <v>C</v>
      </c>
      <c r="O579" s="31"/>
      <c r="P579" s="32" t="str">
        <f>IF(Prueba[[#This Row],[Cant.5]]=0,"",IF(OR(Prueba[[#This Row],[Cant.6]]="",Prueba[[#This Row],[Puesto6]]=""),"?",Prueba[[#This Row],[Puesto6]]))</f>
        <v/>
      </c>
      <c r="Q579" s="31">
        <v>1</v>
      </c>
      <c r="R579" s="32" t="s">
        <v>1402</v>
      </c>
      <c r="S579" s="14">
        <v>1</v>
      </c>
      <c r="T579" s="14" t="s">
        <v>1402</v>
      </c>
      <c r="U579" s="31"/>
      <c r="V579" s="32" t="s">
        <v>1663</v>
      </c>
      <c r="W579" s="19"/>
      <c r="X579" s="19" t="s">
        <v>1667</v>
      </c>
      <c r="Y579" s="19" t="s">
        <v>1663</v>
      </c>
      <c r="Z579" s="19" t="s">
        <v>1663</v>
      </c>
      <c r="AA579" s="19" t="s">
        <v>1663</v>
      </c>
      <c r="AB579" s="19" t="s">
        <v>1663</v>
      </c>
    </row>
    <row r="580" spans="1:28" s="18" customFormat="1">
      <c r="A580" s="18" t="s">
        <v>2021</v>
      </c>
      <c r="B580" s="18" t="s">
        <v>9</v>
      </c>
      <c r="C580" s="18" t="s">
        <v>1356</v>
      </c>
      <c r="D580" s="18" t="s">
        <v>1357</v>
      </c>
      <c r="E580" s="19" t="s">
        <v>18</v>
      </c>
      <c r="F580" s="18" t="s">
        <v>13</v>
      </c>
      <c r="G580" s="29"/>
      <c r="H580" s="32" t="str">
        <f>IF(Prueba[[#This Row],[Cant.]]=0,"",IF(OR(Prueba[[#This Row],[Cant.2]]="",Prueba[[#This Row],[Puesto2]]=""),"?",Prueba[[#This Row],[Puesto2]]))</f>
        <v/>
      </c>
      <c r="I580" s="31"/>
      <c r="J580" s="32"/>
      <c r="K580" s="14">
        <v>1</v>
      </c>
      <c r="L580" s="14"/>
      <c r="M580" s="31"/>
      <c r="N580" s="32" t="str">
        <f>IF(Prueba[[#This Row],[Cant.4]]=0,"",IF(OR(Prueba[[#This Row],[Cant.6]]="",Prueba[[#This Row],[Puesto6]]=""),"?",Prueba[[#This Row],[Puesto6]]))</f>
        <v/>
      </c>
      <c r="O580" s="31"/>
      <c r="P580" s="32" t="str">
        <f>IF(Prueba[[#This Row],[Cant.5]]=0,"",IF(OR(Prueba[[#This Row],[Cant.6]]="",Prueba[[#This Row],[Puesto6]]=""),"?",Prueba[[#This Row],[Puesto6]]))</f>
        <v/>
      </c>
      <c r="Q580" s="31"/>
      <c r="R580" s="32"/>
      <c r="S580" s="14"/>
      <c r="T580" s="14"/>
      <c r="U580" s="31"/>
      <c r="V580" s="32" t="s">
        <v>1663</v>
      </c>
      <c r="W580" s="19"/>
      <c r="X580" s="19" t="s">
        <v>1667</v>
      </c>
      <c r="Y580" s="19" t="s">
        <v>1663</v>
      </c>
      <c r="Z580" s="19" t="s">
        <v>1663</v>
      </c>
      <c r="AA580" s="19" t="s">
        <v>1663</v>
      </c>
      <c r="AB580" s="19" t="s">
        <v>1663</v>
      </c>
    </row>
    <row r="581" spans="1:28" s="18" customFormat="1">
      <c r="A581" s="18" t="s">
        <v>2022</v>
      </c>
      <c r="B581" s="18" t="s">
        <v>1806</v>
      </c>
      <c r="C581" s="18" t="s">
        <v>1754</v>
      </c>
      <c r="D581" s="18" t="s">
        <v>1918</v>
      </c>
      <c r="E581" s="19" t="s">
        <v>18</v>
      </c>
      <c r="F581" s="18" t="s">
        <v>13</v>
      </c>
      <c r="G581" s="29"/>
      <c r="H581" s="32" t="str">
        <f>IF(Prueba[[#This Row],[Cant.]]=0,"",IF(OR(Prueba[[#This Row],[Cant.2]]="",Prueba[[#This Row],[Puesto2]]=""),"?",Prueba[[#This Row],[Puesto2]]))</f>
        <v/>
      </c>
      <c r="I581" s="31"/>
      <c r="J581" s="32"/>
      <c r="K581" s="14"/>
      <c r="L581" s="14"/>
      <c r="M581" s="31">
        <v>1</v>
      </c>
      <c r="N581" s="32">
        <v>2</v>
      </c>
      <c r="O581" s="31"/>
      <c r="P581" s="32" t="str">
        <f>IF(Prueba[[#This Row],[Cant.5]]=0,"",IF(OR(Prueba[[#This Row],[Cant.6]]="",Prueba[[#This Row],[Puesto6]]=""),"?",Prueba[[#This Row],[Puesto6]]))</f>
        <v/>
      </c>
      <c r="Q581" s="31"/>
      <c r="R581" s="32"/>
      <c r="S581" s="14"/>
      <c r="T581" s="14"/>
      <c r="U581" s="31"/>
      <c r="V581" s="32" t="s">
        <v>1663</v>
      </c>
      <c r="W581" s="19"/>
      <c r="X581" s="19" t="s">
        <v>1667</v>
      </c>
      <c r="Y581" s="19" t="s">
        <v>1663</v>
      </c>
      <c r="Z581" s="19" t="s">
        <v>1663</v>
      </c>
      <c r="AA581" s="19" t="s">
        <v>1663</v>
      </c>
      <c r="AB581" s="19" t="s">
        <v>1663</v>
      </c>
    </row>
    <row r="582" spans="1:28" s="18" customFormat="1">
      <c r="A582" s="18" t="s">
        <v>2023</v>
      </c>
      <c r="B582" s="18" t="s">
        <v>9</v>
      </c>
      <c r="C582" s="18" t="s">
        <v>1754</v>
      </c>
      <c r="D582" s="18" t="s">
        <v>1918</v>
      </c>
      <c r="E582" s="19" t="s">
        <v>18</v>
      </c>
      <c r="F582" s="18" t="s">
        <v>13</v>
      </c>
      <c r="G582" s="29"/>
      <c r="H582" s="32" t="str">
        <f>IF(Prueba[[#This Row],[Cant.]]=0,"",IF(OR(Prueba[[#This Row],[Cant.2]]="",Prueba[[#This Row],[Puesto2]]=""),"?",Prueba[[#This Row],[Puesto2]]))</f>
        <v/>
      </c>
      <c r="I582" s="31"/>
      <c r="J582" s="32"/>
      <c r="K582" s="14"/>
      <c r="L582" s="14"/>
      <c r="M582" s="31"/>
      <c r="N582" s="32" t="str">
        <f>IF(Prueba[[#This Row],[Cant.4]]=0,"",IF(OR(Prueba[[#This Row],[Cant.6]]="",Prueba[[#This Row],[Puesto6]]=""),"?",Prueba[[#This Row],[Puesto6]]))</f>
        <v/>
      </c>
      <c r="O582" s="31"/>
      <c r="P582" s="32" t="str">
        <f>IF(Prueba[[#This Row],[Cant.5]]=0,"",IF(OR(Prueba[[#This Row],[Cant.6]]="",Prueba[[#This Row],[Puesto6]]=""),"?",Prueba[[#This Row],[Puesto6]]))</f>
        <v/>
      </c>
      <c r="Q582" s="31">
        <v>1</v>
      </c>
      <c r="R582" s="32">
        <v>2</v>
      </c>
      <c r="S582" s="14"/>
      <c r="T582" s="14"/>
      <c r="U582" s="31"/>
      <c r="V582" s="32" t="s">
        <v>1663</v>
      </c>
      <c r="W582" s="19"/>
      <c r="X582" s="19" t="s">
        <v>1667</v>
      </c>
      <c r="Y582" s="19" t="s">
        <v>1663</v>
      </c>
      <c r="Z582" s="19" t="s">
        <v>1663</v>
      </c>
      <c r="AA582" s="19" t="s">
        <v>1663</v>
      </c>
      <c r="AB582" s="19" t="s">
        <v>1663</v>
      </c>
    </row>
    <row r="583" spans="1:28" s="18" customFormat="1">
      <c r="A583" s="18" t="s">
        <v>2024</v>
      </c>
      <c r="B583" s="18" t="s">
        <v>9</v>
      </c>
      <c r="C583" s="18" t="s">
        <v>1754</v>
      </c>
      <c r="D583" s="18" t="s">
        <v>1918</v>
      </c>
      <c r="E583" s="19" t="s">
        <v>18</v>
      </c>
      <c r="F583" s="18" t="s">
        <v>13</v>
      </c>
      <c r="G583" s="29"/>
      <c r="H583" s="32" t="str">
        <f>IF(Prueba[[#This Row],[Cant.]]=0,"",IF(OR(Prueba[[#This Row],[Cant.2]]="",Prueba[[#This Row],[Puesto2]]=""),"?",Prueba[[#This Row],[Puesto2]]))</f>
        <v/>
      </c>
      <c r="I583" s="31"/>
      <c r="J583" s="32"/>
      <c r="K583" s="14"/>
      <c r="L583" s="14"/>
      <c r="M583" s="31"/>
      <c r="N583" s="32" t="str">
        <f>IF(Prueba[[#This Row],[Cant.4]]=0,"",IF(OR(Prueba[[#This Row],[Cant.6]]="",Prueba[[#This Row],[Puesto6]]=""),"?",Prueba[[#This Row],[Puesto6]]))</f>
        <v/>
      </c>
      <c r="O583" s="31"/>
      <c r="P583" s="32" t="str">
        <f>IF(Prueba[[#This Row],[Cant.5]]=0,"",IF(OR(Prueba[[#This Row],[Cant.6]]="",Prueba[[#This Row],[Puesto6]]=""),"?",Prueba[[#This Row],[Puesto6]]))</f>
        <v/>
      </c>
      <c r="Q583" s="31"/>
      <c r="R583" s="32"/>
      <c r="S583" s="14">
        <v>1</v>
      </c>
      <c r="T583" s="14">
        <v>2</v>
      </c>
      <c r="U583" s="31"/>
      <c r="V583" s="32" t="s">
        <v>1663</v>
      </c>
      <c r="W583" s="19"/>
      <c r="X583" s="19" t="s">
        <v>1667</v>
      </c>
      <c r="Y583" s="19" t="s">
        <v>1663</v>
      </c>
      <c r="Z583" s="19" t="s">
        <v>1663</v>
      </c>
      <c r="AA583" s="19" t="s">
        <v>1663</v>
      </c>
      <c r="AB583" s="19" t="s">
        <v>1663</v>
      </c>
    </row>
    <row r="584" spans="1:28" s="18" customFormat="1">
      <c r="A584" s="18" t="s">
        <v>2025</v>
      </c>
      <c r="B584" s="18" t="s">
        <v>9</v>
      </c>
      <c r="C584" s="18" t="s">
        <v>1761</v>
      </c>
      <c r="D584" s="18" t="s">
        <v>1360</v>
      </c>
      <c r="E584" s="19" t="s">
        <v>289</v>
      </c>
      <c r="F584" s="18" t="s">
        <v>13</v>
      </c>
      <c r="G584" s="29"/>
      <c r="H584" s="32" t="str">
        <f>IF(Prueba[[#This Row],[Cant.]]=0,"",IF(OR(Prueba[[#This Row],[Cant.2]]="",Prueba[[#This Row],[Puesto2]]=""),"?",Prueba[[#This Row],[Puesto2]]))</f>
        <v/>
      </c>
      <c r="I584" s="31"/>
      <c r="J584" s="32"/>
      <c r="K584" s="14">
        <v>1</v>
      </c>
      <c r="L584" s="14"/>
      <c r="M584" s="31"/>
      <c r="N584" s="32" t="str">
        <f>IF(Prueba[[#This Row],[Cant.4]]=0,"",IF(OR(Prueba[[#This Row],[Cant.6]]="",Prueba[[#This Row],[Puesto6]]=""),"?",Prueba[[#This Row],[Puesto6]]))</f>
        <v/>
      </c>
      <c r="O584" s="31"/>
      <c r="P584" s="32" t="str">
        <f>IF(Prueba[[#This Row],[Cant.5]]=0,"",IF(OR(Prueba[[#This Row],[Cant.6]]="",Prueba[[#This Row],[Puesto6]]=""),"?",Prueba[[#This Row],[Puesto6]]))</f>
        <v/>
      </c>
      <c r="Q584" s="31"/>
      <c r="R584" s="32"/>
      <c r="S584" s="14"/>
      <c r="T584" s="14"/>
      <c r="U584" s="31"/>
      <c r="V584" s="32" t="s">
        <v>1663</v>
      </c>
      <c r="W584" s="19"/>
      <c r="X584" s="19" t="s">
        <v>1667</v>
      </c>
      <c r="Y584" s="19" t="s">
        <v>1663</v>
      </c>
      <c r="Z584" s="19" t="s">
        <v>1663</v>
      </c>
      <c r="AA584" s="19" t="s">
        <v>1663</v>
      </c>
      <c r="AB584" s="19" t="s">
        <v>1663</v>
      </c>
    </row>
    <row r="585" spans="1:28" s="18" customFormat="1">
      <c r="A585" s="18" t="s">
        <v>2026</v>
      </c>
      <c r="B585" s="18" t="s">
        <v>1806</v>
      </c>
      <c r="C585" s="18" t="s">
        <v>1761</v>
      </c>
      <c r="D585" s="18" t="s">
        <v>1920</v>
      </c>
      <c r="E585" s="19" t="s">
        <v>289</v>
      </c>
      <c r="F585" s="18" t="s">
        <v>13</v>
      </c>
      <c r="G585" s="29"/>
      <c r="H585" s="32" t="str">
        <f>IF(Prueba[[#This Row],[Cant.]]=0,"",IF(OR(Prueba[[#This Row],[Cant.2]]="",Prueba[[#This Row],[Puesto2]]=""),"?",Prueba[[#This Row],[Puesto2]]))</f>
        <v/>
      </c>
      <c r="I585" s="31"/>
      <c r="J585" s="32"/>
      <c r="K585" s="14"/>
      <c r="L585" s="14"/>
      <c r="M585" s="31">
        <v>1</v>
      </c>
      <c r="N585" s="32">
        <v>0</v>
      </c>
      <c r="O585" s="31"/>
      <c r="P585" s="32" t="str">
        <f>IF(Prueba[[#This Row],[Cant.5]]=0,"",IF(OR(Prueba[[#This Row],[Cant.6]]="",Prueba[[#This Row],[Puesto6]]=""),"?",Prueba[[#This Row],[Puesto6]]))</f>
        <v/>
      </c>
      <c r="Q585" s="31"/>
      <c r="R585" s="32"/>
      <c r="S585" s="14"/>
      <c r="T585" s="14"/>
      <c r="U585" s="31"/>
      <c r="V585" s="32" t="s">
        <v>1663</v>
      </c>
      <c r="W585" s="19"/>
      <c r="X585" s="19" t="s">
        <v>1667</v>
      </c>
      <c r="Y585" s="19" t="s">
        <v>1663</v>
      </c>
      <c r="Z585" s="19" t="s">
        <v>1663</v>
      </c>
      <c r="AA585" s="19" t="s">
        <v>1663</v>
      </c>
      <c r="AB585" s="19" t="s">
        <v>1663</v>
      </c>
    </row>
    <row r="586" spans="1:28" s="18" customFormat="1">
      <c r="A586" s="18" t="s">
        <v>2027</v>
      </c>
      <c r="B586" s="18" t="s">
        <v>9</v>
      </c>
      <c r="C586" s="18" t="s">
        <v>1761</v>
      </c>
      <c r="D586" s="18" t="s">
        <v>1920</v>
      </c>
      <c r="E586" s="19" t="s">
        <v>289</v>
      </c>
      <c r="F586" s="18" t="s">
        <v>13</v>
      </c>
      <c r="G586" s="29"/>
      <c r="H586" s="32" t="str">
        <f>IF(Prueba[[#This Row],[Cant.]]=0,"",IF(OR(Prueba[[#This Row],[Cant.2]]="",Prueba[[#This Row],[Puesto2]]=""),"?",Prueba[[#This Row],[Puesto2]]))</f>
        <v/>
      </c>
      <c r="I586" s="31"/>
      <c r="J586" s="32"/>
      <c r="K586" s="14"/>
      <c r="L586" s="14"/>
      <c r="M586" s="31"/>
      <c r="N586" s="32" t="str">
        <f>IF(Prueba[[#This Row],[Cant.4]]=0,"",IF(OR(Prueba[[#This Row],[Cant.6]]="",Prueba[[#This Row],[Puesto6]]=""),"?",Prueba[[#This Row],[Puesto6]]))</f>
        <v/>
      </c>
      <c r="O586" s="31"/>
      <c r="P586" s="32" t="str">
        <f>IF(Prueba[[#This Row],[Cant.5]]=0,"",IF(OR(Prueba[[#This Row],[Cant.6]]="",Prueba[[#This Row],[Puesto6]]=""),"?",Prueba[[#This Row],[Puesto6]]))</f>
        <v/>
      </c>
      <c r="Q586" s="31">
        <v>1</v>
      </c>
      <c r="R586" s="32">
        <v>0</v>
      </c>
      <c r="S586" s="14"/>
      <c r="T586" s="14"/>
      <c r="U586" s="31"/>
      <c r="V586" s="32" t="s">
        <v>1663</v>
      </c>
      <c r="W586" s="19"/>
      <c r="X586" s="19" t="s">
        <v>1667</v>
      </c>
      <c r="Y586" s="19" t="s">
        <v>1663</v>
      </c>
      <c r="Z586" s="19" t="s">
        <v>1663</v>
      </c>
      <c r="AA586" s="19" t="s">
        <v>1663</v>
      </c>
      <c r="AB586" s="19" t="s">
        <v>1663</v>
      </c>
    </row>
    <row r="587" spans="1:28" s="18" customFormat="1">
      <c r="A587" s="18" t="s">
        <v>2028</v>
      </c>
      <c r="B587" s="18" t="s">
        <v>9</v>
      </c>
      <c r="C587" s="18" t="s">
        <v>1761</v>
      </c>
      <c r="D587" s="18" t="s">
        <v>2029</v>
      </c>
      <c r="E587" s="19" t="s">
        <v>289</v>
      </c>
      <c r="F587" s="18" t="s">
        <v>13</v>
      </c>
      <c r="G587" s="29"/>
      <c r="H587" s="32" t="str">
        <f>IF(Prueba[[#This Row],[Cant.]]=0,"",IF(OR(Prueba[[#This Row],[Cant.2]]="",Prueba[[#This Row],[Puesto2]]=""),"?",Prueba[[#This Row],[Puesto2]]))</f>
        <v/>
      </c>
      <c r="I587" s="31"/>
      <c r="J587" s="32"/>
      <c r="K587" s="14"/>
      <c r="L587" s="14"/>
      <c r="M587" s="31"/>
      <c r="N587" s="32" t="str">
        <f>IF(Prueba[[#This Row],[Cant.4]]=0,"",IF(OR(Prueba[[#This Row],[Cant.6]]="",Prueba[[#This Row],[Puesto6]]=""),"?",Prueba[[#This Row],[Puesto6]]))</f>
        <v/>
      </c>
      <c r="O587" s="31"/>
      <c r="P587" s="32" t="str">
        <f>IF(Prueba[[#This Row],[Cant.5]]=0,"",IF(OR(Prueba[[#This Row],[Cant.6]]="",Prueba[[#This Row],[Puesto6]]=""),"?",Prueba[[#This Row],[Puesto6]]))</f>
        <v/>
      </c>
      <c r="Q587" s="31"/>
      <c r="R587" s="32"/>
      <c r="S587" s="14">
        <v>1</v>
      </c>
      <c r="T587" s="14">
        <v>0</v>
      </c>
      <c r="U587" s="31"/>
      <c r="V587" s="32" t="s">
        <v>1663</v>
      </c>
      <c r="W587" s="19"/>
      <c r="X587" s="19" t="s">
        <v>1667</v>
      </c>
      <c r="Y587" s="19" t="s">
        <v>1663</v>
      </c>
      <c r="Z587" s="19" t="s">
        <v>1663</v>
      </c>
      <c r="AA587" s="19" t="s">
        <v>1663</v>
      </c>
      <c r="AB587" s="19" t="s">
        <v>1663</v>
      </c>
    </row>
    <row r="588" spans="1:28" s="18" customFormat="1">
      <c r="A588" s="18" t="s">
        <v>1081</v>
      </c>
      <c r="B588" s="18" t="s">
        <v>9</v>
      </c>
      <c r="C588" s="18" t="s">
        <v>557</v>
      </c>
      <c r="D588" s="18" t="s">
        <v>558</v>
      </c>
      <c r="E588" s="19" t="s">
        <v>22</v>
      </c>
      <c r="F588" s="18" t="s">
        <v>13</v>
      </c>
      <c r="G588" s="29"/>
      <c r="H588" s="32" t="str">
        <f>IF(Prueba[[#This Row],[Cant.]]=0,"",IF(OR(Prueba[[#This Row],[Cant.2]]="",Prueba[[#This Row],[Puesto2]]=""),"?",Prueba[[#This Row],[Puesto2]]))</f>
        <v/>
      </c>
      <c r="I588" s="31"/>
      <c r="J588" s="32"/>
      <c r="K588" s="14">
        <v>4</v>
      </c>
      <c r="L588" s="14"/>
      <c r="M588" s="31">
        <v>4</v>
      </c>
      <c r="N588" s="32" t="str">
        <f>IF(Prueba[[#This Row],[Cant.4]]=0,"",IF(OR(Prueba[[#This Row],[Cant.6]]="",Prueba[[#This Row],[Puesto6]]=""),"?",Prueba[[#This Row],[Puesto6]]))</f>
        <v>2x0 + 2x5</v>
      </c>
      <c r="O588" s="31">
        <v>4</v>
      </c>
      <c r="P588" s="32" t="str">
        <f>IF(Prueba[[#This Row],[Cant.5]]=0,"",IF(OR(Prueba[[#This Row],[Cant.6]]="",Prueba[[#This Row],[Puesto6]]=""),"?",Prueba[[#This Row],[Puesto6]]))</f>
        <v>2x0 + 2x5</v>
      </c>
      <c r="Q588" s="31">
        <v>4</v>
      </c>
      <c r="R588" s="32" t="s">
        <v>2030</v>
      </c>
      <c r="S588" s="14">
        <v>4</v>
      </c>
      <c r="T588" s="14" t="s">
        <v>2031</v>
      </c>
      <c r="U588" s="31"/>
      <c r="V588" s="32" t="s">
        <v>1663</v>
      </c>
      <c r="W588" s="19">
        <v>16</v>
      </c>
      <c r="X588" s="19" t="s">
        <v>1664</v>
      </c>
      <c r="Y588" s="19" t="s">
        <v>1663</v>
      </c>
      <c r="Z588" s="19" t="s">
        <v>1663</v>
      </c>
      <c r="AA588" s="19" t="s">
        <v>1663</v>
      </c>
      <c r="AB588" s="19" t="s">
        <v>1663</v>
      </c>
    </row>
    <row r="589" spans="1:28" s="18" customFormat="1">
      <c r="A589" s="18" t="s">
        <v>1082</v>
      </c>
      <c r="B589" s="18" t="s">
        <v>9</v>
      </c>
      <c r="C589" s="18" t="s">
        <v>84</v>
      </c>
      <c r="D589" s="18" t="s">
        <v>41</v>
      </c>
      <c r="E589" s="19" t="s">
        <v>18</v>
      </c>
      <c r="F589" s="18" t="s">
        <v>13</v>
      </c>
      <c r="G589" s="29"/>
      <c r="H589" s="32" t="str">
        <f>IF(Prueba[[#This Row],[Cant.]]=0,"",IF(OR(Prueba[[#This Row],[Cant.2]]="",Prueba[[#This Row],[Puesto2]]=""),"?",Prueba[[#This Row],[Puesto2]]))</f>
        <v/>
      </c>
      <c r="I589" s="31"/>
      <c r="J589" s="32"/>
      <c r="K589" s="14">
        <v>1</v>
      </c>
      <c r="L589" s="14"/>
      <c r="M589" s="31">
        <v>1</v>
      </c>
      <c r="N589" s="32">
        <f>IF(Prueba[[#This Row],[Cant.4]]=0,"",IF(OR(Prueba[[#This Row],[Cant.6]]="",Prueba[[#This Row],[Puesto6]]=""),"?",Prueba[[#This Row],[Puesto6]]))</f>
        <v>5</v>
      </c>
      <c r="O589" s="31">
        <v>1</v>
      </c>
      <c r="P589" s="32">
        <f>IF(Prueba[[#This Row],[Cant.5]]=0,"",IF(OR(Prueba[[#This Row],[Cant.6]]="",Prueba[[#This Row],[Puesto6]]=""),"?",Prueba[[#This Row],[Puesto6]]))</f>
        <v>5</v>
      </c>
      <c r="Q589" s="31">
        <v>1</v>
      </c>
      <c r="R589" s="32">
        <v>5</v>
      </c>
      <c r="S589" s="14">
        <v>1</v>
      </c>
      <c r="T589" s="14">
        <v>5</v>
      </c>
      <c r="U589" s="31"/>
      <c r="V589" s="32" t="s">
        <v>1663</v>
      </c>
      <c r="W589" s="19"/>
      <c r="X589" s="19" t="s">
        <v>1667</v>
      </c>
      <c r="Y589" s="19" t="s">
        <v>1663</v>
      </c>
      <c r="Z589" s="19" t="s">
        <v>1663</v>
      </c>
      <c r="AA589" s="19" t="s">
        <v>1663</v>
      </c>
      <c r="AB589" s="19" t="s">
        <v>1663</v>
      </c>
    </row>
    <row r="590" spans="1:28" s="40" customFormat="1">
      <c r="A590" s="18" t="s">
        <v>1083</v>
      </c>
      <c r="B590" s="18" t="s">
        <v>9</v>
      </c>
      <c r="C590" s="18" t="s">
        <v>84</v>
      </c>
      <c r="D590" s="18" t="s">
        <v>41</v>
      </c>
      <c r="E590" s="19" t="s">
        <v>18</v>
      </c>
      <c r="F590" s="18" t="s">
        <v>13</v>
      </c>
      <c r="G590" s="29"/>
      <c r="H590" s="32" t="str">
        <f>IF(Prueba[[#This Row],[Cant.]]=0,"",IF(OR(Prueba[[#This Row],[Cant.2]]="",Prueba[[#This Row],[Puesto2]]=""),"?",Prueba[[#This Row],[Puesto2]]))</f>
        <v/>
      </c>
      <c r="I590" s="31"/>
      <c r="J590" s="32"/>
      <c r="K590" s="14">
        <v>1</v>
      </c>
      <c r="L590" s="14"/>
      <c r="M590" s="31">
        <v>1</v>
      </c>
      <c r="N590" s="32">
        <f>IF(Prueba[[#This Row],[Cant.4]]=0,"",IF(OR(Prueba[[#This Row],[Cant.6]]="",Prueba[[#This Row],[Puesto6]]=""),"?",Prueba[[#This Row],[Puesto6]]))</f>
        <v>0</v>
      </c>
      <c r="O590" s="31">
        <v>1</v>
      </c>
      <c r="P590" s="32">
        <f>IF(Prueba[[#This Row],[Cant.5]]=0,"",IF(OR(Prueba[[#This Row],[Cant.6]]="",Prueba[[#This Row],[Puesto6]]=""),"?",Prueba[[#This Row],[Puesto6]]))</f>
        <v>0</v>
      </c>
      <c r="Q590" s="31">
        <v>1</v>
      </c>
      <c r="R590" s="32">
        <v>0</v>
      </c>
      <c r="S590" s="14">
        <v>1</v>
      </c>
      <c r="T590" s="14">
        <v>0</v>
      </c>
      <c r="U590" s="31"/>
      <c r="V590" s="32" t="s">
        <v>1663</v>
      </c>
      <c r="W590" s="19"/>
      <c r="X590" s="19" t="s">
        <v>1667</v>
      </c>
      <c r="Y590" s="19" t="s">
        <v>1663</v>
      </c>
      <c r="Z590" s="19" t="s">
        <v>1663</v>
      </c>
      <c r="AA590" s="19" t="s">
        <v>1663</v>
      </c>
      <c r="AB590" s="19" t="s">
        <v>1663</v>
      </c>
    </row>
    <row r="591" spans="1:28" s="18" customFormat="1">
      <c r="A591" s="18" t="s">
        <v>1084</v>
      </c>
      <c r="B591" s="18" t="s">
        <v>9</v>
      </c>
      <c r="C591" s="18" t="s">
        <v>84</v>
      </c>
      <c r="D591" s="18" t="s">
        <v>41</v>
      </c>
      <c r="E591" s="19" t="s">
        <v>18</v>
      </c>
      <c r="F591" s="18" t="s">
        <v>13</v>
      </c>
      <c r="G591" s="29"/>
      <c r="H591" s="32" t="str">
        <f>IF(Prueba[[#This Row],[Cant.]]=0,"",IF(OR(Prueba[[#This Row],[Cant.2]]="",Prueba[[#This Row],[Puesto2]]=""),"?",Prueba[[#This Row],[Puesto2]]))</f>
        <v/>
      </c>
      <c r="I591" s="31"/>
      <c r="J591" s="32"/>
      <c r="K591" s="14">
        <v>1</v>
      </c>
      <c r="L591" s="14"/>
      <c r="M591" s="31">
        <v>1</v>
      </c>
      <c r="N591" s="32">
        <f>IF(Prueba[[#This Row],[Cant.4]]=0,"",IF(OR(Prueba[[#This Row],[Cant.6]]="",Prueba[[#This Row],[Puesto6]]=""),"?",Prueba[[#This Row],[Puesto6]]))</f>
        <v>0</v>
      </c>
      <c r="O591" s="31">
        <v>1</v>
      </c>
      <c r="P591" s="32">
        <f>IF(Prueba[[#This Row],[Cant.5]]=0,"",IF(OR(Prueba[[#This Row],[Cant.6]]="",Prueba[[#This Row],[Puesto6]]=""),"?",Prueba[[#This Row],[Puesto6]]))</f>
        <v>0</v>
      </c>
      <c r="Q591" s="31">
        <v>1</v>
      </c>
      <c r="R591" s="32">
        <v>0</v>
      </c>
      <c r="S591" s="14">
        <v>1</v>
      </c>
      <c r="T591" s="14">
        <v>0</v>
      </c>
      <c r="U591" s="31"/>
      <c r="V591" s="32" t="s">
        <v>1663</v>
      </c>
      <c r="W591" s="19"/>
      <c r="X591" s="19" t="s">
        <v>1667</v>
      </c>
      <c r="Y591" s="19" t="s">
        <v>1663</v>
      </c>
      <c r="Z591" s="19" t="s">
        <v>1663</v>
      </c>
      <c r="AA591" s="19" t="s">
        <v>1663</v>
      </c>
      <c r="AB591" s="19" t="s">
        <v>1663</v>
      </c>
    </row>
    <row r="592" spans="1:28" s="18" customFormat="1">
      <c r="A592" s="18" t="s">
        <v>1085</v>
      </c>
      <c r="B592" s="18" t="s">
        <v>9</v>
      </c>
      <c r="C592" s="18" t="s">
        <v>84</v>
      </c>
      <c r="D592" s="18" t="s">
        <v>41</v>
      </c>
      <c r="E592" s="19" t="s">
        <v>18</v>
      </c>
      <c r="F592" s="18" t="s">
        <v>13</v>
      </c>
      <c r="G592" s="29"/>
      <c r="H592" s="32" t="str">
        <f>IF(Prueba[[#This Row],[Cant.]]=0,"",IF(OR(Prueba[[#This Row],[Cant.2]]="",Prueba[[#This Row],[Puesto2]]=""),"?",Prueba[[#This Row],[Puesto2]]))</f>
        <v/>
      </c>
      <c r="I592" s="31"/>
      <c r="J592" s="32"/>
      <c r="K592" s="14">
        <v>1</v>
      </c>
      <c r="L592" s="14"/>
      <c r="M592" s="31">
        <v>1</v>
      </c>
      <c r="N592" s="32">
        <f>IF(Prueba[[#This Row],[Cant.4]]=0,"",IF(OR(Prueba[[#This Row],[Cant.6]]="",Prueba[[#This Row],[Puesto6]]=""),"?",Prueba[[#This Row],[Puesto6]]))</f>
        <v>5</v>
      </c>
      <c r="O592" s="31">
        <v>2</v>
      </c>
      <c r="P592" s="32">
        <f>IF(Prueba[[#This Row],[Cant.5]]=0,"",IF(OR(Prueba[[#This Row],[Cant.6]]="",Prueba[[#This Row],[Puesto6]]=""),"?",Prueba[[#This Row],[Puesto6]]))</f>
        <v>5</v>
      </c>
      <c r="Q592" s="31">
        <v>1</v>
      </c>
      <c r="R592" s="32">
        <v>5</v>
      </c>
      <c r="S592" s="14">
        <v>1</v>
      </c>
      <c r="T592" s="14">
        <v>5</v>
      </c>
      <c r="U592" s="31"/>
      <c r="V592" s="32" t="s">
        <v>1663</v>
      </c>
      <c r="W592" s="19"/>
      <c r="X592" s="19" t="s">
        <v>1667</v>
      </c>
      <c r="Y592" s="19" t="s">
        <v>1663</v>
      </c>
      <c r="Z592" s="19" t="s">
        <v>1663</v>
      </c>
      <c r="AA592" s="19" t="s">
        <v>1663</v>
      </c>
      <c r="AB592" s="19" t="s">
        <v>1663</v>
      </c>
    </row>
    <row r="593" spans="1:28" s="18" customFormat="1">
      <c r="A593" s="18" t="s">
        <v>1086</v>
      </c>
      <c r="B593" s="18" t="s">
        <v>9</v>
      </c>
      <c r="C593" s="18" t="s">
        <v>179</v>
      </c>
      <c r="D593" s="18" t="s">
        <v>1087</v>
      </c>
      <c r="E593" s="19" t="s">
        <v>18</v>
      </c>
      <c r="F593" s="18" t="s">
        <v>13</v>
      </c>
      <c r="G593" s="29"/>
      <c r="H593" s="32" t="str">
        <f>IF(Prueba[[#This Row],[Cant.]]=0,"",IF(OR(Prueba[[#This Row],[Cant.2]]="",Prueba[[#This Row],[Puesto2]]=""),"?",Prueba[[#This Row],[Puesto2]]))</f>
        <v/>
      </c>
      <c r="I593" s="31"/>
      <c r="J593" s="32"/>
      <c r="K593" s="14">
        <v>1</v>
      </c>
      <c r="L593" s="14"/>
      <c r="M593" s="31">
        <v>1</v>
      </c>
      <c r="N593" s="32">
        <f>IF(Prueba[[#This Row],[Cant.4]]=0,"",IF(OR(Prueba[[#This Row],[Cant.6]]="",Prueba[[#This Row],[Puesto6]]=""),"?",Prueba[[#This Row],[Puesto6]]))</f>
        <v>2</v>
      </c>
      <c r="O593" s="31">
        <v>1</v>
      </c>
      <c r="P593" s="32">
        <f>IF(Prueba[[#This Row],[Cant.5]]=0,"",IF(OR(Prueba[[#This Row],[Cant.6]]="",Prueba[[#This Row],[Puesto6]]=""),"?",Prueba[[#This Row],[Puesto6]]))</f>
        <v>2</v>
      </c>
      <c r="Q593" s="31">
        <v>1</v>
      </c>
      <c r="R593" s="32">
        <v>2</v>
      </c>
      <c r="S593" s="14">
        <v>1</v>
      </c>
      <c r="T593" s="14">
        <v>2</v>
      </c>
      <c r="U593" s="31"/>
      <c r="V593" s="32" t="s">
        <v>1663</v>
      </c>
      <c r="W593" s="19"/>
      <c r="X593" s="19" t="s">
        <v>1667</v>
      </c>
      <c r="Y593" s="19" t="s">
        <v>1663</v>
      </c>
      <c r="Z593" s="19" t="s">
        <v>1663</v>
      </c>
      <c r="AA593" s="19" t="s">
        <v>1663</v>
      </c>
      <c r="AB593" s="19" t="s">
        <v>1663</v>
      </c>
    </row>
    <row r="594" spans="1:28" s="18" customFormat="1">
      <c r="A594" s="18" t="s">
        <v>1088</v>
      </c>
      <c r="B594" s="18" t="s">
        <v>9</v>
      </c>
      <c r="C594" s="18" t="s">
        <v>1089</v>
      </c>
      <c r="D594" s="18" t="s">
        <v>1090</v>
      </c>
      <c r="E594" s="19" t="s">
        <v>12</v>
      </c>
      <c r="F594" s="18" t="s">
        <v>13</v>
      </c>
      <c r="G594" s="29"/>
      <c r="H594" s="32" t="str">
        <f>IF(Prueba[[#This Row],[Cant.]]=0,"",IF(OR(Prueba[[#This Row],[Cant.2]]="",Prueba[[#This Row],[Puesto2]]=""),"?",Prueba[[#This Row],[Puesto2]]))</f>
        <v/>
      </c>
      <c r="I594" s="31"/>
      <c r="J594" s="32"/>
      <c r="K594" s="14">
        <v>1</v>
      </c>
      <c r="L594" s="14"/>
      <c r="M594" s="31">
        <v>1</v>
      </c>
      <c r="N594" s="32" t="str">
        <f>IF(Prueba[[#This Row],[Cant.4]]=0,"",IF(OR(Prueba[[#This Row],[Cant.6]]="",Prueba[[#This Row],[Puesto6]]=""),"?",Prueba[[#This Row],[Puesto6]]))</f>
        <v>C</v>
      </c>
      <c r="O594" s="31">
        <v>1</v>
      </c>
      <c r="P594" s="32" t="str">
        <f>IF(Prueba[[#This Row],[Cant.5]]=0,"",IF(OR(Prueba[[#This Row],[Cant.6]]="",Prueba[[#This Row],[Puesto6]]=""),"?",Prueba[[#This Row],[Puesto6]]))</f>
        <v>C</v>
      </c>
      <c r="Q594" s="31">
        <v>1</v>
      </c>
      <c r="R594" s="32" t="s">
        <v>1402</v>
      </c>
      <c r="S594" s="14">
        <v>1</v>
      </c>
      <c r="T594" s="14" t="s">
        <v>1402</v>
      </c>
      <c r="U594" s="31"/>
      <c r="V594" s="32" t="s">
        <v>1663</v>
      </c>
      <c r="W594" s="19"/>
      <c r="X594" s="19" t="s">
        <v>1667</v>
      </c>
      <c r="Y594" s="19" t="s">
        <v>1663</v>
      </c>
      <c r="Z594" s="19" t="s">
        <v>1663</v>
      </c>
      <c r="AA594" s="19" t="s">
        <v>1663</v>
      </c>
      <c r="AB594" s="19" t="s">
        <v>1663</v>
      </c>
    </row>
    <row r="595" spans="1:28" s="18" customFormat="1">
      <c r="A595" s="18" t="s">
        <v>1091</v>
      </c>
      <c r="B595" s="18" t="s">
        <v>9</v>
      </c>
      <c r="C595" s="18" t="s">
        <v>156</v>
      </c>
      <c r="D595" s="18" t="s">
        <v>913</v>
      </c>
      <c r="E595" s="19" t="s">
        <v>18</v>
      </c>
      <c r="F595" s="18" t="s">
        <v>13</v>
      </c>
      <c r="G595" s="29"/>
      <c r="H595" s="32" t="str">
        <f>IF(Prueba[[#This Row],[Cant.]]=0,"",IF(OR(Prueba[[#This Row],[Cant.2]]="",Prueba[[#This Row],[Puesto2]]=""),"?",Prueba[[#This Row],[Puesto2]]))</f>
        <v/>
      </c>
      <c r="I595" s="31"/>
      <c r="J595" s="32"/>
      <c r="K595" s="14">
        <v>1</v>
      </c>
      <c r="L595" s="14"/>
      <c r="M595" s="31">
        <v>1</v>
      </c>
      <c r="N595" s="32" t="str">
        <f>IF(Prueba[[#This Row],[Cant.4]]=0,"",IF(OR(Prueba[[#This Row],[Cant.6]]="",Prueba[[#This Row],[Puesto6]]=""),"?",Prueba[[#This Row],[Puesto6]]))</f>
        <v>C</v>
      </c>
      <c r="O595" s="31">
        <v>1</v>
      </c>
      <c r="P595" s="32" t="str">
        <f>IF(Prueba[[#This Row],[Cant.5]]=0,"",IF(OR(Prueba[[#This Row],[Cant.6]]="",Prueba[[#This Row],[Puesto6]]=""),"?",Prueba[[#This Row],[Puesto6]]))</f>
        <v>C</v>
      </c>
      <c r="Q595" s="31">
        <v>1</v>
      </c>
      <c r="R595" s="32" t="s">
        <v>1402</v>
      </c>
      <c r="S595" s="14">
        <v>1</v>
      </c>
      <c r="T595" s="14" t="s">
        <v>1402</v>
      </c>
      <c r="U595" s="31"/>
      <c r="V595" s="32" t="s">
        <v>1663</v>
      </c>
      <c r="W595" s="19"/>
      <c r="X595" s="19" t="s">
        <v>1667</v>
      </c>
      <c r="Y595" s="19" t="s">
        <v>1663</v>
      </c>
      <c r="Z595" s="19" t="s">
        <v>1663</v>
      </c>
      <c r="AA595" s="19" t="s">
        <v>1663</v>
      </c>
      <c r="AB595" s="19" t="s">
        <v>1663</v>
      </c>
    </row>
    <row r="596" spans="1:28" s="18" customFormat="1">
      <c r="A596" s="18" t="s">
        <v>2032</v>
      </c>
      <c r="B596" s="18" t="s">
        <v>9</v>
      </c>
      <c r="C596" s="18" t="s">
        <v>1837</v>
      </c>
      <c r="D596" s="18" t="s">
        <v>1838</v>
      </c>
      <c r="E596" s="19" t="s">
        <v>1733</v>
      </c>
      <c r="F596" s="18" t="s">
        <v>13</v>
      </c>
      <c r="G596" s="29"/>
      <c r="H596" s="32" t="str">
        <f>IF(Prueba[[#This Row],[Cant.]]=0,"",IF(OR(Prueba[[#This Row],[Cant.2]]="",Prueba[[#This Row],[Puesto2]]=""),"?",Prueba[[#This Row],[Puesto2]]))</f>
        <v/>
      </c>
      <c r="I596" s="31"/>
      <c r="J596" s="32"/>
      <c r="K596" s="14"/>
      <c r="L596" s="14"/>
      <c r="M596" s="31"/>
      <c r="N596" s="32" t="str">
        <f>IF(Prueba[[#This Row],[Cant.4]]=0,"",IF(OR(Prueba[[#This Row],[Cant.6]]="",Prueba[[#This Row],[Puesto6]]=""),"?",Prueba[[#This Row],[Puesto6]]))</f>
        <v/>
      </c>
      <c r="O596" s="31"/>
      <c r="P596" s="32" t="str">
        <f>IF(Prueba[[#This Row],[Cant.5]]=0,"",IF(OR(Prueba[[#This Row],[Cant.6]]="",Prueba[[#This Row],[Puesto6]]=""),"?",Prueba[[#This Row],[Puesto6]]))</f>
        <v/>
      </c>
      <c r="Q596" s="31"/>
      <c r="R596" s="32"/>
      <c r="S596" s="14">
        <v>6</v>
      </c>
      <c r="T596" s="14">
        <v>5</v>
      </c>
      <c r="U596" s="31"/>
      <c r="V596" s="32" t="s">
        <v>1663</v>
      </c>
      <c r="W596" s="19">
        <v>48</v>
      </c>
      <c r="X596" s="19" t="s">
        <v>1664</v>
      </c>
      <c r="Y596" s="19" t="s">
        <v>1663</v>
      </c>
      <c r="Z596" s="19" t="s">
        <v>1663</v>
      </c>
      <c r="AA596" s="19" t="s">
        <v>1663</v>
      </c>
      <c r="AB596" s="19" t="s">
        <v>1663</v>
      </c>
    </row>
    <row r="597" spans="1:28" s="18" customFormat="1" ht="15" thickBot="1">
      <c r="A597" s="18" t="s">
        <v>1092</v>
      </c>
      <c r="B597" s="18" t="s">
        <v>9</v>
      </c>
      <c r="C597" s="18" t="s">
        <v>1093</v>
      </c>
      <c r="D597" s="18" t="s">
        <v>1094</v>
      </c>
      <c r="E597" s="103" t="s">
        <v>12</v>
      </c>
      <c r="F597" s="18" t="s">
        <v>13</v>
      </c>
      <c r="G597" s="29"/>
      <c r="H597" s="32" t="str">
        <f>IF(Prueba[[#This Row],[Cant.]]=0,"",IF(OR(Prueba[[#This Row],[Cant.2]]="",Prueba[[#This Row],[Puesto2]]=""),"?",Prueba[[#This Row],[Puesto2]]))</f>
        <v/>
      </c>
      <c r="I597" s="31"/>
      <c r="J597" s="32"/>
      <c r="K597" s="14">
        <v>1</v>
      </c>
      <c r="L597" s="14"/>
      <c r="M597" s="31">
        <v>1</v>
      </c>
      <c r="N597" s="32" t="str">
        <f>IF(Prueba[[#This Row],[Cant.4]]=0,"",IF(OR(Prueba[[#This Row],[Cant.6]]="",Prueba[[#This Row],[Puesto6]]=""),"?",Prueba[[#This Row],[Puesto6]]))</f>
        <v>D</v>
      </c>
      <c r="O597" s="31">
        <v>1</v>
      </c>
      <c r="P597" s="32" t="str">
        <f>IF(Prueba[[#This Row],[Cant.5]]=0,"",IF(OR(Prueba[[#This Row],[Cant.6]]="",Prueba[[#This Row],[Puesto6]]=""),"?",Prueba[[#This Row],[Puesto6]]))</f>
        <v>D</v>
      </c>
      <c r="Q597" s="31">
        <v>1</v>
      </c>
      <c r="R597" s="32" t="s">
        <v>1399</v>
      </c>
      <c r="S597" s="14">
        <v>1</v>
      </c>
      <c r="T597" s="14" t="s">
        <v>1399</v>
      </c>
      <c r="U597" s="31"/>
      <c r="V597" s="32" t="s">
        <v>1663</v>
      </c>
      <c r="W597" s="19"/>
      <c r="X597" s="19" t="s">
        <v>1667</v>
      </c>
      <c r="Y597" s="19" t="s">
        <v>1663</v>
      </c>
      <c r="Z597" s="19" t="s">
        <v>1663</v>
      </c>
      <c r="AA597" s="19" t="s">
        <v>1663</v>
      </c>
      <c r="AB597" s="19" t="s">
        <v>1663</v>
      </c>
    </row>
    <row r="598" spans="1:28" s="18" customFormat="1">
      <c r="A598" s="18" t="s">
        <v>1095</v>
      </c>
      <c r="B598" s="18" t="s">
        <v>9</v>
      </c>
      <c r="C598" s="18" t="s">
        <v>315</v>
      </c>
      <c r="D598" s="18" t="s">
        <v>316</v>
      </c>
      <c r="E598" s="19" t="s">
        <v>12</v>
      </c>
      <c r="F598" s="18" t="s">
        <v>13</v>
      </c>
      <c r="G598" s="29"/>
      <c r="H598" s="32" t="str">
        <f>IF(Prueba[[#This Row],[Cant.]]=0,"",IF(OR(Prueba[[#This Row],[Cant.2]]="",Prueba[[#This Row],[Puesto2]]=""),"?",Prueba[[#This Row],[Puesto2]]))</f>
        <v/>
      </c>
      <c r="I598" s="31"/>
      <c r="J598" s="32"/>
      <c r="K598" s="14">
        <v>1</v>
      </c>
      <c r="L598" s="14"/>
      <c r="M598" s="31">
        <v>1</v>
      </c>
      <c r="N598" s="32" t="str">
        <f>IF(Prueba[[#This Row],[Cant.4]]=0,"",IF(OR(Prueba[[#This Row],[Cant.6]]="",Prueba[[#This Row],[Puesto6]]=""),"?",Prueba[[#This Row],[Puesto6]]))</f>
        <v>D</v>
      </c>
      <c r="O598" s="31">
        <v>1</v>
      </c>
      <c r="P598" s="32" t="str">
        <f>IF(Prueba[[#This Row],[Cant.5]]=0,"",IF(OR(Prueba[[#This Row],[Cant.6]]="",Prueba[[#This Row],[Puesto6]]=""),"?",Prueba[[#This Row],[Puesto6]]))</f>
        <v>D</v>
      </c>
      <c r="Q598" s="31">
        <v>1</v>
      </c>
      <c r="R598" s="32" t="s">
        <v>1399</v>
      </c>
      <c r="S598" s="14">
        <v>1</v>
      </c>
      <c r="T598" s="14" t="s">
        <v>1399</v>
      </c>
      <c r="U598" s="31"/>
      <c r="V598" s="32" t="s">
        <v>1663</v>
      </c>
      <c r="W598" s="19"/>
      <c r="X598" s="19" t="s">
        <v>1667</v>
      </c>
      <c r="Y598" s="19" t="s">
        <v>1663</v>
      </c>
      <c r="Z598" s="19" t="s">
        <v>1663</v>
      </c>
      <c r="AA598" s="19" t="s">
        <v>1663</v>
      </c>
      <c r="AB598" s="19" t="s">
        <v>1663</v>
      </c>
    </row>
    <row r="599" spans="1:28" s="18" customFormat="1">
      <c r="A599" s="18" t="s">
        <v>1096</v>
      </c>
      <c r="B599" s="18" t="s">
        <v>9</v>
      </c>
      <c r="C599" s="18" t="s">
        <v>328</v>
      </c>
      <c r="D599" s="18" t="s">
        <v>1097</v>
      </c>
      <c r="E599" s="19" t="s">
        <v>39</v>
      </c>
      <c r="F599" s="18" t="s">
        <v>13</v>
      </c>
      <c r="G599" s="29"/>
      <c r="H599" s="32" t="str">
        <f>IF(Prueba[[#This Row],[Cant.]]=0,"",IF(OR(Prueba[[#This Row],[Cant.2]]="",Prueba[[#This Row],[Puesto2]]=""),"?",Prueba[[#This Row],[Puesto2]]))</f>
        <v/>
      </c>
      <c r="I599" s="31"/>
      <c r="J599" s="32"/>
      <c r="K599" s="14">
        <v>1</v>
      </c>
      <c r="L599" s="14"/>
      <c r="M599" s="31">
        <v>1</v>
      </c>
      <c r="N599" s="32">
        <f>IF(Prueba[[#This Row],[Cant.4]]=0,"",IF(OR(Prueba[[#This Row],[Cant.6]]="",Prueba[[#This Row],[Puesto6]]=""),"?",Prueba[[#This Row],[Puesto6]]))</f>
        <v>0</v>
      </c>
      <c r="O599" s="31">
        <v>1</v>
      </c>
      <c r="P599" s="32">
        <f>IF(Prueba[[#This Row],[Cant.5]]=0,"",IF(OR(Prueba[[#This Row],[Cant.6]]="",Prueba[[#This Row],[Puesto6]]=""),"?",Prueba[[#This Row],[Puesto6]]))</f>
        <v>0</v>
      </c>
      <c r="Q599" s="31">
        <v>1</v>
      </c>
      <c r="R599" s="32">
        <v>0</v>
      </c>
      <c r="S599" s="14"/>
      <c r="T599" s="14"/>
      <c r="U599" s="31"/>
      <c r="V599" s="32" t="s">
        <v>1663</v>
      </c>
      <c r="W599" s="19"/>
      <c r="X599" s="19" t="s">
        <v>1667</v>
      </c>
      <c r="Y599" s="19" t="s">
        <v>1663</v>
      </c>
      <c r="Z599" s="19" t="s">
        <v>1663</v>
      </c>
      <c r="AA599" s="19" t="s">
        <v>1663</v>
      </c>
      <c r="AB599" s="19" t="s">
        <v>1663</v>
      </c>
    </row>
    <row r="600" spans="1:28" s="18" customFormat="1">
      <c r="A600" s="18" t="s">
        <v>1098</v>
      </c>
      <c r="B600" s="18" t="s">
        <v>9</v>
      </c>
      <c r="C600" s="18" t="s">
        <v>328</v>
      </c>
      <c r="D600" s="18" t="s">
        <v>1099</v>
      </c>
      <c r="E600" s="19" t="s">
        <v>39</v>
      </c>
      <c r="F600" s="18" t="s">
        <v>13</v>
      </c>
      <c r="G600" s="29"/>
      <c r="H600" s="32" t="str">
        <f>IF(Prueba[[#This Row],[Cant.]]=0,"",IF(OR(Prueba[[#This Row],[Cant.2]]="",Prueba[[#This Row],[Puesto2]]=""),"?",Prueba[[#This Row],[Puesto2]]))</f>
        <v/>
      </c>
      <c r="I600" s="31"/>
      <c r="J600" s="32"/>
      <c r="K600" s="14">
        <v>1</v>
      </c>
      <c r="L600" s="14"/>
      <c r="M600" s="31">
        <v>1</v>
      </c>
      <c r="N600" s="32">
        <f>IF(Prueba[[#This Row],[Cant.4]]=0,"",IF(OR(Prueba[[#This Row],[Cant.6]]="",Prueba[[#This Row],[Puesto6]]=""),"?",Prueba[[#This Row],[Puesto6]]))</f>
        <v>0</v>
      </c>
      <c r="O600" s="31">
        <v>1</v>
      </c>
      <c r="P600" s="32">
        <f>IF(Prueba[[#This Row],[Cant.5]]=0,"",IF(OR(Prueba[[#This Row],[Cant.6]]="",Prueba[[#This Row],[Puesto6]]=""),"?",Prueba[[#This Row],[Puesto6]]))</f>
        <v>0</v>
      </c>
      <c r="Q600" s="31">
        <v>1</v>
      </c>
      <c r="R600" s="32">
        <v>0</v>
      </c>
      <c r="S600" s="14"/>
      <c r="T600" s="14"/>
      <c r="U600" s="31"/>
      <c r="V600" s="32" t="s">
        <v>1663</v>
      </c>
      <c r="W600" s="19"/>
      <c r="X600" s="19" t="s">
        <v>1667</v>
      </c>
      <c r="Y600" s="19" t="s">
        <v>1663</v>
      </c>
      <c r="Z600" s="19" t="s">
        <v>1663</v>
      </c>
      <c r="AA600" s="19" t="s">
        <v>1663</v>
      </c>
      <c r="AB600" s="19" t="s">
        <v>1663</v>
      </c>
    </row>
    <row r="601" spans="1:28" s="18" customFormat="1">
      <c r="A601" s="18" t="s">
        <v>2033</v>
      </c>
      <c r="B601" s="18" t="s">
        <v>9</v>
      </c>
      <c r="C601" s="18" t="s">
        <v>1770</v>
      </c>
      <c r="D601" s="18" t="s">
        <v>2034</v>
      </c>
      <c r="E601" s="19" t="s">
        <v>39</v>
      </c>
      <c r="F601" s="18" t="s">
        <v>13</v>
      </c>
      <c r="G601" s="29"/>
      <c r="H601" s="32" t="str">
        <f>IF(Prueba[[#This Row],[Cant.]]=0,"",IF(OR(Prueba[[#This Row],[Cant.2]]="",Prueba[[#This Row],[Puesto2]]=""),"?",Prueba[[#This Row],[Puesto2]]))</f>
        <v/>
      </c>
      <c r="I601" s="31"/>
      <c r="J601" s="32"/>
      <c r="K601" s="14"/>
      <c r="L601" s="14"/>
      <c r="M601" s="31"/>
      <c r="N601" s="32" t="str">
        <f>IF(Prueba[[#This Row],[Cant.4]]=0,"",IF(OR(Prueba[[#This Row],[Cant.6]]="",Prueba[[#This Row],[Puesto6]]=""),"?",Prueba[[#This Row],[Puesto6]]))</f>
        <v/>
      </c>
      <c r="O601" s="31"/>
      <c r="P601" s="32" t="str">
        <f>IF(Prueba[[#This Row],[Cant.5]]=0,"",IF(OR(Prueba[[#This Row],[Cant.6]]="",Prueba[[#This Row],[Puesto6]]=""),"?",Prueba[[#This Row],[Puesto6]]))</f>
        <v/>
      </c>
      <c r="Q601" s="31"/>
      <c r="R601" s="32"/>
      <c r="S601" s="14">
        <v>1</v>
      </c>
      <c r="T601" s="14">
        <v>0</v>
      </c>
      <c r="U601" s="31"/>
      <c r="V601" s="32" t="s">
        <v>1663</v>
      </c>
      <c r="W601" s="19"/>
      <c r="X601" s="19" t="s">
        <v>1667</v>
      </c>
      <c r="Y601" s="19" t="s">
        <v>1663</v>
      </c>
      <c r="Z601" s="19" t="s">
        <v>1663</v>
      </c>
      <c r="AA601" s="19" t="s">
        <v>1663</v>
      </c>
      <c r="AB601" s="19" t="s">
        <v>1663</v>
      </c>
    </row>
    <row r="602" spans="1:28" s="18" customFormat="1" ht="15.6">
      <c r="A602" s="18" t="s">
        <v>2035</v>
      </c>
      <c r="B602" s="18" t="s">
        <v>9</v>
      </c>
      <c r="C602" s="18" t="s">
        <v>1922</v>
      </c>
      <c r="D602" s="18" t="s">
        <v>1923</v>
      </c>
      <c r="E602" s="92" t="s">
        <v>790</v>
      </c>
      <c r="F602" s="18" t="s">
        <v>13</v>
      </c>
      <c r="G602" s="29"/>
      <c r="H602" s="32" t="str">
        <f>IF(Prueba[[#This Row],[Cant.]]=0,"",IF(OR(Prueba[[#This Row],[Cant.2]]="",Prueba[[#This Row],[Puesto2]]=""),"?",Prueba[[#This Row],[Puesto2]]))</f>
        <v/>
      </c>
      <c r="I602" s="31"/>
      <c r="J602" s="32"/>
      <c r="K602" s="14"/>
      <c r="L602" s="14"/>
      <c r="M602" s="31"/>
      <c r="N602" s="32" t="str">
        <f>IF(Prueba[[#This Row],[Cant.4]]=0,"",IF(OR(Prueba[[#This Row],[Cant.6]]="",Prueba[[#This Row],[Puesto6]]=""),"?",Prueba[[#This Row],[Puesto6]]))</f>
        <v/>
      </c>
      <c r="O602" s="31"/>
      <c r="P602" s="32" t="str">
        <f>IF(Prueba[[#This Row],[Cant.5]]=0,"",IF(OR(Prueba[[#This Row],[Cant.6]]="",Prueba[[#This Row],[Puesto6]]=""),"?",Prueba[[#This Row],[Puesto6]]))</f>
        <v/>
      </c>
      <c r="Q602" s="31"/>
      <c r="R602" s="32"/>
      <c r="S602" s="14">
        <v>2</v>
      </c>
      <c r="T602" s="14" t="s">
        <v>1399</v>
      </c>
      <c r="U602" s="31"/>
      <c r="V602" s="32" t="s">
        <v>1663</v>
      </c>
      <c r="W602" s="19"/>
      <c r="X602" s="19" t="s">
        <v>1667</v>
      </c>
      <c r="Y602" s="19" t="s">
        <v>1663</v>
      </c>
      <c r="Z602" s="19" t="s">
        <v>1663</v>
      </c>
      <c r="AA602" s="19" t="s">
        <v>1663</v>
      </c>
      <c r="AB602" s="19" t="s">
        <v>1663</v>
      </c>
    </row>
    <row r="603" spans="1:28" s="18" customFormat="1" ht="15.6">
      <c r="A603" s="18" t="s">
        <v>2036</v>
      </c>
      <c r="B603" s="18" t="s">
        <v>9</v>
      </c>
      <c r="C603" s="18" t="s">
        <v>1922</v>
      </c>
      <c r="D603" s="18" t="s">
        <v>1923</v>
      </c>
      <c r="E603" s="92" t="s">
        <v>790</v>
      </c>
      <c r="F603" s="18" t="s">
        <v>13</v>
      </c>
      <c r="G603" s="29"/>
      <c r="H603" s="32" t="str">
        <f>IF(Prueba[[#This Row],[Cant.]]=0,"",IF(OR(Prueba[[#This Row],[Cant.2]]="",Prueba[[#This Row],[Puesto2]]=""),"?",Prueba[[#This Row],[Puesto2]]))</f>
        <v/>
      </c>
      <c r="I603" s="31"/>
      <c r="J603" s="32"/>
      <c r="K603" s="14"/>
      <c r="L603" s="14"/>
      <c r="M603" s="31"/>
      <c r="N603" s="32" t="str">
        <f>IF(Prueba[[#This Row],[Cant.4]]=0,"",IF(OR(Prueba[[#This Row],[Cant.6]]="",Prueba[[#This Row],[Puesto6]]=""),"?",Prueba[[#This Row],[Puesto6]]))</f>
        <v/>
      </c>
      <c r="O603" s="31"/>
      <c r="P603" s="32" t="str">
        <f>IF(Prueba[[#This Row],[Cant.5]]=0,"",IF(OR(Prueba[[#This Row],[Cant.6]]="",Prueba[[#This Row],[Puesto6]]=""),"?",Prueba[[#This Row],[Puesto6]]))</f>
        <v/>
      </c>
      <c r="Q603" s="31"/>
      <c r="R603" s="32"/>
      <c r="S603" s="14">
        <v>2</v>
      </c>
      <c r="T603" s="14" t="s">
        <v>1399</v>
      </c>
      <c r="U603" s="31"/>
      <c r="V603" s="32" t="s">
        <v>1663</v>
      </c>
      <c r="W603" s="19"/>
      <c r="X603" s="19" t="s">
        <v>1667</v>
      </c>
      <c r="Y603" s="19" t="s">
        <v>1663</v>
      </c>
      <c r="Z603" s="19" t="s">
        <v>1663</v>
      </c>
      <c r="AA603" s="19" t="s">
        <v>1663</v>
      </c>
      <c r="AB603" s="19" t="s">
        <v>1663</v>
      </c>
    </row>
    <row r="604" spans="1:28" s="18" customFormat="1">
      <c r="A604" s="18" t="s">
        <v>2037</v>
      </c>
      <c r="B604" s="18" t="s">
        <v>1806</v>
      </c>
      <c r="C604" s="18" t="s">
        <v>2038</v>
      </c>
      <c r="D604" s="18" t="s">
        <v>2039</v>
      </c>
      <c r="E604" s="19" t="s">
        <v>39</v>
      </c>
      <c r="F604" s="18" t="s">
        <v>13</v>
      </c>
      <c r="G604" s="29"/>
      <c r="H604" s="32" t="str">
        <f>IF(Prueba[[#This Row],[Cant.]]=0,"",IF(OR(Prueba[[#This Row],[Cant.2]]="",Prueba[[#This Row],[Puesto2]]=""),"?",Prueba[[#This Row],[Puesto2]]))</f>
        <v/>
      </c>
      <c r="I604" s="31"/>
      <c r="J604" s="32"/>
      <c r="K604" s="14"/>
      <c r="L604" s="14"/>
      <c r="M604" s="31">
        <v>1</v>
      </c>
      <c r="N604" s="32" t="str">
        <f>IF(Prueba[[#This Row],[Cant.4]]=0,"",IF(OR(Prueba[[#This Row],[Cant.6]]="",Prueba[[#This Row],[Puesto6]]=""),"?",Prueba[[#This Row],[Puesto6]]))</f>
        <v>D</v>
      </c>
      <c r="O604" s="31"/>
      <c r="P604" s="32" t="str">
        <f>IF(Prueba[[#This Row],[Cant.5]]=0,"",IF(OR(Prueba[[#This Row],[Cant.6]]="",Prueba[[#This Row],[Puesto6]]=""),"?",Prueba[[#This Row],[Puesto6]]))</f>
        <v/>
      </c>
      <c r="Q604" s="31">
        <v>1</v>
      </c>
      <c r="R604" s="32" t="s">
        <v>1399</v>
      </c>
      <c r="S604" s="14">
        <v>1</v>
      </c>
      <c r="T604" s="14" t="s">
        <v>1399</v>
      </c>
      <c r="U604" s="31"/>
      <c r="V604" s="32" t="s">
        <v>1663</v>
      </c>
      <c r="W604" s="19"/>
      <c r="X604" s="19" t="s">
        <v>1667</v>
      </c>
      <c r="Y604" s="19" t="s">
        <v>1663</v>
      </c>
      <c r="Z604" s="19" t="s">
        <v>1663</v>
      </c>
      <c r="AA604" s="19" t="s">
        <v>1663</v>
      </c>
      <c r="AB604" s="19" t="s">
        <v>1663</v>
      </c>
    </row>
    <row r="605" spans="1:28" s="18" customFormat="1">
      <c r="A605" s="18" t="s">
        <v>1100</v>
      </c>
      <c r="B605" s="18" t="s">
        <v>9</v>
      </c>
      <c r="C605" s="18" t="s">
        <v>84</v>
      </c>
      <c r="D605" s="18" t="s">
        <v>1101</v>
      </c>
      <c r="E605" s="19" t="s">
        <v>18</v>
      </c>
      <c r="F605" s="18" t="s">
        <v>13</v>
      </c>
      <c r="G605" s="29"/>
      <c r="H605" s="32" t="str">
        <f>IF(Prueba[[#This Row],[Cant.]]=0,"",IF(OR(Prueba[[#This Row],[Cant.2]]="",Prueba[[#This Row],[Puesto2]]=""),"?",Prueba[[#This Row],[Puesto2]]))</f>
        <v/>
      </c>
      <c r="I605" s="31"/>
      <c r="J605" s="32"/>
      <c r="K605" s="14">
        <v>1</v>
      </c>
      <c r="L605" s="14"/>
      <c r="M605" s="31">
        <v>1</v>
      </c>
      <c r="N605" s="32">
        <f>IF(Prueba[[#This Row],[Cant.4]]=0,"",IF(OR(Prueba[[#This Row],[Cant.6]]="",Prueba[[#This Row],[Puesto6]]=""),"?",Prueba[[#This Row],[Puesto6]]))</f>
        <v>0</v>
      </c>
      <c r="O605" s="31">
        <v>1</v>
      </c>
      <c r="P605" s="32">
        <f>IF(Prueba[[#This Row],[Cant.5]]=0,"",IF(OR(Prueba[[#This Row],[Cant.6]]="",Prueba[[#This Row],[Puesto6]]=""),"?",Prueba[[#This Row],[Puesto6]]))</f>
        <v>0</v>
      </c>
      <c r="Q605" s="31">
        <v>1</v>
      </c>
      <c r="R605" s="32">
        <v>0</v>
      </c>
      <c r="S605" s="14">
        <v>1</v>
      </c>
      <c r="T605" s="14">
        <v>0</v>
      </c>
      <c r="U605" s="31"/>
      <c r="V605" s="32" t="s">
        <v>1663</v>
      </c>
      <c r="W605" s="19"/>
      <c r="X605" s="19" t="s">
        <v>1667</v>
      </c>
      <c r="Y605" s="19" t="s">
        <v>1663</v>
      </c>
      <c r="Z605" s="19" t="s">
        <v>1663</v>
      </c>
      <c r="AA605" s="19" t="s">
        <v>1663</v>
      </c>
      <c r="AB605" s="19" t="s">
        <v>1663</v>
      </c>
    </row>
    <row r="606" spans="1:28" s="18" customFormat="1">
      <c r="A606" s="18" t="s">
        <v>1102</v>
      </c>
      <c r="B606" s="18" t="s">
        <v>9</v>
      </c>
      <c r="C606" s="18" t="s">
        <v>958</v>
      </c>
      <c r="D606" s="18" t="s">
        <v>1103</v>
      </c>
      <c r="E606" s="19" t="s">
        <v>308</v>
      </c>
      <c r="F606" s="18" t="s">
        <v>13</v>
      </c>
      <c r="G606" s="29"/>
      <c r="H606" s="32" t="str">
        <f>IF(Prueba[[#This Row],[Cant.]]=0,"",IF(OR(Prueba[[#This Row],[Cant.2]]="",Prueba[[#This Row],[Puesto2]]=""),"?",Prueba[[#This Row],[Puesto2]]))</f>
        <v/>
      </c>
      <c r="I606" s="31"/>
      <c r="J606" s="32"/>
      <c r="K606" s="14">
        <v>1</v>
      </c>
      <c r="L606" s="14"/>
      <c r="M606" s="31">
        <v>1</v>
      </c>
      <c r="N606" s="32">
        <f>IF(Prueba[[#This Row],[Cant.4]]=0,"",IF(OR(Prueba[[#This Row],[Cant.6]]="",Prueba[[#This Row],[Puesto6]]=""),"?",Prueba[[#This Row],[Puesto6]]))</f>
        <v>4</v>
      </c>
      <c r="O606" s="31">
        <v>1</v>
      </c>
      <c r="P606" s="32">
        <f>IF(Prueba[[#This Row],[Cant.5]]=0,"",IF(OR(Prueba[[#This Row],[Cant.6]]="",Prueba[[#This Row],[Puesto6]]=""),"?",Prueba[[#This Row],[Puesto6]]))</f>
        <v>4</v>
      </c>
      <c r="Q606" s="31">
        <v>1</v>
      </c>
      <c r="R606" s="32">
        <v>4</v>
      </c>
      <c r="S606" s="14">
        <v>1</v>
      </c>
      <c r="T606" s="14">
        <v>4</v>
      </c>
      <c r="U606" s="31"/>
      <c r="V606" s="32" t="s">
        <v>1663</v>
      </c>
      <c r="W606" s="19"/>
      <c r="X606" s="19" t="s">
        <v>1667</v>
      </c>
      <c r="Y606" s="19" t="s">
        <v>1663</v>
      </c>
      <c r="Z606" s="19" t="s">
        <v>1663</v>
      </c>
      <c r="AA606" s="19" t="s">
        <v>1663</v>
      </c>
      <c r="AB606" s="19" t="s">
        <v>1663</v>
      </c>
    </row>
    <row r="607" spans="1:28" s="18" customFormat="1">
      <c r="A607" s="18" t="s">
        <v>1104</v>
      </c>
      <c r="B607" s="18" t="s">
        <v>9</v>
      </c>
      <c r="C607" s="18" t="s">
        <v>958</v>
      </c>
      <c r="D607" s="18" t="s">
        <v>1103</v>
      </c>
      <c r="E607" s="19" t="s">
        <v>308</v>
      </c>
      <c r="F607" s="18" t="s">
        <v>13</v>
      </c>
      <c r="G607" s="29"/>
      <c r="H607" s="32" t="str">
        <f>IF(Prueba[[#This Row],[Cant.]]=0,"",IF(OR(Prueba[[#This Row],[Cant.2]]="",Prueba[[#This Row],[Puesto2]]=""),"?",Prueba[[#This Row],[Puesto2]]))</f>
        <v/>
      </c>
      <c r="I607" s="31"/>
      <c r="J607" s="32"/>
      <c r="K607" s="14">
        <v>1</v>
      </c>
      <c r="L607" s="14"/>
      <c r="M607" s="31">
        <v>1</v>
      </c>
      <c r="N607" s="32">
        <f>IF(Prueba[[#This Row],[Cant.4]]=0,"",IF(OR(Prueba[[#This Row],[Cant.6]]="",Prueba[[#This Row],[Puesto6]]=""),"?",Prueba[[#This Row],[Puesto6]]))</f>
        <v>4</v>
      </c>
      <c r="O607" s="31">
        <v>1</v>
      </c>
      <c r="P607" s="32">
        <f>IF(Prueba[[#This Row],[Cant.5]]=0,"",IF(OR(Prueba[[#This Row],[Cant.6]]="",Prueba[[#This Row],[Puesto6]]=""),"?",Prueba[[#This Row],[Puesto6]]))</f>
        <v>4</v>
      </c>
      <c r="Q607" s="31">
        <v>1</v>
      </c>
      <c r="R607" s="32">
        <v>4</v>
      </c>
      <c r="S607" s="14">
        <v>1</v>
      </c>
      <c r="T607" s="14">
        <v>4</v>
      </c>
      <c r="U607" s="31"/>
      <c r="V607" s="32" t="s">
        <v>1663</v>
      </c>
      <c r="W607" s="19"/>
      <c r="X607" s="19" t="s">
        <v>1667</v>
      </c>
      <c r="Y607" s="19" t="s">
        <v>1663</v>
      </c>
      <c r="Z607" s="19" t="s">
        <v>1663</v>
      </c>
      <c r="AA607" s="19" t="s">
        <v>1663</v>
      </c>
      <c r="AB607" s="19" t="s">
        <v>1663</v>
      </c>
    </row>
    <row r="608" spans="1:28" s="18" customFormat="1">
      <c r="A608" s="18" t="s">
        <v>1105</v>
      </c>
      <c r="B608" s="18" t="s">
        <v>9</v>
      </c>
      <c r="C608" s="18" t="s">
        <v>1106</v>
      </c>
      <c r="D608" s="18" t="s">
        <v>1107</v>
      </c>
      <c r="E608" s="19" t="s">
        <v>308</v>
      </c>
      <c r="F608" s="18" t="s">
        <v>13</v>
      </c>
      <c r="G608" s="29"/>
      <c r="H608" s="32" t="str">
        <f>IF(Prueba[[#This Row],[Cant.]]=0,"",IF(OR(Prueba[[#This Row],[Cant.2]]="",Prueba[[#This Row],[Puesto2]]=""),"?",Prueba[[#This Row],[Puesto2]]))</f>
        <v/>
      </c>
      <c r="I608" s="31"/>
      <c r="J608" s="32"/>
      <c r="K608" s="14">
        <v>1</v>
      </c>
      <c r="L608" s="14"/>
      <c r="M608" s="31">
        <v>1</v>
      </c>
      <c r="N608" s="32">
        <f>IF(Prueba[[#This Row],[Cant.4]]=0,"",IF(OR(Prueba[[#This Row],[Cant.6]]="",Prueba[[#This Row],[Puesto6]]=""),"?",Prueba[[#This Row],[Puesto6]]))</f>
        <v>5</v>
      </c>
      <c r="O608" s="31">
        <v>1</v>
      </c>
      <c r="P608" s="32">
        <f>IF(Prueba[[#This Row],[Cant.5]]=0,"",IF(OR(Prueba[[#This Row],[Cant.6]]="",Prueba[[#This Row],[Puesto6]]=""),"?",Prueba[[#This Row],[Puesto6]]))</f>
        <v>5</v>
      </c>
      <c r="Q608" s="31">
        <v>1</v>
      </c>
      <c r="R608" s="32">
        <v>5</v>
      </c>
      <c r="S608" s="14">
        <v>1</v>
      </c>
      <c r="T608" s="14">
        <v>5</v>
      </c>
      <c r="U608" s="31"/>
      <c r="V608" s="32" t="s">
        <v>1663</v>
      </c>
      <c r="W608" s="19"/>
      <c r="X608" s="19" t="s">
        <v>1667</v>
      </c>
      <c r="Y608" s="19" t="s">
        <v>1663</v>
      </c>
      <c r="Z608" s="19" t="s">
        <v>1663</v>
      </c>
      <c r="AA608" s="19" t="s">
        <v>1663</v>
      </c>
      <c r="AB608" s="19" t="s">
        <v>1663</v>
      </c>
    </row>
    <row r="609" spans="1:28" s="18" customFormat="1">
      <c r="A609" s="18" t="s">
        <v>1108</v>
      </c>
      <c r="B609" s="18" t="s">
        <v>9</v>
      </c>
      <c r="C609" s="18" t="s">
        <v>960</v>
      </c>
      <c r="D609" s="18" t="s">
        <v>963</v>
      </c>
      <c r="E609" s="19" t="s">
        <v>308</v>
      </c>
      <c r="F609" s="18" t="s">
        <v>13</v>
      </c>
      <c r="G609" s="29"/>
      <c r="H609" s="32" t="str">
        <f>IF(Prueba[[#This Row],[Cant.]]=0,"",IF(OR(Prueba[[#This Row],[Cant.2]]="",Prueba[[#This Row],[Puesto2]]=""),"?",Prueba[[#This Row],[Puesto2]]))</f>
        <v/>
      </c>
      <c r="I609" s="31"/>
      <c r="J609" s="32"/>
      <c r="K609" s="14">
        <v>1</v>
      </c>
      <c r="L609" s="14"/>
      <c r="M609" s="31"/>
      <c r="N609" s="32" t="str">
        <f>IF(Prueba[[#This Row],[Cant.4]]=0,"",IF(OR(Prueba[[#This Row],[Cant.6]]="",Prueba[[#This Row],[Puesto6]]=""),"?",Prueba[[#This Row],[Puesto6]]))</f>
        <v/>
      </c>
      <c r="O609" s="31">
        <v>1</v>
      </c>
      <c r="P609" s="32">
        <v>6</v>
      </c>
      <c r="Q609" s="31"/>
      <c r="R609" s="32"/>
      <c r="S609" s="14"/>
      <c r="T609" s="14"/>
      <c r="U609" s="31"/>
      <c r="V609" s="32" t="s">
        <v>1663</v>
      </c>
      <c r="W609" s="19"/>
      <c r="X609" s="19" t="s">
        <v>1667</v>
      </c>
      <c r="Y609" s="19" t="s">
        <v>1663</v>
      </c>
      <c r="Z609" s="19" t="s">
        <v>1663</v>
      </c>
      <c r="AA609" s="19" t="s">
        <v>1663</v>
      </c>
      <c r="AB609" s="19" t="s">
        <v>1663</v>
      </c>
    </row>
    <row r="610" spans="1:28" s="18" customFormat="1">
      <c r="A610" s="18" t="s">
        <v>2040</v>
      </c>
      <c r="B610" s="18" t="s">
        <v>1806</v>
      </c>
      <c r="C610" s="18" t="s">
        <v>1774</v>
      </c>
      <c r="D610" s="18" t="s">
        <v>1926</v>
      </c>
      <c r="E610" s="19" t="s">
        <v>308</v>
      </c>
      <c r="F610" s="18" t="s">
        <v>13</v>
      </c>
      <c r="G610" s="29"/>
      <c r="H610" s="32" t="str">
        <f>IF(Prueba[[#This Row],[Cant.]]=0,"",IF(OR(Prueba[[#This Row],[Cant.2]]="",Prueba[[#This Row],[Puesto2]]=""),"?",Prueba[[#This Row],[Puesto2]]))</f>
        <v/>
      </c>
      <c r="I610" s="31"/>
      <c r="J610" s="32"/>
      <c r="K610" s="14"/>
      <c r="L610" s="14"/>
      <c r="M610" s="31">
        <v>1</v>
      </c>
      <c r="N610" s="32">
        <f>IF(Prueba[[#This Row],[Cant.4]]=0,"",IF(OR(Prueba[[#This Row],[Cant.6]]="",Prueba[[#This Row],[Puesto6]]=""),"?",Prueba[[#This Row],[Puesto6]]))</f>
        <v>6</v>
      </c>
      <c r="O610" s="31"/>
      <c r="P610" s="32" t="str">
        <f>IF(Prueba[[#This Row],[Cant.5]]=0,"",IF(OR(Prueba[[#This Row],[Cant.6]]="",Prueba[[#This Row],[Puesto6]]=""),"?",Prueba[[#This Row],[Puesto6]]))</f>
        <v/>
      </c>
      <c r="Q610" s="31">
        <v>1</v>
      </c>
      <c r="R610" s="32">
        <v>6</v>
      </c>
      <c r="S610" s="14">
        <v>1</v>
      </c>
      <c r="T610" s="14">
        <v>6</v>
      </c>
      <c r="U610" s="31"/>
      <c r="V610" s="32" t="s">
        <v>1663</v>
      </c>
      <c r="W610" s="19"/>
      <c r="X610" s="19" t="s">
        <v>1667</v>
      </c>
      <c r="Y610" s="19" t="s">
        <v>1663</v>
      </c>
      <c r="Z610" s="19" t="s">
        <v>1663</v>
      </c>
      <c r="AA610" s="19" t="s">
        <v>1663</v>
      </c>
      <c r="AB610" s="19" t="s">
        <v>1663</v>
      </c>
    </row>
    <row r="611" spans="1:28" s="18" customFormat="1">
      <c r="A611" s="18" t="s">
        <v>2041</v>
      </c>
      <c r="B611" s="18" t="s">
        <v>1806</v>
      </c>
      <c r="C611" s="18" t="s">
        <v>2042</v>
      </c>
      <c r="D611" s="18" t="s">
        <v>2043</v>
      </c>
      <c r="E611" s="19" t="s">
        <v>308</v>
      </c>
      <c r="F611" s="18" t="s">
        <v>13</v>
      </c>
      <c r="G611" s="29"/>
      <c r="H611" s="32" t="str">
        <f>IF(Prueba[[#This Row],[Cant.]]=0,"",IF(OR(Prueba[[#This Row],[Cant.2]]="",Prueba[[#This Row],[Puesto2]]=""),"?",Prueba[[#This Row],[Puesto2]]))</f>
        <v/>
      </c>
      <c r="I611" s="31"/>
      <c r="J611" s="32"/>
      <c r="K611" s="14"/>
      <c r="L611" s="14"/>
      <c r="M611" s="31">
        <v>1</v>
      </c>
      <c r="N611" s="32">
        <f>IF(Prueba[[#This Row],[Cant.4]]=0,"",IF(OR(Prueba[[#This Row],[Cant.6]]="",Prueba[[#This Row],[Puesto6]]=""),"?",Prueba[[#This Row],[Puesto6]]))</f>
        <v>6</v>
      </c>
      <c r="O611" s="31"/>
      <c r="P611" s="32" t="str">
        <f>IF(Prueba[[#This Row],[Cant.5]]=0,"",IF(OR(Prueba[[#This Row],[Cant.6]]="",Prueba[[#This Row],[Puesto6]]=""),"?",Prueba[[#This Row],[Puesto6]]))</f>
        <v/>
      </c>
      <c r="Q611" s="31">
        <v>1</v>
      </c>
      <c r="R611" s="32">
        <v>6</v>
      </c>
      <c r="S611" s="14">
        <v>1</v>
      </c>
      <c r="T611" s="14">
        <v>6</v>
      </c>
      <c r="U611" s="31"/>
      <c r="V611" s="32" t="s">
        <v>1663</v>
      </c>
      <c r="W611" s="19"/>
      <c r="X611" s="19" t="s">
        <v>1667</v>
      </c>
      <c r="Y611" s="19" t="s">
        <v>1663</v>
      </c>
      <c r="Z611" s="19" t="s">
        <v>1663</v>
      </c>
      <c r="AA611" s="19" t="s">
        <v>1663</v>
      </c>
      <c r="AB611" s="19" t="s">
        <v>1663</v>
      </c>
    </row>
    <row r="612" spans="1:28" s="18" customFormat="1">
      <c r="A612" s="18" t="s">
        <v>1109</v>
      </c>
      <c r="B612" s="18" t="s">
        <v>9</v>
      </c>
      <c r="C612" s="18" t="s">
        <v>179</v>
      </c>
      <c r="D612" s="18" t="s">
        <v>179</v>
      </c>
      <c r="E612" s="19" t="s">
        <v>18</v>
      </c>
      <c r="F612" s="18" t="s">
        <v>13</v>
      </c>
      <c r="G612" s="29"/>
      <c r="H612" s="32" t="str">
        <f>IF(Prueba[[#This Row],[Cant.]]=0,"",IF(OR(Prueba[[#This Row],[Cant.2]]="",Prueba[[#This Row],[Puesto2]]=""),"?",Prueba[[#This Row],[Puesto2]]))</f>
        <v/>
      </c>
      <c r="I612" s="31"/>
      <c r="J612" s="32"/>
      <c r="K612" s="14">
        <v>1</v>
      </c>
      <c r="L612" s="14"/>
      <c r="M612" s="31">
        <v>1</v>
      </c>
      <c r="N612" s="32">
        <f>IF(Prueba[[#This Row],[Cant.4]]=0,"",IF(OR(Prueba[[#This Row],[Cant.6]]="",Prueba[[#This Row],[Puesto6]]=""),"?",Prueba[[#This Row],[Puesto6]]))</f>
        <v>1</v>
      </c>
      <c r="O612" s="31">
        <v>1</v>
      </c>
      <c r="P612" s="32">
        <f>IF(Prueba[[#This Row],[Cant.5]]=0,"",IF(OR(Prueba[[#This Row],[Cant.6]]="",Prueba[[#This Row],[Puesto6]]=""),"?",Prueba[[#This Row],[Puesto6]]))</f>
        <v>1</v>
      </c>
      <c r="Q612" s="31">
        <v>1</v>
      </c>
      <c r="R612" s="32">
        <v>1</v>
      </c>
      <c r="S612" s="14">
        <v>1</v>
      </c>
      <c r="T612" s="14">
        <v>1</v>
      </c>
      <c r="U612" s="31"/>
      <c r="V612" s="32" t="s">
        <v>1663</v>
      </c>
      <c r="W612" s="19"/>
      <c r="X612" s="19" t="s">
        <v>1667</v>
      </c>
      <c r="Y612" s="19" t="s">
        <v>1663</v>
      </c>
      <c r="Z612" s="19" t="s">
        <v>1663</v>
      </c>
      <c r="AA612" s="19" t="s">
        <v>1663</v>
      </c>
      <c r="AB612" s="19" t="s">
        <v>1663</v>
      </c>
    </row>
    <row r="613" spans="1:28" s="18" customFormat="1">
      <c r="A613" s="18" t="s">
        <v>1110</v>
      </c>
      <c r="B613" s="18" t="s">
        <v>9</v>
      </c>
      <c r="C613" s="18" t="s">
        <v>179</v>
      </c>
      <c r="D613" s="18" t="s">
        <v>179</v>
      </c>
      <c r="E613" s="19" t="s">
        <v>18</v>
      </c>
      <c r="F613" s="18" t="s">
        <v>13</v>
      </c>
      <c r="G613" s="29"/>
      <c r="H613" s="32" t="str">
        <f>IF(Prueba[[#This Row],[Cant.]]=0,"",IF(OR(Prueba[[#This Row],[Cant.2]]="",Prueba[[#This Row],[Puesto2]]=""),"?",Prueba[[#This Row],[Puesto2]]))</f>
        <v/>
      </c>
      <c r="I613" s="31"/>
      <c r="J613" s="32"/>
      <c r="K613" s="14">
        <v>1</v>
      </c>
      <c r="L613" s="14"/>
      <c r="M613" s="31"/>
      <c r="N613" s="32" t="str">
        <f>IF(Prueba[[#This Row],[Cant.4]]=0,"",IF(OR(Prueba[[#This Row],[Cant.6]]="",Prueba[[#This Row],[Puesto6]]=""),"?",Prueba[[#This Row],[Puesto6]]))</f>
        <v/>
      </c>
      <c r="O613" s="31">
        <v>1</v>
      </c>
      <c r="P613" s="32">
        <v>1</v>
      </c>
      <c r="Q613" s="31"/>
      <c r="R613" s="32"/>
      <c r="S613" s="14"/>
      <c r="T613" s="14"/>
      <c r="U613" s="31"/>
      <c r="V613" s="32" t="s">
        <v>1663</v>
      </c>
      <c r="W613" s="19"/>
      <c r="X613" s="19" t="s">
        <v>1667</v>
      </c>
      <c r="Y613" s="19" t="s">
        <v>1663</v>
      </c>
      <c r="Z613" s="19" t="s">
        <v>1663</v>
      </c>
      <c r="AA613" s="19" t="s">
        <v>1663</v>
      </c>
      <c r="AB613" s="19" t="s">
        <v>1663</v>
      </c>
    </row>
    <row r="614" spans="1:28" s="18" customFormat="1">
      <c r="A614" s="18" t="s">
        <v>2044</v>
      </c>
      <c r="B614" s="18" t="s">
        <v>1806</v>
      </c>
      <c r="C614" s="18" t="s">
        <v>2045</v>
      </c>
      <c r="D614" s="18" t="s">
        <v>2046</v>
      </c>
      <c r="E614" s="19" t="s">
        <v>18</v>
      </c>
      <c r="F614" s="18" t="s">
        <v>13</v>
      </c>
      <c r="G614" s="29"/>
      <c r="H614" s="32" t="str">
        <f>IF(Prueba[[#This Row],[Cant.]]=0,"",IF(OR(Prueba[[#This Row],[Cant.2]]="",Prueba[[#This Row],[Puesto2]]=""),"?",Prueba[[#This Row],[Puesto2]]))</f>
        <v/>
      </c>
      <c r="I614" s="31"/>
      <c r="J614" s="32"/>
      <c r="K614" s="14"/>
      <c r="L614" s="14"/>
      <c r="M614" s="31">
        <v>1</v>
      </c>
      <c r="N614" s="32">
        <f>IF(Prueba[[#This Row],[Cant.4]]=0,"",IF(OR(Prueba[[#This Row],[Cant.6]]="",Prueba[[#This Row],[Puesto6]]=""),"?",Prueba[[#This Row],[Puesto6]]))</f>
        <v>1</v>
      </c>
      <c r="O614" s="31"/>
      <c r="P614" s="32" t="str">
        <f>IF(Prueba[[#This Row],[Cant.5]]=0,"",IF(OR(Prueba[[#This Row],[Cant.6]]="",Prueba[[#This Row],[Puesto6]]=""),"?",Prueba[[#This Row],[Puesto6]]))</f>
        <v/>
      </c>
      <c r="Q614" s="31">
        <v>1</v>
      </c>
      <c r="R614" s="32">
        <v>1</v>
      </c>
      <c r="S614" s="14">
        <v>1</v>
      </c>
      <c r="T614" s="14">
        <v>1</v>
      </c>
      <c r="U614" s="31"/>
      <c r="V614" s="32" t="s">
        <v>1663</v>
      </c>
      <c r="W614" s="19"/>
      <c r="X614" s="19" t="s">
        <v>1667</v>
      </c>
      <c r="Y614" s="19" t="s">
        <v>1663</v>
      </c>
      <c r="Z614" s="19" t="s">
        <v>1663</v>
      </c>
      <c r="AA614" s="19" t="s">
        <v>1663</v>
      </c>
      <c r="AB614" s="19" t="s">
        <v>1663</v>
      </c>
    </row>
    <row r="615" spans="1:28" s="18" customFormat="1">
      <c r="A615" s="18" t="s">
        <v>1111</v>
      </c>
      <c r="B615" s="18" t="s">
        <v>9</v>
      </c>
      <c r="C615" s="18" t="s">
        <v>1112</v>
      </c>
      <c r="D615" s="18" t="s">
        <v>1113</v>
      </c>
      <c r="E615" s="19" t="s">
        <v>22</v>
      </c>
      <c r="F615" s="18" t="s">
        <v>13</v>
      </c>
      <c r="G615" s="29"/>
      <c r="H615" s="32" t="str">
        <f>IF(Prueba[[#This Row],[Cant.]]=0,"",IF(OR(Prueba[[#This Row],[Cant.2]]="",Prueba[[#This Row],[Puesto2]]=""),"?",Prueba[[#This Row],[Puesto2]]))</f>
        <v/>
      </c>
      <c r="I615" s="31"/>
      <c r="J615" s="32"/>
      <c r="K615" s="14">
        <v>2</v>
      </c>
      <c r="L615" s="14"/>
      <c r="M615" s="31">
        <v>2</v>
      </c>
      <c r="N615" s="32">
        <f>IF(Prueba[[#This Row],[Cant.4]]=0,"",IF(OR(Prueba[[#This Row],[Cant.6]]="",Prueba[[#This Row],[Puesto6]]=""),"?",Prueba[[#This Row],[Puesto6]]))</f>
        <v>5</v>
      </c>
      <c r="O615" s="31">
        <v>2</v>
      </c>
      <c r="P615" s="32">
        <f>IF(Prueba[[#This Row],[Cant.5]]=0,"",IF(OR(Prueba[[#This Row],[Cant.6]]="",Prueba[[#This Row],[Puesto6]]=""),"?",Prueba[[#This Row],[Puesto6]]))</f>
        <v>5</v>
      </c>
      <c r="Q615" s="31">
        <v>2</v>
      </c>
      <c r="R615" s="32">
        <v>5</v>
      </c>
      <c r="S615" s="14">
        <v>2</v>
      </c>
      <c r="T615" s="14">
        <v>5</v>
      </c>
      <c r="U615" s="31"/>
      <c r="V615" s="32" t="s">
        <v>1663</v>
      </c>
      <c r="W615" s="19">
        <v>16</v>
      </c>
      <c r="X615" s="19" t="s">
        <v>1664</v>
      </c>
      <c r="Y615" s="19" t="s">
        <v>1663</v>
      </c>
      <c r="Z615" s="19" t="s">
        <v>1663</v>
      </c>
      <c r="AA615" s="19" t="s">
        <v>1663</v>
      </c>
      <c r="AB615" s="19" t="s">
        <v>1663</v>
      </c>
    </row>
    <row r="616" spans="1:28" s="18" customFormat="1">
      <c r="A616" s="18" t="s">
        <v>1310</v>
      </c>
      <c r="B616" s="18" t="s">
        <v>9</v>
      </c>
      <c r="C616" s="18" t="s">
        <v>1311</v>
      </c>
      <c r="D616" s="18" t="s">
        <v>1312</v>
      </c>
      <c r="E616" s="19" t="s">
        <v>18</v>
      </c>
      <c r="F616" s="18" t="s">
        <v>13</v>
      </c>
      <c r="G616" s="29"/>
      <c r="H616" s="32" t="str">
        <f>IF(Prueba[[#This Row],[Cant.]]=0,"",IF(OR(Prueba[[#This Row],[Cant.2]]="",Prueba[[#This Row],[Puesto2]]=""),"?",Prueba[[#This Row],[Puesto2]]))</f>
        <v/>
      </c>
      <c r="I616" s="31"/>
      <c r="J616" s="32"/>
      <c r="K616" s="14">
        <v>2</v>
      </c>
      <c r="L616" s="14"/>
      <c r="M616" s="31"/>
      <c r="N616" s="32" t="str">
        <f>IF(Prueba[[#This Row],[Cant.4]]=0,"",IF(OR(Prueba[[#This Row],[Cant.6]]="",Prueba[[#This Row],[Puesto6]]=""),"?",Prueba[[#This Row],[Puesto6]]))</f>
        <v/>
      </c>
      <c r="O616" s="31"/>
      <c r="P616" s="32" t="str">
        <f>IF(Prueba[[#This Row],[Cant.5]]=0,"",IF(OR(Prueba[[#This Row],[Cant.6]]="",Prueba[[#This Row],[Puesto6]]=""),"?",Prueba[[#This Row],[Puesto6]]))</f>
        <v/>
      </c>
      <c r="Q616" s="31"/>
      <c r="R616" s="32"/>
      <c r="S616" s="14"/>
      <c r="T616" s="14"/>
      <c r="U616" s="31"/>
      <c r="V616" s="32" t="s">
        <v>1663</v>
      </c>
      <c r="W616" s="19"/>
      <c r="X616" s="19" t="s">
        <v>1667</v>
      </c>
      <c r="Y616" s="19" t="s">
        <v>1663</v>
      </c>
      <c r="Z616" s="19" t="s">
        <v>1663</v>
      </c>
      <c r="AA616" s="19" t="s">
        <v>1663</v>
      </c>
      <c r="AB616" s="19" t="s">
        <v>1663</v>
      </c>
    </row>
    <row r="617" spans="1:28" s="18" customFormat="1">
      <c r="A617" s="18" t="s">
        <v>2047</v>
      </c>
      <c r="B617" s="18" t="s">
        <v>1806</v>
      </c>
      <c r="C617" s="18" t="s">
        <v>1830</v>
      </c>
      <c r="D617" s="18" t="s">
        <v>2048</v>
      </c>
      <c r="E617" s="19" t="s">
        <v>1815</v>
      </c>
      <c r="F617" s="18" t="s">
        <v>13</v>
      </c>
      <c r="G617" s="29"/>
      <c r="H617" s="32" t="str">
        <f>IF(Prueba[[#This Row],[Cant.]]=0,"",IF(OR(Prueba[[#This Row],[Cant.2]]="",Prueba[[#This Row],[Puesto2]]=""),"?",Prueba[[#This Row],[Puesto2]]))</f>
        <v/>
      </c>
      <c r="I617" s="31"/>
      <c r="J617" s="32"/>
      <c r="K617" s="14"/>
      <c r="L617" s="14"/>
      <c r="M617" s="31">
        <v>1</v>
      </c>
      <c r="N617" s="32">
        <f>IF(Prueba[[#This Row],[Cant.4]]=0,"",IF(OR(Prueba[[#This Row],[Cant.6]]="",Prueba[[#This Row],[Puesto6]]=""),"?",Prueba[[#This Row],[Puesto6]]))</f>
        <v>2</v>
      </c>
      <c r="O617" s="31"/>
      <c r="P617" s="32"/>
      <c r="Q617" s="31">
        <v>1</v>
      </c>
      <c r="R617" s="32">
        <v>2</v>
      </c>
      <c r="S617" s="14"/>
      <c r="T617" s="14"/>
      <c r="U617" s="31"/>
      <c r="V617" s="32" t="s">
        <v>1663</v>
      </c>
      <c r="W617" s="19"/>
      <c r="X617" s="19" t="s">
        <v>1667</v>
      </c>
      <c r="Y617" s="19" t="s">
        <v>1663</v>
      </c>
      <c r="Z617" s="19" t="s">
        <v>1663</v>
      </c>
      <c r="AA617" s="19" t="s">
        <v>1663</v>
      </c>
      <c r="AB617" s="19" t="s">
        <v>1663</v>
      </c>
    </row>
    <row r="618" spans="1:28" s="18" customFormat="1">
      <c r="A618" s="18" t="s">
        <v>2049</v>
      </c>
      <c r="B618" s="18" t="s">
        <v>9</v>
      </c>
      <c r="C618" s="18" t="s">
        <v>2050</v>
      </c>
      <c r="D618" s="18" t="s">
        <v>2050</v>
      </c>
      <c r="E618" s="19" t="s">
        <v>18</v>
      </c>
      <c r="F618" s="18" t="s">
        <v>13</v>
      </c>
      <c r="G618" s="29"/>
      <c r="H618" s="32"/>
      <c r="I618" s="31"/>
      <c r="J618" s="32"/>
      <c r="K618" s="14"/>
      <c r="L618" s="14"/>
      <c r="M618" s="31"/>
      <c r="N618" s="32"/>
      <c r="O618" s="119">
        <v>1</v>
      </c>
      <c r="P618" s="120">
        <v>2</v>
      </c>
      <c r="Q618" s="31"/>
      <c r="R618" s="32"/>
      <c r="S618" s="14"/>
      <c r="T618" s="14"/>
      <c r="U618" s="31"/>
      <c r="V618" s="32" t="s">
        <v>1663</v>
      </c>
      <c r="W618" s="19"/>
      <c r="X618" s="19" t="s">
        <v>1667</v>
      </c>
      <c r="Y618" s="19" t="s">
        <v>1663</v>
      </c>
      <c r="Z618" s="19" t="s">
        <v>1663</v>
      </c>
      <c r="AA618" s="19" t="s">
        <v>1663</v>
      </c>
      <c r="AB618" s="19" t="s">
        <v>1663</v>
      </c>
    </row>
    <row r="619" spans="1:28" s="18" customFormat="1">
      <c r="A619" s="18" t="s">
        <v>1114</v>
      </c>
      <c r="B619" s="18" t="s">
        <v>9</v>
      </c>
      <c r="C619" s="18" t="s">
        <v>1115</v>
      </c>
      <c r="D619" s="18" t="s">
        <v>1116</v>
      </c>
      <c r="E619" s="19" t="s">
        <v>18</v>
      </c>
      <c r="F619" s="18" t="s">
        <v>13</v>
      </c>
      <c r="G619" s="29"/>
      <c r="H619" s="32" t="str">
        <f>IF(Prueba[[#This Row],[Cant.]]=0,"",IF(OR(Prueba[[#This Row],[Cant.2]]="",Prueba[[#This Row],[Puesto2]]=""),"?",Prueba[[#This Row],[Puesto2]]))</f>
        <v/>
      </c>
      <c r="I619" s="31"/>
      <c r="J619" s="32"/>
      <c r="K619" s="14">
        <v>1</v>
      </c>
      <c r="L619" s="14"/>
      <c r="M619" s="31"/>
      <c r="N619" s="32" t="str">
        <f>IF(Prueba[[#This Row],[Cant.4]]=0,"",IF(OR(Prueba[[#This Row],[Cant.6]]="",Prueba[[#This Row],[Puesto6]]=""),"?",Prueba[[#This Row],[Puesto6]]))</f>
        <v/>
      </c>
      <c r="O619" s="31">
        <v>1</v>
      </c>
      <c r="P619" s="32">
        <v>2</v>
      </c>
      <c r="Q619" s="31"/>
      <c r="R619" s="32"/>
      <c r="S619" s="14"/>
      <c r="T619" s="14"/>
      <c r="U619" s="31"/>
      <c r="V619" s="32" t="s">
        <v>1663</v>
      </c>
      <c r="W619" s="19"/>
      <c r="X619" s="19" t="s">
        <v>1667</v>
      </c>
      <c r="Y619" s="19" t="s">
        <v>1663</v>
      </c>
      <c r="Z619" s="19" t="s">
        <v>1663</v>
      </c>
      <c r="AA619" s="19" t="s">
        <v>1663</v>
      </c>
      <c r="AB619" s="19" t="s">
        <v>1663</v>
      </c>
    </row>
    <row r="620" spans="1:28" s="18" customFormat="1">
      <c r="A620" s="18" t="s">
        <v>1361</v>
      </c>
      <c r="B620" s="18" t="s">
        <v>9</v>
      </c>
      <c r="C620" s="18" t="s">
        <v>1362</v>
      </c>
      <c r="D620" s="18" t="s">
        <v>1363</v>
      </c>
      <c r="E620" s="19" t="s">
        <v>18</v>
      </c>
      <c r="F620" s="18" t="s">
        <v>13</v>
      </c>
      <c r="G620" s="29"/>
      <c r="H620" s="32" t="str">
        <f>IF(Prueba[[#This Row],[Cant.]]=0,"",IF(OR(Prueba[[#This Row],[Cant.2]]="",Prueba[[#This Row],[Puesto2]]=""),"?",Prueba[[#This Row],[Puesto2]]))</f>
        <v/>
      </c>
      <c r="I620" s="31"/>
      <c r="J620" s="32"/>
      <c r="K620" s="14">
        <v>1</v>
      </c>
      <c r="L620" s="14"/>
      <c r="M620" s="31"/>
      <c r="N620" s="32" t="str">
        <f>IF(Prueba[[#This Row],[Cant.4]]=0,"",IF(OR(Prueba[[#This Row],[Cant.6]]="",Prueba[[#This Row],[Puesto6]]=""),"?",Prueba[[#This Row],[Puesto6]]))</f>
        <v/>
      </c>
      <c r="O620" s="31"/>
      <c r="P620" s="32" t="str">
        <f>IF(Prueba[[#This Row],[Cant.5]]=0,"",IF(OR(Prueba[[#This Row],[Cant.6]]="",Prueba[[#This Row],[Puesto6]]=""),"?",Prueba[[#This Row],[Puesto6]]))</f>
        <v/>
      </c>
      <c r="Q620" s="31"/>
      <c r="R620" s="32"/>
      <c r="S620" s="14"/>
      <c r="T620" s="14"/>
      <c r="U620" s="31"/>
      <c r="V620" s="32" t="s">
        <v>1663</v>
      </c>
      <c r="W620" s="19"/>
      <c r="X620" s="19" t="s">
        <v>1667</v>
      </c>
      <c r="Y620" s="19" t="s">
        <v>1663</v>
      </c>
      <c r="Z620" s="19" t="s">
        <v>1663</v>
      </c>
      <c r="AA620" s="19" t="s">
        <v>1663</v>
      </c>
      <c r="AB620" s="19" t="s">
        <v>1663</v>
      </c>
    </row>
    <row r="621" spans="1:28" s="18" customFormat="1">
      <c r="A621" s="18" t="s">
        <v>2051</v>
      </c>
      <c r="B621" s="18" t="s">
        <v>1806</v>
      </c>
      <c r="C621" s="18" t="s">
        <v>1788</v>
      </c>
      <c r="D621" s="18" t="s">
        <v>2052</v>
      </c>
      <c r="E621" s="19" t="s">
        <v>1815</v>
      </c>
      <c r="F621" s="18" t="s">
        <v>13</v>
      </c>
      <c r="G621" s="29"/>
      <c r="H621" s="32" t="str">
        <f>IF(Prueba[[#This Row],[Cant.]]=0,"",IF(OR(Prueba[[#This Row],[Cant.2]]="",Prueba[[#This Row],[Puesto2]]=""),"?",Prueba[[#This Row],[Puesto2]]))</f>
        <v/>
      </c>
      <c r="I621" s="31"/>
      <c r="J621" s="32"/>
      <c r="K621" s="14"/>
      <c r="L621" s="14"/>
      <c r="M621" s="31">
        <v>1</v>
      </c>
      <c r="N621" s="32">
        <v>2</v>
      </c>
      <c r="O621" s="31"/>
      <c r="P621" s="32"/>
      <c r="Q621" s="31"/>
      <c r="R621" s="32"/>
      <c r="S621" s="14"/>
      <c r="T621" s="14"/>
      <c r="U621" s="31"/>
      <c r="V621" s="32" t="s">
        <v>1663</v>
      </c>
      <c r="W621" s="19"/>
      <c r="X621" s="19" t="s">
        <v>1667</v>
      </c>
      <c r="Y621" s="19" t="s">
        <v>1663</v>
      </c>
      <c r="Z621" s="19" t="s">
        <v>1663</v>
      </c>
      <c r="AA621" s="19" t="s">
        <v>1663</v>
      </c>
      <c r="AB621" s="19" t="s">
        <v>1663</v>
      </c>
    </row>
    <row r="622" spans="1:28" s="18" customFormat="1">
      <c r="A622" s="18" t="s">
        <v>2053</v>
      </c>
      <c r="B622" s="18" t="s">
        <v>9</v>
      </c>
      <c r="C622" s="18" t="s">
        <v>1788</v>
      </c>
      <c r="D622" s="18" t="s">
        <v>2052</v>
      </c>
      <c r="E622" s="19" t="s">
        <v>1815</v>
      </c>
      <c r="F622" s="18" t="s">
        <v>13</v>
      </c>
      <c r="G622" s="29"/>
      <c r="H622" s="32" t="str">
        <f>IF(Prueba[[#This Row],[Cant.]]=0,"",IF(OR(Prueba[[#This Row],[Cant.2]]="",Prueba[[#This Row],[Puesto2]]=""),"?",Prueba[[#This Row],[Puesto2]]))</f>
        <v/>
      </c>
      <c r="I622" s="31"/>
      <c r="J622" s="32"/>
      <c r="K622" s="14"/>
      <c r="L622" s="14"/>
      <c r="M622" s="31"/>
      <c r="N622" s="32" t="str">
        <f>IF(Prueba[[#This Row],[Cant.4]]=0,"",IF(OR(Prueba[[#This Row],[Cant.6]]="",Prueba[[#This Row],[Puesto6]]=""),"?",Prueba[[#This Row],[Puesto6]]))</f>
        <v/>
      </c>
      <c r="O622" s="31"/>
      <c r="P622" s="32" t="str">
        <f>IF(Prueba[[#This Row],[Cant.5]]=0,"",IF(OR(Prueba[[#This Row],[Cant.6]]="",Prueba[[#This Row],[Puesto6]]=""),"?",Prueba[[#This Row],[Puesto6]]))</f>
        <v/>
      </c>
      <c r="Q622" s="31">
        <v>1</v>
      </c>
      <c r="R622" s="32">
        <v>2</v>
      </c>
      <c r="S622" s="14"/>
      <c r="T622" s="14"/>
      <c r="U622" s="31"/>
      <c r="V622" s="32" t="s">
        <v>1663</v>
      </c>
      <c r="W622" s="19"/>
      <c r="X622" s="19" t="s">
        <v>1667</v>
      </c>
      <c r="Y622" s="19" t="s">
        <v>1663</v>
      </c>
      <c r="Z622" s="19" t="s">
        <v>1663</v>
      </c>
      <c r="AA622" s="19" t="s">
        <v>1663</v>
      </c>
      <c r="AB622" s="19" t="s">
        <v>1663</v>
      </c>
    </row>
    <row r="623" spans="1:28" s="18" customFormat="1">
      <c r="A623" s="18" t="s">
        <v>2054</v>
      </c>
      <c r="B623" s="22" t="s">
        <v>9</v>
      </c>
      <c r="C623" s="22" t="s">
        <v>2055</v>
      </c>
      <c r="D623" s="22" t="s">
        <v>2056</v>
      </c>
      <c r="E623" s="23" t="s">
        <v>3</v>
      </c>
      <c r="F623" s="22" t="s">
        <v>13</v>
      </c>
      <c r="G623" s="30"/>
      <c r="H623" s="32" t="str">
        <f>IF(Prueba[[#This Row],[Cant.]]=0,"",IF(OR(Prueba[[#This Row],[Cant.2]]="",Prueba[[#This Row],[Puesto2]]=""),"?",Prueba[[#This Row],[Puesto2]]))</f>
        <v/>
      </c>
      <c r="I623" s="33"/>
      <c r="J623" s="34"/>
      <c r="K623" s="83"/>
      <c r="L623" s="83"/>
      <c r="M623" s="33"/>
      <c r="N623" s="32" t="str">
        <f>IF(Prueba[[#This Row],[Cant.4]]=0,"",IF(OR(Prueba[[#This Row],[Cant.6]]="",Prueba[[#This Row],[Puesto6]]=""),"?",Prueba[[#This Row],[Puesto6]]))</f>
        <v/>
      </c>
      <c r="O623" s="33">
        <v>1</v>
      </c>
      <c r="P623" s="32">
        <v>2</v>
      </c>
      <c r="Q623" s="33"/>
      <c r="R623" s="34"/>
      <c r="S623" s="83"/>
      <c r="T623" s="83"/>
      <c r="U623" s="33"/>
      <c r="V623" s="34" t="s">
        <v>1663</v>
      </c>
      <c r="W623" s="23"/>
      <c r="X623" s="19" t="s">
        <v>1667</v>
      </c>
      <c r="Y623" s="19" t="s">
        <v>1663</v>
      </c>
      <c r="Z623" s="19" t="s">
        <v>1663</v>
      </c>
      <c r="AA623" s="19" t="s">
        <v>1663</v>
      </c>
      <c r="AB623" s="19" t="s">
        <v>1663</v>
      </c>
    </row>
    <row r="624" spans="1:28" s="18" customFormat="1">
      <c r="A624" s="18" t="s">
        <v>1448</v>
      </c>
      <c r="B624" s="18" t="s">
        <v>9</v>
      </c>
      <c r="C624" s="18" t="s">
        <v>2057</v>
      </c>
      <c r="D624" s="18" t="s">
        <v>1900</v>
      </c>
      <c r="E624" s="19" t="s">
        <v>1815</v>
      </c>
      <c r="F624" s="18" t="s">
        <v>13</v>
      </c>
      <c r="G624" s="29"/>
      <c r="H624" s="32" t="str">
        <f>IF(Prueba[[#This Row],[Cant.]]=0,"",IF(OR(Prueba[[#This Row],[Cant.2]]="",Prueba[[#This Row],[Puesto2]]=""),"?",Prueba[[#This Row],[Puesto2]]))</f>
        <v/>
      </c>
      <c r="I624" s="31"/>
      <c r="J624" s="32"/>
      <c r="K624" s="14"/>
      <c r="L624" s="14"/>
      <c r="M624" s="31"/>
      <c r="N624" s="32" t="str">
        <f>IF(Prueba[[#This Row],[Cant.4]]=0,"",IF(OR(Prueba[[#This Row],[Cant.6]]="",Prueba[[#This Row],[Puesto6]]=""),"?",Prueba[[#This Row],[Puesto6]]))</f>
        <v/>
      </c>
      <c r="O624" s="31"/>
      <c r="P624" s="32" t="str">
        <f>IF(Prueba[[#This Row],[Cant.5]]=0,"",IF(OR(Prueba[[#This Row],[Cant.6]]="",Prueba[[#This Row],[Puesto6]]=""),"?",Prueba[[#This Row],[Puesto6]]))</f>
        <v/>
      </c>
      <c r="Q624" s="31"/>
      <c r="R624" s="32"/>
      <c r="S624" s="14"/>
      <c r="T624" s="14"/>
      <c r="U624" s="31">
        <v>1</v>
      </c>
      <c r="V624" s="32" t="s">
        <v>1399</v>
      </c>
      <c r="W624" s="19"/>
      <c r="X624" s="19" t="s">
        <v>1667</v>
      </c>
      <c r="Y624" s="19" t="s">
        <v>1663</v>
      </c>
      <c r="Z624" s="19" t="s">
        <v>1663</v>
      </c>
      <c r="AA624" s="19" t="s">
        <v>1663</v>
      </c>
      <c r="AB624" s="19" t="s">
        <v>1663</v>
      </c>
    </row>
    <row r="625" spans="1:28" s="18" customFormat="1">
      <c r="A625" s="18" t="s">
        <v>530</v>
      </c>
      <c r="B625" s="18" t="s">
        <v>9</v>
      </c>
      <c r="C625" s="18" t="s">
        <v>531</v>
      </c>
      <c r="D625" s="18" t="s">
        <v>532</v>
      </c>
      <c r="E625" s="19" t="s">
        <v>18</v>
      </c>
      <c r="F625" s="18" t="s">
        <v>13</v>
      </c>
      <c r="G625" s="29">
        <v>1</v>
      </c>
      <c r="H625" s="32">
        <f>IF(Prueba[[#This Row],[Cant.]]=0,"",IF(OR(Prueba[[#This Row],[Cant.2]]="",Prueba[[#This Row],[Puesto2]]=""),"?",Prueba[[#This Row],[Puesto2]]))</f>
        <v>5</v>
      </c>
      <c r="I625" s="31">
        <v>1</v>
      </c>
      <c r="J625" s="32">
        <v>5</v>
      </c>
      <c r="K625" s="14">
        <v>1</v>
      </c>
      <c r="L625" s="14"/>
      <c r="M625" s="31">
        <v>1</v>
      </c>
      <c r="N625" s="32">
        <f>IF(Prueba[[#This Row],[Cant.4]]=0,"",IF(OR(Prueba[[#This Row],[Cant.6]]="",Prueba[[#This Row],[Puesto6]]=""),"?",Prueba[[#This Row],[Puesto6]]))</f>
        <v>5</v>
      </c>
      <c r="O625" s="31">
        <v>1</v>
      </c>
      <c r="P625" s="32">
        <f>IF(Prueba[[#This Row],[Cant.5]]=0,"",IF(OR(Prueba[[#This Row],[Cant.6]]="",Prueba[[#This Row],[Puesto6]]=""),"?",Prueba[[#This Row],[Puesto6]]))</f>
        <v>5</v>
      </c>
      <c r="Q625" s="31">
        <v>1</v>
      </c>
      <c r="R625" s="32">
        <v>5</v>
      </c>
      <c r="S625" s="14">
        <v>1</v>
      </c>
      <c r="T625" s="14">
        <v>5</v>
      </c>
      <c r="U625" s="31"/>
      <c r="V625" s="32" t="s">
        <v>1663</v>
      </c>
      <c r="W625" s="19"/>
      <c r="X625" s="19" t="s">
        <v>1667</v>
      </c>
      <c r="Y625" s="19">
        <v>1</v>
      </c>
      <c r="Z625" s="19">
        <v>5</v>
      </c>
      <c r="AA625" s="19">
        <v>1</v>
      </c>
      <c r="AB625" s="19">
        <v>5</v>
      </c>
    </row>
    <row r="626" spans="1:28" s="18" customFormat="1">
      <c r="A626" s="18" t="s">
        <v>533</v>
      </c>
      <c r="B626" s="18" t="s">
        <v>9</v>
      </c>
      <c r="C626" s="18" t="s">
        <v>299</v>
      </c>
      <c r="D626" s="18" t="s">
        <v>534</v>
      </c>
      <c r="E626" s="19" t="s">
        <v>22</v>
      </c>
      <c r="F626" s="18" t="s">
        <v>13</v>
      </c>
      <c r="G626" s="29">
        <v>11</v>
      </c>
      <c r="H626" s="32">
        <f>IF(Prueba[[#This Row],[Cant.]]=0,"",IF(OR(Prueba[[#This Row],[Cant.2]]="",Prueba[[#This Row],[Puesto2]]=""),"?",Prueba[[#This Row],[Puesto2]]))</f>
        <v>2</v>
      </c>
      <c r="I626" s="31">
        <v>11</v>
      </c>
      <c r="J626" s="32">
        <v>2</v>
      </c>
      <c r="K626" s="14">
        <v>12</v>
      </c>
      <c r="L626" s="14"/>
      <c r="M626" s="31">
        <v>14</v>
      </c>
      <c r="N626" s="32">
        <f>IF(Prueba[[#This Row],[Cant.4]]=0,"",IF(OR(Prueba[[#This Row],[Cant.6]]="",Prueba[[#This Row],[Puesto6]]=""),"?",Prueba[[#This Row],[Puesto6]]))</f>
        <v>2</v>
      </c>
      <c r="O626" s="31">
        <v>14</v>
      </c>
      <c r="P626" s="32">
        <f>IF(Prueba[[#This Row],[Cant.5]]=0,"",IF(OR(Prueba[[#This Row],[Cant.6]]="",Prueba[[#This Row],[Puesto6]]=""),"?",Prueba[[#This Row],[Puesto6]]))</f>
        <v>2</v>
      </c>
      <c r="Q626" s="31">
        <v>14</v>
      </c>
      <c r="R626" s="32">
        <v>2</v>
      </c>
      <c r="S626" s="14">
        <v>5</v>
      </c>
      <c r="T626" s="14">
        <v>2</v>
      </c>
      <c r="U626" s="31">
        <v>3</v>
      </c>
      <c r="V626" s="32" t="s">
        <v>1450</v>
      </c>
      <c r="W626" s="85">
        <v>112</v>
      </c>
      <c r="X626" s="85" t="s">
        <v>1686</v>
      </c>
      <c r="Y626" s="19">
        <v>9</v>
      </c>
      <c r="Z626" s="19">
        <v>2</v>
      </c>
      <c r="AA626" s="19">
        <v>9</v>
      </c>
      <c r="AB626" s="19">
        <v>2</v>
      </c>
    </row>
    <row r="627" spans="1:28" s="18" customFormat="1">
      <c r="A627" s="18" t="s">
        <v>2058</v>
      </c>
      <c r="B627" s="18" t="s">
        <v>9</v>
      </c>
      <c r="C627" s="18" t="s">
        <v>1930</v>
      </c>
      <c r="D627" s="18" t="s">
        <v>1931</v>
      </c>
      <c r="E627" s="19" t="s">
        <v>1733</v>
      </c>
      <c r="F627" s="18" t="s">
        <v>13</v>
      </c>
      <c r="G627" s="29"/>
      <c r="H627" s="32" t="str">
        <f>IF(Prueba[[#This Row],[Cant.]]=0,"",IF(OR(Prueba[[#This Row],[Cant.2]]="",Prueba[[#This Row],[Puesto2]]=""),"?",Prueba[[#This Row],[Puesto2]]))</f>
        <v/>
      </c>
      <c r="I627" s="31"/>
      <c r="J627" s="32"/>
      <c r="K627" s="14"/>
      <c r="L627" s="14"/>
      <c r="M627" s="31"/>
      <c r="N627" s="32" t="str">
        <f>IF(Prueba[[#This Row],[Cant.4]]=0,"",IF(OR(Prueba[[#This Row],[Cant.6]]="",Prueba[[#This Row],[Puesto6]]=""),"?",Prueba[[#This Row],[Puesto6]]))</f>
        <v/>
      </c>
      <c r="O627" s="31"/>
      <c r="P627" s="32" t="str">
        <f>IF(Prueba[[#This Row],[Cant.5]]=0,"",IF(OR(Prueba[[#This Row],[Cant.6]]="",Prueba[[#This Row],[Puesto6]]=""),"?",Prueba[[#This Row],[Puesto6]]))</f>
        <v/>
      </c>
      <c r="Q627" s="31"/>
      <c r="R627" s="32"/>
      <c r="S627" s="14">
        <v>16</v>
      </c>
      <c r="T627" s="14">
        <v>3</v>
      </c>
      <c r="U627" s="31"/>
      <c r="V627" s="32" t="s">
        <v>1663</v>
      </c>
      <c r="W627" s="19">
        <v>128</v>
      </c>
      <c r="X627" s="19" t="s">
        <v>1664</v>
      </c>
      <c r="Y627" s="19" t="s">
        <v>1663</v>
      </c>
      <c r="Z627" s="19" t="s">
        <v>1663</v>
      </c>
      <c r="AA627" s="19" t="s">
        <v>1663</v>
      </c>
      <c r="AB627" s="19" t="s">
        <v>1663</v>
      </c>
    </row>
    <row r="628" spans="1:28" s="18" customFormat="1">
      <c r="A628" s="18" t="s">
        <v>535</v>
      </c>
      <c r="B628" s="18" t="s">
        <v>9</v>
      </c>
      <c r="C628" s="18" t="s">
        <v>536</v>
      </c>
      <c r="D628" s="18" t="s">
        <v>537</v>
      </c>
      <c r="E628" s="19" t="s">
        <v>22</v>
      </c>
      <c r="F628" s="18" t="s">
        <v>13</v>
      </c>
      <c r="G628" s="29">
        <v>2</v>
      </c>
      <c r="H628" s="32">
        <f>IF(Prueba[[#This Row],[Cant.]]=0,"",IF(OR(Prueba[[#This Row],[Cant.2]]="",Prueba[[#This Row],[Puesto2]]=""),"?",Prueba[[#This Row],[Puesto2]]))</f>
        <v>3</v>
      </c>
      <c r="I628" s="31">
        <v>2</v>
      </c>
      <c r="J628" s="32">
        <v>3</v>
      </c>
      <c r="K628" s="14"/>
      <c r="L628" s="14"/>
      <c r="M628" s="31"/>
      <c r="N628" s="32" t="str">
        <f>IF(Prueba[[#This Row],[Cant.4]]=0,"",IF(OR(Prueba[[#This Row],[Cant.6]]="",Prueba[[#This Row],[Puesto6]]=""),"?",Prueba[[#This Row],[Puesto6]]))</f>
        <v/>
      </c>
      <c r="O628" s="31"/>
      <c r="P628" s="32" t="str">
        <f>IF(Prueba[[#This Row],[Cant.5]]=0,"",IF(OR(Prueba[[#This Row],[Cant.6]]="",Prueba[[#This Row],[Puesto6]]=""),"?",Prueba[[#This Row],[Puesto6]]))</f>
        <v/>
      </c>
      <c r="Q628" s="31"/>
      <c r="R628" s="32"/>
      <c r="S628" s="14"/>
      <c r="T628" s="14"/>
      <c r="U628" s="31"/>
      <c r="V628" s="32" t="s">
        <v>1663</v>
      </c>
      <c r="W628" s="19">
        <v>16</v>
      </c>
      <c r="X628" s="19" t="s">
        <v>1664</v>
      </c>
      <c r="Y628" s="19">
        <v>3</v>
      </c>
      <c r="Z628" s="19">
        <v>3</v>
      </c>
      <c r="AA628" s="19">
        <v>3</v>
      </c>
      <c r="AB628" s="19">
        <v>3</v>
      </c>
    </row>
    <row r="629" spans="1:28" s="18" customFormat="1">
      <c r="A629" s="18" t="s">
        <v>2059</v>
      </c>
      <c r="B629" s="18" t="s">
        <v>9</v>
      </c>
      <c r="C629" s="18" t="s">
        <v>1959</v>
      </c>
      <c r="D629" s="18" t="s">
        <v>1960</v>
      </c>
      <c r="E629" s="19" t="s">
        <v>1733</v>
      </c>
      <c r="F629" s="18" t="s">
        <v>13</v>
      </c>
      <c r="G629" s="29"/>
      <c r="H629" s="32" t="str">
        <f>IF(Prueba[[#This Row],[Cant.]]=0,"",IF(OR(Prueba[[#This Row],[Cant.2]]="",Prueba[[#This Row],[Puesto2]]=""),"?",Prueba[[#This Row],[Puesto2]]))</f>
        <v/>
      </c>
      <c r="I629" s="31"/>
      <c r="J629" s="32"/>
      <c r="K629" s="14"/>
      <c r="L629" s="14"/>
      <c r="M629" s="31"/>
      <c r="N629" s="32" t="str">
        <f>IF(Prueba[[#This Row],[Cant.4]]=0,"",IF(OR(Prueba[[#This Row],[Cant.6]]="",Prueba[[#This Row],[Puesto6]]=""),"?",Prueba[[#This Row],[Puesto6]]))</f>
        <v/>
      </c>
      <c r="O629" s="31"/>
      <c r="P629" s="32" t="str">
        <f>IF(Prueba[[#This Row],[Cant.5]]=0,"",IF(OR(Prueba[[#This Row],[Cant.6]]="",Prueba[[#This Row],[Puesto6]]=""),"?",Prueba[[#This Row],[Puesto6]]))</f>
        <v/>
      </c>
      <c r="Q629" s="31"/>
      <c r="R629" s="32"/>
      <c r="S629" s="14">
        <v>8</v>
      </c>
      <c r="T629" s="14">
        <v>3</v>
      </c>
      <c r="U629" s="31"/>
      <c r="V629" s="32" t="s">
        <v>1663</v>
      </c>
      <c r="W629" s="19">
        <v>64</v>
      </c>
      <c r="X629" s="19" t="s">
        <v>1664</v>
      </c>
      <c r="Y629" s="19" t="s">
        <v>1663</v>
      </c>
      <c r="Z629" s="19" t="s">
        <v>1663</v>
      </c>
      <c r="AA629" s="19" t="s">
        <v>1663</v>
      </c>
      <c r="AB629" s="19" t="s">
        <v>1663</v>
      </c>
    </row>
    <row r="630" spans="1:28" s="18" customFormat="1">
      <c r="A630" t="s">
        <v>1451</v>
      </c>
      <c r="B630" s="22" t="s">
        <v>9</v>
      </c>
      <c r="C630" s="22" t="s">
        <v>1799</v>
      </c>
      <c r="D630" t="s">
        <v>1938</v>
      </c>
      <c r="E630" s="23" t="s">
        <v>18</v>
      </c>
      <c r="F630" s="22" t="s">
        <v>13</v>
      </c>
      <c r="G630" s="30"/>
      <c r="H630" s="32" t="str">
        <f>IF(Prueba[[#This Row],[Cant.]]=0,"",IF(OR(Prueba[[#This Row],[Cant.2]]="",Prueba[[#This Row],[Puesto2]]=""),"?",Prueba[[#This Row],[Puesto2]]))</f>
        <v/>
      </c>
      <c r="I630" s="33"/>
      <c r="J630" s="34"/>
      <c r="K630" s="83"/>
      <c r="L630" s="83"/>
      <c r="M630" s="33"/>
      <c r="N630" s="32" t="str">
        <f>IF(Prueba[[#This Row],[Cant.4]]=0,"",IF(OR(Prueba[[#This Row],[Cant.6]]="",Prueba[[#This Row],[Puesto6]]=""),"?",Prueba[[#This Row],[Puesto6]]))</f>
        <v/>
      </c>
      <c r="O630" s="33"/>
      <c r="P630" s="32" t="str">
        <f>IF(Prueba[[#This Row],[Cant.5]]=0,"",IF(OR(Prueba[[#This Row],[Cant.6]]="",Prueba[[#This Row],[Puesto6]]=""),"?",Prueba[[#This Row],[Puesto6]]))</f>
        <v/>
      </c>
      <c r="Q630" s="33"/>
      <c r="R630" s="34"/>
      <c r="S630" s="83"/>
      <c r="T630" s="83"/>
      <c r="U630" s="33">
        <v>1</v>
      </c>
      <c r="V630" s="32" t="s">
        <v>1402</v>
      </c>
      <c r="W630" s="23"/>
      <c r="X630" s="19" t="s">
        <v>1667</v>
      </c>
      <c r="Y630" s="19" t="s">
        <v>1663</v>
      </c>
      <c r="Z630" s="19" t="s">
        <v>1663</v>
      </c>
      <c r="AA630" s="19" t="s">
        <v>1663</v>
      </c>
      <c r="AB630" s="19" t="s">
        <v>1663</v>
      </c>
    </row>
    <row r="631" spans="1:28" s="18" customFormat="1">
      <c r="A631" s="18" t="s">
        <v>538</v>
      </c>
      <c r="B631" s="18" t="s">
        <v>9</v>
      </c>
      <c r="C631" s="18" t="s">
        <v>539</v>
      </c>
      <c r="D631" s="18" t="s">
        <v>540</v>
      </c>
      <c r="E631" s="19" t="s">
        <v>22</v>
      </c>
      <c r="F631" s="18" t="s">
        <v>13</v>
      </c>
      <c r="G631" s="29">
        <v>2</v>
      </c>
      <c r="H631" s="32" t="str">
        <f>IF(Prueba[[#This Row],[Cant.]]=0,"",IF(OR(Prueba[[#This Row],[Cant.2]]="",Prueba[[#This Row],[Puesto2]]=""),"?",Prueba[[#This Row],[Puesto2]]))</f>
        <v>C</v>
      </c>
      <c r="I631" s="31">
        <v>2</v>
      </c>
      <c r="J631" s="32" t="s">
        <v>1402</v>
      </c>
      <c r="K631" s="14">
        <v>3</v>
      </c>
      <c r="L631" s="14"/>
      <c r="M631" s="31">
        <v>1</v>
      </c>
      <c r="N631" s="32" t="str">
        <f>IF(Prueba[[#This Row],[Cant.4]]=0,"",IF(OR(Prueba[[#This Row],[Cant.6]]="",Prueba[[#This Row],[Puesto6]]=""),"?",Prueba[[#This Row],[Puesto6]]))</f>
        <v>C</v>
      </c>
      <c r="O631" s="31">
        <v>1</v>
      </c>
      <c r="P631" s="32" t="str">
        <f>IF(Prueba[[#This Row],[Cant.5]]=0,"",IF(OR(Prueba[[#This Row],[Cant.6]]="",Prueba[[#This Row],[Puesto6]]=""),"?",Prueba[[#This Row],[Puesto6]]))</f>
        <v>C</v>
      </c>
      <c r="Q631" s="31">
        <v>1</v>
      </c>
      <c r="R631" s="32" t="s">
        <v>1402</v>
      </c>
      <c r="S631" s="14">
        <v>1</v>
      </c>
      <c r="T631" s="14" t="s">
        <v>1402</v>
      </c>
      <c r="U631" s="31">
        <v>3</v>
      </c>
      <c r="V631" s="32" t="s">
        <v>1402</v>
      </c>
      <c r="W631" s="19">
        <v>24</v>
      </c>
      <c r="X631" s="19" t="s">
        <v>1664</v>
      </c>
      <c r="Y631" s="19" t="s">
        <v>1663</v>
      </c>
      <c r="Z631" s="19" t="s">
        <v>1663</v>
      </c>
      <c r="AA631" s="19" t="s">
        <v>1663</v>
      </c>
      <c r="AB631" s="19" t="s">
        <v>1663</v>
      </c>
    </row>
    <row r="632" spans="1:28" s="18" customFormat="1">
      <c r="A632" s="18" t="s">
        <v>1452</v>
      </c>
      <c r="B632" s="18" t="s">
        <v>9</v>
      </c>
      <c r="C632" s="18" t="s">
        <v>1752</v>
      </c>
      <c r="D632" s="18" t="s">
        <v>2060</v>
      </c>
      <c r="E632" s="19" t="s">
        <v>1733</v>
      </c>
      <c r="F632" s="18" t="s">
        <v>13</v>
      </c>
      <c r="G632" s="29"/>
      <c r="H632" s="32" t="str">
        <f>IF(Prueba[[#This Row],[Cant.]]=0,"",IF(OR(Prueba[[#This Row],[Cant.2]]="",Prueba[[#This Row],[Puesto2]]=""),"?",Prueba[[#This Row],[Puesto2]]))</f>
        <v/>
      </c>
      <c r="I632" s="31"/>
      <c r="J632" s="32"/>
      <c r="K632" s="14"/>
      <c r="L632" s="14"/>
      <c r="M632" s="31"/>
      <c r="N632" s="32" t="str">
        <f>IF(Prueba[[#This Row],[Cant.4]]=0,"",IF(OR(Prueba[[#This Row],[Cant.6]]="",Prueba[[#This Row],[Puesto6]]=""),"?",Prueba[[#This Row],[Puesto6]]))</f>
        <v/>
      </c>
      <c r="O632" s="31"/>
      <c r="P632" s="32" t="str">
        <f>IF(Prueba[[#This Row],[Cant.5]]=0,"",IF(OR(Prueba[[#This Row],[Cant.6]]="",Prueba[[#This Row],[Puesto6]]=""),"?",Prueba[[#This Row],[Puesto6]]))</f>
        <v/>
      </c>
      <c r="Q632" s="31"/>
      <c r="R632" s="32"/>
      <c r="S632" s="14"/>
      <c r="T632" s="14"/>
      <c r="U632" s="31">
        <v>1</v>
      </c>
      <c r="V632" s="32">
        <v>1</v>
      </c>
      <c r="W632" s="19">
        <v>8</v>
      </c>
      <c r="X632" s="19" t="s">
        <v>1664</v>
      </c>
      <c r="Y632" s="19" t="s">
        <v>1663</v>
      </c>
      <c r="Z632" s="19" t="s">
        <v>1663</v>
      </c>
      <c r="AA632" s="19" t="s">
        <v>1663</v>
      </c>
      <c r="AB632" s="19" t="s">
        <v>1663</v>
      </c>
    </row>
    <row r="633" spans="1:28" s="18" customFormat="1">
      <c r="A633" s="18" t="s">
        <v>1454</v>
      </c>
      <c r="B633" s="18" t="s">
        <v>9</v>
      </c>
      <c r="C633" s="18" t="s">
        <v>2061</v>
      </c>
      <c r="D633" s="18" t="s">
        <v>2062</v>
      </c>
      <c r="E633" s="19" t="s">
        <v>1733</v>
      </c>
      <c r="F633" s="18" t="s">
        <v>13</v>
      </c>
      <c r="G633" s="29"/>
      <c r="H633" s="32" t="str">
        <f>IF(Prueba[[#This Row],[Cant.]]=0,"",IF(OR(Prueba[[#This Row],[Cant.2]]="",Prueba[[#This Row],[Puesto2]]=""),"?",Prueba[[#This Row],[Puesto2]]))</f>
        <v/>
      </c>
      <c r="I633" s="31"/>
      <c r="J633" s="32"/>
      <c r="K633" s="14"/>
      <c r="L633" s="14"/>
      <c r="M633" s="31">
        <v>1</v>
      </c>
      <c r="N633" s="32">
        <f>IF(Prueba[[#This Row],[Cant.4]]=0,"",IF(OR(Prueba[[#This Row],[Cant.6]]="",Prueba[[#This Row],[Puesto6]]=""),"?",Prueba[[#This Row],[Puesto6]]))</f>
        <v>5</v>
      </c>
      <c r="O633" s="31">
        <v>2</v>
      </c>
      <c r="P633" s="32">
        <f>IF(Prueba[[#This Row],[Cant.5]]=0,"",IF(OR(Prueba[[#This Row],[Cant.6]]="",Prueba[[#This Row],[Puesto6]]=""),"?",Prueba[[#This Row],[Puesto6]]))</f>
        <v>5</v>
      </c>
      <c r="Q633" s="31">
        <v>1</v>
      </c>
      <c r="R633" s="32">
        <v>5</v>
      </c>
      <c r="S633" s="14">
        <v>2</v>
      </c>
      <c r="T633" s="14">
        <v>5</v>
      </c>
      <c r="U633" s="31">
        <v>2</v>
      </c>
      <c r="V633" s="32">
        <v>5</v>
      </c>
      <c r="W633" s="19">
        <v>16</v>
      </c>
      <c r="X633" s="19" t="s">
        <v>1664</v>
      </c>
      <c r="Y633" s="19" t="s">
        <v>1663</v>
      </c>
      <c r="Z633" s="19" t="s">
        <v>1663</v>
      </c>
      <c r="AA633" s="19" t="s">
        <v>1663</v>
      </c>
      <c r="AB633" s="19" t="s">
        <v>1663</v>
      </c>
    </row>
    <row r="634" spans="1:28" s="18" customFormat="1">
      <c r="A634" s="18" t="s">
        <v>1117</v>
      </c>
      <c r="B634" s="18" t="s">
        <v>9</v>
      </c>
      <c r="C634" s="18" t="s">
        <v>174</v>
      </c>
      <c r="D634" s="18" t="s">
        <v>21</v>
      </c>
      <c r="E634" s="19" t="s">
        <v>22</v>
      </c>
      <c r="F634" s="18" t="s">
        <v>13</v>
      </c>
      <c r="G634" s="29"/>
      <c r="H634" s="32" t="str">
        <f>IF(Prueba[[#This Row],[Cant.]]=0,"",IF(OR(Prueba[[#This Row],[Cant.2]]="",Prueba[[#This Row],[Puesto2]]=""),"?",Prueba[[#This Row],[Puesto2]]))</f>
        <v/>
      </c>
      <c r="I634" s="31"/>
      <c r="J634" s="32"/>
      <c r="K634" s="14">
        <v>3</v>
      </c>
      <c r="L634" s="14"/>
      <c r="M634" s="31">
        <v>2</v>
      </c>
      <c r="N634" s="32">
        <f>IF(Prueba[[#This Row],[Cant.4]]=0,"",IF(OR(Prueba[[#This Row],[Cant.6]]="",Prueba[[#This Row],[Puesto6]]=""),"?",Prueba[[#This Row],[Puesto6]]))</f>
        <v>5</v>
      </c>
      <c r="O634" s="31">
        <v>2</v>
      </c>
      <c r="P634" s="32">
        <f>IF(Prueba[[#This Row],[Cant.5]]=0,"",IF(OR(Prueba[[#This Row],[Cant.6]]="",Prueba[[#This Row],[Puesto6]]=""),"?",Prueba[[#This Row],[Puesto6]]))</f>
        <v>5</v>
      </c>
      <c r="Q634" s="31">
        <v>2</v>
      </c>
      <c r="R634" s="32">
        <v>5</v>
      </c>
      <c r="S634" s="14">
        <v>2</v>
      </c>
      <c r="T634" s="14">
        <v>5</v>
      </c>
      <c r="U634" s="31">
        <v>2</v>
      </c>
      <c r="V634" s="32">
        <v>5</v>
      </c>
      <c r="W634" s="19">
        <v>24</v>
      </c>
      <c r="X634" s="19" t="s">
        <v>1664</v>
      </c>
      <c r="Y634" s="19" t="s">
        <v>1663</v>
      </c>
      <c r="Z634" s="19" t="s">
        <v>1663</v>
      </c>
      <c r="AA634" s="19" t="s">
        <v>1663</v>
      </c>
      <c r="AB634" s="19" t="s">
        <v>1663</v>
      </c>
    </row>
    <row r="635" spans="1:28" s="18" customFormat="1">
      <c r="A635" s="18" t="s">
        <v>541</v>
      </c>
      <c r="B635" s="18" t="s">
        <v>9</v>
      </c>
      <c r="C635" s="18" t="s">
        <v>174</v>
      </c>
      <c r="D635" s="18" t="s">
        <v>21</v>
      </c>
      <c r="E635" s="19" t="s">
        <v>22</v>
      </c>
      <c r="F635" s="18" t="s">
        <v>13</v>
      </c>
      <c r="G635" s="29">
        <v>2</v>
      </c>
      <c r="H635" s="32">
        <f>IF(Prueba[[#This Row],[Cant.]]=0,"",IF(OR(Prueba[[#This Row],[Cant.2]]="",Prueba[[#This Row],[Puesto2]]=""),"?",Prueba[[#This Row],[Puesto2]]))</f>
        <v>5</v>
      </c>
      <c r="I635" s="31">
        <v>2</v>
      </c>
      <c r="J635" s="32">
        <v>5</v>
      </c>
      <c r="K635" s="14"/>
      <c r="L635" s="14"/>
      <c r="M635" s="31"/>
      <c r="N635" s="32" t="str">
        <f>IF(Prueba[[#This Row],[Cant.4]]=0,"",IF(OR(Prueba[[#This Row],[Cant.6]]="",Prueba[[#This Row],[Puesto6]]=""),"?",Prueba[[#This Row],[Puesto6]]))</f>
        <v/>
      </c>
      <c r="O635" s="31"/>
      <c r="P635" s="32" t="str">
        <f>IF(Prueba[[#This Row],[Cant.5]]=0,"",IF(OR(Prueba[[#This Row],[Cant.6]]="",Prueba[[#This Row],[Puesto6]]=""),"?",Prueba[[#This Row],[Puesto6]]))</f>
        <v/>
      </c>
      <c r="Q635" s="31"/>
      <c r="R635" s="32"/>
      <c r="S635" s="14">
        <v>1</v>
      </c>
      <c r="T635" s="14">
        <v>5</v>
      </c>
      <c r="U635" s="31"/>
      <c r="V635" s="32" t="s">
        <v>1663</v>
      </c>
      <c r="W635" s="19">
        <v>8</v>
      </c>
      <c r="X635" s="19" t="s">
        <v>1664</v>
      </c>
      <c r="Y635" s="19">
        <v>3</v>
      </c>
      <c r="Z635" s="19">
        <v>5</v>
      </c>
      <c r="AA635" s="19">
        <v>3</v>
      </c>
      <c r="AB635" s="19">
        <v>5</v>
      </c>
    </row>
    <row r="636" spans="1:28" s="18" customFormat="1">
      <c r="A636" s="18" t="s">
        <v>1456</v>
      </c>
      <c r="B636" s="18" t="s">
        <v>9</v>
      </c>
      <c r="C636" s="18" t="s">
        <v>2063</v>
      </c>
      <c r="D636" s="18" t="s">
        <v>2064</v>
      </c>
      <c r="E636" s="19" t="s">
        <v>1815</v>
      </c>
      <c r="F636" s="18" t="s">
        <v>13</v>
      </c>
      <c r="G636" s="29"/>
      <c r="H636" s="32" t="str">
        <f>IF(Prueba[[#This Row],[Cant.]]=0,"",IF(OR(Prueba[[#This Row],[Cant.2]]="",Prueba[[#This Row],[Puesto2]]=""),"?",Prueba[[#This Row],[Puesto2]]))</f>
        <v/>
      </c>
      <c r="I636" s="31"/>
      <c r="J636" s="32"/>
      <c r="K636" s="14"/>
      <c r="L636" s="14"/>
      <c r="M636" s="31"/>
      <c r="N636" s="32" t="str">
        <f>IF(Prueba[[#This Row],[Cant.4]]=0,"",IF(OR(Prueba[[#This Row],[Cant.6]]="",Prueba[[#This Row],[Puesto6]]=""),"?",Prueba[[#This Row],[Puesto6]]))</f>
        <v/>
      </c>
      <c r="O636" s="31"/>
      <c r="P636" s="32" t="str">
        <f>IF(Prueba[[#This Row],[Cant.5]]=0,"",IF(OR(Prueba[[#This Row],[Cant.6]]="",Prueba[[#This Row],[Puesto6]]=""),"?",Prueba[[#This Row],[Puesto6]]))</f>
        <v/>
      </c>
      <c r="Q636" s="31"/>
      <c r="R636" s="32"/>
      <c r="S636" s="14"/>
      <c r="T636" s="14"/>
      <c r="U636" s="31">
        <v>8</v>
      </c>
      <c r="V636" s="26" t="s">
        <v>1458</v>
      </c>
      <c r="W636" s="19"/>
      <c r="X636" s="19" t="s">
        <v>1667</v>
      </c>
      <c r="Y636" s="19" t="s">
        <v>1663</v>
      </c>
      <c r="Z636" s="19" t="s">
        <v>1663</v>
      </c>
      <c r="AA636" s="19" t="s">
        <v>1663</v>
      </c>
      <c r="AB636" s="19" t="s">
        <v>1663</v>
      </c>
    </row>
    <row r="637" spans="1:28" s="18" customFormat="1">
      <c r="A637" s="18" t="s">
        <v>1459</v>
      </c>
      <c r="B637" s="18" t="s">
        <v>9</v>
      </c>
      <c r="C637" s="18" t="s">
        <v>2065</v>
      </c>
      <c r="D637" s="18" t="s">
        <v>2066</v>
      </c>
      <c r="E637" s="19" t="s">
        <v>39</v>
      </c>
      <c r="F637" s="18" t="s">
        <v>13</v>
      </c>
      <c r="G637" s="29"/>
      <c r="H637" s="32" t="str">
        <f>IF(Prueba[[#This Row],[Cant.]]=0,"",IF(OR(Prueba[[#This Row],[Cant.2]]="",Prueba[[#This Row],[Puesto2]]=""),"?",Prueba[[#This Row],[Puesto2]]))</f>
        <v/>
      </c>
      <c r="I637" s="31"/>
      <c r="J637" s="32"/>
      <c r="K637" s="14"/>
      <c r="L637" s="14"/>
      <c r="M637" s="31"/>
      <c r="N637" s="32" t="str">
        <f>IF(Prueba[[#This Row],[Cant.4]]=0,"",IF(OR(Prueba[[#This Row],[Cant.6]]="",Prueba[[#This Row],[Puesto6]]=""),"?",Prueba[[#This Row],[Puesto6]]))</f>
        <v/>
      </c>
      <c r="O637" s="31"/>
      <c r="P637" s="32" t="str">
        <f>IF(Prueba[[#This Row],[Cant.5]]=0,"",IF(OR(Prueba[[#This Row],[Cant.6]]="",Prueba[[#This Row],[Puesto6]]=""),"?",Prueba[[#This Row],[Puesto6]]))</f>
        <v/>
      </c>
      <c r="Q637" s="31"/>
      <c r="R637" s="32"/>
      <c r="S637" s="14"/>
      <c r="T637" s="14"/>
      <c r="U637" s="31">
        <v>1</v>
      </c>
      <c r="V637" s="32" t="s">
        <v>1421</v>
      </c>
      <c r="W637" s="19"/>
      <c r="X637" s="19" t="s">
        <v>1667</v>
      </c>
      <c r="Y637" s="19" t="s">
        <v>1663</v>
      </c>
      <c r="Z637" s="19" t="s">
        <v>1663</v>
      </c>
      <c r="AA637" s="19" t="s">
        <v>1663</v>
      </c>
      <c r="AB637" s="19" t="s">
        <v>1663</v>
      </c>
    </row>
    <row r="638" spans="1:28" s="18" customFormat="1">
      <c r="A638" s="18" t="s">
        <v>1461</v>
      </c>
      <c r="B638" s="18" t="s">
        <v>9</v>
      </c>
      <c r="C638" s="18" t="s">
        <v>2065</v>
      </c>
      <c r="D638" s="18" t="s">
        <v>2066</v>
      </c>
      <c r="E638" s="19" t="s">
        <v>39</v>
      </c>
      <c r="F638" s="18" t="s">
        <v>13</v>
      </c>
      <c r="G638" s="29"/>
      <c r="H638" s="32" t="str">
        <f>IF(Prueba[[#This Row],[Cant.]]=0,"",IF(OR(Prueba[[#This Row],[Cant.2]]="",Prueba[[#This Row],[Puesto2]]=""),"?",Prueba[[#This Row],[Puesto2]]))</f>
        <v/>
      </c>
      <c r="I638" s="31"/>
      <c r="J638" s="32"/>
      <c r="K638" s="14"/>
      <c r="L638" s="14"/>
      <c r="M638" s="31"/>
      <c r="N638" s="32" t="str">
        <f>IF(Prueba[[#This Row],[Cant.4]]=0,"",IF(OR(Prueba[[#This Row],[Cant.6]]="",Prueba[[#This Row],[Puesto6]]=""),"?",Prueba[[#This Row],[Puesto6]]))</f>
        <v/>
      </c>
      <c r="O638" s="31"/>
      <c r="P638" s="32" t="str">
        <f>IF(Prueba[[#This Row],[Cant.5]]=0,"",IF(OR(Prueba[[#This Row],[Cant.6]]="",Prueba[[#This Row],[Puesto6]]=""),"?",Prueba[[#This Row],[Puesto6]]))</f>
        <v/>
      </c>
      <c r="Q638" s="31"/>
      <c r="R638" s="32"/>
      <c r="S638" s="14"/>
      <c r="T638" s="14"/>
      <c r="U638" s="31">
        <v>1</v>
      </c>
      <c r="V638" s="32" t="s">
        <v>1421</v>
      </c>
      <c r="W638" s="19"/>
      <c r="X638" s="19" t="s">
        <v>1667</v>
      </c>
      <c r="Y638" s="19" t="s">
        <v>1663</v>
      </c>
      <c r="Z638" s="19" t="s">
        <v>1663</v>
      </c>
      <c r="AA638" s="19" t="s">
        <v>1663</v>
      </c>
      <c r="AB638" s="19" t="s">
        <v>1663</v>
      </c>
    </row>
    <row r="639" spans="1:28" s="18" customFormat="1">
      <c r="A639" s="18" t="s">
        <v>1118</v>
      </c>
      <c r="B639" s="18" t="s">
        <v>9</v>
      </c>
      <c r="C639" s="18" t="s">
        <v>84</v>
      </c>
      <c r="D639" s="18" t="s">
        <v>41</v>
      </c>
      <c r="E639" s="19" t="s">
        <v>39</v>
      </c>
      <c r="F639" s="18" t="s">
        <v>13</v>
      </c>
      <c r="G639" s="29"/>
      <c r="H639" s="32" t="str">
        <f>IF(Prueba[[#This Row],[Cant.]]=0,"",IF(OR(Prueba[[#This Row],[Cant.2]]="",Prueba[[#This Row],[Puesto2]]=""),"?",Prueba[[#This Row],[Puesto2]]))</f>
        <v/>
      </c>
      <c r="I639" s="31"/>
      <c r="J639" s="32"/>
      <c r="K639" s="14">
        <v>1</v>
      </c>
      <c r="L639" s="14"/>
      <c r="M639" s="31">
        <v>1</v>
      </c>
      <c r="N639" s="32" t="str">
        <f>IF(Prueba[[#This Row],[Cant.4]]=0,"",IF(OR(Prueba[[#This Row],[Cant.6]]="",Prueba[[#This Row],[Puesto6]]=""),"?",Prueba[[#This Row],[Puesto6]]))</f>
        <v>A</v>
      </c>
      <c r="O639" s="31">
        <v>1</v>
      </c>
      <c r="P639" s="32" t="str">
        <f>IF(Prueba[[#This Row],[Cant.5]]=0,"",IF(OR(Prueba[[#This Row],[Cant.6]]="",Prueba[[#This Row],[Puesto6]]=""),"?",Prueba[[#This Row],[Puesto6]]))</f>
        <v>A</v>
      </c>
      <c r="Q639" s="31">
        <v>1</v>
      </c>
      <c r="R639" s="32" t="s">
        <v>1421</v>
      </c>
      <c r="S639" s="14"/>
      <c r="T639" s="14"/>
      <c r="U639" s="31">
        <v>1</v>
      </c>
      <c r="V639" s="32" t="s">
        <v>1421</v>
      </c>
      <c r="W639" s="19"/>
      <c r="X639" s="19" t="s">
        <v>1667</v>
      </c>
      <c r="Y639" s="19" t="s">
        <v>1663</v>
      </c>
      <c r="Z639" s="19" t="s">
        <v>1663</v>
      </c>
      <c r="AA639" s="19" t="s">
        <v>1663</v>
      </c>
      <c r="AB639" s="19" t="s">
        <v>1663</v>
      </c>
    </row>
    <row r="640" spans="1:28" s="18" customFormat="1">
      <c r="A640" s="18" t="s">
        <v>1119</v>
      </c>
      <c r="B640" s="18" t="s">
        <v>9</v>
      </c>
      <c r="C640" s="18" t="s">
        <v>84</v>
      </c>
      <c r="D640" s="18" t="s">
        <v>41</v>
      </c>
      <c r="E640" s="19" t="s">
        <v>39</v>
      </c>
      <c r="F640" s="18" t="s">
        <v>13</v>
      </c>
      <c r="G640" s="29"/>
      <c r="H640" s="32" t="str">
        <f>IF(Prueba[[#This Row],[Cant.]]=0,"",IF(OR(Prueba[[#This Row],[Cant.2]]="",Prueba[[#This Row],[Puesto2]]=""),"?",Prueba[[#This Row],[Puesto2]]))</f>
        <v/>
      </c>
      <c r="I640" s="31"/>
      <c r="J640" s="32"/>
      <c r="K640" s="14">
        <v>1</v>
      </c>
      <c r="L640" s="14"/>
      <c r="M640" s="31">
        <v>1</v>
      </c>
      <c r="N640" s="32" t="str">
        <f>IF(Prueba[[#This Row],[Cant.4]]=0,"",IF(OR(Prueba[[#This Row],[Cant.6]]="",Prueba[[#This Row],[Puesto6]]=""),"?",Prueba[[#This Row],[Puesto6]]))</f>
        <v>A</v>
      </c>
      <c r="O640" s="31">
        <v>1</v>
      </c>
      <c r="P640" s="32" t="str">
        <f>IF(Prueba[[#This Row],[Cant.5]]=0,"",IF(OR(Prueba[[#This Row],[Cant.6]]="",Prueba[[#This Row],[Puesto6]]=""),"?",Prueba[[#This Row],[Puesto6]]))</f>
        <v>A</v>
      </c>
      <c r="Q640" s="31">
        <v>1</v>
      </c>
      <c r="R640" s="32" t="s">
        <v>1421</v>
      </c>
      <c r="S640" s="14"/>
      <c r="T640" s="14"/>
      <c r="U640" s="31">
        <v>1</v>
      </c>
      <c r="V640" s="32" t="s">
        <v>1421</v>
      </c>
      <c r="W640" s="19"/>
      <c r="X640" s="19" t="s">
        <v>1667</v>
      </c>
      <c r="Y640" s="19" t="s">
        <v>1663</v>
      </c>
      <c r="Z640" s="19" t="s">
        <v>1663</v>
      </c>
      <c r="AA640" s="19" t="s">
        <v>1663</v>
      </c>
      <c r="AB640" s="19" t="s">
        <v>1663</v>
      </c>
    </row>
    <row r="641" spans="1:28" s="18" customFormat="1">
      <c r="A641" s="18" t="s">
        <v>542</v>
      </c>
      <c r="B641" s="18" t="s">
        <v>9</v>
      </c>
      <c r="C641" s="18" t="s">
        <v>174</v>
      </c>
      <c r="D641" s="18" t="s">
        <v>543</v>
      </c>
      <c r="E641" s="19" t="s">
        <v>22</v>
      </c>
      <c r="F641" s="18" t="s">
        <v>13</v>
      </c>
      <c r="G641" s="29">
        <v>1</v>
      </c>
      <c r="H641" s="32" t="str">
        <f>IF(Prueba[[#This Row],[Cant.]]=0,"",IF(OR(Prueba[[#This Row],[Cant.2]]="",Prueba[[#This Row],[Puesto2]]=""),"?",Prueba[[#This Row],[Puesto2]]))</f>
        <v>C</v>
      </c>
      <c r="I641" s="31">
        <v>1</v>
      </c>
      <c r="J641" s="32" t="s">
        <v>1402</v>
      </c>
      <c r="K641" s="14"/>
      <c r="L641" s="14"/>
      <c r="M641" s="31"/>
      <c r="N641" s="32" t="str">
        <f>IF(Prueba[[#This Row],[Cant.4]]=0,"",IF(OR(Prueba[[#This Row],[Cant.6]]="",Prueba[[#This Row],[Puesto6]]=""),"?",Prueba[[#This Row],[Puesto6]]))</f>
        <v/>
      </c>
      <c r="O641" s="31"/>
      <c r="P641" s="32" t="str">
        <f>IF(Prueba[[#This Row],[Cant.5]]=0,"",IF(OR(Prueba[[#This Row],[Cant.6]]="",Prueba[[#This Row],[Puesto6]]=""),"?",Prueba[[#This Row],[Puesto6]]))</f>
        <v/>
      </c>
      <c r="Q641" s="31"/>
      <c r="R641" s="32"/>
      <c r="S641" s="14"/>
      <c r="T641" s="14"/>
      <c r="U641" s="31"/>
      <c r="V641" s="32" t="s">
        <v>1663</v>
      </c>
      <c r="W641" s="19">
        <v>8</v>
      </c>
      <c r="X641" s="19" t="s">
        <v>1664</v>
      </c>
      <c r="Y641" s="19">
        <v>2</v>
      </c>
      <c r="Z641" s="19" t="s">
        <v>1402</v>
      </c>
      <c r="AA641" s="19">
        <v>2</v>
      </c>
      <c r="AB641" s="19" t="s">
        <v>1402</v>
      </c>
    </row>
    <row r="642" spans="1:28" s="18" customFormat="1">
      <c r="A642" s="18" t="s">
        <v>544</v>
      </c>
      <c r="B642" s="18" t="s">
        <v>9</v>
      </c>
      <c r="C642" s="18" t="s">
        <v>545</v>
      </c>
      <c r="D642" s="18" t="s">
        <v>116</v>
      </c>
      <c r="E642" s="19" t="s">
        <v>12</v>
      </c>
      <c r="F642" s="18" t="s">
        <v>13</v>
      </c>
      <c r="G642" s="29">
        <v>1</v>
      </c>
      <c r="H642" s="32" t="str">
        <f>IF(Prueba[[#This Row],[Cant.]]=0,"",IF(OR(Prueba[[#This Row],[Cant.2]]="",Prueba[[#This Row],[Puesto2]]=""),"?",Prueba[[#This Row],[Puesto2]]))</f>
        <v>A</v>
      </c>
      <c r="I642" s="31">
        <v>1</v>
      </c>
      <c r="J642" s="32" t="s">
        <v>1421</v>
      </c>
      <c r="K642" s="14">
        <v>1</v>
      </c>
      <c r="L642" s="14"/>
      <c r="M642" s="31">
        <v>1</v>
      </c>
      <c r="N642" s="32" t="str">
        <f>IF(Prueba[[#This Row],[Cant.4]]=0,"",IF(OR(Prueba[[#This Row],[Cant.6]]="",Prueba[[#This Row],[Puesto6]]=""),"?",Prueba[[#This Row],[Puesto6]]))</f>
        <v>A</v>
      </c>
      <c r="O642" s="31">
        <v>1</v>
      </c>
      <c r="P642" s="32" t="str">
        <f>IF(Prueba[[#This Row],[Cant.5]]=0,"",IF(OR(Prueba[[#This Row],[Cant.6]]="",Prueba[[#This Row],[Puesto6]]=""),"?",Prueba[[#This Row],[Puesto6]]))</f>
        <v>A</v>
      </c>
      <c r="Q642" s="31">
        <v>1</v>
      </c>
      <c r="R642" s="32" t="s">
        <v>1421</v>
      </c>
      <c r="S642" s="14">
        <v>1</v>
      </c>
      <c r="T642" s="14" t="s">
        <v>1421</v>
      </c>
      <c r="U642" s="31">
        <v>1</v>
      </c>
      <c r="V642" s="32" t="s">
        <v>1421</v>
      </c>
      <c r="W642" s="19"/>
      <c r="X642" s="19" t="s">
        <v>1667</v>
      </c>
      <c r="Y642" s="19">
        <v>1</v>
      </c>
      <c r="Z642" s="19" t="s">
        <v>1421</v>
      </c>
      <c r="AA642" s="19">
        <v>1</v>
      </c>
      <c r="AB642" s="19" t="s">
        <v>1421</v>
      </c>
    </row>
    <row r="643" spans="1:28" s="18" customFormat="1">
      <c r="A643" s="18" t="s">
        <v>1120</v>
      </c>
      <c r="B643" s="18" t="s">
        <v>9</v>
      </c>
      <c r="C643" s="18" t="s">
        <v>363</v>
      </c>
      <c r="D643" s="18" t="s">
        <v>1121</v>
      </c>
      <c r="E643" s="19" t="s">
        <v>308</v>
      </c>
      <c r="F643" s="18" t="s">
        <v>13</v>
      </c>
      <c r="G643" s="29"/>
      <c r="H643" s="32" t="str">
        <f>IF(Prueba[[#This Row],[Cant.]]=0,"",IF(OR(Prueba[[#This Row],[Cant.2]]="",Prueba[[#This Row],[Puesto2]]=""),"?",Prueba[[#This Row],[Puesto2]]))</f>
        <v/>
      </c>
      <c r="I643" s="31"/>
      <c r="J643" s="32"/>
      <c r="K643" s="14">
        <v>2</v>
      </c>
      <c r="L643" s="14"/>
      <c r="M643" s="31">
        <v>2</v>
      </c>
      <c r="N643" s="32" t="str">
        <f>IF(Prueba[[#This Row],[Cant.4]]=0,"",IF(OR(Prueba[[#This Row],[Cant.6]]="",Prueba[[#This Row],[Puesto6]]=""),"?",Prueba[[#This Row],[Puesto6]]))</f>
        <v>D</v>
      </c>
      <c r="O643" s="31">
        <v>2</v>
      </c>
      <c r="P643" s="32" t="str">
        <f>IF(Prueba[[#This Row],[Cant.5]]=0,"",IF(OR(Prueba[[#This Row],[Cant.6]]="",Prueba[[#This Row],[Puesto6]]=""),"?",Prueba[[#This Row],[Puesto6]]))</f>
        <v>D</v>
      </c>
      <c r="Q643" s="31">
        <v>2</v>
      </c>
      <c r="R643" s="32" t="s">
        <v>1399</v>
      </c>
      <c r="S643" s="14">
        <v>2</v>
      </c>
      <c r="T643" s="14" t="s">
        <v>1399</v>
      </c>
      <c r="U643" s="31"/>
      <c r="V643" s="32" t="s">
        <v>1663</v>
      </c>
      <c r="W643" s="19"/>
      <c r="X643" s="19" t="s">
        <v>1667</v>
      </c>
      <c r="Y643" s="19" t="s">
        <v>1663</v>
      </c>
      <c r="Z643" s="19" t="s">
        <v>1663</v>
      </c>
      <c r="AA643" s="19" t="s">
        <v>1663</v>
      </c>
      <c r="AB643" s="19" t="s">
        <v>1663</v>
      </c>
    </row>
    <row r="644" spans="1:28" s="18" customFormat="1">
      <c r="A644" s="18" t="s">
        <v>2067</v>
      </c>
      <c r="B644" s="18" t="s">
        <v>1806</v>
      </c>
      <c r="C644" s="18" t="s">
        <v>2068</v>
      </c>
      <c r="D644" s="18" t="s">
        <v>2069</v>
      </c>
      <c r="E644" s="19" t="s">
        <v>1815</v>
      </c>
      <c r="F644" s="18" t="s">
        <v>13</v>
      </c>
      <c r="G644" s="29"/>
      <c r="H644" s="32" t="str">
        <f>IF(Prueba[[#This Row],[Cant.]]=0,"",IF(OR(Prueba[[#This Row],[Cant.2]]="",Prueba[[#This Row],[Puesto2]]=""),"?",Prueba[[#This Row],[Puesto2]]))</f>
        <v/>
      </c>
      <c r="I644" s="31"/>
      <c r="J644" s="32"/>
      <c r="K644" s="14"/>
      <c r="L644" s="14"/>
      <c r="M644" s="31">
        <v>1</v>
      </c>
      <c r="N644" s="32" t="str">
        <f>IF(Prueba[[#This Row],[Cant.4]]=0,"",IF(OR(Prueba[[#This Row],[Cant.6]]="",Prueba[[#This Row],[Puesto6]]=""),"?",Prueba[[#This Row],[Puesto6]]))</f>
        <v>C</v>
      </c>
      <c r="O644" s="31"/>
      <c r="P644" s="32"/>
      <c r="Q644" s="31">
        <v>1</v>
      </c>
      <c r="R644" s="32" t="s">
        <v>1402</v>
      </c>
      <c r="S644" s="14"/>
      <c r="T644" s="14"/>
      <c r="U644" s="31"/>
      <c r="V644" s="32" t="s">
        <v>1663</v>
      </c>
      <c r="W644" s="19"/>
      <c r="X644" s="19" t="s">
        <v>1667</v>
      </c>
      <c r="Y644" s="19" t="s">
        <v>1663</v>
      </c>
      <c r="Z644" s="19" t="s">
        <v>1663</v>
      </c>
      <c r="AA644" s="19" t="s">
        <v>1663</v>
      </c>
      <c r="AB644" s="19" t="s">
        <v>1663</v>
      </c>
    </row>
    <row r="645" spans="1:28" s="18" customFormat="1" ht="15.6">
      <c r="A645" s="18" t="s">
        <v>2070</v>
      </c>
      <c r="B645" s="18" t="s">
        <v>9</v>
      </c>
      <c r="C645" s="18" t="s">
        <v>1807</v>
      </c>
      <c r="D645" s="18" t="s">
        <v>1988</v>
      </c>
      <c r="E645" s="92" t="s">
        <v>790</v>
      </c>
      <c r="F645" s="18" t="s">
        <v>13</v>
      </c>
      <c r="G645" s="29"/>
      <c r="H645" s="32" t="str">
        <f>IF(Prueba[[#This Row],[Cant.]]=0,"",IF(OR(Prueba[[#This Row],[Cant.2]]="",Prueba[[#This Row],[Puesto2]]=""),"?",Prueba[[#This Row],[Puesto2]]))</f>
        <v/>
      </c>
      <c r="I645" s="31"/>
      <c r="J645" s="32"/>
      <c r="K645" s="14"/>
      <c r="L645" s="14"/>
      <c r="M645" s="31"/>
      <c r="N645" s="32" t="str">
        <f>IF(Prueba[[#This Row],[Cant.4]]=0,"",IF(OR(Prueba[[#This Row],[Cant.6]]="",Prueba[[#This Row],[Puesto6]]=""),"?",Prueba[[#This Row],[Puesto6]]))</f>
        <v/>
      </c>
      <c r="O645" s="31"/>
      <c r="P645" s="32" t="str">
        <f>IF(Prueba[[#This Row],[Cant.5]]=0,"",IF(OR(Prueba[[#This Row],[Cant.6]]="",Prueba[[#This Row],[Puesto6]]=""),"?",Prueba[[#This Row],[Puesto6]]))</f>
        <v/>
      </c>
      <c r="Q645" s="31"/>
      <c r="R645" s="32"/>
      <c r="S645" s="14">
        <v>1</v>
      </c>
      <c r="T645" s="14">
        <v>5</v>
      </c>
      <c r="U645" s="31"/>
      <c r="V645" s="32" t="s">
        <v>1663</v>
      </c>
      <c r="W645" s="19"/>
      <c r="X645" s="19" t="s">
        <v>1667</v>
      </c>
      <c r="Y645" s="19" t="s">
        <v>1663</v>
      </c>
      <c r="Z645" s="19" t="s">
        <v>1663</v>
      </c>
      <c r="AA645" s="19" t="s">
        <v>1663</v>
      </c>
      <c r="AB645" s="19" t="s">
        <v>1663</v>
      </c>
    </row>
    <row r="646" spans="1:28" s="18" customFormat="1">
      <c r="A646" s="18" t="s">
        <v>1122</v>
      </c>
      <c r="B646" s="18" t="s">
        <v>9</v>
      </c>
      <c r="C646" s="18" t="s">
        <v>1123</v>
      </c>
      <c r="D646" s="18" t="s">
        <v>1124</v>
      </c>
      <c r="E646" s="19" t="s">
        <v>12</v>
      </c>
      <c r="F646" s="18" t="s">
        <v>13</v>
      </c>
      <c r="G646" s="29"/>
      <c r="H646" s="32" t="str">
        <f>IF(Prueba[[#This Row],[Cant.]]=0,"",IF(OR(Prueba[[#This Row],[Cant.2]]="",Prueba[[#This Row],[Puesto2]]=""),"?",Prueba[[#This Row],[Puesto2]]))</f>
        <v/>
      </c>
      <c r="I646" s="31"/>
      <c r="J646" s="32"/>
      <c r="K646" s="14">
        <v>1</v>
      </c>
      <c r="L646" s="14"/>
      <c r="M646" s="31">
        <v>1</v>
      </c>
      <c r="N646" s="32" t="str">
        <f>IF(Prueba[[#This Row],[Cant.4]]=0,"",IF(OR(Prueba[[#This Row],[Cant.6]]="",Prueba[[#This Row],[Puesto6]]=""),"?",Prueba[[#This Row],[Puesto6]]))</f>
        <v>C</v>
      </c>
      <c r="O646" s="31">
        <v>1</v>
      </c>
      <c r="P646" s="32" t="str">
        <f>IF(Prueba[[#This Row],[Cant.5]]=0,"",IF(OR(Prueba[[#This Row],[Cant.6]]="",Prueba[[#This Row],[Puesto6]]=""),"?",Prueba[[#This Row],[Puesto6]]))</f>
        <v>C</v>
      </c>
      <c r="Q646" s="31">
        <v>1</v>
      </c>
      <c r="R646" s="32" t="s">
        <v>1402</v>
      </c>
      <c r="S646" s="14">
        <v>1</v>
      </c>
      <c r="T646" s="14" t="s">
        <v>1402</v>
      </c>
      <c r="U646" s="31">
        <v>1</v>
      </c>
      <c r="V646" s="32" t="s">
        <v>1402</v>
      </c>
      <c r="W646" s="19"/>
      <c r="X646" s="19" t="s">
        <v>1667</v>
      </c>
      <c r="Y646" s="19" t="s">
        <v>1663</v>
      </c>
      <c r="Z646" s="19" t="s">
        <v>1663</v>
      </c>
      <c r="AA646" s="19" t="s">
        <v>1663</v>
      </c>
      <c r="AB646" s="19" t="s">
        <v>1663</v>
      </c>
    </row>
    <row r="647" spans="1:28" s="18" customFormat="1">
      <c r="A647" s="18" t="s">
        <v>1125</v>
      </c>
      <c r="B647" s="18" t="s">
        <v>9</v>
      </c>
      <c r="C647" s="18" t="s">
        <v>84</v>
      </c>
      <c r="D647" s="18" t="s">
        <v>1126</v>
      </c>
      <c r="E647" s="19" t="s">
        <v>12</v>
      </c>
      <c r="F647" s="18" t="s">
        <v>13</v>
      </c>
      <c r="G647" s="29"/>
      <c r="H647" s="32" t="str">
        <f>IF(Prueba[[#This Row],[Cant.]]=0,"",IF(OR(Prueba[[#This Row],[Cant.2]]="",Prueba[[#This Row],[Puesto2]]=""),"?",Prueba[[#This Row],[Puesto2]]))</f>
        <v/>
      </c>
      <c r="I647" s="31"/>
      <c r="J647" s="32"/>
      <c r="K647" s="14">
        <v>1</v>
      </c>
      <c r="L647" s="14"/>
      <c r="M647" s="31">
        <v>1</v>
      </c>
      <c r="N647" s="32" t="str">
        <f>IF(Prueba[[#This Row],[Cant.4]]=0,"",IF(OR(Prueba[[#This Row],[Cant.6]]="",Prueba[[#This Row],[Puesto6]]=""),"?",Prueba[[#This Row],[Puesto6]]))</f>
        <v>C</v>
      </c>
      <c r="O647" s="31">
        <v>1</v>
      </c>
      <c r="P647" s="32" t="str">
        <f>IF(Prueba[[#This Row],[Cant.5]]=0,"",IF(OR(Prueba[[#This Row],[Cant.6]]="",Prueba[[#This Row],[Puesto6]]=""),"?",Prueba[[#This Row],[Puesto6]]))</f>
        <v>C</v>
      </c>
      <c r="Q647" s="31">
        <v>1</v>
      </c>
      <c r="R647" s="32" t="s">
        <v>1402</v>
      </c>
      <c r="S647" s="14">
        <v>1</v>
      </c>
      <c r="T647" s="14" t="s">
        <v>1402</v>
      </c>
      <c r="U647" s="31">
        <v>1</v>
      </c>
      <c r="V647" s="32" t="s">
        <v>1402</v>
      </c>
      <c r="W647" s="19"/>
      <c r="X647" s="19" t="s">
        <v>1667</v>
      </c>
      <c r="Y647" s="19" t="s">
        <v>1663</v>
      </c>
      <c r="Z647" s="19" t="s">
        <v>1663</v>
      </c>
      <c r="AA647" s="19" t="s">
        <v>1663</v>
      </c>
      <c r="AB647" s="19" t="s">
        <v>1663</v>
      </c>
    </row>
    <row r="648" spans="1:28" s="18" customFormat="1">
      <c r="A648" s="18" t="s">
        <v>1364</v>
      </c>
      <c r="B648" s="18" t="s">
        <v>9</v>
      </c>
      <c r="C648" s="18" t="s">
        <v>41</v>
      </c>
      <c r="D648" s="18" t="s">
        <v>41</v>
      </c>
      <c r="E648" s="19" t="s">
        <v>12</v>
      </c>
      <c r="F648" s="18" t="s">
        <v>13</v>
      </c>
      <c r="G648" s="29"/>
      <c r="H648" s="32" t="str">
        <f>IF(Prueba[[#This Row],[Cant.]]=0,"",IF(OR(Prueba[[#This Row],[Cant.2]]="",Prueba[[#This Row],[Puesto2]]=""),"?",Prueba[[#This Row],[Puesto2]]))</f>
        <v/>
      </c>
      <c r="I648" s="31"/>
      <c r="J648" s="32"/>
      <c r="K648" s="14">
        <v>1</v>
      </c>
      <c r="L648" s="14"/>
      <c r="M648" s="31">
        <v>1</v>
      </c>
      <c r="N648" s="32" t="str">
        <f>IF(Prueba[[#This Row],[Cant.4]]=0,"",IF(OR(Prueba[[#This Row],[Cant.6]]="",Prueba[[#This Row],[Puesto6]]=""),"?",Prueba[[#This Row],[Puesto6]]))</f>
        <v>C</v>
      </c>
      <c r="O648" s="31"/>
      <c r="P648" s="32"/>
      <c r="Q648" s="31">
        <v>1</v>
      </c>
      <c r="R648" s="32" t="s">
        <v>1402</v>
      </c>
      <c r="S648" s="14"/>
      <c r="T648" s="14"/>
      <c r="U648" s="31"/>
      <c r="V648" s="32" t="s">
        <v>1663</v>
      </c>
      <c r="W648" s="19"/>
      <c r="X648" s="19" t="s">
        <v>1667</v>
      </c>
      <c r="Y648" s="19" t="s">
        <v>1663</v>
      </c>
      <c r="Z648" s="19" t="s">
        <v>1663</v>
      </c>
      <c r="AA648" s="19" t="s">
        <v>1663</v>
      </c>
      <c r="AB648" s="19" t="s">
        <v>1663</v>
      </c>
    </row>
    <row r="649" spans="1:28" s="18" customFormat="1">
      <c r="A649" s="18" t="s">
        <v>2071</v>
      </c>
      <c r="B649" s="18" t="s">
        <v>9</v>
      </c>
      <c r="C649" s="18" t="s">
        <v>2072</v>
      </c>
      <c r="D649" s="18" t="s">
        <v>2073</v>
      </c>
      <c r="E649" s="19" t="s">
        <v>923</v>
      </c>
      <c r="F649" s="18" t="s">
        <v>13</v>
      </c>
      <c r="G649" s="29"/>
      <c r="H649" s="32" t="str">
        <f>IF(Prueba[[#This Row],[Cant.]]=0,"",IF(OR(Prueba[[#This Row],[Cant.2]]="",Prueba[[#This Row],[Puesto2]]=""),"?",Prueba[[#This Row],[Puesto2]]))</f>
        <v/>
      </c>
      <c r="I649" s="31"/>
      <c r="J649" s="32"/>
      <c r="K649" s="14"/>
      <c r="L649" s="14"/>
      <c r="M649" s="31"/>
      <c r="N649" s="32" t="str">
        <f>IF(Prueba[[#This Row],[Cant.4]]=0,"",IF(OR(Prueba[[#This Row],[Cant.6]]="",Prueba[[#This Row],[Puesto6]]=""),"?",Prueba[[#This Row],[Puesto6]]))</f>
        <v/>
      </c>
      <c r="O649" s="31"/>
      <c r="P649" s="32" t="str">
        <f>IF(Prueba[[#This Row],[Cant.5]]=0,"",IF(OR(Prueba[[#This Row],[Cant.6]]="",Prueba[[#This Row],[Puesto6]]=""),"?",Prueba[[#This Row],[Puesto6]]))</f>
        <v/>
      </c>
      <c r="Q649" s="31"/>
      <c r="R649" s="32"/>
      <c r="S649" s="14">
        <v>1</v>
      </c>
      <c r="T649" s="14" t="s">
        <v>1399</v>
      </c>
      <c r="U649" s="31"/>
      <c r="V649" s="32" t="s">
        <v>1663</v>
      </c>
      <c r="W649" s="19"/>
      <c r="X649" s="19" t="s">
        <v>1667</v>
      </c>
      <c r="Y649" s="19" t="s">
        <v>1663</v>
      </c>
      <c r="Z649" s="19" t="s">
        <v>1663</v>
      </c>
      <c r="AA649" s="19" t="s">
        <v>1663</v>
      </c>
      <c r="AB649" s="19" t="s">
        <v>1663</v>
      </c>
    </row>
    <row r="650" spans="1:28" s="18" customFormat="1" ht="15.6">
      <c r="A650" s="18" t="s">
        <v>2074</v>
      </c>
      <c r="B650" s="18" t="s">
        <v>9</v>
      </c>
      <c r="C650" s="18" t="s">
        <v>2075</v>
      </c>
      <c r="D650" s="18" t="s">
        <v>2076</v>
      </c>
      <c r="E650" s="92" t="s">
        <v>790</v>
      </c>
      <c r="F650" s="18" t="s">
        <v>13</v>
      </c>
      <c r="G650" s="29"/>
      <c r="H650" s="32" t="str">
        <f>IF(Prueba[[#This Row],[Cant.]]=0,"",IF(OR(Prueba[[#This Row],[Cant.2]]="",Prueba[[#This Row],[Puesto2]]=""),"?",Prueba[[#This Row],[Puesto2]]))</f>
        <v/>
      </c>
      <c r="I650" s="31"/>
      <c r="J650" s="32"/>
      <c r="K650" s="14"/>
      <c r="L650" s="14"/>
      <c r="M650" s="31"/>
      <c r="N650" s="32" t="str">
        <f>IF(Prueba[[#This Row],[Cant.4]]=0,"",IF(OR(Prueba[[#This Row],[Cant.6]]="",Prueba[[#This Row],[Puesto6]]=""),"?",Prueba[[#This Row],[Puesto6]]))</f>
        <v/>
      </c>
      <c r="O650" s="31"/>
      <c r="P650" s="32" t="str">
        <f>IF(Prueba[[#This Row],[Cant.5]]=0,"",IF(OR(Prueba[[#This Row],[Cant.6]]="",Prueba[[#This Row],[Puesto6]]=""),"?",Prueba[[#This Row],[Puesto6]]))</f>
        <v/>
      </c>
      <c r="Q650" s="31"/>
      <c r="R650" s="32"/>
      <c r="S650" s="14">
        <v>1</v>
      </c>
      <c r="T650" s="14" t="s">
        <v>1399</v>
      </c>
      <c r="U650" s="31"/>
      <c r="V650" s="32" t="s">
        <v>1663</v>
      </c>
      <c r="W650" s="19"/>
      <c r="X650" s="19" t="s">
        <v>1667</v>
      </c>
      <c r="Y650" s="19" t="s">
        <v>1663</v>
      </c>
      <c r="Z650" s="19" t="s">
        <v>1663</v>
      </c>
      <c r="AA650" s="19" t="s">
        <v>1663</v>
      </c>
      <c r="AB650" s="19" t="s">
        <v>1663</v>
      </c>
    </row>
    <row r="651" spans="1:28" s="18" customFormat="1" ht="15.6">
      <c r="A651" s="18" t="s">
        <v>2077</v>
      </c>
      <c r="B651" s="18" t="s">
        <v>9</v>
      </c>
      <c r="C651" s="18" t="s">
        <v>2075</v>
      </c>
      <c r="D651" s="18" t="s">
        <v>2076</v>
      </c>
      <c r="E651" s="92" t="s">
        <v>790</v>
      </c>
      <c r="F651" s="18" t="s">
        <v>13</v>
      </c>
      <c r="G651" s="29"/>
      <c r="H651" s="32" t="str">
        <f>IF(Prueba[[#This Row],[Cant.]]=0,"",IF(OR(Prueba[[#This Row],[Cant.2]]="",Prueba[[#This Row],[Puesto2]]=""),"?",Prueba[[#This Row],[Puesto2]]))</f>
        <v/>
      </c>
      <c r="I651" s="31"/>
      <c r="J651" s="32"/>
      <c r="K651" s="14"/>
      <c r="L651" s="14"/>
      <c r="M651" s="31"/>
      <c r="N651" s="32" t="str">
        <f>IF(Prueba[[#This Row],[Cant.4]]=0,"",IF(OR(Prueba[[#This Row],[Cant.6]]="",Prueba[[#This Row],[Puesto6]]=""),"?",Prueba[[#This Row],[Puesto6]]))</f>
        <v/>
      </c>
      <c r="O651" s="31"/>
      <c r="P651" s="32" t="str">
        <f>IF(Prueba[[#This Row],[Cant.5]]=0,"",IF(OR(Prueba[[#This Row],[Cant.6]]="",Prueba[[#This Row],[Puesto6]]=""),"?",Prueba[[#This Row],[Puesto6]]))</f>
        <v/>
      </c>
      <c r="Q651" s="31"/>
      <c r="R651" s="32"/>
      <c r="S651" s="14">
        <v>1</v>
      </c>
      <c r="T651" s="14" t="s">
        <v>1399</v>
      </c>
      <c r="U651" s="31"/>
      <c r="V651" s="32" t="s">
        <v>1663</v>
      </c>
      <c r="W651" s="19"/>
      <c r="X651" s="19" t="s">
        <v>1667</v>
      </c>
      <c r="Y651" s="19" t="s">
        <v>1663</v>
      </c>
      <c r="Z651" s="19" t="s">
        <v>1663</v>
      </c>
      <c r="AA651" s="19" t="s">
        <v>1663</v>
      </c>
      <c r="AB651" s="19" t="s">
        <v>1663</v>
      </c>
    </row>
    <row r="652" spans="1:28" s="18" customFormat="1">
      <c r="A652" s="18" t="s">
        <v>1127</v>
      </c>
      <c r="B652" s="18" t="s">
        <v>9</v>
      </c>
      <c r="C652" s="18" t="s">
        <v>41</v>
      </c>
      <c r="D652" s="18" t="s">
        <v>41</v>
      </c>
      <c r="E652" s="19" t="s">
        <v>18</v>
      </c>
      <c r="F652" s="18" t="s">
        <v>13</v>
      </c>
      <c r="G652" s="29"/>
      <c r="H652" s="32" t="str">
        <f>IF(Prueba[[#This Row],[Cant.]]=0,"",IF(OR(Prueba[[#This Row],[Cant.2]]="",Prueba[[#This Row],[Puesto2]]=""),"?",Prueba[[#This Row],[Puesto2]]))</f>
        <v/>
      </c>
      <c r="I652" s="31"/>
      <c r="J652" s="32"/>
      <c r="K652" s="14">
        <v>1</v>
      </c>
      <c r="L652" s="14"/>
      <c r="M652" s="31">
        <v>1</v>
      </c>
      <c r="N652" s="32">
        <f>IF(Prueba[[#This Row],[Cant.4]]=0,"",IF(OR(Prueba[[#This Row],[Cant.6]]="",Prueba[[#This Row],[Puesto6]]=""),"?",Prueba[[#This Row],[Puesto6]]))</f>
        <v>0</v>
      </c>
      <c r="O652" s="31">
        <v>1</v>
      </c>
      <c r="P652" s="32">
        <f>IF(Prueba[[#This Row],[Cant.5]]=0,"",IF(OR(Prueba[[#This Row],[Cant.6]]="",Prueba[[#This Row],[Puesto6]]=""),"?",Prueba[[#This Row],[Puesto6]]))</f>
        <v>0</v>
      </c>
      <c r="Q652" s="31">
        <v>1</v>
      </c>
      <c r="R652" s="32">
        <v>0</v>
      </c>
      <c r="S652" s="14">
        <v>1</v>
      </c>
      <c r="T652" s="14">
        <v>0</v>
      </c>
      <c r="U652" s="31">
        <v>1</v>
      </c>
      <c r="V652" s="32">
        <v>0</v>
      </c>
      <c r="W652" s="19"/>
      <c r="X652" s="19" t="s">
        <v>1667</v>
      </c>
      <c r="Y652" s="19" t="s">
        <v>1663</v>
      </c>
      <c r="Z652" s="19" t="s">
        <v>1663</v>
      </c>
      <c r="AA652" s="19" t="s">
        <v>1663</v>
      </c>
      <c r="AB652" s="19" t="s">
        <v>1663</v>
      </c>
    </row>
    <row r="653" spans="1:28" s="18" customFormat="1">
      <c r="A653" s="18" t="s">
        <v>2078</v>
      </c>
      <c r="B653" s="18" t="s">
        <v>9</v>
      </c>
      <c r="C653" s="18" t="s">
        <v>1794</v>
      </c>
      <c r="D653" s="18" t="s">
        <v>1896</v>
      </c>
      <c r="E653" s="19" t="s">
        <v>1815</v>
      </c>
      <c r="F653" s="18" t="s">
        <v>13</v>
      </c>
      <c r="G653" s="29"/>
      <c r="H653" s="32" t="str">
        <f>IF(Prueba[[#This Row],[Cant.]]=0,"",IF(OR(Prueba[[#This Row],[Cant.2]]="",Prueba[[#This Row],[Puesto2]]=""),"?",Prueba[[#This Row],[Puesto2]]))</f>
        <v/>
      </c>
      <c r="I653" s="31"/>
      <c r="J653" s="32"/>
      <c r="K653" s="14"/>
      <c r="L653" s="14"/>
      <c r="M653" s="31"/>
      <c r="N653" s="32" t="str">
        <f>IF(Prueba[[#This Row],[Cant.4]]=0,"",IF(OR(Prueba[[#This Row],[Cant.6]]="",Prueba[[#This Row],[Puesto6]]=""),"?",Prueba[[#This Row],[Puesto6]]))</f>
        <v/>
      </c>
      <c r="O653" s="31"/>
      <c r="P653" s="32" t="str">
        <f>IF(Prueba[[#This Row],[Cant.5]]=0,"",IF(OR(Prueba[[#This Row],[Cant.6]]="",Prueba[[#This Row],[Puesto6]]=""),"?",Prueba[[#This Row],[Puesto6]]))</f>
        <v/>
      </c>
      <c r="Q653" s="31"/>
      <c r="R653" s="32"/>
      <c r="S653" s="14">
        <v>1</v>
      </c>
      <c r="T653" s="14">
        <v>0</v>
      </c>
      <c r="U653" s="31"/>
      <c r="V653" s="32" t="s">
        <v>1663</v>
      </c>
      <c r="W653" s="19"/>
      <c r="X653" s="19" t="s">
        <v>1667</v>
      </c>
      <c r="Y653" s="19" t="s">
        <v>1663</v>
      </c>
      <c r="Z653" s="19" t="s">
        <v>1663</v>
      </c>
      <c r="AA653" s="19" t="s">
        <v>1663</v>
      </c>
      <c r="AB653" s="19" t="s">
        <v>1663</v>
      </c>
    </row>
    <row r="654" spans="1:28" s="18" customFormat="1" ht="15.6">
      <c r="A654" s="18" t="s">
        <v>2079</v>
      </c>
      <c r="B654" s="18" t="s">
        <v>9</v>
      </c>
      <c r="C654" s="18" t="s">
        <v>2080</v>
      </c>
      <c r="D654" s="18" t="s">
        <v>2081</v>
      </c>
      <c r="E654" s="102" t="s">
        <v>39</v>
      </c>
      <c r="F654" s="18" t="s">
        <v>13</v>
      </c>
      <c r="G654" s="29"/>
      <c r="H654" s="32" t="str">
        <f>IF(Prueba[[#This Row],[Cant.]]=0,"",IF(OR(Prueba[[#This Row],[Cant.2]]="",Prueba[[#This Row],[Puesto2]]=""),"?",Prueba[[#This Row],[Puesto2]]))</f>
        <v/>
      </c>
      <c r="I654" s="31"/>
      <c r="J654" s="32"/>
      <c r="K654" s="14"/>
      <c r="L654" s="14"/>
      <c r="M654" s="31"/>
      <c r="N654" s="32" t="str">
        <f>IF(Prueba[[#This Row],[Cant.4]]=0,"",IF(OR(Prueba[[#This Row],[Cant.6]]="",Prueba[[#This Row],[Puesto6]]=""),"?",Prueba[[#This Row],[Puesto6]]))</f>
        <v/>
      </c>
      <c r="O654" s="31"/>
      <c r="P654" s="32" t="str">
        <f>IF(Prueba[[#This Row],[Cant.5]]=0,"",IF(OR(Prueba[[#This Row],[Cant.6]]="",Prueba[[#This Row],[Puesto6]]=""),"?",Prueba[[#This Row],[Puesto6]]))</f>
        <v/>
      </c>
      <c r="Q654" s="31"/>
      <c r="R654" s="32"/>
      <c r="S654" s="14">
        <v>2</v>
      </c>
      <c r="T654" s="14">
        <v>3</v>
      </c>
      <c r="U654" s="31"/>
      <c r="V654" s="32" t="s">
        <v>1663</v>
      </c>
      <c r="W654" s="19"/>
      <c r="X654" s="19" t="s">
        <v>1667</v>
      </c>
      <c r="Y654" s="19" t="s">
        <v>1663</v>
      </c>
      <c r="Z654" s="19" t="s">
        <v>1663</v>
      </c>
      <c r="AA654" s="19" t="s">
        <v>1663</v>
      </c>
      <c r="AB654" s="19" t="s">
        <v>1663</v>
      </c>
    </row>
    <row r="655" spans="1:28" s="18" customFormat="1">
      <c r="A655" s="18" t="s">
        <v>2082</v>
      </c>
      <c r="C655" s="18" t="s">
        <v>1746</v>
      </c>
      <c r="D655" s="18" t="s">
        <v>1746</v>
      </c>
      <c r="E655" s="19" t="s">
        <v>18</v>
      </c>
      <c r="G655" s="29"/>
      <c r="H655" s="32" t="str">
        <f>IF(Prueba[[#This Row],[Cant.]]=0,"",IF(OR(Prueba[[#This Row],[Cant.2]]="",Prueba[[#This Row],[Puesto2]]=""),"?",Prueba[[#This Row],[Puesto2]]))</f>
        <v/>
      </c>
      <c r="I655" s="31"/>
      <c r="J655" s="32"/>
      <c r="K655" s="14"/>
      <c r="L655" s="14"/>
      <c r="M655" s="31"/>
      <c r="N655" s="32" t="str">
        <f>IF(Prueba[[#This Row],[Cant.4]]=0,"",IF(OR(Prueba[[#This Row],[Cant.6]]="",Prueba[[#This Row],[Puesto6]]=""),"?",Prueba[[#This Row],[Puesto6]]))</f>
        <v/>
      </c>
      <c r="O655" s="31"/>
      <c r="P655" s="32" t="str">
        <f>IF(Prueba[[#This Row],[Cant.5]]=0,"",IF(OR(Prueba[[#This Row],[Cant.6]]="",Prueba[[#This Row],[Puesto6]]=""),"?",Prueba[[#This Row],[Puesto6]]))</f>
        <v/>
      </c>
      <c r="Q655" s="31"/>
      <c r="R655" s="32"/>
      <c r="S655" s="14"/>
      <c r="T655" s="14"/>
      <c r="U655" s="31"/>
      <c r="V655" s="32" t="s">
        <v>1663</v>
      </c>
      <c r="X655" s="19" t="s">
        <v>1667</v>
      </c>
      <c r="Y655" s="19">
        <v>1</v>
      </c>
      <c r="Z655" s="19" t="s">
        <v>1402</v>
      </c>
      <c r="AA655" s="19">
        <v>1</v>
      </c>
      <c r="AB655" s="19" t="s">
        <v>1402</v>
      </c>
    </row>
    <row r="656" spans="1:28" s="18" customFormat="1">
      <c r="A656" s="18" t="s">
        <v>2083</v>
      </c>
      <c r="C656" s="18" t="s">
        <v>1794</v>
      </c>
      <c r="D656" s="18" t="s">
        <v>1794</v>
      </c>
      <c r="E656" s="19" t="s">
        <v>39</v>
      </c>
      <c r="G656" s="29"/>
      <c r="H656" s="32" t="str">
        <f>IF(Prueba[[#This Row],[Cant.]]=0,"",IF(OR(Prueba[[#This Row],[Cant.2]]="",Prueba[[#This Row],[Puesto2]]=""),"?",Prueba[[#This Row],[Puesto2]]))</f>
        <v/>
      </c>
      <c r="I656" s="31"/>
      <c r="J656" s="32"/>
      <c r="K656" s="14"/>
      <c r="L656" s="14"/>
      <c r="M656" s="31"/>
      <c r="N656" s="32" t="str">
        <f>IF(Prueba[[#This Row],[Cant.4]]=0,"",IF(OR(Prueba[[#This Row],[Cant.6]]="",Prueba[[#This Row],[Puesto6]]=""),"?",Prueba[[#This Row],[Puesto6]]))</f>
        <v/>
      </c>
      <c r="O656" s="31"/>
      <c r="P656" s="32" t="str">
        <f>IF(Prueba[[#This Row],[Cant.5]]=0,"",IF(OR(Prueba[[#This Row],[Cant.6]]="",Prueba[[#This Row],[Puesto6]]=""),"?",Prueba[[#This Row],[Puesto6]]))</f>
        <v/>
      </c>
      <c r="Q656" s="31"/>
      <c r="R656" s="32"/>
      <c r="S656" s="14"/>
      <c r="T656" s="14"/>
      <c r="U656" s="31"/>
      <c r="V656" s="32" t="s">
        <v>1663</v>
      </c>
      <c r="X656" s="19" t="s">
        <v>1667</v>
      </c>
      <c r="Y656" s="19">
        <v>1</v>
      </c>
      <c r="Z656" s="19" t="s">
        <v>1402</v>
      </c>
      <c r="AA656" s="19">
        <v>1</v>
      </c>
      <c r="AB656" s="19" t="s">
        <v>1402</v>
      </c>
    </row>
    <row r="657" spans="1:28" s="18" customFormat="1">
      <c r="A657" s="18" t="s">
        <v>2084</v>
      </c>
      <c r="B657" s="18" t="s">
        <v>1806</v>
      </c>
      <c r="C657" s="18" t="s">
        <v>1887</v>
      </c>
      <c r="D657" s="18" t="s">
        <v>2085</v>
      </c>
      <c r="E657" s="19" t="s">
        <v>308</v>
      </c>
      <c r="F657" s="18" t="s">
        <v>13</v>
      </c>
      <c r="G657" s="29"/>
      <c r="H657" s="32" t="str">
        <f>IF(Prueba[[#This Row],[Cant.]]=0,"",IF(OR(Prueba[[#This Row],[Cant.2]]="",Prueba[[#This Row],[Puesto2]]=""),"?",Prueba[[#This Row],[Puesto2]]))</f>
        <v/>
      </c>
      <c r="I657" s="31"/>
      <c r="J657" s="32"/>
      <c r="K657" s="14"/>
      <c r="L657" s="14"/>
      <c r="M657" s="31">
        <v>1</v>
      </c>
      <c r="N657" s="32">
        <f>IF(Prueba[[#This Row],[Cant.4]]=0,"",IF(OR(Prueba[[#This Row],[Cant.6]]="",Prueba[[#This Row],[Puesto6]]=""),"?",Prueba[[#This Row],[Puesto6]]))</f>
        <v>6</v>
      </c>
      <c r="O657" s="31"/>
      <c r="P657" s="32"/>
      <c r="Q657" s="31">
        <v>1</v>
      </c>
      <c r="R657" s="32">
        <v>6</v>
      </c>
      <c r="S657" s="14">
        <v>1</v>
      </c>
      <c r="T657" s="14">
        <v>6</v>
      </c>
      <c r="U657" s="31"/>
      <c r="V657" s="32" t="s">
        <v>1663</v>
      </c>
      <c r="W657" s="19"/>
      <c r="X657" s="19" t="s">
        <v>1667</v>
      </c>
      <c r="Y657" s="19" t="s">
        <v>1663</v>
      </c>
      <c r="Z657" s="19" t="s">
        <v>1663</v>
      </c>
      <c r="AA657" s="19" t="s">
        <v>1663</v>
      </c>
      <c r="AB657" s="19" t="s">
        <v>1663</v>
      </c>
    </row>
    <row r="658" spans="1:28" s="18" customFormat="1">
      <c r="A658" s="18" t="s">
        <v>2086</v>
      </c>
      <c r="C658" s="18" t="s">
        <v>2087</v>
      </c>
      <c r="D658" s="18" t="s">
        <v>2087</v>
      </c>
      <c r="E658" s="19" t="s">
        <v>22</v>
      </c>
      <c r="G658" s="29"/>
      <c r="H658" s="32" t="str">
        <f>IF(Prueba[[#This Row],[Cant.]]=0,"",IF(OR(Prueba[[#This Row],[Cant.2]]="",Prueba[[#This Row],[Puesto2]]=""),"?",Prueba[[#This Row],[Puesto2]]))</f>
        <v/>
      </c>
      <c r="I658" s="31"/>
      <c r="J658" s="32"/>
      <c r="K658" s="14"/>
      <c r="L658" s="14"/>
      <c r="M658" s="31"/>
      <c r="N658" s="32" t="str">
        <f>IF(Prueba[[#This Row],[Cant.4]]=0,"",IF(OR(Prueba[[#This Row],[Cant.6]]="",Prueba[[#This Row],[Puesto6]]=""),"?",Prueba[[#This Row],[Puesto6]]))</f>
        <v/>
      </c>
      <c r="O658" s="31"/>
      <c r="P658" s="32" t="str">
        <f>IF(Prueba[[#This Row],[Cant.5]]=0,"",IF(OR(Prueba[[#This Row],[Cant.6]]="",Prueba[[#This Row],[Puesto6]]=""),"?",Prueba[[#This Row],[Puesto6]]))</f>
        <v/>
      </c>
      <c r="Q658" s="31"/>
      <c r="R658" s="32"/>
      <c r="S658" s="14"/>
      <c r="T658" s="14"/>
      <c r="U658" s="31"/>
      <c r="V658" s="32" t="s">
        <v>1663</v>
      </c>
      <c r="W658" s="19">
        <v>16</v>
      </c>
      <c r="X658" s="19" t="s">
        <v>1664</v>
      </c>
      <c r="Y658" s="19">
        <v>2</v>
      </c>
      <c r="Z658" s="19" t="s">
        <v>1399</v>
      </c>
      <c r="AA658" s="19">
        <v>2</v>
      </c>
      <c r="AB658" s="19" t="s">
        <v>1399</v>
      </c>
    </row>
    <row r="659" spans="1:28" s="18" customFormat="1">
      <c r="A659" s="18" t="s">
        <v>1128</v>
      </c>
      <c r="B659" s="18" t="s">
        <v>9</v>
      </c>
      <c r="C659" s="18" t="s">
        <v>1129</v>
      </c>
      <c r="D659" s="18" t="s">
        <v>1130</v>
      </c>
      <c r="E659" s="19" t="s">
        <v>790</v>
      </c>
      <c r="F659" s="18" t="s">
        <v>13</v>
      </c>
      <c r="G659" s="29"/>
      <c r="H659" s="32" t="str">
        <f>IF(Prueba[[#This Row],[Cant.]]=0,"",IF(OR(Prueba[[#This Row],[Cant.2]]="",Prueba[[#This Row],[Puesto2]]=""),"?",Prueba[[#This Row],[Puesto2]]))</f>
        <v/>
      </c>
      <c r="I659" s="31"/>
      <c r="J659" s="32"/>
      <c r="K659" s="14">
        <v>1</v>
      </c>
      <c r="L659" s="14"/>
      <c r="M659" s="31">
        <v>1</v>
      </c>
      <c r="N659" s="32">
        <f>IF(Prueba[[#This Row],[Cant.4]]=0,"",IF(OR(Prueba[[#This Row],[Cant.6]]="",Prueba[[#This Row],[Puesto6]]=""),"?",Prueba[[#This Row],[Puesto6]]))</f>
        <v>3</v>
      </c>
      <c r="O659" s="31">
        <v>1</v>
      </c>
      <c r="P659" s="32">
        <f>IF(Prueba[[#This Row],[Cant.5]]=0,"",IF(OR(Prueba[[#This Row],[Cant.6]]="",Prueba[[#This Row],[Puesto6]]=""),"?",Prueba[[#This Row],[Puesto6]]))</f>
        <v>3</v>
      </c>
      <c r="Q659" s="31">
        <v>1</v>
      </c>
      <c r="R659" s="32">
        <v>3</v>
      </c>
      <c r="S659" s="14">
        <v>1</v>
      </c>
      <c r="T659" s="14">
        <v>3</v>
      </c>
      <c r="U659" s="31"/>
      <c r="V659" s="32" t="s">
        <v>1663</v>
      </c>
      <c r="W659" s="19"/>
      <c r="X659" s="19" t="s">
        <v>1667</v>
      </c>
      <c r="Y659" s="19" t="s">
        <v>1663</v>
      </c>
      <c r="Z659" s="19" t="s">
        <v>1663</v>
      </c>
      <c r="AA659" s="19" t="s">
        <v>1663</v>
      </c>
      <c r="AB659" s="19" t="s">
        <v>1663</v>
      </c>
    </row>
    <row r="660" spans="1:28" s="18" customFormat="1">
      <c r="A660" s="18" t="s">
        <v>546</v>
      </c>
      <c r="B660" s="18" t="s">
        <v>9</v>
      </c>
      <c r="C660" s="18" t="s">
        <v>16</v>
      </c>
      <c r="D660" s="18" t="s">
        <v>17</v>
      </c>
      <c r="E660" s="19" t="s">
        <v>18</v>
      </c>
      <c r="F660" s="18" t="s">
        <v>13</v>
      </c>
      <c r="G660" s="29">
        <v>1</v>
      </c>
      <c r="H660" s="32" t="str">
        <f>IF(Prueba[[#This Row],[Cant.]]=0,"",IF(OR(Prueba[[#This Row],[Cant.2]]="",Prueba[[#This Row],[Puesto2]]=""),"?",Prueba[[#This Row],[Puesto2]]))</f>
        <v>C</v>
      </c>
      <c r="I660" s="31">
        <v>1</v>
      </c>
      <c r="J660" s="32" t="s">
        <v>1402</v>
      </c>
      <c r="K660" s="14"/>
      <c r="L660" s="14"/>
      <c r="M660" s="31"/>
      <c r="N660" s="32" t="str">
        <f>IF(Prueba[[#This Row],[Cant.4]]=0,"",IF(OR(Prueba[[#This Row],[Cant.6]]="",Prueba[[#This Row],[Puesto6]]=""),"?",Prueba[[#This Row],[Puesto6]]))</f>
        <v/>
      </c>
      <c r="O660" s="31"/>
      <c r="P660" s="32" t="str">
        <f>IF(Prueba[[#This Row],[Cant.5]]=0,"",IF(OR(Prueba[[#This Row],[Cant.6]]="",Prueba[[#This Row],[Puesto6]]=""),"?",Prueba[[#This Row],[Puesto6]]))</f>
        <v/>
      </c>
      <c r="Q660" s="31"/>
      <c r="R660" s="32"/>
      <c r="S660" s="14"/>
      <c r="T660" s="14"/>
      <c r="U660" s="31"/>
      <c r="V660" s="32" t="s">
        <v>1663</v>
      </c>
      <c r="W660" s="19"/>
      <c r="X660" s="19" t="s">
        <v>1667</v>
      </c>
      <c r="Y660" s="19" t="s">
        <v>1663</v>
      </c>
      <c r="Z660" s="19" t="s">
        <v>1663</v>
      </c>
      <c r="AA660" s="19" t="s">
        <v>1663</v>
      </c>
      <c r="AB660" s="19" t="s">
        <v>1663</v>
      </c>
    </row>
    <row r="661" spans="1:28" s="18" customFormat="1">
      <c r="A661" s="18" t="s">
        <v>1462</v>
      </c>
      <c r="B661" s="18" t="s">
        <v>9</v>
      </c>
      <c r="C661" s="18" t="s">
        <v>1794</v>
      </c>
      <c r="D661" s="18" t="s">
        <v>1896</v>
      </c>
      <c r="E661" s="19" t="s">
        <v>18</v>
      </c>
      <c r="F661" s="18" t="s">
        <v>13</v>
      </c>
      <c r="G661" s="29"/>
      <c r="H661" s="32" t="str">
        <f>IF(Prueba[[#This Row],[Cant.]]=0,"",IF(OR(Prueba[[#This Row],[Cant.2]]="",Prueba[[#This Row],[Puesto2]]=""),"?",Prueba[[#This Row],[Puesto2]]))</f>
        <v/>
      </c>
      <c r="I661" s="31"/>
      <c r="J661" s="32"/>
      <c r="K661" s="14"/>
      <c r="L661" s="14"/>
      <c r="M661" s="31"/>
      <c r="N661" s="32" t="str">
        <f>IF(Prueba[[#This Row],[Cant.4]]=0,"",IF(OR(Prueba[[#This Row],[Cant.6]]="",Prueba[[#This Row],[Puesto6]]=""),"?",Prueba[[#This Row],[Puesto6]]))</f>
        <v/>
      </c>
      <c r="O661" s="31"/>
      <c r="P661" s="32" t="str">
        <f>IF(Prueba[[#This Row],[Cant.5]]=0,"",IF(OR(Prueba[[#This Row],[Cant.6]]="",Prueba[[#This Row],[Puesto6]]=""),"?",Prueba[[#This Row],[Puesto6]]))</f>
        <v/>
      </c>
      <c r="Q661" s="31"/>
      <c r="R661" s="32"/>
      <c r="S661" s="14"/>
      <c r="T661" s="14"/>
      <c r="U661" s="31">
        <v>3</v>
      </c>
      <c r="V661" s="32">
        <v>0</v>
      </c>
      <c r="W661" s="19"/>
      <c r="X661" s="19" t="s">
        <v>1667</v>
      </c>
      <c r="Y661" s="19" t="s">
        <v>1663</v>
      </c>
      <c r="Z661" s="19" t="s">
        <v>1663</v>
      </c>
      <c r="AA661" s="19" t="s">
        <v>1663</v>
      </c>
      <c r="AB661" s="19" t="s">
        <v>1663</v>
      </c>
    </row>
    <row r="662" spans="1:28" s="18" customFormat="1">
      <c r="A662" s="18" t="s">
        <v>1131</v>
      </c>
      <c r="B662" s="18" t="s">
        <v>9</v>
      </c>
      <c r="C662" s="18" t="s">
        <v>84</v>
      </c>
      <c r="D662" s="18" t="s">
        <v>41</v>
      </c>
      <c r="E662" s="19" t="s">
        <v>39</v>
      </c>
      <c r="F662" s="18" t="s">
        <v>13</v>
      </c>
      <c r="G662" s="29"/>
      <c r="H662" s="32" t="str">
        <f>IF(Prueba[[#This Row],[Cant.]]=0,"",IF(OR(Prueba[[#This Row],[Cant.2]]="",Prueba[[#This Row],[Puesto2]]=""),"?",Prueba[[#This Row],[Puesto2]]))</f>
        <v/>
      </c>
      <c r="I662" s="31"/>
      <c r="J662" s="32"/>
      <c r="K662" s="14">
        <v>3</v>
      </c>
      <c r="L662" s="14"/>
      <c r="M662" s="31">
        <v>3</v>
      </c>
      <c r="N662" s="32">
        <f>IF(Prueba[[#This Row],[Cant.4]]=0,"",IF(OR(Prueba[[#This Row],[Cant.6]]="",Prueba[[#This Row],[Puesto6]]=""),"?",Prueba[[#This Row],[Puesto6]]))</f>
        <v>0</v>
      </c>
      <c r="O662" s="31">
        <v>3</v>
      </c>
      <c r="P662" s="32">
        <f>IF(Prueba[[#This Row],[Cant.5]]=0,"",IF(OR(Prueba[[#This Row],[Cant.6]]="",Prueba[[#This Row],[Puesto6]]=""),"?",Prueba[[#This Row],[Puesto6]]))</f>
        <v>0</v>
      </c>
      <c r="Q662" s="31">
        <v>3</v>
      </c>
      <c r="R662" s="32">
        <v>0</v>
      </c>
      <c r="S662" s="14">
        <v>3</v>
      </c>
      <c r="T662" s="14">
        <v>0</v>
      </c>
      <c r="U662" s="31"/>
      <c r="V662" s="32" t="s">
        <v>1663</v>
      </c>
      <c r="W662" s="19"/>
      <c r="X662" s="19" t="s">
        <v>1667</v>
      </c>
      <c r="Y662" s="19" t="s">
        <v>1663</v>
      </c>
      <c r="Z662" s="19" t="s">
        <v>1663</v>
      </c>
      <c r="AA662" s="19" t="s">
        <v>1663</v>
      </c>
      <c r="AB662" s="19" t="s">
        <v>1663</v>
      </c>
    </row>
    <row r="663" spans="1:28" s="18" customFormat="1" ht="15.6">
      <c r="A663" s="40" t="s">
        <v>2088</v>
      </c>
      <c r="B663" s="40" t="s">
        <v>1806</v>
      </c>
      <c r="C663" s="40" t="s">
        <v>1794</v>
      </c>
      <c r="D663" s="40" t="s">
        <v>1896</v>
      </c>
      <c r="E663" s="92" t="s">
        <v>39</v>
      </c>
      <c r="F663" s="18" t="s">
        <v>13</v>
      </c>
      <c r="G663" s="29"/>
      <c r="H663" s="32" t="str">
        <f>IF(Prueba[[#This Row],[Cant.]]=0,"",IF(OR(Prueba[[#This Row],[Cant.2]]="",Prueba[[#This Row],[Puesto2]]=""),"?",Prueba[[#This Row],[Puesto2]]))</f>
        <v/>
      </c>
      <c r="I663" s="31"/>
      <c r="J663" s="32"/>
      <c r="K663" s="14"/>
      <c r="L663" s="14"/>
      <c r="M663" s="31">
        <v>1</v>
      </c>
      <c r="N663" s="32" t="str">
        <f>IF(Prueba[[#This Row],[Cant.4]]=0,"",IF(OR(Prueba[[#This Row],[Cant.6]]="",Prueba[[#This Row],[Puesto6]]=""),"?",Prueba[[#This Row],[Puesto6]]))</f>
        <v>C</v>
      </c>
      <c r="O663" s="31">
        <v>1</v>
      </c>
      <c r="P663" s="32" t="s">
        <v>1402</v>
      </c>
      <c r="Q663" s="44">
        <v>1</v>
      </c>
      <c r="R663" s="45" t="s">
        <v>1402</v>
      </c>
      <c r="S663" s="14">
        <v>1</v>
      </c>
      <c r="T663" s="14" t="s">
        <v>1402</v>
      </c>
      <c r="U663" s="31"/>
      <c r="V663" s="32" t="s">
        <v>1663</v>
      </c>
      <c r="W663" s="19"/>
      <c r="X663" s="19" t="s">
        <v>1667</v>
      </c>
      <c r="Y663" s="19" t="s">
        <v>1663</v>
      </c>
      <c r="Z663" s="19" t="s">
        <v>1663</v>
      </c>
      <c r="AA663" s="19" t="s">
        <v>1663</v>
      </c>
      <c r="AB663" s="19" t="s">
        <v>1663</v>
      </c>
    </row>
    <row r="664" spans="1:28" s="18" customFormat="1">
      <c r="A664" s="40" t="s">
        <v>2089</v>
      </c>
      <c r="B664" s="40" t="s">
        <v>1806</v>
      </c>
      <c r="C664" s="40" t="s">
        <v>1794</v>
      </c>
      <c r="D664" s="40" t="s">
        <v>1896</v>
      </c>
      <c r="E664" s="41" t="s">
        <v>39</v>
      </c>
      <c r="F664" s="18" t="s">
        <v>13</v>
      </c>
      <c r="G664" s="29"/>
      <c r="H664" s="32" t="str">
        <f>IF(Prueba[[#This Row],[Cant.]]=0,"",IF(OR(Prueba[[#This Row],[Cant.2]]="",Prueba[[#This Row],[Puesto2]]=""),"?",Prueba[[#This Row],[Puesto2]]))</f>
        <v/>
      </c>
      <c r="I664" s="31"/>
      <c r="J664" s="32"/>
      <c r="K664" s="14"/>
      <c r="L664" s="14"/>
      <c r="M664" s="31">
        <v>1</v>
      </c>
      <c r="N664" s="32" t="str">
        <f>IF(Prueba[[#This Row],[Cant.4]]=0,"",IF(OR(Prueba[[#This Row],[Cant.6]]="",Prueba[[#This Row],[Puesto6]]=""),"?",Prueba[[#This Row],[Puesto6]]))</f>
        <v>C</v>
      </c>
      <c r="O664" s="31"/>
      <c r="P664" s="32"/>
      <c r="Q664" s="44">
        <v>1</v>
      </c>
      <c r="R664" s="45" t="s">
        <v>1402</v>
      </c>
      <c r="S664" s="14">
        <v>1</v>
      </c>
      <c r="T664" s="14" t="s">
        <v>1402</v>
      </c>
      <c r="U664" s="31"/>
      <c r="V664" s="32" t="s">
        <v>1663</v>
      </c>
      <c r="W664" s="19"/>
      <c r="X664" s="19" t="s">
        <v>1667</v>
      </c>
      <c r="Y664" s="19" t="s">
        <v>1663</v>
      </c>
      <c r="Z664" s="19" t="s">
        <v>1663</v>
      </c>
      <c r="AA664" s="19" t="s">
        <v>1663</v>
      </c>
      <c r="AB664" s="19" t="s">
        <v>1663</v>
      </c>
    </row>
    <row r="665" spans="1:28" s="18" customFormat="1" ht="15.6">
      <c r="A665" s="18" t="s">
        <v>2090</v>
      </c>
      <c r="B665" s="18" t="s">
        <v>1806</v>
      </c>
      <c r="C665" s="18" t="s">
        <v>1794</v>
      </c>
      <c r="D665" s="18" t="s">
        <v>1896</v>
      </c>
      <c r="E665" s="92" t="s">
        <v>39</v>
      </c>
      <c r="F665" s="18" t="s">
        <v>13</v>
      </c>
      <c r="G665" s="29"/>
      <c r="H665" s="32" t="str">
        <f>IF(Prueba[[#This Row],[Cant.]]=0,"",IF(OR(Prueba[[#This Row],[Cant.2]]="",Prueba[[#This Row],[Puesto2]]=""),"?",Prueba[[#This Row],[Puesto2]]))</f>
        <v/>
      </c>
      <c r="I665" s="31"/>
      <c r="J665" s="32"/>
      <c r="K665" s="14"/>
      <c r="L665" s="14"/>
      <c r="M665" s="31">
        <v>1</v>
      </c>
      <c r="N665" s="32" t="s">
        <v>1402</v>
      </c>
      <c r="O665" s="31">
        <v>1</v>
      </c>
      <c r="P665" s="32" t="s">
        <v>1402</v>
      </c>
      <c r="Q665" s="44">
        <v>1</v>
      </c>
      <c r="R665" s="45" t="s">
        <v>1402</v>
      </c>
      <c r="S665" s="14">
        <v>1</v>
      </c>
      <c r="T665" s="14" t="s">
        <v>1402</v>
      </c>
      <c r="U665" s="31"/>
      <c r="V665" s="32" t="s">
        <v>1663</v>
      </c>
      <c r="W665" s="19"/>
      <c r="X665" s="19" t="s">
        <v>1667</v>
      </c>
      <c r="Y665" s="19" t="s">
        <v>1663</v>
      </c>
      <c r="Z665" s="19" t="s">
        <v>1663</v>
      </c>
      <c r="AA665" s="19" t="s">
        <v>1663</v>
      </c>
      <c r="AB665" s="19" t="s">
        <v>1663</v>
      </c>
    </row>
    <row r="666" spans="1:28" s="18" customFormat="1">
      <c r="A666" s="40" t="s">
        <v>2091</v>
      </c>
      <c r="B666" s="40" t="s">
        <v>1806</v>
      </c>
      <c r="C666" s="40" t="s">
        <v>1794</v>
      </c>
      <c r="D666" s="40" t="s">
        <v>1896</v>
      </c>
      <c r="E666" s="41" t="s">
        <v>39</v>
      </c>
      <c r="F666" s="18" t="s">
        <v>13</v>
      </c>
      <c r="G666" s="29"/>
      <c r="H666" s="32" t="str">
        <f>IF(Prueba[[#This Row],[Cant.]]=0,"",IF(OR(Prueba[[#This Row],[Cant.2]]="",Prueba[[#This Row],[Puesto2]]=""),"?",Prueba[[#This Row],[Puesto2]]))</f>
        <v/>
      </c>
      <c r="I666" s="31"/>
      <c r="J666" s="32"/>
      <c r="K666" s="14"/>
      <c r="L666" s="14"/>
      <c r="M666" s="31">
        <v>1</v>
      </c>
      <c r="N666" s="32">
        <f>IF(Prueba[[#This Row],[Cant.4]]=0,"",IF(OR(Prueba[[#This Row],[Cant.6]]="",Prueba[[#This Row],[Puesto6]]=""),"?",Prueba[[#This Row],[Puesto6]]))</f>
        <v>0</v>
      </c>
      <c r="O666" s="31">
        <v>1</v>
      </c>
      <c r="P666" s="32">
        <v>0</v>
      </c>
      <c r="Q666" s="44">
        <v>1</v>
      </c>
      <c r="R666" s="45">
        <v>0</v>
      </c>
      <c r="S666" s="14">
        <v>1</v>
      </c>
      <c r="T666" s="14">
        <v>0</v>
      </c>
      <c r="U666" s="31"/>
      <c r="V666" s="32" t="s">
        <v>1663</v>
      </c>
      <c r="W666" s="19"/>
      <c r="X666" s="19" t="s">
        <v>1667</v>
      </c>
      <c r="Y666" s="19" t="s">
        <v>1663</v>
      </c>
      <c r="Z666" s="19" t="s">
        <v>1663</v>
      </c>
      <c r="AA666" s="19" t="s">
        <v>1663</v>
      </c>
      <c r="AB666" s="19" t="s">
        <v>1663</v>
      </c>
    </row>
    <row r="667" spans="1:28" s="18" customFormat="1" ht="15.6">
      <c r="A667" s="18" t="s">
        <v>2092</v>
      </c>
      <c r="B667" s="18" t="s">
        <v>9</v>
      </c>
      <c r="C667" s="18" t="s">
        <v>2093</v>
      </c>
      <c r="D667" s="18" t="s">
        <v>1896</v>
      </c>
      <c r="E667" s="92" t="s">
        <v>18</v>
      </c>
      <c r="F667" s="18" t="s">
        <v>13</v>
      </c>
      <c r="G667" s="29"/>
      <c r="H667" s="32" t="str">
        <f>IF(Prueba[[#This Row],[Cant.]]=0,"",IF(OR(Prueba[[#This Row],[Cant.2]]="",Prueba[[#This Row],[Puesto2]]=""),"?",Prueba[[#This Row],[Puesto2]]))</f>
        <v/>
      </c>
      <c r="I667" s="31"/>
      <c r="J667" s="32"/>
      <c r="K667" s="14"/>
      <c r="L667" s="14"/>
      <c r="M667" s="31"/>
      <c r="N667" s="32" t="str">
        <f>IF(Prueba[[#This Row],[Cant.4]]=0,"",IF(OR(Prueba[[#This Row],[Cant.6]]="",Prueba[[#This Row],[Puesto6]]=""),"?",Prueba[[#This Row],[Puesto6]]))</f>
        <v/>
      </c>
      <c r="O667" s="31"/>
      <c r="P667" s="32" t="str">
        <f>IF(Prueba[[#This Row],[Cant.5]]=0,"",IF(OR(Prueba[[#This Row],[Cant.6]]="",Prueba[[#This Row],[Puesto6]]=""),"?",Prueba[[#This Row],[Puesto6]]))</f>
        <v/>
      </c>
      <c r="Q667" s="31"/>
      <c r="R667" s="32"/>
      <c r="S667" s="14">
        <v>1</v>
      </c>
      <c r="T667" s="14">
        <v>0</v>
      </c>
      <c r="U667" s="31"/>
      <c r="V667" s="32" t="s">
        <v>1663</v>
      </c>
      <c r="W667" s="19"/>
      <c r="X667" s="19" t="s">
        <v>1667</v>
      </c>
      <c r="Y667" s="19" t="s">
        <v>1663</v>
      </c>
      <c r="Z667" s="19" t="s">
        <v>1663</v>
      </c>
      <c r="AA667" s="19" t="s">
        <v>1663</v>
      </c>
      <c r="AB667" s="19" t="s">
        <v>1663</v>
      </c>
    </row>
    <row r="668" spans="1:28" s="18" customFormat="1" ht="15.6">
      <c r="A668" s="18" t="s">
        <v>2094</v>
      </c>
      <c r="B668" s="18" t="s">
        <v>9</v>
      </c>
      <c r="C668" s="18" t="s">
        <v>2093</v>
      </c>
      <c r="D668" s="18" t="s">
        <v>1896</v>
      </c>
      <c r="E668" s="92" t="s">
        <v>18</v>
      </c>
      <c r="F668" s="18" t="s">
        <v>13</v>
      </c>
      <c r="G668" s="29"/>
      <c r="H668" s="32" t="str">
        <f>IF(Prueba[[#This Row],[Cant.]]=0,"",IF(OR(Prueba[[#This Row],[Cant.2]]="",Prueba[[#This Row],[Puesto2]]=""),"?",Prueba[[#This Row],[Puesto2]]))</f>
        <v/>
      </c>
      <c r="I668" s="31"/>
      <c r="J668" s="32"/>
      <c r="K668" s="14"/>
      <c r="L668" s="14"/>
      <c r="M668" s="31"/>
      <c r="N668" s="32" t="str">
        <f>IF(Prueba[[#This Row],[Cant.4]]=0,"",IF(OR(Prueba[[#This Row],[Cant.6]]="",Prueba[[#This Row],[Puesto6]]=""),"?",Prueba[[#This Row],[Puesto6]]))</f>
        <v/>
      </c>
      <c r="O668" s="31"/>
      <c r="P668" s="32" t="str">
        <f>IF(Prueba[[#This Row],[Cant.5]]=0,"",IF(OR(Prueba[[#This Row],[Cant.6]]="",Prueba[[#This Row],[Puesto6]]=""),"?",Prueba[[#This Row],[Puesto6]]))</f>
        <v/>
      </c>
      <c r="Q668" s="31"/>
      <c r="R668" s="32"/>
      <c r="S668" s="14">
        <v>1</v>
      </c>
      <c r="T668" s="14">
        <v>0</v>
      </c>
      <c r="U668" s="31"/>
      <c r="V668" s="32" t="s">
        <v>1663</v>
      </c>
      <c r="W668" s="19"/>
      <c r="X668" s="19" t="s">
        <v>1667</v>
      </c>
      <c r="Y668" s="19" t="s">
        <v>1663</v>
      </c>
      <c r="Z668" s="19" t="s">
        <v>1663</v>
      </c>
      <c r="AA668" s="19" t="s">
        <v>1663</v>
      </c>
      <c r="AB668" s="19" t="s">
        <v>1663</v>
      </c>
    </row>
    <row r="669" spans="1:28" s="18" customFormat="1">
      <c r="A669" s="18" t="s">
        <v>2095</v>
      </c>
      <c r="B669" s="18" t="s">
        <v>9</v>
      </c>
      <c r="C669" s="18" t="s">
        <v>2096</v>
      </c>
      <c r="D669" s="18" t="s">
        <v>2097</v>
      </c>
      <c r="E669" s="19" t="s">
        <v>923</v>
      </c>
      <c r="F669" s="18" t="s">
        <v>13</v>
      </c>
      <c r="G669" s="29"/>
      <c r="H669" s="32" t="str">
        <f>IF(Prueba[[#This Row],[Cant.]]=0,"",IF(OR(Prueba[[#This Row],[Cant.2]]="",Prueba[[#This Row],[Puesto2]]=""),"?",Prueba[[#This Row],[Puesto2]]))</f>
        <v/>
      </c>
      <c r="I669" s="31"/>
      <c r="J669" s="32"/>
      <c r="K669" s="14"/>
      <c r="L669" s="14"/>
      <c r="M669" s="31"/>
      <c r="N669" s="32" t="str">
        <f>IF(Prueba[[#This Row],[Cant.4]]=0,"",IF(OR(Prueba[[#This Row],[Cant.6]]="",Prueba[[#This Row],[Puesto6]]=""),"?",Prueba[[#This Row],[Puesto6]]))</f>
        <v/>
      </c>
      <c r="O669" s="31"/>
      <c r="P669" s="32" t="str">
        <f>IF(Prueba[[#This Row],[Cant.5]]=0,"",IF(OR(Prueba[[#This Row],[Cant.6]]="",Prueba[[#This Row],[Puesto6]]=""),"?",Prueba[[#This Row],[Puesto6]]))</f>
        <v/>
      </c>
      <c r="Q669" s="31"/>
      <c r="R669" s="32"/>
      <c r="S669" s="14">
        <v>1</v>
      </c>
      <c r="T669" s="14" t="s">
        <v>1399</v>
      </c>
      <c r="U669" s="31"/>
      <c r="V669" s="32" t="s">
        <v>1663</v>
      </c>
      <c r="W669" s="19"/>
      <c r="X669" s="19" t="s">
        <v>1667</v>
      </c>
      <c r="Y669" s="19" t="s">
        <v>1663</v>
      </c>
      <c r="Z669" s="19" t="s">
        <v>1663</v>
      </c>
      <c r="AA669" s="19" t="s">
        <v>1663</v>
      </c>
      <c r="AB669" s="19" t="s">
        <v>1663</v>
      </c>
    </row>
    <row r="670" spans="1:28" s="18" customFormat="1" ht="15.6">
      <c r="A670" s="18" t="s">
        <v>2098</v>
      </c>
      <c r="B670" s="18" t="s">
        <v>9</v>
      </c>
      <c r="C670" s="18" t="s">
        <v>2099</v>
      </c>
      <c r="D670" s="18" t="s">
        <v>2100</v>
      </c>
      <c r="E670" s="92" t="s">
        <v>18</v>
      </c>
      <c r="F670" s="18" t="s">
        <v>13</v>
      </c>
      <c r="G670" s="29"/>
      <c r="H670" s="32" t="str">
        <f>IF(Prueba[[#This Row],[Cant.]]=0,"",IF(OR(Prueba[[#This Row],[Cant.2]]="",Prueba[[#This Row],[Puesto2]]=""),"?",Prueba[[#This Row],[Puesto2]]))</f>
        <v/>
      </c>
      <c r="I670" s="31"/>
      <c r="J670" s="32"/>
      <c r="K670" s="14"/>
      <c r="L670" s="14"/>
      <c r="M670" s="31"/>
      <c r="N670" s="32" t="str">
        <f>IF(Prueba[[#This Row],[Cant.4]]=0,"",IF(OR(Prueba[[#This Row],[Cant.6]]="",Prueba[[#This Row],[Puesto6]]=""),"?",Prueba[[#This Row],[Puesto6]]))</f>
        <v/>
      </c>
      <c r="O670" s="31"/>
      <c r="P670" s="32" t="str">
        <f>IF(Prueba[[#This Row],[Cant.5]]=0,"",IF(OR(Prueba[[#This Row],[Cant.6]]="",Prueba[[#This Row],[Puesto6]]=""),"?",Prueba[[#This Row],[Puesto6]]))</f>
        <v/>
      </c>
      <c r="Q670" s="31"/>
      <c r="R670" s="32"/>
      <c r="S670" s="14">
        <v>1</v>
      </c>
      <c r="T670" s="14">
        <v>4</v>
      </c>
      <c r="U670" s="31"/>
      <c r="V670" s="32" t="s">
        <v>1663</v>
      </c>
      <c r="W670" s="19"/>
      <c r="X670" s="19" t="s">
        <v>1667</v>
      </c>
      <c r="Y670" s="19" t="s">
        <v>1663</v>
      </c>
      <c r="Z670" s="19" t="s">
        <v>1663</v>
      </c>
      <c r="AA670" s="19" t="s">
        <v>1663</v>
      </c>
      <c r="AB670" s="19" t="s">
        <v>1663</v>
      </c>
    </row>
    <row r="671" spans="1:28" s="18" customFormat="1" ht="15.6">
      <c r="A671" s="18" t="s">
        <v>2101</v>
      </c>
      <c r="B671" s="18" t="s">
        <v>9</v>
      </c>
      <c r="C671" s="18" t="s">
        <v>2102</v>
      </c>
      <c r="D671" s="18" t="s">
        <v>2103</v>
      </c>
      <c r="E671" s="92" t="s">
        <v>39</v>
      </c>
      <c r="F671" s="18" t="s">
        <v>13</v>
      </c>
      <c r="G671" s="29"/>
      <c r="H671" s="32" t="str">
        <f>IF(Prueba[[#This Row],[Cant.]]=0,"",IF(OR(Prueba[[#This Row],[Cant.2]]="",Prueba[[#This Row],[Puesto2]]=""),"?",Prueba[[#This Row],[Puesto2]]))</f>
        <v/>
      </c>
      <c r="I671" s="31"/>
      <c r="J671" s="32"/>
      <c r="K671" s="14"/>
      <c r="L671" s="14"/>
      <c r="M671" s="31"/>
      <c r="N671" s="32" t="str">
        <f>IF(Prueba[[#This Row],[Cant.4]]=0,"",IF(OR(Prueba[[#This Row],[Cant.6]]="",Prueba[[#This Row],[Puesto6]]=""),"?",Prueba[[#This Row],[Puesto6]]))</f>
        <v/>
      </c>
      <c r="O671" s="31"/>
      <c r="P671" s="32" t="str">
        <f>IF(Prueba[[#This Row],[Cant.5]]=0,"",IF(OR(Prueba[[#This Row],[Cant.6]]="",Prueba[[#This Row],[Puesto6]]=""),"?",Prueba[[#This Row],[Puesto6]]))</f>
        <v/>
      </c>
      <c r="Q671" s="31"/>
      <c r="R671" s="32"/>
      <c r="S671" s="14">
        <v>1</v>
      </c>
      <c r="T671" s="14">
        <v>4</v>
      </c>
      <c r="U671" s="31"/>
      <c r="V671" s="32" t="s">
        <v>1663</v>
      </c>
      <c r="W671" s="19"/>
      <c r="X671" s="19" t="s">
        <v>1667</v>
      </c>
      <c r="Y671" s="19" t="s">
        <v>1663</v>
      </c>
      <c r="Z671" s="19" t="s">
        <v>1663</v>
      </c>
      <c r="AA671" s="19" t="s">
        <v>1663</v>
      </c>
      <c r="AB671" s="19" t="s">
        <v>1663</v>
      </c>
    </row>
    <row r="672" spans="1:28" s="18" customFormat="1" ht="15.6">
      <c r="A672" s="18" t="s">
        <v>2104</v>
      </c>
      <c r="B672" s="18" t="s">
        <v>9</v>
      </c>
      <c r="C672" s="18" t="s">
        <v>2105</v>
      </c>
      <c r="D672" s="18" t="s">
        <v>2106</v>
      </c>
      <c r="E672" s="92" t="s">
        <v>12</v>
      </c>
      <c r="F672" s="18" t="s">
        <v>13</v>
      </c>
      <c r="G672" s="29"/>
      <c r="H672" s="32" t="str">
        <f>IF(Prueba[[#This Row],[Cant.]]=0,"",IF(OR(Prueba[[#This Row],[Cant.2]]="",Prueba[[#This Row],[Puesto2]]=""),"?",Prueba[[#This Row],[Puesto2]]))</f>
        <v/>
      </c>
      <c r="I672" s="31"/>
      <c r="J672" s="32"/>
      <c r="K672" s="14"/>
      <c r="L672" s="14"/>
      <c r="M672" s="31"/>
      <c r="N672" s="32" t="str">
        <f>IF(Prueba[[#This Row],[Cant.4]]=0,"",IF(OR(Prueba[[#This Row],[Cant.6]]="",Prueba[[#This Row],[Puesto6]]=""),"?",Prueba[[#This Row],[Puesto6]]))</f>
        <v/>
      </c>
      <c r="O672" s="31"/>
      <c r="P672" s="32" t="str">
        <f>IF(Prueba[[#This Row],[Cant.5]]=0,"",IF(OR(Prueba[[#This Row],[Cant.6]]="",Prueba[[#This Row],[Puesto6]]=""),"?",Prueba[[#This Row],[Puesto6]]))</f>
        <v/>
      </c>
      <c r="Q672" s="31"/>
      <c r="R672" s="32"/>
      <c r="S672" s="14">
        <v>2</v>
      </c>
      <c r="T672" s="14">
        <v>5</v>
      </c>
      <c r="U672" s="31"/>
      <c r="V672" s="32" t="s">
        <v>1663</v>
      </c>
      <c r="W672" s="19"/>
      <c r="X672" s="19" t="s">
        <v>1667</v>
      </c>
      <c r="Y672" s="19" t="s">
        <v>1663</v>
      </c>
      <c r="Z672" s="19" t="s">
        <v>1663</v>
      </c>
      <c r="AA672" s="19" t="s">
        <v>1663</v>
      </c>
      <c r="AB672" s="19" t="s">
        <v>1663</v>
      </c>
    </row>
    <row r="673" spans="1:28" s="18" customFormat="1">
      <c r="A673" s="18" t="s">
        <v>2107</v>
      </c>
      <c r="B673" s="18" t="s">
        <v>9</v>
      </c>
      <c r="C673" s="18" t="s">
        <v>1837</v>
      </c>
      <c r="D673" s="18" t="s">
        <v>1838</v>
      </c>
      <c r="E673" s="19" t="s">
        <v>1815</v>
      </c>
      <c r="F673" s="18" t="s">
        <v>13</v>
      </c>
      <c r="G673" s="29"/>
      <c r="H673" s="32" t="str">
        <f>IF(Prueba[[#This Row],[Cant.]]=0,"",IF(OR(Prueba[[#This Row],[Cant.2]]="",Prueba[[#This Row],[Puesto2]]=""),"?",Prueba[[#This Row],[Puesto2]]))</f>
        <v/>
      </c>
      <c r="I673" s="31"/>
      <c r="J673" s="32"/>
      <c r="K673" s="14"/>
      <c r="L673" s="14"/>
      <c r="M673" s="31"/>
      <c r="N673" s="32" t="str">
        <f>IF(Prueba[[#This Row],[Cant.4]]=0,"",IF(OR(Prueba[[#This Row],[Cant.6]]="",Prueba[[#This Row],[Puesto6]]=""),"?",Prueba[[#This Row],[Puesto6]]))</f>
        <v/>
      </c>
      <c r="O673" s="31"/>
      <c r="P673" s="32" t="str">
        <f>IF(Prueba[[#This Row],[Cant.5]]=0,"",IF(OR(Prueba[[#This Row],[Cant.6]]="",Prueba[[#This Row],[Puesto6]]=""),"?",Prueba[[#This Row],[Puesto6]]))</f>
        <v/>
      </c>
      <c r="Q673" s="31"/>
      <c r="R673" s="32"/>
      <c r="S673" s="14">
        <v>2</v>
      </c>
      <c r="T673" s="14">
        <v>5</v>
      </c>
      <c r="U673" s="31"/>
      <c r="V673" s="32" t="s">
        <v>1663</v>
      </c>
      <c r="W673" s="19"/>
      <c r="X673" s="19" t="s">
        <v>1667</v>
      </c>
      <c r="Y673" s="19" t="s">
        <v>1663</v>
      </c>
      <c r="Z673" s="19" t="s">
        <v>1663</v>
      </c>
      <c r="AA673" s="19" t="s">
        <v>1663</v>
      </c>
      <c r="AB673" s="19" t="s">
        <v>1663</v>
      </c>
    </row>
    <row r="674" spans="1:28" s="18" customFormat="1" ht="15.6">
      <c r="A674" s="18" t="s">
        <v>2108</v>
      </c>
      <c r="B674" s="18" t="s">
        <v>9</v>
      </c>
      <c r="C674" s="18" t="s">
        <v>2109</v>
      </c>
      <c r="D674" s="18" t="s">
        <v>2110</v>
      </c>
      <c r="E674" s="92" t="s">
        <v>39</v>
      </c>
      <c r="F674" s="18" t="s">
        <v>13</v>
      </c>
      <c r="G674" s="29"/>
      <c r="H674" s="32" t="str">
        <f>IF(Prueba[[#This Row],[Cant.]]=0,"",IF(OR(Prueba[[#This Row],[Cant.2]]="",Prueba[[#This Row],[Puesto2]]=""),"?",Prueba[[#This Row],[Puesto2]]))</f>
        <v/>
      </c>
      <c r="I674" s="31"/>
      <c r="J674" s="32"/>
      <c r="K674" s="14"/>
      <c r="L674" s="14"/>
      <c r="M674" s="31"/>
      <c r="N674" s="32" t="str">
        <f>IF(Prueba[[#This Row],[Cant.4]]=0,"",IF(OR(Prueba[[#This Row],[Cant.6]]="",Prueba[[#This Row],[Puesto6]]=""),"?",Prueba[[#This Row],[Puesto6]]))</f>
        <v/>
      </c>
      <c r="O674" s="31"/>
      <c r="P674" s="32" t="str">
        <f>IF(Prueba[[#This Row],[Cant.5]]=0,"",IF(OR(Prueba[[#This Row],[Cant.6]]="",Prueba[[#This Row],[Puesto6]]=""),"?",Prueba[[#This Row],[Puesto6]]))</f>
        <v/>
      </c>
      <c r="Q674" s="31"/>
      <c r="R674" s="32"/>
      <c r="S674" s="14">
        <v>1</v>
      </c>
      <c r="T674" s="14" t="s">
        <v>1399</v>
      </c>
      <c r="U674" s="31"/>
      <c r="V674" s="32" t="s">
        <v>1663</v>
      </c>
      <c r="W674" s="19"/>
      <c r="X674" s="19" t="s">
        <v>1667</v>
      </c>
      <c r="Y674" s="19" t="s">
        <v>1663</v>
      </c>
      <c r="Z674" s="19" t="s">
        <v>1663</v>
      </c>
      <c r="AA674" s="19" t="s">
        <v>1663</v>
      </c>
      <c r="AB674" s="19" t="s">
        <v>1663</v>
      </c>
    </row>
    <row r="675" spans="1:28" s="18" customFormat="1">
      <c r="A675" s="18" t="s">
        <v>2111</v>
      </c>
      <c r="B675" s="18" t="s">
        <v>9</v>
      </c>
      <c r="C675" s="18" t="s">
        <v>2112</v>
      </c>
      <c r="D675" s="18" t="s">
        <v>2113</v>
      </c>
      <c r="E675" s="19" t="s">
        <v>12</v>
      </c>
      <c r="F675" s="18" t="s">
        <v>13</v>
      </c>
      <c r="G675" s="29"/>
      <c r="H675" s="32" t="str">
        <f>IF(Prueba[[#This Row],[Cant.]]=0,"",IF(OR(Prueba[[#This Row],[Cant.2]]="",Prueba[[#This Row],[Puesto2]]=""),"?",Prueba[[#This Row],[Puesto2]]))</f>
        <v/>
      </c>
      <c r="I675" s="31"/>
      <c r="J675" s="32"/>
      <c r="K675" s="14"/>
      <c r="L675" s="14"/>
      <c r="M675" s="31"/>
      <c r="N675" s="32" t="str">
        <f>IF(Prueba[[#This Row],[Cant.4]]=0,"",IF(OR(Prueba[[#This Row],[Cant.6]]="",Prueba[[#This Row],[Puesto6]]=""),"?",Prueba[[#This Row],[Puesto6]]))</f>
        <v/>
      </c>
      <c r="O675" s="31"/>
      <c r="P675" s="32" t="str">
        <f>IF(Prueba[[#This Row],[Cant.5]]=0,"",IF(OR(Prueba[[#This Row],[Cant.6]]="",Prueba[[#This Row],[Puesto6]]=""),"?",Prueba[[#This Row],[Puesto6]]))</f>
        <v/>
      </c>
      <c r="Q675" s="31"/>
      <c r="R675" s="32"/>
      <c r="S675" s="14">
        <v>1</v>
      </c>
      <c r="T675" s="14">
        <v>5</v>
      </c>
      <c r="U675" s="31"/>
      <c r="V675" s="32" t="s">
        <v>1663</v>
      </c>
      <c r="W675" s="19"/>
      <c r="X675" s="19" t="s">
        <v>1667</v>
      </c>
      <c r="Y675" s="19" t="s">
        <v>1663</v>
      </c>
      <c r="Z675" s="19" t="s">
        <v>1663</v>
      </c>
      <c r="AA675" s="19" t="s">
        <v>1663</v>
      </c>
      <c r="AB675" s="19" t="s">
        <v>1663</v>
      </c>
    </row>
    <row r="676" spans="1:28" s="18" customFormat="1" ht="15.6">
      <c r="A676" s="18" t="s">
        <v>2114</v>
      </c>
      <c r="B676" s="18" t="s">
        <v>9</v>
      </c>
      <c r="C676" s="18" t="s">
        <v>2115</v>
      </c>
      <c r="D676" s="18" t="s">
        <v>2116</v>
      </c>
      <c r="E676" s="92" t="s">
        <v>12</v>
      </c>
      <c r="F676" s="18" t="s">
        <v>13</v>
      </c>
      <c r="G676" s="29"/>
      <c r="H676" s="32" t="str">
        <f>IF(Prueba[[#This Row],[Cant.]]=0,"",IF(OR(Prueba[[#This Row],[Cant.2]]="",Prueba[[#This Row],[Puesto2]]=""),"?",Prueba[[#This Row],[Puesto2]]))</f>
        <v/>
      </c>
      <c r="I676" s="31"/>
      <c r="J676" s="32"/>
      <c r="K676" s="14"/>
      <c r="L676" s="14"/>
      <c r="M676" s="31"/>
      <c r="N676" s="32" t="str">
        <f>IF(Prueba[[#This Row],[Cant.4]]=0,"",IF(OR(Prueba[[#This Row],[Cant.6]]="",Prueba[[#This Row],[Puesto6]]=""),"?",Prueba[[#This Row],[Puesto6]]))</f>
        <v/>
      </c>
      <c r="O676" s="31"/>
      <c r="P676" s="32" t="str">
        <f>IF(Prueba[[#This Row],[Cant.5]]=0,"",IF(OR(Prueba[[#This Row],[Cant.6]]="",Prueba[[#This Row],[Puesto6]]=""),"?",Prueba[[#This Row],[Puesto6]]))</f>
        <v/>
      </c>
      <c r="Q676" s="31"/>
      <c r="R676" s="32"/>
      <c r="S676" s="14">
        <v>2</v>
      </c>
      <c r="T676" s="14">
        <v>4</v>
      </c>
      <c r="U676" s="31"/>
      <c r="V676" s="32" t="s">
        <v>1663</v>
      </c>
      <c r="W676" s="19"/>
      <c r="X676" s="19" t="s">
        <v>1667</v>
      </c>
      <c r="Y676" s="19" t="s">
        <v>1663</v>
      </c>
      <c r="Z676" s="19" t="s">
        <v>1663</v>
      </c>
      <c r="AA676" s="19" t="s">
        <v>1663</v>
      </c>
      <c r="AB676" s="19" t="s">
        <v>1663</v>
      </c>
    </row>
    <row r="677" spans="1:28" s="18" customFormat="1" ht="15.6">
      <c r="A677" s="18" t="s">
        <v>2117</v>
      </c>
      <c r="B677" s="18" t="s">
        <v>9</v>
      </c>
      <c r="C677" s="18" t="s">
        <v>2115</v>
      </c>
      <c r="D677" s="18" t="s">
        <v>2116</v>
      </c>
      <c r="E677" s="92" t="s">
        <v>12</v>
      </c>
      <c r="F677" s="18" t="s">
        <v>13</v>
      </c>
      <c r="G677" s="29"/>
      <c r="H677" s="32" t="str">
        <f>IF(Prueba[[#This Row],[Cant.]]=0,"",IF(OR(Prueba[[#This Row],[Cant.2]]="",Prueba[[#This Row],[Puesto2]]=""),"?",Prueba[[#This Row],[Puesto2]]))</f>
        <v/>
      </c>
      <c r="I677" s="31"/>
      <c r="J677" s="32"/>
      <c r="K677" s="14"/>
      <c r="L677" s="14"/>
      <c r="M677" s="31"/>
      <c r="N677" s="32" t="str">
        <f>IF(Prueba[[#This Row],[Cant.4]]=0,"",IF(OR(Prueba[[#This Row],[Cant.6]]="",Prueba[[#This Row],[Puesto6]]=""),"?",Prueba[[#This Row],[Puesto6]]))</f>
        <v/>
      </c>
      <c r="O677" s="31"/>
      <c r="P677" s="32" t="str">
        <f>IF(Prueba[[#This Row],[Cant.5]]=0,"",IF(OR(Prueba[[#This Row],[Cant.6]]="",Prueba[[#This Row],[Puesto6]]=""),"?",Prueba[[#This Row],[Puesto6]]))</f>
        <v/>
      </c>
      <c r="Q677" s="31"/>
      <c r="R677" s="32"/>
      <c r="S677" s="14">
        <v>2</v>
      </c>
      <c r="T677" s="14" t="s">
        <v>1399</v>
      </c>
      <c r="U677" s="31"/>
      <c r="V677" s="32" t="s">
        <v>1663</v>
      </c>
      <c r="W677" s="19"/>
      <c r="X677" s="19" t="s">
        <v>1667</v>
      </c>
      <c r="Y677" s="19" t="s">
        <v>1663</v>
      </c>
      <c r="Z677" s="19" t="s">
        <v>1663</v>
      </c>
      <c r="AA677" s="19" t="s">
        <v>1663</v>
      </c>
      <c r="AB677" s="19" t="s">
        <v>1663</v>
      </c>
    </row>
    <row r="678" spans="1:28" s="18" customFormat="1" ht="15.6">
      <c r="A678" s="18" t="s">
        <v>2118</v>
      </c>
      <c r="B678" s="18" t="s">
        <v>9</v>
      </c>
      <c r="C678" s="18" t="s">
        <v>1770</v>
      </c>
      <c r="D678" s="18" t="s">
        <v>2034</v>
      </c>
      <c r="E678" s="92" t="s">
        <v>39</v>
      </c>
      <c r="F678" s="18" t="s">
        <v>13</v>
      </c>
      <c r="G678" s="29"/>
      <c r="H678" s="32" t="str">
        <f>IF(Prueba[[#This Row],[Cant.]]=0,"",IF(OR(Prueba[[#This Row],[Cant.2]]="",Prueba[[#This Row],[Puesto2]]=""),"?",Prueba[[#This Row],[Puesto2]]))</f>
        <v/>
      </c>
      <c r="I678" s="31"/>
      <c r="J678" s="32"/>
      <c r="K678" s="14"/>
      <c r="L678" s="14"/>
      <c r="M678" s="31"/>
      <c r="N678" s="32" t="str">
        <f>IF(Prueba[[#This Row],[Cant.4]]=0,"",IF(OR(Prueba[[#This Row],[Cant.6]]="",Prueba[[#This Row],[Puesto6]]=""),"?",Prueba[[#This Row],[Puesto6]]))</f>
        <v/>
      </c>
      <c r="O678" s="31"/>
      <c r="P678" s="32" t="str">
        <f>IF(Prueba[[#This Row],[Cant.5]]=0,"",IF(OR(Prueba[[#This Row],[Cant.6]]="",Prueba[[#This Row],[Puesto6]]=""),"?",Prueba[[#This Row],[Puesto6]]))</f>
        <v/>
      </c>
      <c r="Q678" s="31"/>
      <c r="R678" s="32"/>
      <c r="S678" s="14">
        <v>1</v>
      </c>
      <c r="T678" s="14">
        <v>0</v>
      </c>
      <c r="U678" s="31"/>
      <c r="V678" s="32" t="s">
        <v>1663</v>
      </c>
      <c r="W678" s="19"/>
      <c r="X678" s="19" t="s">
        <v>1667</v>
      </c>
      <c r="Y678" s="19" t="s">
        <v>1663</v>
      </c>
      <c r="Z678" s="19" t="s">
        <v>1663</v>
      </c>
      <c r="AA678" s="19" t="s">
        <v>1663</v>
      </c>
      <c r="AB678" s="19" t="s">
        <v>1663</v>
      </c>
    </row>
    <row r="679" spans="1:28" s="18" customFormat="1" ht="15.6">
      <c r="A679" s="18" t="s">
        <v>2119</v>
      </c>
      <c r="B679" s="18" t="s">
        <v>9</v>
      </c>
      <c r="C679" s="18" t="s">
        <v>2120</v>
      </c>
      <c r="D679" s="18" t="s">
        <v>2121</v>
      </c>
      <c r="E679" s="92" t="s">
        <v>790</v>
      </c>
      <c r="F679" s="18" t="s">
        <v>13</v>
      </c>
      <c r="G679" s="29"/>
      <c r="H679" s="32" t="str">
        <f>IF(Prueba[[#This Row],[Cant.]]=0,"",IF(OR(Prueba[[#This Row],[Cant.2]]="",Prueba[[#This Row],[Puesto2]]=""),"?",Prueba[[#This Row],[Puesto2]]))</f>
        <v/>
      </c>
      <c r="I679" s="31"/>
      <c r="J679" s="32"/>
      <c r="K679" s="14"/>
      <c r="L679" s="14"/>
      <c r="M679" s="31"/>
      <c r="N679" s="32" t="str">
        <f>IF(Prueba[[#This Row],[Cant.4]]=0,"",IF(OR(Prueba[[#This Row],[Cant.6]]="",Prueba[[#This Row],[Puesto6]]=""),"?",Prueba[[#This Row],[Puesto6]]))</f>
        <v/>
      </c>
      <c r="O679" s="31"/>
      <c r="P679" s="32" t="str">
        <f>IF(Prueba[[#This Row],[Cant.5]]=0,"",IF(OR(Prueba[[#This Row],[Cant.6]]="",Prueba[[#This Row],[Puesto6]]=""),"?",Prueba[[#This Row],[Puesto6]]))</f>
        <v/>
      </c>
      <c r="Q679" s="31"/>
      <c r="R679" s="32"/>
      <c r="S679" s="14">
        <v>2</v>
      </c>
      <c r="T679" s="14" t="s">
        <v>1399</v>
      </c>
      <c r="U679" s="31"/>
      <c r="V679" s="32" t="s">
        <v>1663</v>
      </c>
      <c r="W679" s="19"/>
      <c r="X679" s="19" t="s">
        <v>1667</v>
      </c>
      <c r="Y679" s="19" t="s">
        <v>1663</v>
      </c>
      <c r="Z679" s="19" t="s">
        <v>1663</v>
      </c>
      <c r="AA679" s="19" t="s">
        <v>1663</v>
      </c>
      <c r="AB679" s="19" t="s">
        <v>1663</v>
      </c>
    </row>
    <row r="680" spans="1:28" s="18" customFormat="1" ht="15.6">
      <c r="A680" s="18" t="s">
        <v>2122</v>
      </c>
      <c r="B680" s="18" t="s">
        <v>9</v>
      </c>
      <c r="C680" s="18" t="s">
        <v>2123</v>
      </c>
      <c r="D680" s="18" t="s">
        <v>1816</v>
      </c>
      <c r="E680" s="92" t="s">
        <v>308</v>
      </c>
      <c r="F680" s="18" t="s">
        <v>13</v>
      </c>
      <c r="G680" s="29"/>
      <c r="H680" s="32" t="str">
        <f>IF(Prueba[[#This Row],[Cant.]]=0,"",IF(OR(Prueba[[#This Row],[Cant.2]]="",Prueba[[#This Row],[Puesto2]]=""),"?",Prueba[[#This Row],[Puesto2]]))</f>
        <v/>
      </c>
      <c r="I680" s="31"/>
      <c r="J680" s="32"/>
      <c r="K680" s="14"/>
      <c r="L680" s="14"/>
      <c r="M680" s="31"/>
      <c r="N680" s="32" t="str">
        <f>IF(Prueba[[#This Row],[Cant.4]]=0,"",IF(OR(Prueba[[#This Row],[Cant.6]]="",Prueba[[#This Row],[Puesto6]]=""),"?",Prueba[[#This Row],[Puesto6]]))</f>
        <v/>
      </c>
      <c r="O680" s="31"/>
      <c r="P680" s="32" t="str">
        <f>IF(Prueba[[#This Row],[Cant.5]]=0,"",IF(OR(Prueba[[#This Row],[Cant.6]]="",Prueba[[#This Row],[Puesto6]]=""),"?",Prueba[[#This Row],[Puesto6]]))</f>
        <v/>
      </c>
      <c r="Q680" s="31"/>
      <c r="R680" s="32"/>
      <c r="S680" s="14">
        <v>2</v>
      </c>
      <c r="T680" s="14">
        <v>4</v>
      </c>
      <c r="U680" s="31"/>
      <c r="V680" s="32" t="s">
        <v>1663</v>
      </c>
      <c r="W680" s="19"/>
      <c r="X680" s="19" t="s">
        <v>1667</v>
      </c>
      <c r="Y680" s="19" t="s">
        <v>1663</v>
      </c>
      <c r="Z680" s="19" t="s">
        <v>1663</v>
      </c>
      <c r="AA680" s="19" t="s">
        <v>1663</v>
      </c>
      <c r="AB680" s="19" t="s">
        <v>1663</v>
      </c>
    </row>
    <row r="681" spans="1:28" s="18" customFormat="1" ht="15.6">
      <c r="A681" s="18" t="s">
        <v>2124</v>
      </c>
      <c r="B681" s="18" t="s">
        <v>9</v>
      </c>
      <c r="C681" s="18" t="s">
        <v>2125</v>
      </c>
      <c r="D681" s="18" t="s">
        <v>2126</v>
      </c>
      <c r="E681" s="92" t="s">
        <v>18</v>
      </c>
      <c r="F681" s="18" t="s">
        <v>13</v>
      </c>
      <c r="G681" s="29"/>
      <c r="H681" s="32" t="str">
        <f>IF(Prueba[[#This Row],[Cant.]]=0,"",IF(OR(Prueba[[#This Row],[Cant.2]]="",Prueba[[#This Row],[Puesto2]]=""),"?",Prueba[[#This Row],[Puesto2]]))</f>
        <v/>
      </c>
      <c r="I681" s="31"/>
      <c r="J681" s="32"/>
      <c r="K681" s="14"/>
      <c r="L681" s="14"/>
      <c r="M681" s="31"/>
      <c r="N681" s="32" t="str">
        <f>IF(Prueba[[#This Row],[Cant.4]]=0,"",IF(OR(Prueba[[#This Row],[Cant.6]]="",Prueba[[#This Row],[Puesto6]]=""),"?",Prueba[[#This Row],[Puesto6]]))</f>
        <v/>
      </c>
      <c r="O681" s="31"/>
      <c r="P681" s="32" t="str">
        <f>IF(Prueba[[#This Row],[Cant.5]]=0,"",IF(OR(Prueba[[#This Row],[Cant.6]]="",Prueba[[#This Row],[Puesto6]]=""),"?",Prueba[[#This Row],[Puesto6]]))</f>
        <v/>
      </c>
      <c r="Q681" s="31"/>
      <c r="R681" s="32"/>
      <c r="S681" s="14">
        <v>1</v>
      </c>
      <c r="T681" s="14">
        <v>0</v>
      </c>
      <c r="U681" s="31"/>
      <c r="V681" s="32" t="s">
        <v>1663</v>
      </c>
      <c r="W681" s="19"/>
      <c r="X681" s="19" t="s">
        <v>1667</v>
      </c>
      <c r="Y681" s="19" t="s">
        <v>1663</v>
      </c>
      <c r="Z681" s="19" t="s">
        <v>1663</v>
      </c>
      <c r="AA681" s="19" t="s">
        <v>1663</v>
      </c>
      <c r="AB681" s="19" t="s">
        <v>1663</v>
      </c>
    </row>
    <row r="682" spans="1:28" s="40" customFormat="1" ht="15.6">
      <c r="A682" s="18" t="s">
        <v>2127</v>
      </c>
      <c r="B682" s="18" t="s">
        <v>9</v>
      </c>
      <c r="C682" s="18" t="s">
        <v>2125</v>
      </c>
      <c r="D682" s="18" t="s">
        <v>2126</v>
      </c>
      <c r="E682" s="92" t="s">
        <v>18</v>
      </c>
      <c r="F682" s="18" t="s">
        <v>13</v>
      </c>
      <c r="G682" s="29"/>
      <c r="H682" s="32" t="str">
        <f>IF(Prueba[[#This Row],[Cant.]]=0,"",IF(OR(Prueba[[#This Row],[Cant.2]]="",Prueba[[#This Row],[Puesto2]]=""),"?",Prueba[[#This Row],[Puesto2]]))</f>
        <v/>
      </c>
      <c r="I682" s="31"/>
      <c r="J682" s="32"/>
      <c r="K682" s="14"/>
      <c r="L682" s="14"/>
      <c r="M682" s="31"/>
      <c r="N682" s="32" t="str">
        <f>IF(Prueba[[#This Row],[Cant.4]]=0,"",IF(OR(Prueba[[#This Row],[Cant.6]]="",Prueba[[#This Row],[Puesto6]]=""),"?",Prueba[[#This Row],[Puesto6]]))</f>
        <v/>
      </c>
      <c r="O682" s="31"/>
      <c r="P682" s="32" t="str">
        <f>IF(Prueba[[#This Row],[Cant.5]]=0,"",IF(OR(Prueba[[#This Row],[Cant.6]]="",Prueba[[#This Row],[Puesto6]]=""),"?",Prueba[[#This Row],[Puesto6]]))</f>
        <v/>
      </c>
      <c r="Q682" s="31"/>
      <c r="R682" s="32"/>
      <c r="S682" s="14">
        <v>1</v>
      </c>
      <c r="T682" s="14">
        <v>0</v>
      </c>
      <c r="U682" s="31"/>
      <c r="V682" s="32" t="s">
        <v>1663</v>
      </c>
      <c r="W682" s="19"/>
      <c r="X682" s="19" t="s">
        <v>1667</v>
      </c>
      <c r="Y682" s="19" t="s">
        <v>1663</v>
      </c>
      <c r="Z682" s="19" t="s">
        <v>1663</v>
      </c>
      <c r="AA682" s="19" t="s">
        <v>1663</v>
      </c>
      <c r="AB682" s="19" t="s">
        <v>1663</v>
      </c>
    </row>
    <row r="683" spans="1:28" s="40" customFormat="1">
      <c r="A683" s="18" t="s">
        <v>1132</v>
      </c>
      <c r="B683" s="18" t="s">
        <v>9</v>
      </c>
      <c r="C683" s="18" t="s">
        <v>179</v>
      </c>
      <c r="D683" s="18" t="s">
        <v>179</v>
      </c>
      <c r="E683" s="19" t="s">
        <v>18</v>
      </c>
      <c r="F683" s="18" t="s">
        <v>13</v>
      </c>
      <c r="G683" s="29"/>
      <c r="H683" s="32" t="str">
        <f>IF(Prueba[[#This Row],[Cant.]]=0,"",IF(OR(Prueba[[#This Row],[Cant.2]]="",Prueba[[#This Row],[Puesto2]]=""),"?",Prueba[[#This Row],[Puesto2]]))</f>
        <v/>
      </c>
      <c r="I683" s="31"/>
      <c r="J683" s="32"/>
      <c r="K683" s="14">
        <v>1</v>
      </c>
      <c r="L683" s="14"/>
      <c r="M683" s="31">
        <v>1</v>
      </c>
      <c r="N683" s="32">
        <f>IF(Prueba[[#This Row],[Cant.4]]=0,"",IF(OR(Prueba[[#This Row],[Cant.6]]="",Prueba[[#This Row],[Puesto6]]=""),"?",Prueba[[#This Row],[Puesto6]]))</f>
        <v>1</v>
      </c>
      <c r="O683" s="31">
        <v>1</v>
      </c>
      <c r="P683" s="32">
        <f>IF(Prueba[[#This Row],[Cant.5]]=0,"",IF(OR(Prueba[[#This Row],[Cant.6]]="",Prueba[[#This Row],[Puesto6]]=""),"?",Prueba[[#This Row],[Puesto6]]))</f>
        <v>1</v>
      </c>
      <c r="Q683" s="31">
        <v>1</v>
      </c>
      <c r="R683" s="32">
        <v>1</v>
      </c>
      <c r="S683" s="14">
        <v>1</v>
      </c>
      <c r="T683" s="14">
        <v>1</v>
      </c>
      <c r="U683" s="31"/>
      <c r="V683" s="32" t="s">
        <v>1663</v>
      </c>
      <c r="W683" s="19"/>
      <c r="X683" s="19" t="s">
        <v>1667</v>
      </c>
      <c r="Y683" s="19" t="s">
        <v>1663</v>
      </c>
      <c r="Z683" s="19" t="s">
        <v>1663</v>
      </c>
      <c r="AA683" s="19" t="s">
        <v>1663</v>
      </c>
      <c r="AB683" s="19" t="s">
        <v>1663</v>
      </c>
    </row>
    <row r="684" spans="1:28" s="18" customFormat="1">
      <c r="A684" s="18" t="s">
        <v>2128</v>
      </c>
      <c r="B684" s="18" t="s">
        <v>9</v>
      </c>
      <c r="C684" s="18" t="s">
        <v>1847</v>
      </c>
      <c r="D684" s="18" t="s">
        <v>1848</v>
      </c>
      <c r="E684" s="19" t="s">
        <v>1815</v>
      </c>
      <c r="F684" s="18" t="s">
        <v>13</v>
      </c>
      <c r="G684" s="29"/>
      <c r="H684" s="32" t="str">
        <f>IF(Prueba[[#This Row],[Cant.]]=0,"",IF(OR(Prueba[[#This Row],[Cant.2]]="",Prueba[[#This Row],[Puesto2]]=""),"?",Prueba[[#This Row],[Puesto2]]))</f>
        <v/>
      </c>
      <c r="I684" s="31"/>
      <c r="J684" s="32"/>
      <c r="K684" s="14"/>
      <c r="L684" s="14"/>
      <c r="M684" s="31"/>
      <c r="N684" s="32" t="str">
        <f>IF(Prueba[[#This Row],[Cant.4]]=0,"",IF(OR(Prueba[[#This Row],[Cant.6]]="",Prueba[[#This Row],[Puesto6]]=""),"?",Prueba[[#This Row],[Puesto6]]))</f>
        <v/>
      </c>
      <c r="O684" s="31"/>
      <c r="P684" s="32" t="str">
        <f>IF(Prueba[[#This Row],[Cant.5]]=0,"",IF(OR(Prueba[[#This Row],[Cant.6]]="",Prueba[[#This Row],[Puesto6]]=""),"?",Prueba[[#This Row],[Puesto6]]))</f>
        <v/>
      </c>
      <c r="Q684" s="31"/>
      <c r="R684" s="32"/>
      <c r="S684" s="14">
        <v>1</v>
      </c>
      <c r="T684" s="14">
        <v>0</v>
      </c>
      <c r="U684" s="31"/>
      <c r="V684" s="32" t="s">
        <v>1663</v>
      </c>
      <c r="W684" s="19"/>
      <c r="X684" s="19" t="s">
        <v>1667</v>
      </c>
      <c r="Y684" s="19" t="s">
        <v>1663</v>
      </c>
      <c r="Z684" s="19" t="s">
        <v>1663</v>
      </c>
      <c r="AA684" s="19" t="s">
        <v>1663</v>
      </c>
      <c r="AB684" s="19" t="s">
        <v>1663</v>
      </c>
    </row>
    <row r="685" spans="1:28" s="18" customFormat="1" ht="15.6">
      <c r="A685" s="18" t="s">
        <v>2129</v>
      </c>
      <c r="B685" s="18" t="s">
        <v>1806</v>
      </c>
      <c r="C685" s="18" t="s">
        <v>2130</v>
      </c>
      <c r="D685" s="18" t="s">
        <v>2131</v>
      </c>
      <c r="E685" s="92" t="s">
        <v>18</v>
      </c>
      <c r="F685" s="18" t="s">
        <v>13</v>
      </c>
      <c r="G685" s="29"/>
      <c r="H685" s="32" t="str">
        <f>IF(Prueba[[#This Row],[Cant.]]=0,"",IF(OR(Prueba[[#This Row],[Cant.2]]="",Prueba[[#This Row],[Puesto2]]=""),"?",Prueba[[#This Row],[Puesto2]]))</f>
        <v/>
      </c>
      <c r="I685" s="31"/>
      <c r="J685" s="32"/>
      <c r="K685" s="14"/>
      <c r="L685" s="14"/>
      <c r="M685" s="31">
        <v>1</v>
      </c>
      <c r="N685" s="32" t="s">
        <v>1402</v>
      </c>
      <c r="O685" s="31">
        <v>1</v>
      </c>
      <c r="P685" s="32" t="str">
        <f>IF(Prueba[[#This Row],[Cant.5]]=0,"",IF(OR(Prueba[[#This Row],[Cant.6]]="",Prueba[[#This Row],[Puesto6]]=""),"?",Prueba[[#This Row],[Puesto6]]))</f>
        <v>C</v>
      </c>
      <c r="Q685" s="31">
        <v>1</v>
      </c>
      <c r="R685" s="32" t="s">
        <v>1402</v>
      </c>
      <c r="S685" s="14">
        <v>1</v>
      </c>
      <c r="T685" s="14" t="s">
        <v>1402</v>
      </c>
      <c r="U685" s="31"/>
      <c r="V685" s="32" t="s">
        <v>1663</v>
      </c>
      <c r="W685" s="19"/>
      <c r="X685" s="19" t="s">
        <v>1667</v>
      </c>
      <c r="Y685" s="19" t="s">
        <v>1663</v>
      </c>
      <c r="Z685" s="19" t="s">
        <v>1663</v>
      </c>
      <c r="AA685" s="19" t="s">
        <v>1663</v>
      </c>
      <c r="AB685" s="19" t="s">
        <v>1663</v>
      </c>
    </row>
    <row r="686" spans="1:28" s="18" customFormat="1" ht="15.6">
      <c r="A686" s="18" t="s">
        <v>2132</v>
      </c>
      <c r="B686" s="18" t="s">
        <v>9</v>
      </c>
      <c r="C686" s="18" t="s">
        <v>1830</v>
      </c>
      <c r="D686" s="18" t="s">
        <v>2048</v>
      </c>
      <c r="E686" s="92" t="s">
        <v>18</v>
      </c>
      <c r="F686" s="18" t="s">
        <v>13</v>
      </c>
      <c r="G686" s="29"/>
      <c r="H686" s="32" t="str">
        <f>IF(Prueba[[#This Row],[Cant.]]=0,"",IF(OR(Prueba[[#This Row],[Cant.2]]="",Prueba[[#This Row],[Puesto2]]=""),"?",Prueba[[#This Row],[Puesto2]]))</f>
        <v/>
      </c>
      <c r="I686" s="31"/>
      <c r="J686" s="32"/>
      <c r="K686" s="14"/>
      <c r="L686" s="14"/>
      <c r="M686" s="31"/>
      <c r="N686" s="32" t="str">
        <f>IF(Prueba[[#This Row],[Cant.4]]=0,"",IF(OR(Prueba[[#This Row],[Cant.6]]="",Prueba[[#This Row],[Puesto6]]=""),"?",Prueba[[#This Row],[Puesto6]]))</f>
        <v/>
      </c>
      <c r="O686" s="31"/>
      <c r="P686" s="32" t="str">
        <f>IF(Prueba[[#This Row],[Cant.5]]=0,"",IF(OR(Prueba[[#This Row],[Cant.6]]="",Prueba[[#This Row],[Puesto6]]=""),"?",Prueba[[#This Row],[Puesto6]]))</f>
        <v/>
      </c>
      <c r="Q686" s="31"/>
      <c r="R686" s="32"/>
      <c r="S686" s="14">
        <v>1</v>
      </c>
      <c r="T686" s="14">
        <v>2</v>
      </c>
      <c r="U686" s="31"/>
      <c r="V686" s="32" t="s">
        <v>1663</v>
      </c>
      <c r="W686" s="19"/>
      <c r="X686" s="19" t="s">
        <v>1667</v>
      </c>
      <c r="Y686" s="19" t="s">
        <v>1663</v>
      </c>
      <c r="Z686" s="19" t="s">
        <v>1663</v>
      </c>
      <c r="AA686" s="19" t="s">
        <v>1663</v>
      </c>
      <c r="AB686" s="19" t="s">
        <v>1663</v>
      </c>
    </row>
    <row r="687" spans="1:28" s="18" customFormat="1" ht="15.6">
      <c r="A687" s="18" t="s">
        <v>2133</v>
      </c>
      <c r="B687" s="18" t="s">
        <v>9</v>
      </c>
      <c r="C687" s="18" t="s">
        <v>2134</v>
      </c>
      <c r="D687" s="18" t="s">
        <v>2135</v>
      </c>
      <c r="E687" s="92" t="s">
        <v>18</v>
      </c>
      <c r="F687" s="18" t="s">
        <v>13</v>
      </c>
      <c r="G687" s="29"/>
      <c r="H687" s="32" t="str">
        <f>IF(Prueba[[#This Row],[Cant.]]=0,"",IF(OR(Prueba[[#This Row],[Cant.2]]="",Prueba[[#This Row],[Puesto2]]=""),"?",Prueba[[#This Row],[Puesto2]]))</f>
        <v/>
      </c>
      <c r="I687" s="31"/>
      <c r="J687" s="32"/>
      <c r="K687" s="14"/>
      <c r="L687" s="14"/>
      <c r="M687" s="31"/>
      <c r="N687" s="32" t="str">
        <f>IF(Prueba[[#This Row],[Cant.4]]=0,"",IF(OR(Prueba[[#This Row],[Cant.6]]="",Prueba[[#This Row],[Puesto6]]=""),"?",Prueba[[#This Row],[Puesto6]]))</f>
        <v/>
      </c>
      <c r="O687" s="31"/>
      <c r="P687" s="32" t="str">
        <f>IF(Prueba[[#This Row],[Cant.5]]=0,"",IF(OR(Prueba[[#This Row],[Cant.6]]="",Prueba[[#This Row],[Puesto6]]=""),"?",Prueba[[#This Row],[Puesto6]]))</f>
        <v/>
      </c>
      <c r="Q687" s="31"/>
      <c r="R687" s="32"/>
      <c r="S687" s="14">
        <v>1</v>
      </c>
      <c r="T687" s="14">
        <v>5</v>
      </c>
      <c r="U687" s="31"/>
      <c r="V687" s="32" t="s">
        <v>1663</v>
      </c>
      <c r="W687" s="19"/>
      <c r="X687" s="19" t="s">
        <v>1667</v>
      </c>
      <c r="Y687" s="19" t="s">
        <v>1663</v>
      </c>
      <c r="Z687" s="19" t="s">
        <v>1663</v>
      </c>
      <c r="AA687" s="19" t="s">
        <v>1663</v>
      </c>
      <c r="AB687" s="19" t="s">
        <v>1663</v>
      </c>
    </row>
    <row r="688" spans="1:28" s="18" customFormat="1" ht="15.6">
      <c r="A688" s="18" t="s">
        <v>2136</v>
      </c>
      <c r="B688" s="18" t="s">
        <v>9</v>
      </c>
      <c r="C688" s="18" t="s">
        <v>1788</v>
      </c>
      <c r="D688" s="18" t="s">
        <v>2052</v>
      </c>
      <c r="E688" s="92" t="s">
        <v>18</v>
      </c>
      <c r="F688" s="18" t="s">
        <v>13</v>
      </c>
      <c r="G688" s="29"/>
      <c r="H688" s="32" t="str">
        <f>IF(Prueba[[#This Row],[Cant.]]=0,"",IF(OR(Prueba[[#This Row],[Cant.2]]="",Prueba[[#This Row],[Puesto2]]=""),"?",Prueba[[#This Row],[Puesto2]]))</f>
        <v/>
      </c>
      <c r="I688" s="31"/>
      <c r="J688" s="32"/>
      <c r="K688" s="14"/>
      <c r="L688" s="14"/>
      <c r="M688" s="31"/>
      <c r="N688" s="32" t="str">
        <f>IF(Prueba[[#This Row],[Cant.4]]=0,"",IF(OR(Prueba[[#This Row],[Cant.6]]="",Prueba[[#This Row],[Puesto6]]=""),"?",Prueba[[#This Row],[Puesto6]]))</f>
        <v/>
      </c>
      <c r="O688" s="31"/>
      <c r="P688" s="32" t="str">
        <f>IF(Prueba[[#This Row],[Cant.5]]=0,"",IF(OR(Prueba[[#This Row],[Cant.6]]="",Prueba[[#This Row],[Puesto6]]=""),"?",Prueba[[#This Row],[Puesto6]]))</f>
        <v/>
      </c>
      <c r="Q688" s="31"/>
      <c r="R688" s="32"/>
      <c r="S688" s="14">
        <v>1</v>
      </c>
      <c r="T688" s="14">
        <v>2</v>
      </c>
      <c r="U688" s="31"/>
      <c r="V688" s="32" t="s">
        <v>1663</v>
      </c>
      <c r="W688" s="19"/>
      <c r="X688" s="19" t="s">
        <v>1667</v>
      </c>
      <c r="Y688" s="19" t="s">
        <v>1663</v>
      </c>
      <c r="Z688" s="19" t="s">
        <v>1663</v>
      </c>
      <c r="AA688" s="19" t="s">
        <v>1663</v>
      </c>
      <c r="AB688" s="19" t="s">
        <v>1663</v>
      </c>
    </row>
    <row r="689" spans="1:28" s="18" customFormat="1" ht="15.6">
      <c r="A689" s="18" t="s">
        <v>2137</v>
      </c>
      <c r="B689" s="18" t="s">
        <v>9</v>
      </c>
      <c r="C689" s="18" t="s">
        <v>2138</v>
      </c>
      <c r="D689" s="18" t="s">
        <v>2139</v>
      </c>
      <c r="E689" s="92" t="s">
        <v>12</v>
      </c>
      <c r="F689" s="18" t="s">
        <v>13</v>
      </c>
      <c r="G689" s="29"/>
      <c r="H689" s="32" t="str">
        <f>IF(Prueba[[#This Row],[Cant.]]=0,"",IF(OR(Prueba[[#This Row],[Cant.2]]="",Prueba[[#This Row],[Puesto2]]=""),"?",Prueba[[#This Row],[Puesto2]]))</f>
        <v/>
      </c>
      <c r="I689" s="31"/>
      <c r="J689" s="32"/>
      <c r="K689" s="14"/>
      <c r="L689" s="14"/>
      <c r="M689" s="31"/>
      <c r="N689" s="32" t="str">
        <f>IF(Prueba[[#This Row],[Cant.4]]=0,"",IF(OR(Prueba[[#This Row],[Cant.6]]="",Prueba[[#This Row],[Puesto6]]=""),"?",Prueba[[#This Row],[Puesto6]]))</f>
        <v/>
      </c>
      <c r="O689" s="31"/>
      <c r="P689" s="32" t="str">
        <f>IF(Prueba[[#This Row],[Cant.5]]=0,"",IF(OR(Prueba[[#This Row],[Cant.6]]="",Prueba[[#This Row],[Puesto6]]=""),"?",Prueba[[#This Row],[Puesto6]]))</f>
        <v/>
      </c>
      <c r="Q689" s="31"/>
      <c r="R689" s="32"/>
      <c r="S689" s="14">
        <v>1</v>
      </c>
      <c r="T689" s="14">
        <v>5</v>
      </c>
      <c r="U689" s="31"/>
      <c r="V689" s="32" t="s">
        <v>1663</v>
      </c>
      <c r="W689" s="19"/>
      <c r="X689" s="19" t="s">
        <v>1667</v>
      </c>
      <c r="Y689" s="19" t="s">
        <v>1663</v>
      </c>
      <c r="Z689" s="19" t="s">
        <v>1663</v>
      </c>
      <c r="AA689" s="19" t="s">
        <v>1663</v>
      </c>
      <c r="AB689" s="19" t="s">
        <v>1663</v>
      </c>
    </row>
    <row r="690" spans="1:28" s="18" customFormat="1">
      <c r="A690" s="18" t="s">
        <v>547</v>
      </c>
      <c r="B690" s="18" t="s">
        <v>9</v>
      </c>
      <c r="C690" s="18" t="s">
        <v>312</v>
      </c>
      <c r="D690" s="18" t="s">
        <v>548</v>
      </c>
      <c r="E690" s="19" t="s">
        <v>22</v>
      </c>
      <c r="F690" s="18" t="s">
        <v>13</v>
      </c>
      <c r="G690" s="29">
        <v>15</v>
      </c>
      <c r="H690" s="32" t="str">
        <f>IF(Prueba[[#This Row],[Cant.]]=0,"",IF(OR(Prueba[[#This Row],[Cant.2]]="",Prueba[[#This Row],[Puesto2]]=""),"?",Prueba[[#This Row],[Puesto2]]))</f>
        <v>4x2 + 1x5 + 6x6</v>
      </c>
      <c r="I690" s="31">
        <v>15</v>
      </c>
      <c r="J690" s="32" t="s">
        <v>2140</v>
      </c>
      <c r="K690" s="14">
        <v>8</v>
      </c>
      <c r="L690" s="14"/>
      <c r="M690" s="31">
        <v>5</v>
      </c>
      <c r="N690" s="32" t="str">
        <f>IF(Prueba[[#This Row],[Cant.4]]=0,"",IF(OR(Prueba[[#This Row],[Cant.6]]="",Prueba[[#This Row],[Puesto6]]=""),"?",Prueba[[#This Row],[Puesto6]]))</f>
        <v>1x2 + 4x6</v>
      </c>
      <c r="O690" s="31">
        <v>5</v>
      </c>
      <c r="P690" s="32" t="str">
        <f>IF(Prueba[[#This Row],[Cant.5]]=0,"",IF(OR(Prueba[[#This Row],[Cant.6]]="",Prueba[[#This Row],[Puesto6]]=""),"?",Prueba[[#This Row],[Puesto6]]))</f>
        <v>1x2 + 4x6</v>
      </c>
      <c r="Q690" s="31">
        <v>5</v>
      </c>
      <c r="R690" s="32" t="s">
        <v>2141</v>
      </c>
      <c r="S690" s="14">
        <v>4</v>
      </c>
      <c r="T690" s="14">
        <v>6</v>
      </c>
      <c r="U690" s="31">
        <v>10</v>
      </c>
      <c r="V690" s="32" t="s">
        <v>1464</v>
      </c>
      <c r="W690" s="19">
        <v>80</v>
      </c>
      <c r="X690" s="19" t="s">
        <v>1664</v>
      </c>
      <c r="Y690" s="19">
        <v>19</v>
      </c>
      <c r="Z690" s="19" t="s">
        <v>2140</v>
      </c>
      <c r="AA690" s="19">
        <v>19</v>
      </c>
      <c r="AB690" s="19" t="s">
        <v>2140</v>
      </c>
    </row>
    <row r="691" spans="1:28" s="18" customFormat="1">
      <c r="A691" s="18" t="s">
        <v>2142</v>
      </c>
      <c r="B691" s="18" t="s">
        <v>9</v>
      </c>
      <c r="C691" s="18" t="s">
        <v>53</v>
      </c>
      <c r="D691" s="18" t="s">
        <v>54</v>
      </c>
      <c r="E691" s="19" t="s">
        <v>39</v>
      </c>
      <c r="F691" s="18" t="s">
        <v>13</v>
      </c>
      <c r="G691" s="29"/>
      <c r="H691" s="32" t="str">
        <f>IF(Prueba[[#This Row],[Cant.]]=0,"",IF(OR(Prueba[[#This Row],[Cant.2]]="",Prueba[[#This Row],[Puesto2]]=""),"?",Prueba[[#This Row],[Puesto2]]))</f>
        <v/>
      </c>
      <c r="I691" s="31">
        <v>1</v>
      </c>
      <c r="J691" s="32" t="s">
        <v>1399</v>
      </c>
      <c r="K691" s="14"/>
      <c r="L691" s="14"/>
      <c r="M691" s="31"/>
      <c r="N691" s="32" t="str">
        <f>IF(Prueba[[#This Row],[Cant.4]]=0,"",IF(OR(Prueba[[#This Row],[Cant.6]]="",Prueba[[#This Row],[Puesto6]]=""),"?",Prueba[[#This Row],[Puesto6]]))</f>
        <v/>
      </c>
      <c r="O691" s="31"/>
      <c r="P691" s="32" t="str">
        <f>IF(Prueba[[#This Row],[Cant.5]]=0,"",IF(OR(Prueba[[#This Row],[Cant.6]]="",Prueba[[#This Row],[Puesto6]]=""),"?",Prueba[[#This Row],[Puesto6]]))</f>
        <v/>
      </c>
      <c r="Q691" s="31"/>
      <c r="R691" s="32"/>
      <c r="S691" s="14"/>
      <c r="T691" s="14"/>
      <c r="U691" s="31"/>
      <c r="V691" s="32"/>
      <c r="W691" s="19">
        <v>8</v>
      </c>
      <c r="X691" s="18" t="s">
        <v>1664</v>
      </c>
      <c r="Y691" s="19">
        <v>1</v>
      </c>
      <c r="Z691" s="19" t="s">
        <v>1399</v>
      </c>
      <c r="AA691" s="19">
        <v>1</v>
      </c>
      <c r="AB691" s="19" t="s">
        <v>1399</v>
      </c>
    </row>
    <row r="692" spans="1:28" s="18" customFormat="1">
      <c r="A692" s="18" t="s">
        <v>549</v>
      </c>
      <c r="B692" s="18" t="s">
        <v>9</v>
      </c>
      <c r="C692" s="18" t="s">
        <v>550</v>
      </c>
      <c r="D692" s="18" t="s">
        <v>551</v>
      </c>
      <c r="E692" s="19" t="s">
        <v>12</v>
      </c>
      <c r="F692" s="18" t="s">
        <v>13</v>
      </c>
      <c r="G692" s="29">
        <v>1</v>
      </c>
      <c r="H692" s="32" t="str">
        <f>IF(Prueba[[#This Row],[Cant.]]=0,"",IF(OR(Prueba[[#This Row],[Cant.2]]="",Prueba[[#This Row],[Puesto2]]=""),"?",Prueba[[#This Row],[Puesto2]]))</f>
        <v>D</v>
      </c>
      <c r="I692" s="31">
        <v>1</v>
      </c>
      <c r="J692" s="32" t="s">
        <v>1399</v>
      </c>
      <c r="K692" s="14"/>
      <c r="L692" s="14"/>
      <c r="M692" s="31"/>
      <c r="N692" s="32" t="str">
        <f>IF(Prueba[[#This Row],[Cant.4]]=0,"",IF(OR(Prueba[[#This Row],[Cant.6]]="",Prueba[[#This Row],[Puesto6]]=""),"?",Prueba[[#This Row],[Puesto6]]))</f>
        <v/>
      </c>
      <c r="O692" s="31"/>
      <c r="P692" s="32" t="str">
        <f>IF(Prueba[[#This Row],[Cant.5]]=0,"",IF(OR(Prueba[[#This Row],[Cant.6]]="",Prueba[[#This Row],[Puesto6]]=""),"?",Prueba[[#This Row],[Puesto6]]))</f>
        <v/>
      </c>
      <c r="Q692" s="31"/>
      <c r="R692" s="32"/>
      <c r="S692" s="14"/>
      <c r="T692" s="14"/>
      <c r="U692" s="31"/>
      <c r="V692" s="32" t="s">
        <v>1663</v>
      </c>
      <c r="W692" s="19"/>
      <c r="X692" s="19" t="s">
        <v>1667</v>
      </c>
      <c r="Y692" s="19">
        <v>1</v>
      </c>
      <c r="Z692" s="19" t="s">
        <v>1399</v>
      </c>
      <c r="AA692" s="19">
        <v>1</v>
      </c>
      <c r="AB692" s="19" t="s">
        <v>1399</v>
      </c>
    </row>
    <row r="693" spans="1:28" s="18" customFormat="1">
      <c r="A693" s="18" t="s">
        <v>1365</v>
      </c>
      <c r="B693" s="18" t="s">
        <v>9</v>
      </c>
      <c r="C693" s="18" t="s">
        <v>17</v>
      </c>
      <c r="D693" s="18" t="s">
        <v>1366</v>
      </c>
      <c r="E693" s="19" t="s">
        <v>22</v>
      </c>
      <c r="F693" s="18" t="s">
        <v>13</v>
      </c>
      <c r="G693" s="29"/>
      <c r="H693" s="32" t="str">
        <f>IF(Prueba[[#This Row],[Cant.]]=0,"",IF(OR(Prueba[[#This Row],[Cant.2]]="",Prueba[[#This Row],[Puesto2]]=""),"?",Prueba[[#This Row],[Puesto2]]))</f>
        <v/>
      </c>
      <c r="I693" s="31"/>
      <c r="J693" s="32"/>
      <c r="K693" s="14">
        <v>1</v>
      </c>
      <c r="L693" s="14"/>
      <c r="M693" s="31">
        <v>1</v>
      </c>
      <c r="N693" s="32" t="str">
        <f>IF(Prueba[[#This Row],[Cant.4]]=0,"",IF(OR(Prueba[[#This Row],[Cant.6]]="",Prueba[[#This Row],[Puesto6]]=""),"?",Prueba[[#This Row],[Puesto6]]))</f>
        <v>D</v>
      </c>
      <c r="O693" s="31"/>
      <c r="P693" s="32"/>
      <c r="Q693" s="31">
        <v>1</v>
      </c>
      <c r="R693" s="32" t="s">
        <v>1399</v>
      </c>
      <c r="S693" s="14">
        <v>1</v>
      </c>
      <c r="T693" s="14" t="s">
        <v>1399</v>
      </c>
      <c r="U693" s="31"/>
      <c r="V693" s="32" t="s">
        <v>1663</v>
      </c>
      <c r="W693" s="19">
        <v>8</v>
      </c>
      <c r="X693" s="19" t="s">
        <v>1664</v>
      </c>
      <c r="Y693" s="19" t="s">
        <v>1663</v>
      </c>
      <c r="Z693" s="19" t="s">
        <v>1663</v>
      </c>
      <c r="AA693" s="19" t="s">
        <v>1663</v>
      </c>
      <c r="AB693" s="19" t="s">
        <v>1663</v>
      </c>
    </row>
    <row r="694" spans="1:28" s="18" customFormat="1">
      <c r="A694" s="18" t="s">
        <v>1367</v>
      </c>
      <c r="B694" s="18" t="s">
        <v>9</v>
      </c>
      <c r="C694" s="18" t="s">
        <v>979</v>
      </c>
      <c r="D694" s="18" t="s">
        <v>528</v>
      </c>
      <c r="E694" s="19" t="s">
        <v>22</v>
      </c>
      <c r="F694" s="18" t="s">
        <v>13</v>
      </c>
      <c r="G694" s="29"/>
      <c r="H694" s="32" t="str">
        <f>IF(Prueba[[#This Row],[Cant.]]=0,"",IF(OR(Prueba[[#This Row],[Cant.2]]="",Prueba[[#This Row],[Puesto2]]=""),"?",Prueba[[#This Row],[Puesto2]]))</f>
        <v/>
      </c>
      <c r="I694" s="31"/>
      <c r="J694" s="32"/>
      <c r="K694" s="14">
        <v>1</v>
      </c>
      <c r="L694" s="14"/>
      <c r="M694" s="31">
        <v>1</v>
      </c>
      <c r="N694" s="32" t="str">
        <f>IF(Prueba[[#This Row],[Cant.4]]=0,"",IF(OR(Prueba[[#This Row],[Cant.6]]="",Prueba[[#This Row],[Puesto6]]=""),"?",Prueba[[#This Row],[Puesto6]]))</f>
        <v>D</v>
      </c>
      <c r="O694" s="31"/>
      <c r="P694" s="32"/>
      <c r="Q694" s="31">
        <v>1</v>
      </c>
      <c r="R694" s="32" t="s">
        <v>1399</v>
      </c>
      <c r="S694" s="14">
        <v>1</v>
      </c>
      <c r="T694" s="14" t="s">
        <v>1399</v>
      </c>
      <c r="U694" s="31"/>
      <c r="V694" s="32" t="s">
        <v>1663</v>
      </c>
      <c r="W694" s="19">
        <v>8</v>
      </c>
      <c r="X694" s="19" t="s">
        <v>1664</v>
      </c>
      <c r="Y694" s="19" t="s">
        <v>1663</v>
      </c>
      <c r="Z694" s="19" t="s">
        <v>1663</v>
      </c>
      <c r="AA694" s="19" t="s">
        <v>1663</v>
      </c>
      <c r="AB694" s="19" t="s">
        <v>1663</v>
      </c>
    </row>
    <row r="695" spans="1:28" s="18" customFormat="1">
      <c r="A695" s="18" t="s">
        <v>2143</v>
      </c>
      <c r="C695" s="18" t="s">
        <v>2144</v>
      </c>
      <c r="D695" s="18" t="s">
        <v>2144</v>
      </c>
      <c r="E695" s="19" t="s">
        <v>18</v>
      </c>
      <c r="G695" s="29"/>
      <c r="H695" s="32" t="str">
        <f>IF(Prueba[[#This Row],[Cant.]]=0,"",IF(OR(Prueba[[#This Row],[Cant.2]]="",Prueba[[#This Row],[Puesto2]]=""),"?",Prueba[[#This Row],[Puesto2]]))</f>
        <v/>
      </c>
      <c r="I695" s="31"/>
      <c r="J695" s="32"/>
      <c r="K695" s="14"/>
      <c r="L695" s="14"/>
      <c r="M695" s="31"/>
      <c r="N695" s="32" t="str">
        <f>IF(Prueba[[#This Row],[Cant.4]]=0,"",IF(OR(Prueba[[#This Row],[Cant.6]]="",Prueba[[#This Row],[Puesto6]]=""),"?",Prueba[[#This Row],[Puesto6]]))</f>
        <v/>
      </c>
      <c r="O695" s="31"/>
      <c r="P695" s="32" t="str">
        <f>IF(Prueba[[#This Row],[Cant.5]]=0,"",IF(OR(Prueba[[#This Row],[Cant.6]]="",Prueba[[#This Row],[Puesto6]]=""),"?",Prueba[[#This Row],[Puesto6]]))</f>
        <v/>
      </c>
      <c r="Q695" s="31"/>
      <c r="R695" s="32"/>
      <c r="S695" s="14"/>
      <c r="T695" s="14"/>
      <c r="U695" s="31"/>
      <c r="V695" s="32" t="s">
        <v>1663</v>
      </c>
      <c r="X695" s="19" t="s">
        <v>1667</v>
      </c>
      <c r="Y695" s="19">
        <v>2</v>
      </c>
      <c r="Z695" s="19" t="s">
        <v>1402</v>
      </c>
      <c r="AA695" s="19">
        <v>2</v>
      </c>
      <c r="AB695" s="19" t="s">
        <v>1402</v>
      </c>
    </row>
    <row r="696" spans="1:28" s="18" customFormat="1">
      <c r="A696" s="18" t="s">
        <v>2145</v>
      </c>
      <c r="B696" s="18" t="s">
        <v>9</v>
      </c>
      <c r="C696" s="18" t="s">
        <v>1752</v>
      </c>
      <c r="D696" s="18" t="s">
        <v>2146</v>
      </c>
      <c r="E696" s="19" t="s">
        <v>1733</v>
      </c>
      <c r="F696" s="18" t="s">
        <v>13</v>
      </c>
      <c r="G696" s="29"/>
      <c r="H696" s="32" t="str">
        <f>IF(Prueba[[#This Row],[Cant.]]=0,"",IF(OR(Prueba[[#This Row],[Cant.2]]="",Prueba[[#This Row],[Puesto2]]=""),"?",Prueba[[#This Row],[Puesto2]]))</f>
        <v/>
      </c>
      <c r="I696" s="31"/>
      <c r="J696" s="32"/>
      <c r="K696" s="14"/>
      <c r="L696" s="14"/>
      <c r="M696" s="31"/>
      <c r="N696" s="32" t="str">
        <f>IF(Prueba[[#This Row],[Cant.4]]=0,"",IF(OR(Prueba[[#This Row],[Cant.6]]="",Prueba[[#This Row],[Puesto6]]=""),"?",Prueba[[#This Row],[Puesto6]]))</f>
        <v/>
      </c>
      <c r="O696" s="31"/>
      <c r="P696" s="32" t="str">
        <f>IF(Prueba[[#This Row],[Cant.5]]=0,"",IF(OR(Prueba[[#This Row],[Cant.6]]="",Prueba[[#This Row],[Puesto6]]=""),"?",Prueba[[#This Row],[Puesto6]]))</f>
        <v/>
      </c>
      <c r="Q696" s="31"/>
      <c r="R696" s="32"/>
      <c r="S696" s="14">
        <v>2</v>
      </c>
      <c r="T696" s="14"/>
      <c r="U696" s="31"/>
      <c r="V696" s="32" t="s">
        <v>1663</v>
      </c>
      <c r="W696" s="19">
        <v>16</v>
      </c>
      <c r="X696" s="19" t="s">
        <v>1664</v>
      </c>
      <c r="Y696" s="19" t="s">
        <v>1663</v>
      </c>
      <c r="Z696" s="19" t="s">
        <v>1663</v>
      </c>
      <c r="AA696" s="19" t="s">
        <v>1663</v>
      </c>
      <c r="AB696" s="19" t="s">
        <v>1663</v>
      </c>
    </row>
    <row r="697" spans="1:28" s="18" customFormat="1">
      <c r="A697" s="40" t="s">
        <v>2147</v>
      </c>
      <c r="B697" s="40" t="s">
        <v>1806</v>
      </c>
      <c r="C697" s="40" t="s">
        <v>1837</v>
      </c>
      <c r="D697" s="40" t="s">
        <v>2148</v>
      </c>
      <c r="E697" s="41" t="s">
        <v>1733</v>
      </c>
      <c r="F697" s="18" t="s">
        <v>13</v>
      </c>
      <c r="G697" s="29"/>
      <c r="H697" s="32" t="str">
        <f>IF(Prueba[[#This Row],[Cant.]]=0,"",IF(OR(Prueba[[#This Row],[Cant.2]]="",Prueba[[#This Row],[Puesto2]]=""),"?",Prueba[[#This Row],[Puesto2]]))</f>
        <v/>
      </c>
      <c r="I697" s="31"/>
      <c r="J697" s="32"/>
      <c r="K697" s="14"/>
      <c r="L697" s="14"/>
      <c r="M697" s="31">
        <v>2</v>
      </c>
      <c r="N697" s="32" t="str">
        <f>IF(Prueba[[#This Row],[Cant.4]]=0,"",IF(OR(Prueba[[#This Row],[Cant.6]]="",Prueba[[#This Row],[Puesto6]]=""),"?",Prueba[[#This Row],[Puesto6]]))</f>
        <v>C</v>
      </c>
      <c r="O697" s="31"/>
      <c r="P697" s="32"/>
      <c r="Q697" s="44">
        <v>2</v>
      </c>
      <c r="R697" s="45" t="s">
        <v>1402</v>
      </c>
      <c r="S697" s="14">
        <v>2</v>
      </c>
      <c r="T697" s="14" t="s">
        <v>1402</v>
      </c>
      <c r="U697" s="31"/>
      <c r="V697" s="32" t="s">
        <v>1663</v>
      </c>
      <c r="W697" s="19">
        <v>16</v>
      </c>
      <c r="X697" s="19" t="s">
        <v>1664</v>
      </c>
      <c r="Y697" s="19" t="s">
        <v>1663</v>
      </c>
      <c r="Z697" s="19" t="s">
        <v>1663</v>
      </c>
      <c r="AA697" s="19" t="s">
        <v>1663</v>
      </c>
      <c r="AB697" s="19" t="s">
        <v>1663</v>
      </c>
    </row>
    <row r="698" spans="1:28" s="18" customFormat="1">
      <c r="A698" s="40" t="s">
        <v>2149</v>
      </c>
      <c r="B698" s="40" t="s">
        <v>1806</v>
      </c>
      <c r="C698" s="40" t="s">
        <v>2150</v>
      </c>
      <c r="D698" s="40" t="s">
        <v>2151</v>
      </c>
      <c r="E698" s="41" t="s">
        <v>18</v>
      </c>
      <c r="F698" s="18" t="s">
        <v>13</v>
      </c>
      <c r="G698" s="29"/>
      <c r="H698" s="32" t="str">
        <f>IF(Prueba[[#This Row],[Cant.]]=0,"",IF(OR(Prueba[[#This Row],[Cant.2]]="",Prueba[[#This Row],[Puesto2]]=""),"?",Prueba[[#This Row],[Puesto2]]))</f>
        <v/>
      </c>
      <c r="I698" s="31"/>
      <c r="J698" s="32"/>
      <c r="K698" s="14"/>
      <c r="L698" s="14"/>
      <c r="M698" s="31">
        <v>1</v>
      </c>
      <c r="N698" s="32" t="str">
        <f>IF(Prueba[[#This Row],[Cant.4]]=0,"",IF(OR(Prueba[[#This Row],[Cant.6]]="",Prueba[[#This Row],[Puesto6]]=""),"?",Prueba[[#This Row],[Puesto6]]))</f>
        <v>C</v>
      </c>
      <c r="O698" s="31"/>
      <c r="P698" s="32"/>
      <c r="Q698" s="44">
        <v>1</v>
      </c>
      <c r="R698" s="45" t="s">
        <v>1402</v>
      </c>
      <c r="S698" s="14">
        <v>1</v>
      </c>
      <c r="T698" s="14" t="s">
        <v>1402</v>
      </c>
      <c r="U698" s="31"/>
      <c r="V698" s="32" t="s">
        <v>1663</v>
      </c>
      <c r="W698" s="19"/>
      <c r="X698" s="19" t="s">
        <v>1667</v>
      </c>
      <c r="Y698" s="19" t="s">
        <v>1663</v>
      </c>
      <c r="Z698" s="19" t="s">
        <v>1663</v>
      </c>
      <c r="AA698" s="19" t="s">
        <v>1663</v>
      </c>
      <c r="AB698" s="19" t="s">
        <v>1663</v>
      </c>
    </row>
    <row r="699" spans="1:28" s="18" customFormat="1">
      <c r="A699" s="40" t="s">
        <v>2152</v>
      </c>
      <c r="B699" s="40" t="s">
        <v>1806</v>
      </c>
      <c r="C699" s="40" t="s">
        <v>2150</v>
      </c>
      <c r="D699" s="40" t="s">
        <v>2151</v>
      </c>
      <c r="E699" s="41" t="s">
        <v>18</v>
      </c>
      <c r="F699" s="18" t="s">
        <v>13</v>
      </c>
      <c r="G699" s="29"/>
      <c r="H699" s="32" t="str">
        <f>IF(Prueba[[#This Row],[Cant.]]=0,"",IF(OR(Prueba[[#This Row],[Cant.2]]="",Prueba[[#This Row],[Puesto2]]=""),"?",Prueba[[#This Row],[Puesto2]]))</f>
        <v/>
      </c>
      <c r="I699" s="31"/>
      <c r="J699" s="32"/>
      <c r="K699" s="14"/>
      <c r="L699" s="14"/>
      <c r="M699" s="31">
        <v>1</v>
      </c>
      <c r="N699" s="32" t="str">
        <f>IF(Prueba[[#This Row],[Cant.4]]=0,"",IF(OR(Prueba[[#This Row],[Cant.6]]="",Prueba[[#This Row],[Puesto6]]=""),"?",Prueba[[#This Row],[Puesto6]]))</f>
        <v>C</v>
      </c>
      <c r="O699" s="31">
        <v>1</v>
      </c>
      <c r="P699" s="32" t="str">
        <f>IF(Prueba[[#This Row],[Cant.5]]=0,"",IF(OR(Prueba[[#This Row],[Cant.6]]="",Prueba[[#This Row],[Puesto6]]=""),"?",Prueba[[#This Row],[Puesto6]]))</f>
        <v>C</v>
      </c>
      <c r="Q699" s="44">
        <v>1</v>
      </c>
      <c r="R699" s="45" t="s">
        <v>1402</v>
      </c>
      <c r="S699" s="14">
        <v>1</v>
      </c>
      <c r="T699" s="14" t="s">
        <v>1402</v>
      </c>
      <c r="U699" s="31"/>
      <c r="V699" s="32" t="s">
        <v>1663</v>
      </c>
      <c r="W699" s="19"/>
      <c r="X699" s="19" t="s">
        <v>1667</v>
      </c>
      <c r="Y699" s="19" t="s">
        <v>1663</v>
      </c>
      <c r="Z699" s="19" t="s">
        <v>1663</v>
      </c>
      <c r="AA699" s="19" t="s">
        <v>1663</v>
      </c>
      <c r="AB699" s="19" t="s">
        <v>1663</v>
      </c>
    </row>
    <row r="700" spans="1:28" s="18" customFormat="1">
      <c r="A700" s="40" t="s">
        <v>2153</v>
      </c>
      <c r="B700" s="40" t="s">
        <v>1806</v>
      </c>
      <c r="C700" s="40" t="s">
        <v>2150</v>
      </c>
      <c r="D700" s="40" t="s">
        <v>2151</v>
      </c>
      <c r="E700" s="41" t="s">
        <v>18</v>
      </c>
      <c r="F700" s="18" t="s">
        <v>13</v>
      </c>
      <c r="G700" s="29"/>
      <c r="H700" s="32" t="str">
        <f>IF(Prueba[[#This Row],[Cant.]]=0,"",IF(OR(Prueba[[#This Row],[Cant.2]]="",Prueba[[#This Row],[Puesto2]]=""),"?",Prueba[[#This Row],[Puesto2]]))</f>
        <v/>
      </c>
      <c r="I700" s="31"/>
      <c r="J700" s="32"/>
      <c r="K700" s="14"/>
      <c r="L700" s="14"/>
      <c r="M700" s="31">
        <v>1</v>
      </c>
      <c r="N700" s="32" t="str">
        <f>IF(Prueba[[#This Row],[Cant.4]]=0,"",IF(OR(Prueba[[#This Row],[Cant.6]]="",Prueba[[#This Row],[Puesto6]]=""),"?",Prueba[[#This Row],[Puesto6]]))</f>
        <v>C</v>
      </c>
      <c r="O700" s="31">
        <v>1</v>
      </c>
      <c r="P700" s="32" t="str">
        <f>IF(Prueba[[#This Row],[Cant.5]]=0,"",IF(OR(Prueba[[#This Row],[Cant.6]]="",Prueba[[#This Row],[Puesto6]]=""),"?",Prueba[[#This Row],[Puesto6]]))</f>
        <v>C</v>
      </c>
      <c r="Q700" s="44">
        <v>1</v>
      </c>
      <c r="R700" s="45" t="s">
        <v>1402</v>
      </c>
      <c r="S700" s="14">
        <v>1</v>
      </c>
      <c r="T700" s="14" t="s">
        <v>1402</v>
      </c>
      <c r="U700" s="31"/>
      <c r="V700" s="32" t="s">
        <v>1663</v>
      </c>
      <c r="W700" s="19"/>
      <c r="X700" s="19" t="s">
        <v>1667</v>
      </c>
      <c r="Y700" s="19" t="s">
        <v>1663</v>
      </c>
      <c r="Z700" s="19" t="s">
        <v>1663</v>
      </c>
      <c r="AA700" s="19" t="s">
        <v>1663</v>
      </c>
      <c r="AB700" s="19" t="s">
        <v>1663</v>
      </c>
    </row>
    <row r="701" spans="1:28" s="18" customFormat="1">
      <c r="A701" s="18" t="s">
        <v>2154</v>
      </c>
      <c r="C701" s="18" t="s">
        <v>1928</v>
      </c>
      <c r="D701" s="18" t="s">
        <v>1928</v>
      </c>
      <c r="E701" s="19" t="s">
        <v>22</v>
      </c>
      <c r="G701" s="29"/>
      <c r="H701" s="32" t="str">
        <f>IF(Prueba[[#This Row],[Cant.]]=0,"",IF(OR(Prueba[[#This Row],[Cant.2]]="",Prueba[[#This Row],[Puesto2]]=""),"?",Prueba[[#This Row],[Puesto2]]))</f>
        <v/>
      </c>
      <c r="I701" s="31"/>
      <c r="J701" s="32"/>
      <c r="K701" s="14"/>
      <c r="L701" s="14"/>
      <c r="M701" s="31"/>
      <c r="N701" s="32" t="str">
        <f>IF(Prueba[[#This Row],[Cant.4]]=0,"",IF(OR(Prueba[[#This Row],[Cant.6]]="",Prueba[[#This Row],[Puesto6]]=""),"?",Prueba[[#This Row],[Puesto6]]))</f>
        <v/>
      </c>
      <c r="O701" s="31"/>
      <c r="P701" s="32" t="str">
        <f>IF(Prueba[[#This Row],[Cant.5]]=0,"",IF(OR(Prueba[[#This Row],[Cant.6]]="",Prueba[[#This Row],[Puesto6]]=""),"?",Prueba[[#This Row],[Puesto6]]))</f>
        <v/>
      </c>
      <c r="Q701" s="31"/>
      <c r="R701" s="32"/>
      <c r="S701" s="14"/>
      <c r="T701" s="14"/>
      <c r="U701" s="31"/>
      <c r="V701" s="32" t="s">
        <v>1663</v>
      </c>
      <c r="W701" s="19">
        <v>16</v>
      </c>
      <c r="X701" s="19" t="s">
        <v>1664</v>
      </c>
      <c r="Y701" s="19">
        <v>2</v>
      </c>
      <c r="Z701" s="19" t="s">
        <v>1402</v>
      </c>
      <c r="AA701" s="19">
        <v>2</v>
      </c>
      <c r="AB701" s="19" t="s">
        <v>1402</v>
      </c>
    </row>
    <row r="702" spans="1:28" s="18" customFormat="1">
      <c r="A702" s="18" t="s">
        <v>1465</v>
      </c>
      <c r="B702" s="18" t="s">
        <v>9</v>
      </c>
      <c r="C702" s="18" t="s">
        <v>2155</v>
      </c>
      <c r="D702" s="18" t="s">
        <v>2156</v>
      </c>
      <c r="E702" s="19" t="s">
        <v>1815</v>
      </c>
      <c r="F702" s="18" t="s">
        <v>13</v>
      </c>
      <c r="G702" s="29"/>
      <c r="H702" s="32" t="str">
        <f>IF(Prueba[[#This Row],[Cant.]]=0,"",IF(OR(Prueba[[#This Row],[Cant.2]]="",Prueba[[#This Row],[Puesto2]]=""),"?",Prueba[[#This Row],[Puesto2]]))</f>
        <v/>
      </c>
      <c r="I702" s="31"/>
      <c r="J702" s="32"/>
      <c r="K702" s="14"/>
      <c r="L702" s="14"/>
      <c r="M702" s="31"/>
      <c r="N702" s="32" t="str">
        <f>IF(Prueba[[#This Row],[Cant.4]]=0,"",IF(OR(Prueba[[#This Row],[Cant.6]]="",Prueba[[#This Row],[Puesto6]]=""),"?",Prueba[[#This Row],[Puesto6]]))</f>
        <v/>
      </c>
      <c r="O702" s="31"/>
      <c r="P702" s="32" t="str">
        <f>IF(Prueba[[#This Row],[Cant.5]]=0,"",IF(OR(Prueba[[#This Row],[Cant.6]]="",Prueba[[#This Row],[Puesto6]]=""),"?",Prueba[[#This Row],[Puesto6]]))</f>
        <v/>
      </c>
      <c r="Q702" s="31"/>
      <c r="R702" s="32"/>
      <c r="S702" s="14"/>
      <c r="T702" s="14"/>
      <c r="U702" s="31">
        <v>4</v>
      </c>
      <c r="V702" s="32">
        <v>6</v>
      </c>
      <c r="W702" s="19"/>
      <c r="X702" s="19" t="s">
        <v>1667</v>
      </c>
      <c r="Y702" s="19" t="s">
        <v>1663</v>
      </c>
      <c r="Z702" s="19" t="s">
        <v>1663</v>
      </c>
      <c r="AA702" s="19" t="s">
        <v>1663</v>
      </c>
      <c r="AB702" s="19" t="s">
        <v>1663</v>
      </c>
    </row>
    <row r="703" spans="1:28" s="18" customFormat="1">
      <c r="A703" s="18" t="s">
        <v>2157</v>
      </c>
      <c r="B703" s="18" t="s">
        <v>1806</v>
      </c>
      <c r="C703" s="18" t="s">
        <v>2158</v>
      </c>
      <c r="D703" s="18" t="s">
        <v>2151</v>
      </c>
      <c r="E703" s="19" t="s">
        <v>1815</v>
      </c>
      <c r="F703" s="18" t="s">
        <v>13</v>
      </c>
      <c r="G703" s="29"/>
      <c r="H703" s="32" t="str">
        <f>IF(Prueba[[#This Row],[Cant.]]=0,"",IF(OR(Prueba[[#This Row],[Cant.2]]="",Prueba[[#This Row],[Puesto2]]=""),"?",Prueba[[#This Row],[Puesto2]]))</f>
        <v/>
      </c>
      <c r="I703" s="31"/>
      <c r="J703" s="32"/>
      <c r="K703" s="14"/>
      <c r="L703" s="14"/>
      <c r="M703" s="31"/>
      <c r="N703" s="32" t="str">
        <f>IF(Prueba[[#This Row],[Cant.4]]=0,"",IF(OR(Prueba[[#This Row],[Cant.6]]="",Prueba[[#This Row],[Puesto6]]=""),"?",Prueba[[#This Row],[Puesto6]]))</f>
        <v/>
      </c>
      <c r="O703" s="31">
        <v>1</v>
      </c>
      <c r="P703" s="32" t="s">
        <v>1402</v>
      </c>
      <c r="Q703" s="31"/>
      <c r="R703" s="32"/>
      <c r="S703" s="14"/>
      <c r="T703" s="14"/>
      <c r="U703" s="31"/>
      <c r="V703" s="32" t="s">
        <v>1663</v>
      </c>
      <c r="W703" s="19"/>
      <c r="X703" s="19" t="s">
        <v>1667</v>
      </c>
      <c r="Y703" s="19" t="s">
        <v>1663</v>
      </c>
      <c r="Z703" s="19" t="s">
        <v>1663</v>
      </c>
      <c r="AA703" s="19" t="s">
        <v>1663</v>
      </c>
      <c r="AB703" s="19" t="s">
        <v>1663</v>
      </c>
    </row>
    <row r="704" spans="1:28" s="18" customFormat="1">
      <c r="A704" s="18" t="s">
        <v>1133</v>
      </c>
      <c r="B704" s="18" t="s">
        <v>9</v>
      </c>
      <c r="C704" s="18" t="s">
        <v>1134</v>
      </c>
      <c r="D704" s="18" t="s">
        <v>1134</v>
      </c>
      <c r="E704" s="19" t="s">
        <v>22</v>
      </c>
      <c r="F704" s="18" t="s">
        <v>13</v>
      </c>
      <c r="G704" s="29"/>
      <c r="H704" s="32" t="str">
        <f>IF(Prueba[[#This Row],[Cant.]]=0,"",IF(OR(Prueba[[#This Row],[Cant.2]]="",Prueba[[#This Row],[Puesto2]]=""),"?",Prueba[[#This Row],[Puesto2]]))</f>
        <v/>
      </c>
      <c r="I704" s="31"/>
      <c r="J704" s="32"/>
      <c r="K704" s="14">
        <v>2</v>
      </c>
      <c r="L704" s="14"/>
      <c r="M704" s="31">
        <v>4</v>
      </c>
      <c r="N704" s="32" t="str">
        <f>IF(Prueba[[#This Row],[Cant.4]]=0,"",IF(OR(Prueba[[#This Row],[Cant.6]]="",Prueba[[#This Row],[Puesto6]]=""),"?",Prueba[[#This Row],[Puesto6]]))</f>
        <v>C</v>
      </c>
      <c r="O704" s="31">
        <v>2</v>
      </c>
      <c r="P704" s="32" t="str">
        <f>IF(Prueba[[#This Row],[Cant.5]]=0,"",IF(OR(Prueba[[#This Row],[Cant.6]]="",Prueba[[#This Row],[Puesto6]]=""),"?",Prueba[[#This Row],[Puesto6]]))</f>
        <v>C</v>
      </c>
      <c r="Q704" s="31">
        <v>4</v>
      </c>
      <c r="R704" s="32" t="s">
        <v>1402</v>
      </c>
      <c r="S704" s="14">
        <v>2</v>
      </c>
      <c r="T704" s="14" t="s">
        <v>1402</v>
      </c>
      <c r="U704" s="31">
        <v>2</v>
      </c>
      <c r="V704" s="32" t="s">
        <v>1402</v>
      </c>
      <c r="W704" s="19">
        <v>32</v>
      </c>
      <c r="X704" s="19" t="s">
        <v>1664</v>
      </c>
      <c r="Y704" s="19" t="s">
        <v>1663</v>
      </c>
      <c r="Z704" s="19" t="s">
        <v>1663</v>
      </c>
      <c r="AA704" s="19" t="s">
        <v>1663</v>
      </c>
      <c r="AB704" s="19" t="s">
        <v>1663</v>
      </c>
    </row>
    <row r="705" spans="1:28" s="18" customFormat="1">
      <c r="A705" s="18" t="s">
        <v>2159</v>
      </c>
      <c r="B705" s="18" t="s">
        <v>1806</v>
      </c>
      <c r="C705" s="18" t="s">
        <v>2160</v>
      </c>
      <c r="D705" s="18" t="s">
        <v>2146</v>
      </c>
      <c r="E705" s="19" t="s">
        <v>1733</v>
      </c>
      <c r="F705" s="18" t="s">
        <v>13</v>
      </c>
      <c r="G705" s="29"/>
      <c r="H705" s="32" t="str">
        <f>IF(Prueba[[#This Row],[Cant.]]=0,"",IF(OR(Prueba[[#This Row],[Cant.2]]="",Prueba[[#This Row],[Puesto2]]=""),"?",Prueba[[#This Row],[Puesto2]]))</f>
        <v/>
      </c>
      <c r="I705" s="31"/>
      <c r="J705" s="32"/>
      <c r="K705" s="14"/>
      <c r="L705" s="14"/>
      <c r="M705" s="31">
        <v>2</v>
      </c>
      <c r="N705" s="32" t="str">
        <f>IF(Prueba[[#This Row],[Cant.4]]=0,"",IF(OR(Prueba[[#This Row],[Cant.6]]="",Prueba[[#This Row],[Puesto6]]=""),"?",Prueba[[#This Row],[Puesto6]]))</f>
        <v>C</v>
      </c>
      <c r="O705" s="31"/>
      <c r="P705" s="32"/>
      <c r="Q705" s="31">
        <v>2</v>
      </c>
      <c r="R705" s="32" t="s">
        <v>1402</v>
      </c>
      <c r="S705" s="14"/>
      <c r="T705" s="14"/>
      <c r="U705" s="31"/>
      <c r="V705" s="32" t="s">
        <v>1663</v>
      </c>
      <c r="W705" s="19">
        <v>16</v>
      </c>
      <c r="X705" s="19" t="s">
        <v>1664</v>
      </c>
      <c r="Y705" s="19" t="s">
        <v>1663</v>
      </c>
      <c r="Z705" s="19" t="s">
        <v>1663</v>
      </c>
      <c r="AA705" s="19" t="s">
        <v>1663</v>
      </c>
      <c r="AB705" s="19" t="s">
        <v>1663</v>
      </c>
    </row>
    <row r="706" spans="1:28" s="18" customFormat="1">
      <c r="A706" s="18" t="s">
        <v>2161</v>
      </c>
      <c r="B706" s="18" t="s">
        <v>9</v>
      </c>
      <c r="C706" s="18" t="s">
        <v>2160</v>
      </c>
      <c r="D706" s="18" t="s">
        <v>2146</v>
      </c>
      <c r="E706" s="19" t="s">
        <v>1733</v>
      </c>
      <c r="F706" s="18" t="s">
        <v>13</v>
      </c>
      <c r="G706" s="29"/>
      <c r="H706" s="32" t="str">
        <f>IF(Prueba[[#This Row],[Cant.]]=0,"",IF(OR(Prueba[[#This Row],[Cant.2]]="",Prueba[[#This Row],[Puesto2]]=""),"?",Prueba[[#This Row],[Puesto2]]))</f>
        <v/>
      </c>
      <c r="I706" s="31"/>
      <c r="J706" s="32"/>
      <c r="K706" s="14"/>
      <c r="L706" s="14"/>
      <c r="M706" s="31"/>
      <c r="N706" s="32" t="str">
        <f>IF(Prueba[[#This Row],[Cant.4]]=0,"",IF(OR(Prueba[[#This Row],[Cant.6]]="",Prueba[[#This Row],[Puesto6]]=""),"?",Prueba[[#This Row],[Puesto6]]))</f>
        <v/>
      </c>
      <c r="O706" s="31"/>
      <c r="P706" s="32" t="str">
        <f>IF(Prueba[[#This Row],[Cant.5]]=0,"",IF(OR(Prueba[[#This Row],[Cant.6]]="",Prueba[[#This Row],[Puesto6]]=""),"?",Prueba[[#This Row],[Puesto6]]))</f>
        <v/>
      </c>
      <c r="Q706" s="31"/>
      <c r="R706" s="32"/>
      <c r="S706" s="14"/>
      <c r="T706" s="14"/>
      <c r="U706" s="104"/>
      <c r="V706" s="105" t="s">
        <v>1663</v>
      </c>
      <c r="W706" s="19"/>
      <c r="X706" s="19" t="s">
        <v>1664</v>
      </c>
      <c r="Y706" s="19" t="s">
        <v>1663</v>
      </c>
      <c r="Z706" s="19" t="s">
        <v>1663</v>
      </c>
      <c r="AA706" s="19" t="s">
        <v>1663</v>
      </c>
      <c r="AB706" s="19" t="s">
        <v>1663</v>
      </c>
    </row>
    <row r="707" spans="1:28" s="18" customFormat="1">
      <c r="A707" s="18" t="s">
        <v>1135</v>
      </c>
      <c r="B707" s="18" t="s">
        <v>9</v>
      </c>
      <c r="C707" s="18" t="s">
        <v>905</v>
      </c>
      <c r="D707" s="18" t="s">
        <v>905</v>
      </c>
      <c r="E707" s="19" t="s">
        <v>22</v>
      </c>
      <c r="F707" s="18" t="s">
        <v>13</v>
      </c>
      <c r="G707" s="29"/>
      <c r="H707" s="32" t="str">
        <f>IF(Prueba[[#This Row],[Cant.]]=0,"",IF(OR(Prueba[[#This Row],[Cant.2]]="",Prueba[[#This Row],[Puesto2]]=""),"?",Prueba[[#This Row],[Puesto2]]))</f>
        <v/>
      </c>
      <c r="I707" s="31"/>
      <c r="J707" s="32"/>
      <c r="K707" s="14">
        <v>2</v>
      </c>
      <c r="L707" s="14"/>
      <c r="M707" s="31">
        <v>4</v>
      </c>
      <c r="N707" s="32" t="str">
        <f>IF(Prueba[[#This Row],[Cant.4]]=0,"",IF(OR(Prueba[[#This Row],[Cant.6]]="",Prueba[[#This Row],[Puesto6]]=""),"?",Prueba[[#This Row],[Puesto6]]))</f>
        <v>C</v>
      </c>
      <c r="O707" s="31">
        <v>2</v>
      </c>
      <c r="P707" s="32" t="str">
        <f>IF(Prueba[[#This Row],[Cant.5]]=0,"",IF(OR(Prueba[[#This Row],[Cant.6]]="",Prueba[[#This Row],[Puesto6]]=""),"?",Prueba[[#This Row],[Puesto6]]))</f>
        <v>C</v>
      </c>
      <c r="Q707" s="31">
        <v>4</v>
      </c>
      <c r="R707" s="32" t="s">
        <v>1402</v>
      </c>
      <c r="S707" s="14">
        <v>2</v>
      </c>
      <c r="T707" s="14" t="s">
        <v>1402</v>
      </c>
      <c r="U707" s="31">
        <v>2</v>
      </c>
      <c r="V707" s="32" t="s">
        <v>1402</v>
      </c>
      <c r="W707" s="19">
        <v>32</v>
      </c>
      <c r="X707" s="19" t="s">
        <v>1664</v>
      </c>
      <c r="Y707" s="19" t="s">
        <v>1663</v>
      </c>
      <c r="Z707" s="19" t="s">
        <v>1663</v>
      </c>
      <c r="AA707" s="19" t="s">
        <v>1663</v>
      </c>
      <c r="AB707" s="19" t="s">
        <v>1663</v>
      </c>
    </row>
    <row r="708" spans="1:28" s="18" customFormat="1">
      <c r="A708" s="18" t="s">
        <v>1136</v>
      </c>
      <c r="B708" s="18" t="s">
        <v>9</v>
      </c>
      <c r="C708" s="18" t="s">
        <v>753</v>
      </c>
      <c r="D708" s="18" t="s">
        <v>902</v>
      </c>
      <c r="E708" s="19" t="s">
        <v>22</v>
      </c>
      <c r="F708" s="18" t="s">
        <v>13</v>
      </c>
      <c r="G708" s="29"/>
      <c r="H708" s="32" t="str">
        <f>IF(Prueba[[#This Row],[Cant.]]=0,"",IF(OR(Prueba[[#This Row],[Cant.2]]="",Prueba[[#This Row],[Puesto2]]=""),"?",Prueba[[#This Row],[Puesto2]]))</f>
        <v/>
      </c>
      <c r="I708" s="31"/>
      <c r="J708" s="32"/>
      <c r="K708" s="14">
        <v>2</v>
      </c>
      <c r="L708" s="14">
        <v>6</v>
      </c>
      <c r="M708" s="31">
        <v>2</v>
      </c>
      <c r="N708" s="32">
        <f>IF(Prueba[[#This Row],[Cant.4]]=0,"",IF(OR(Prueba[[#This Row],[Cant.6]]="",Prueba[[#This Row],[Puesto6]]=""),"?",Prueba[[#This Row],[Puesto6]]))</f>
        <v>6</v>
      </c>
      <c r="O708" s="31">
        <v>2</v>
      </c>
      <c r="P708" s="32">
        <f>IF(Prueba[[#This Row],[Cant.5]]=0,"",IF(OR(Prueba[[#This Row],[Cant.6]]="",Prueba[[#This Row],[Puesto6]]=""),"?",Prueba[[#This Row],[Puesto6]]))</f>
        <v>6</v>
      </c>
      <c r="Q708" s="31">
        <v>2</v>
      </c>
      <c r="R708" s="32">
        <v>6</v>
      </c>
      <c r="S708" s="14">
        <v>2</v>
      </c>
      <c r="T708" s="14">
        <v>6</v>
      </c>
      <c r="U708" s="31"/>
      <c r="V708" s="32" t="s">
        <v>1663</v>
      </c>
      <c r="W708" s="19">
        <v>64</v>
      </c>
      <c r="X708" s="19" t="s">
        <v>1664</v>
      </c>
      <c r="Y708" s="19" t="s">
        <v>1663</v>
      </c>
      <c r="Z708" s="19" t="s">
        <v>1663</v>
      </c>
      <c r="AA708" s="19" t="s">
        <v>1663</v>
      </c>
      <c r="AB708" s="19" t="s">
        <v>1663</v>
      </c>
    </row>
    <row r="709" spans="1:28" s="18" customFormat="1">
      <c r="A709" s="18" t="s">
        <v>1137</v>
      </c>
      <c r="B709" s="18" t="s">
        <v>9</v>
      </c>
      <c r="C709" s="18" t="s">
        <v>1138</v>
      </c>
      <c r="D709" s="18" t="s">
        <v>1139</v>
      </c>
      <c r="E709" s="19" t="s">
        <v>12</v>
      </c>
      <c r="F709" s="18" t="s">
        <v>13</v>
      </c>
      <c r="G709" s="29"/>
      <c r="H709" s="32" t="str">
        <f>IF(Prueba[[#This Row],[Cant.]]=0,"",IF(OR(Prueba[[#This Row],[Cant.2]]="",Prueba[[#This Row],[Puesto2]]=""),"?",Prueba[[#This Row],[Puesto2]]))</f>
        <v/>
      </c>
      <c r="I709" s="31"/>
      <c r="J709" s="32"/>
      <c r="K709" s="14">
        <v>1</v>
      </c>
      <c r="L709" s="14"/>
      <c r="M709" s="31">
        <v>1</v>
      </c>
      <c r="N709" s="32">
        <f>IF(Prueba[[#This Row],[Cant.4]]=0,"",IF(OR(Prueba[[#This Row],[Cant.6]]="",Prueba[[#This Row],[Puesto6]]=""),"?",Prueba[[#This Row],[Puesto6]]))</f>
        <v>5</v>
      </c>
      <c r="O709" s="31">
        <v>1</v>
      </c>
      <c r="P709" s="32">
        <f>IF(Prueba[[#This Row],[Cant.5]]=0,"",IF(OR(Prueba[[#This Row],[Cant.6]]="",Prueba[[#This Row],[Puesto6]]=""),"?",Prueba[[#This Row],[Puesto6]]))</f>
        <v>5</v>
      </c>
      <c r="Q709" s="31">
        <v>1</v>
      </c>
      <c r="R709" s="32">
        <v>5</v>
      </c>
      <c r="S709" s="14">
        <v>1</v>
      </c>
      <c r="T709" s="14">
        <v>5</v>
      </c>
      <c r="U709" s="31"/>
      <c r="V709" s="32" t="s">
        <v>1663</v>
      </c>
      <c r="W709" s="19"/>
      <c r="X709" s="19" t="s">
        <v>1667</v>
      </c>
      <c r="Y709" s="19" t="s">
        <v>1663</v>
      </c>
      <c r="Z709" s="19" t="s">
        <v>1663</v>
      </c>
      <c r="AA709" s="19" t="s">
        <v>1663</v>
      </c>
      <c r="AB709" s="19" t="s">
        <v>1663</v>
      </c>
    </row>
    <row r="710" spans="1:28" s="18" customFormat="1">
      <c r="A710" s="18" t="s">
        <v>1467</v>
      </c>
      <c r="B710" s="18" t="s">
        <v>9</v>
      </c>
      <c r="C710" s="18" t="s">
        <v>2061</v>
      </c>
      <c r="D710" s="18" t="s">
        <v>1866</v>
      </c>
      <c r="E710" s="19" t="s">
        <v>1733</v>
      </c>
      <c r="F710" s="18" t="s">
        <v>13</v>
      </c>
      <c r="G710" s="29"/>
      <c r="H710" s="32" t="str">
        <f>IF(Prueba[[#This Row],[Cant.]]=0,"",IF(OR(Prueba[[#This Row],[Cant.2]]="",Prueba[[#This Row],[Puesto2]]=""),"?",Prueba[[#This Row],[Puesto2]]))</f>
        <v/>
      </c>
      <c r="I710" s="31"/>
      <c r="J710" s="32"/>
      <c r="K710" s="14"/>
      <c r="L710" s="14"/>
      <c r="M710" s="31"/>
      <c r="N710" s="32" t="str">
        <f>IF(Prueba[[#This Row],[Cant.4]]=0,"",IF(OR(Prueba[[#This Row],[Cant.6]]="",Prueba[[#This Row],[Puesto6]]=""),"?",Prueba[[#This Row],[Puesto6]]))</f>
        <v/>
      </c>
      <c r="O710" s="31"/>
      <c r="P710" s="32" t="str">
        <f>IF(Prueba[[#This Row],[Cant.5]]=0,"",IF(OR(Prueba[[#This Row],[Cant.6]]="",Prueba[[#This Row],[Puesto6]]=""),"?",Prueba[[#This Row],[Puesto6]]))</f>
        <v/>
      </c>
      <c r="Q710" s="31"/>
      <c r="R710" s="32"/>
      <c r="S710" s="14"/>
      <c r="T710" s="14"/>
      <c r="U710" s="31">
        <v>2</v>
      </c>
      <c r="V710" s="32">
        <v>6</v>
      </c>
      <c r="W710" s="19">
        <v>16</v>
      </c>
      <c r="X710" s="19" t="s">
        <v>1664</v>
      </c>
      <c r="Y710" s="19" t="s">
        <v>1663</v>
      </c>
      <c r="Z710" s="19" t="s">
        <v>1663</v>
      </c>
      <c r="AA710" s="19" t="s">
        <v>1663</v>
      </c>
      <c r="AB710" s="19" t="s">
        <v>1663</v>
      </c>
    </row>
    <row r="711" spans="1:28" s="18" customFormat="1">
      <c r="A711" s="18" t="s">
        <v>1140</v>
      </c>
      <c r="B711" s="18" t="s">
        <v>9</v>
      </c>
      <c r="C711" s="18" t="s">
        <v>1141</v>
      </c>
      <c r="D711" s="18" t="s">
        <v>1141</v>
      </c>
      <c r="E711" s="19" t="s">
        <v>308</v>
      </c>
      <c r="F711" s="18" t="s">
        <v>13</v>
      </c>
      <c r="G711" s="29"/>
      <c r="H711" s="32" t="str">
        <f>IF(Prueba[[#This Row],[Cant.]]=0,"",IF(OR(Prueba[[#This Row],[Cant.2]]="",Prueba[[#This Row],[Puesto2]]=""),"?",Prueba[[#This Row],[Puesto2]]))</f>
        <v/>
      </c>
      <c r="I711" s="31"/>
      <c r="J711" s="32"/>
      <c r="K711" s="14">
        <v>1</v>
      </c>
      <c r="L711" s="14"/>
      <c r="M711" s="31">
        <v>1</v>
      </c>
      <c r="N711" s="32">
        <f>IF(Prueba[[#This Row],[Cant.4]]=0,"",IF(OR(Prueba[[#This Row],[Cant.6]]="",Prueba[[#This Row],[Puesto6]]=""),"?",Prueba[[#This Row],[Puesto6]]))</f>
        <v>6</v>
      </c>
      <c r="O711" s="31">
        <v>1</v>
      </c>
      <c r="P711" s="32">
        <f>IF(Prueba[[#This Row],[Cant.5]]=0,"",IF(OR(Prueba[[#This Row],[Cant.6]]="",Prueba[[#This Row],[Puesto6]]=""),"?",Prueba[[#This Row],[Puesto6]]))</f>
        <v>6</v>
      </c>
      <c r="Q711" s="31">
        <v>1</v>
      </c>
      <c r="R711" s="32">
        <v>6</v>
      </c>
      <c r="S711" s="14">
        <v>1</v>
      </c>
      <c r="T711" s="14">
        <v>6</v>
      </c>
      <c r="U711" s="31"/>
      <c r="V711" s="32" t="s">
        <v>1663</v>
      </c>
      <c r="W711" s="19"/>
      <c r="X711" s="19" t="s">
        <v>1667</v>
      </c>
      <c r="Y711" s="19" t="s">
        <v>1663</v>
      </c>
      <c r="Z711" s="19" t="s">
        <v>1663</v>
      </c>
      <c r="AA711" s="19" t="s">
        <v>1663</v>
      </c>
      <c r="AB711" s="19" t="s">
        <v>1663</v>
      </c>
    </row>
    <row r="712" spans="1:28" s="18" customFormat="1">
      <c r="A712" s="18" t="s">
        <v>1368</v>
      </c>
      <c r="B712" s="18" t="s">
        <v>9</v>
      </c>
      <c r="C712" s="18" t="s">
        <v>1369</v>
      </c>
      <c r="D712" s="18" t="s">
        <v>984</v>
      </c>
      <c r="E712" s="19" t="s">
        <v>18</v>
      </c>
      <c r="F712" s="18" t="s">
        <v>13</v>
      </c>
      <c r="G712" s="29"/>
      <c r="H712" s="32" t="str">
        <f>IF(Prueba[[#This Row],[Cant.]]=0,"",IF(OR(Prueba[[#This Row],[Cant.2]]="",Prueba[[#This Row],[Puesto2]]=""),"?",Prueba[[#This Row],[Puesto2]]))</f>
        <v/>
      </c>
      <c r="I712" s="31"/>
      <c r="J712" s="32"/>
      <c r="K712" s="14">
        <v>1</v>
      </c>
      <c r="L712" s="14"/>
      <c r="M712" s="31">
        <v>1</v>
      </c>
      <c r="N712" s="32" t="str">
        <f>IF(Prueba[[#This Row],[Cant.4]]=0,"",IF(OR(Prueba[[#This Row],[Cant.6]]="",Prueba[[#This Row],[Puesto6]]=""),"?",Prueba[[#This Row],[Puesto6]]))</f>
        <v>C</v>
      </c>
      <c r="O712" s="31"/>
      <c r="P712" s="32"/>
      <c r="Q712" s="31">
        <v>1</v>
      </c>
      <c r="R712" s="32" t="s">
        <v>1402</v>
      </c>
      <c r="S712" s="14">
        <v>1</v>
      </c>
      <c r="T712" s="14" t="s">
        <v>1402</v>
      </c>
      <c r="U712" s="31"/>
      <c r="V712" s="32" t="s">
        <v>1663</v>
      </c>
      <c r="W712" s="19"/>
      <c r="X712" s="19" t="s">
        <v>1667</v>
      </c>
      <c r="Y712" s="19" t="s">
        <v>1663</v>
      </c>
      <c r="Z712" s="19" t="s">
        <v>1663</v>
      </c>
      <c r="AA712" s="19" t="s">
        <v>1663</v>
      </c>
      <c r="AB712" s="19" t="s">
        <v>1663</v>
      </c>
    </row>
    <row r="713" spans="1:28" s="18" customFormat="1">
      <c r="A713" s="18" t="s">
        <v>1468</v>
      </c>
      <c r="B713" s="18" t="s">
        <v>9</v>
      </c>
      <c r="C713" s="18" t="s">
        <v>1683</v>
      </c>
      <c r="D713" s="18" t="s">
        <v>1890</v>
      </c>
      <c r="E713" s="19" t="s">
        <v>1340</v>
      </c>
      <c r="F713" s="18" t="s">
        <v>13</v>
      </c>
      <c r="G713" s="29"/>
      <c r="H713" s="32" t="str">
        <f>IF(Prueba[[#This Row],[Cant.]]=0,"",IF(OR(Prueba[[#This Row],[Cant.2]]="",Prueba[[#This Row],[Puesto2]]=""),"?",Prueba[[#This Row],[Puesto2]]))</f>
        <v/>
      </c>
      <c r="I713" s="31"/>
      <c r="J713" s="32"/>
      <c r="K713" s="14"/>
      <c r="L713" s="14"/>
      <c r="M713" s="31"/>
      <c r="N713" s="32" t="str">
        <f>IF(Prueba[[#This Row],[Cant.4]]=0,"",IF(OR(Prueba[[#This Row],[Cant.6]]="",Prueba[[#This Row],[Puesto6]]=""),"?",Prueba[[#This Row],[Puesto6]]))</f>
        <v/>
      </c>
      <c r="O713" s="31"/>
      <c r="P713" s="32" t="str">
        <f>IF(Prueba[[#This Row],[Cant.5]]=0,"",IF(OR(Prueba[[#This Row],[Cant.6]]="",Prueba[[#This Row],[Puesto6]]=""),"?",Prueba[[#This Row],[Puesto6]]))</f>
        <v/>
      </c>
      <c r="Q713" s="31"/>
      <c r="R713" s="32"/>
      <c r="S713" s="14"/>
      <c r="T713" s="14"/>
      <c r="U713" s="31">
        <v>1</v>
      </c>
      <c r="V713" s="32">
        <v>5</v>
      </c>
      <c r="W713" s="19"/>
      <c r="X713" s="19" t="s">
        <v>1667</v>
      </c>
      <c r="Y713" s="19" t="s">
        <v>1663</v>
      </c>
      <c r="Z713" s="19" t="s">
        <v>1663</v>
      </c>
      <c r="AA713" s="19" t="s">
        <v>1663</v>
      </c>
      <c r="AB713" s="19" t="s">
        <v>1663</v>
      </c>
    </row>
    <row r="714" spans="1:28" s="18" customFormat="1">
      <c r="A714" s="18" t="s">
        <v>2162</v>
      </c>
      <c r="C714" s="18" t="s">
        <v>2163</v>
      </c>
      <c r="D714" s="18" t="s">
        <v>2163</v>
      </c>
      <c r="E714" s="19" t="s">
        <v>1815</v>
      </c>
      <c r="F714" s="18" t="s">
        <v>13</v>
      </c>
      <c r="G714" s="29"/>
      <c r="H714" s="32" t="str">
        <f>IF(Prueba[[#This Row],[Cant.]]=0,"",IF(OR(Prueba[[#This Row],[Cant.2]]="",Prueba[[#This Row],[Puesto2]]=""),"?",Prueba[[#This Row],[Puesto2]]))</f>
        <v/>
      </c>
      <c r="I714" s="31"/>
      <c r="J714" s="32"/>
      <c r="K714" s="14"/>
      <c r="L714" s="14"/>
      <c r="M714" s="31"/>
      <c r="N714" s="32" t="str">
        <f>IF(Prueba[[#This Row],[Cant.4]]=0,"",IF(OR(Prueba[[#This Row],[Cant.6]]="",Prueba[[#This Row],[Puesto6]]=""),"?",Prueba[[#This Row],[Puesto6]]))</f>
        <v/>
      </c>
      <c r="O714" s="31"/>
      <c r="P714" s="32" t="str">
        <f>IF(Prueba[[#This Row],[Cant.5]]=0,"",IF(OR(Prueba[[#This Row],[Cant.6]]="",Prueba[[#This Row],[Puesto6]]=""),"?",Prueba[[#This Row],[Puesto6]]))</f>
        <v/>
      </c>
      <c r="Q714" s="31">
        <v>1</v>
      </c>
      <c r="R714" s="32">
        <v>6</v>
      </c>
      <c r="S714" s="14"/>
      <c r="T714" s="14"/>
      <c r="U714" s="31"/>
      <c r="V714" s="32"/>
      <c r="X714" s="19" t="s">
        <v>1667</v>
      </c>
      <c r="Y714" s="19"/>
      <c r="Z714" s="19"/>
      <c r="AA714" s="19"/>
      <c r="AB714" s="14"/>
    </row>
    <row r="715" spans="1:28" s="18" customFormat="1">
      <c r="A715" s="18" t="s">
        <v>1470</v>
      </c>
      <c r="B715" s="18" t="s">
        <v>9</v>
      </c>
      <c r="C715" s="18" t="s">
        <v>1982</v>
      </c>
      <c r="D715" s="18" t="s">
        <v>1983</v>
      </c>
      <c r="E715" s="19" t="s">
        <v>12</v>
      </c>
      <c r="F715" s="18" t="s">
        <v>13</v>
      </c>
      <c r="G715" s="29"/>
      <c r="H715" s="32" t="str">
        <f>IF(Prueba[[#This Row],[Cant.]]=0,"",IF(OR(Prueba[[#This Row],[Cant.2]]="",Prueba[[#This Row],[Puesto2]]=""),"?",Prueba[[#This Row],[Puesto2]]))</f>
        <v/>
      </c>
      <c r="I715" s="31"/>
      <c r="J715" s="32"/>
      <c r="K715" s="14"/>
      <c r="L715" s="14"/>
      <c r="M715" s="31"/>
      <c r="N715" s="32" t="str">
        <f>IF(Prueba[[#This Row],[Cant.4]]=0,"",IF(OR(Prueba[[#This Row],[Cant.6]]="",Prueba[[#This Row],[Puesto6]]=""),"?",Prueba[[#This Row],[Puesto6]]))</f>
        <v/>
      </c>
      <c r="O715" s="31"/>
      <c r="P715" s="32" t="str">
        <f>IF(Prueba[[#This Row],[Cant.5]]=0,"",IF(OR(Prueba[[#This Row],[Cant.6]]="",Prueba[[#This Row],[Puesto6]]=""),"?",Prueba[[#This Row],[Puesto6]]))</f>
        <v/>
      </c>
      <c r="Q715" s="31"/>
      <c r="R715" s="32"/>
      <c r="S715" s="14"/>
      <c r="T715" s="14"/>
      <c r="U715" s="31">
        <v>1</v>
      </c>
      <c r="V715" s="32" t="s">
        <v>1399</v>
      </c>
      <c r="W715" s="19"/>
      <c r="X715" s="19" t="s">
        <v>1667</v>
      </c>
      <c r="Y715" s="19" t="s">
        <v>1663</v>
      </c>
      <c r="Z715" s="19" t="s">
        <v>1663</v>
      </c>
      <c r="AA715" s="19" t="s">
        <v>1663</v>
      </c>
      <c r="AB715" s="19" t="s">
        <v>1663</v>
      </c>
    </row>
    <row r="716" spans="1:28" s="18" customFormat="1">
      <c r="A716" s="18" t="s">
        <v>1472</v>
      </c>
      <c r="B716" s="18" t="s">
        <v>9</v>
      </c>
      <c r="C716" s="18" t="s">
        <v>1985</v>
      </c>
      <c r="D716" s="18" t="s">
        <v>1986</v>
      </c>
      <c r="E716" s="19" t="s">
        <v>1815</v>
      </c>
      <c r="F716" s="18" t="s">
        <v>13</v>
      </c>
      <c r="G716" s="29"/>
      <c r="H716" s="32" t="str">
        <f>IF(Prueba[[#This Row],[Cant.]]=0,"",IF(OR(Prueba[[#This Row],[Cant.2]]="",Prueba[[#This Row],[Puesto2]]=""),"?",Prueba[[#This Row],[Puesto2]]))</f>
        <v/>
      </c>
      <c r="I716" s="31"/>
      <c r="J716" s="32"/>
      <c r="K716" s="14"/>
      <c r="L716" s="14"/>
      <c r="M716" s="31"/>
      <c r="N716" s="32" t="str">
        <f>IF(Prueba[[#This Row],[Cant.4]]=0,"",IF(OR(Prueba[[#This Row],[Cant.6]]="",Prueba[[#This Row],[Puesto6]]=""),"?",Prueba[[#This Row],[Puesto6]]))</f>
        <v/>
      </c>
      <c r="O716" s="31"/>
      <c r="P716" s="32" t="str">
        <f>IF(Prueba[[#This Row],[Cant.5]]=0,"",IF(OR(Prueba[[#This Row],[Cant.6]]="",Prueba[[#This Row],[Puesto6]]=""),"?",Prueba[[#This Row],[Puesto6]]))</f>
        <v/>
      </c>
      <c r="Q716" s="31"/>
      <c r="R716" s="32"/>
      <c r="S716" s="14"/>
      <c r="T716" s="14"/>
      <c r="U716" s="31">
        <v>1</v>
      </c>
      <c r="V716" s="32" t="s">
        <v>1399</v>
      </c>
      <c r="W716" s="19"/>
      <c r="X716" s="19" t="s">
        <v>1667</v>
      </c>
      <c r="Y716" s="19" t="s">
        <v>1663</v>
      </c>
      <c r="Z716" s="19" t="s">
        <v>1663</v>
      </c>
      <c r="AA716" s="19" t="s">
        <v>1663</v>
      </c>
      <c r="AB716" s="19" t="s">
        <v>1663</v>
      </c>
    </row>
    <row r="717" spans="1:28" s="18" customFormat="1">
      <c r="A717" s="18" t="s">
        <v>1473</v>
      </c>
      <c r="B717" s="18" t="s">
        <v>9</v>
      </c>
      <c r="C717" s="18" t="s">
        <v>2164</v>
      </c>
      <c r="D717" s="18" t="s">
        <v>2165</v>
      </c>
      <c r="E717" s="19" t="s">
        <v>39</v>
      </c>
      <c r="F717" s="18" t="s">
        <v>13</v>
      </c>
      <c r="G717" s="29"/>
      <c r="H717" s="32" t="str">
        <f>IF(Prueba[[#This Row],[Cant.]]=0,"",IF(OR(Prueba[[#This Row],[Cant.2]]="",Prueba[[#This Row],[Puesto2]]=""),"?",Prueba[[#This Row],[Puesto2]]))</f>
        <v/>
      </c>
      <c r="I717" s="31"/>
      <c r="J717" s="32"/>
      <c r="K717" s="14"/>
      <c r="L717" s="14"/>
      <c r="M717" s="31"/>
      <c r="N717" s="32" t="str">
        <f>IF(Prueba[[#This Row],[Cant.4]]=0,"",IF(OR(Prueba[[#This Row],[Cant.6]]="",Prueba[[#This Row],[Puesto6]]=""),"?",Prueba[[#This Row],[Puesto6]]))</f>
        <v/>
      </c>
      <c r="O717" s="31"/>
      <c r="P717" s="32" t="str">
        <f>IF(Prueba[[#This Row],[Cant.5]]=0,"",IF(OR(Prueba[[#This Row],[Cant.6]]="",Prueba[[#This Row],[Puesto6]]=""),"?",Prueba[[#This Row],[Puesto6]]))</f>
        <v/>
      </c>
      <c r="Q717" s="31"/>
      <c r="R717" s="32"/>
      <c r="S717" s="14"/>
      <c r="T717" s="14"/>
      <c r="U717" s="31">
        <v>3</v>
      </c>
      <c r="V717" s="32">
        <v>5</v>
      </c>
      <c r="W717" s="19"/>
      <c r="X717" s="19" t="s">
        <v>1667</v>
      </c>
      <c r="Y717" s="19" t="s">
        <v>1663</v>
      </c>
      <c r="Z717" s="19" t="s">
        <v>1663</v>
      </c>
      <c r="AA717" s="19" t="s">
        <v>1663</v>
      </c>
      <c r="AB717" s="19" t="s">
        <v>1663</v>
      </c>
    </row>
    <row r="718" spans="1:28" s="18" customFormat="1">
      <c r="A718" s="18" t="s">
        <v>1474</v>
      </c>
      <c r="B718" s="18" t="s">
        <v>9</v>
      </c>
      <c r="C718" s="18" t="s">
        <v>2164</v>
      </c>
      <c r="D718" s="18" t="s">
        <v>2166</v>
      </c>
      <c r="E718" s="19" t="s">
        <v>1815</v>
      </c>
      <c r="F718" s="18" t="s">
        <v>13</v>
      </c>
      <c r="G718" s="29"/>
      <c r="H718" s="32" t="str">
        <f>IF(Prueba[[#This Row],[Cant.]]=0,"",IF(OR(Prueba[[#This Row],[Cant.2]]="",Prueba[[#This Row],[Puesto2]]=""),"?",Prueba[[#This Row],[Puesto2]]))</f>
        <v/>
      </c>
      <c r="I718" s="31"/>
      <c r="J718" s="32"/>
      <c r="K718" s="14"/>
      <c r="L718" s="14"/>
      <c r="M718" s="31"/>
      <c r="N718" s="32" t="str">
        <f>IF(Prueba[[#This Row],[Cant.4]]=0,"",IF(OR(Prueba[[#This Row],[Cant.6]]="",Prueba[[#This Row],[Puesto6]]=""),"?",Prueba[[#This Row],[Puesto6]]))</f>
        <v/>
      </c>
      <c r="O718" s="31"/>
      <c r="P718" s="32" t="str">
        <f>IF(Prueba[[#This Row],[Cant.5]]=0,"",IF(OR(Prueba[[#This Row],[Cant.6]]="",Prueba[[#This Row],[Puesto6]]=""),"?",Prueba[[#This Row],[Puesto6]]))</f>
        <v/>
      </c>
      <c r="Q718" s="31"/>
      <c r="R718" s="32"/>
      <c r="S718" s="14"/>
      <c r="T718" s="14"/>
      <c r="U718" s="31">
        <v>1</v>
      </c>
      <c r="V718" s="32">
        <v>5</v>
      </c>
      <c r="W718" s="19"/>
      <c r="X718" s="19" t="s">
        <v>1667</v>
      </c>
      <c r="Y718" s="19" t="s">
        <v>1663</v>
      </c>
      <c r="Z718" s="19" t="s">
        <v>1663</v>
      </c>
      <c r="AA718" s="19" t="s">
        <v>1663</v>
      </c>
      <c r="AB718" s="19" t="s">
        <v>1663</v>
      </c>
    </row>
    <row r="719" spans="1:28" s="18" customFormat="1">
      <c r="A719" s="18" t="s">
        <v>1475</v>
      </c>
      <c r="B719" s="18" t="s">
        <v>9</v>
      </c>
      <c r="C719" s="18" t="s">
        <v>1807</v>
      </c>
      <c r="D719" s="18" t="s">
        <v>1988</v>
      </c>
      <c r="E719" s="19" t="s">
        <v>39</v>
      </c>
      <c r="F719" s="18" t="s">
        <v>13</v>
      </c>
      <c r="G719" s="29"/>
      <c r="H719" s="32" t="str">
        <f>IF(Prueba[[#This Row],[Cant.]]=0,"",IF(OR(Prueba[[#This Row],[Cant.2]]="",Prueba[[#This Row],[Puesto2]]=""),"?",Prueba[[#This Row],[Puesto2]]))</f>
        <v/>
      </c>
      <c r="I719" s="31"/>
      <c r="J719" s="32"/>
      <c r="K719" s="14"/>
      <c r="L719" s="14"/>
      <c r="M719" s="31"/>
      <c r="N719" s="32" t="str">
        <f>IF(Prueba[[#This Row],[Cant.4]]=0,"",IF(OR(Prueba[[#This Row],[Cant.6]]="",Prueba[[#This Row],[Puesto6]]=""),"?",Prueba[[#This Row],[Puesto6]]))</f>
        <v/>
      </c>
      <c r="O719" s="31"/>
      <c r="P719" s="32" t="str">
        <f>IF(Prueba[[#This Row],[Cant.5]]=0,"",IF(OR(Prueba[[#This Row],[Cant.6]]="",Prueba[[#This Row],[Puesto6]]=""),"?",Prueba[[#This Row],[Puesto6]]))</f>
        <v/>
      </c>
      <c r="Q719" s="31"/>
      <c r="R719" s="32"/>
      <c r="S719" s="14"/>
      <c r="T719" s="14"/>
      <c r="U719" s="31">
        <v>1</v>
      </c>
      <c r="V719" s="32">
        <v>6</v>
      </c>
      <c r="W719" s="19"/>
      <c r="X719" s="19" t="s">
        <v>1667</v>
      </c>
      <c r="Y719" s="19" t="s">
        <v>1663</v>
      </c>
      <c r="Z719" s="19" t="s">
        <v>1663</v>
      </c>
      <c r="AA719" s="19" t="s">
        <v>1663</v>
      </c>
      <c r="AB719" s="19" t="s">
        <v>1663</v>
      </c>
    </row>
    <row r="720" spans="1:28" s="18" customFormat="1">
      <c r="A720" s="18" t="s">
        <v>1477</v>
      </c>
      <c r="B720" s="18" t="s">
        <v>9</v>
      </c>
      <c r="C720" s="18" t="s">
        <v>2167</v>
      </c>
      <c r="D720" s="18" t="s">
        <v>2168</v>
      </c>
      <c r="E720" s="19" t="s">
        <v>39</v>
      </c>
      <c r="F720" s="18" t="s">
        <v>13</v>
      </c>
      <c r="G720" s="29"/>
      <c r="H720" s="32" t="str">
        <f>IF(Prueba[[#This Row],[Cant.]]=0,"",IF(OR(Prueba[[#This Row],[Cant.2]]="",Prueba[[#This Row],[Puesto2]]=""),"?",Prueba[[#This Row],[Puesto2]]))</f>
        <v/>
      </c>
      <c r="I720" s="31"/>
      <c r="J720" s="32"/>
      <c r="K720" s="14"/>
      <c r="L720" s="14"/>
      <c r="M720" s="31"/>
      <c r="N720" s="32" t="str">
        <f>IF(Prueba[[#This Row],[Cant.4]]=0,"",IF(OR(Prueba[[#This Row],[Cant.6]]="",Prueba[[#This Row],[Puesto6]]=""),"?",Prueba[[#This Row],[Puesto6]]))</f>
        <v/>
      </c>
      <c r="O720" s="31"/>
      <c r="P720" s="32" t="str">
        <f>IF(Prueba[[#This Row],[Cant.5]]=0,"",IF(OR(Prueba[[#This Row],[Cant.6]]="",Prueba[[#This Row],[Puesto6]]=""),"?",Prueba[[#This Row],[Puesto6]]))</f>
        <v/>
      </c>
      <c r="Q720" s="31"/>
      <c r="R720" s="32"/>
      <c r="S720" s="14"/>
      <c r="T720" s="14"/>
      <c r="U720" s="31">
        <v>1</v>
      </c>
      <c r="V720" s="32">
        <v>6</v>
      </c>
      <c r="W720" s="19"/>
      <c r="X720" s="19" t="s">
        <v>1667</v>
      </c>
      <c r="Y720" s="19" t="s">
        <v>1663</v>
      </c>
      <c r="Z720" s="19" t="s">
        <v>1663</v>
      </c>
      <c r="AA720" s="19" t="s">
        <v>1663</v>
      </c>
      <c r="AB720" s="19" t="s">
        <v>1663</v>
      </c>
    </row>
    <row r="721" spans="1:28" s="18" customFormat="1">
      <c r="A721" s="18" t="s">
        <v>1479</v>
      </c>
      <c r="B721" s="18" t="s">
        <v>9</v>
      </c>
      <c r="C721" s="18" t="s">
        <v>2169</v>
      </c>
      <c r="D721" s="18" t="s">
        <v>2170</v>
      </c>
      <c r="E721" s="19" t="s">
        <v>18</v>
      </c>
      <c r="F721" s="18" t="s">
        <v>13</v>
      </c>
      <c r="G721" s="29"/>
      <c r="H721" s="32" t="str">
        <f>IF(Prueba[[#This Row],[Cant.]]=0,"",IF(OR(Prueba[[#This Row],[Cant.2]]="",Prueba[[#This Row],[Puesto2]]=""),"?",Prueba[[#This Row],[Puesto2]]))</f>
        <v/>
      </c>
      <c r="I721" s="31"/>
      <c r="J721" s="32"/>
      <c r="K721" s="14"/>
      <c r="L721" s="14"/>
      <c r="M721" s="31"/>
      <c r="N721" s="32" t="str">
        <f>IF(Prueba[[#This Row],[Cant.4]]=0,"",IF(OR(Prueba[[#This Row],[Cant.6]]="",Prueba[[#This Row],[Puesto6]]=""),"?",Prueba[[#This Row],[Puesto6]]))</f>
        <v/>
      </c>
      <c r="O721" s="31"/>
      <c r="P721" s="32" t="str">
        <f>IF(Prueba[[#This Row],[Cant.5]]=0,"",IF(OR(Prueba[[#This Row],[Cant.6]]="",Prueba[[#This Row],[Puesto6]]=""),"?",Prueba[[#This Row],[Puesto6]]))</f>
        <v/>
      </c>
      <c r="Q721" s="31"/>
      <c r="R721" s="32"/>
      <c r="S721" s="14"/>
      <c r="T721" s="14"/>
      <c r="U721" s="31">
        <v>1</v>
      </c>
      <c r="V721" s="32">
        <v>5</v>
      </c>
      <c r="W721" s="19"/>
      <c r="X721" s="19" t="s">
        <v>1667</v>
      </c>
      <c r="Y721" s="19" t="s">
        <v>1663</v>
      </c>
      <c r="Z721" s="19" t="s">
        <v>1663</v>
      </c>
      <c r="AA721" s="19" t="s">
        <v>1663</v>
      </c>
      <c r="AB721" s="19" t="s">
        <v>1663</v>
      </c>
    </row>
    <row r="722" spans="1:28" s="18" customFormat="1">
      <c r="A722" s="18" t="s">
        <v>1481</v>
      </c>
      <c r="B722" s="18" t="s">
        <v>9</v>
      </c>
      <c r="C722" s="18" t="s">
        <v>2171</v>
      </c>
      <c r="D722" s="18" t="s">
        <v>2172</v>
      </c>
      <c r="E722" s="19" t="s">
        <v>18</v>
      </c>
      <c r="F722" s="18" t="s">
        <v>13</v>
      </c>
      <c r="G722" s="29"/>
      <c r="H722" s="32" t="str">
        <f>IF(Prueba[[#This Row],[Cant.]]=0,"",IF(OR(Prueba[[#This Row],[Cant.2]]="",Prueba[[#This Row],[Puesto2]]=""),"?",Prueba[[#This Row],[Puesto2]]))</f>
        <v/>
      </c>
      <c r="I722" s="31"/>
      <c r="J722" s="32"/>
      <c r="K722" s="14"/>
      <c r="L722" s="14"/>
      <c r="M722" s="31"/>
      <c r="N722" s="32" t="str">
        <f>IF(Prueba[[#This Row],[Cant.4]]=0,"",IF(OR(Prueba[[#This Row],[Cant.6]]="",Prueba[[#This Row],[Puesto6]]=""),"?",Prueba[[#This Row],[Puesto6]]))</f>
        <v/>
      </c>
      <c r="O722" s="31"/>
      <c r="P722" s="32" t="str">
        <f>IF(Prueba[[#This Row],[Cant.5]]=0,"",IF(OR(Prueba[[#This Row],[Cant.6]]="",Prueba[[#This Row],[Puesto6]]=""),"?",Prueba[[#This Row],[Puesto6]]))</f>
        <v/>
      </c>
      <c r="Q722" s="31"/>
      <c r="R722" s="32"/>
      <c r="S722" s="14"/>
      <c r="T722" s="14"/>
      <c r="U722" s="31">
        <v>1</v>
      </c>
      <c r="V722" s="32">
        <v>2</v>
      </c>
      <c r="W722" s="19"/>
      <c r="X722" s="19" t="s">
        <v>1667</v>
      </c>
      <c r="Y722" s="19" t="s">
        <v>1663</v>
      </c>
      <c r="Z722" s="19" t="s">
        <v>1663</v>
      </c>
      <c r="AA722" s="19" t="s">
        <v>1663</v>
      </c>
      <c r="AB722" s="19" t="s">
        <v>1663</v>
      </c>
    </row>
    <row r="723" spans="1:28" s="18" customFormat="1">
      <c r="A723" s="18" t="s">
        <v>1483</v>
      </c>
      <c r="B723" s="18" t="s">
        <v>9</v>
      </c>
      <c r="C723" s="18" t="s">
        <v>2171</v>
      </c>
      <c r="D723" s="18" t="s">
        <v>2172</v>
      </c>
      <c r="E723" s="19" t="s">
        <v>18</v>
      </c>
      <c r="F723" s="18" t="s">
        <v>13</v>
      </c>
      <c r="G723" s="29"/>
      <c r="H723" s="32" t="str">
        <f>IF(Prueba[[#This Row],[Cant.]]=0,"",IF(OR(Prueba[[#This Row],[Cant.2]]="",Prueba[[#This Row],[Puesto2]]=""),"?",Prueba[[#This Row],[Puesto2]]))</f>
        <v/>
      </c>
      <c r="I723" s="31"/>
      <c r="J723" s="32"/>
      <c r="K723" s="14"/>
      <c r="L723" s="14"/>
      <c r="M723" s="31"/>
      <c r="N723" s="32" t="str">
        <f>IF(Prueba[[#This Row],[Cant.4]]=0,"",IF(OR(Prueba[[#This Row],[Cant.6]]="",Prueba[[#This Row],[Puesto6]]=""),"?",Prueba[[#This Row],[Puesto6]]))</f>
        <v/>
      </c>
      <c r="O723" s="31"/>
      <c r="P723" s="32" t="str">
        <f>IF(Prueba[[#This Row],[Cant.5]]=0,"",IF(OR(Prueba[[#This Row],[Cant.6]]="",Prueba[[#This Row],[Puesto6]]=""),"?",Prueba[[#This Row],[Puesto6]]))</f>
        <v/>
      </c>
      <c r="Q723" s="31"/>
      <c r="R723" s="32"/>
      <c r="S723" s="14"/>
      <c r="T723" s="14"/>
      <c r="U723" s="31">
        <v>1</v>
      </c>
      <c r="V723" s="32">
        <v>2</v>
      </c>
      <c r="W723" s="19"/>
      <c r="X723" s="19" t="s">
        <v>1667</v>
      </c>
      <c r="Y723" s="19" t="s">
        <v>1663</v>
      </c>
      <c r="Z723" s="19" t="s">
        <v>1663</v>
      </c>
      <c r="AA723" s="19" t="s">
        <v>1663</v>
      </c>
      <c r="AB723" s="19" t="s">
        <v>1663</v>
      </c>
    </row>
    <row r="724" spans="1:28" s="18" customFormat="1">
      <c r="A724" s="18" t="s">
        <v>1484</v>
      </c>
      <c r="B724" s="18" t="s">
        <v>9</v>
      </c>
      <c r="C724" s="18" t="s">
        <v>2173</v>
      </c>
      <c r="D724" s="18" t="s">
        <v>2174</v>
      </c>
      <c r="E724" s="19" t="s">
        <v>39</v>
      </c>
      <c r="F724" s="18" t="s">
        <v>13</v>
      </c>
      <c r="G724" s="29"/>
      <c r="H724" s="32" t="str">
        <f>IF(Prueba[[#This Row],[Cant.]]=0,"",IF(OR(Prueba[[#This Row],[Cant.2]]="",Prueba[[#This Row],[Puesto2]]=""),"?",Prueba[[#This Row],[Puesto2]]))</f>
        <v/>
      </c>
      <c r="I724" s="31"/>
      <c r="J724" s="32"/>
      <c r="K724" s="14"/>
      <c r="L724" s="14"/>
      <c r="M724" s="31"/>
      <c r="N724" s="32" t="str">
        <f>IF(Prueba[[#This Row],[Cant.4]]=0,"",IF(OR(Prueba[[#This Row],[Cant.6]]="",Prueba[[#This Row],[Puesto6]]=""),"?",Prueba[[#This Row],[Puesto6]]))</f>
        <v/>
      </c>
      <c r="O724" s="31"/>
      <c r="P724" s="32" t="str">
        <f>IF(Prueba[[#This Row],[Cant.5]]=0,"",IF(OR(Prueba[[#This Row],[Cant.6]]="",Prueba[[#This Row],[Puesto6]]=""),"?",Prueba[[#This Row],[Puesto6]]))</f>
        <v/>
      </c>
      <c r="Q724" s="31"/>
      <c r="R724" s="32"/>
      <c r="S724" s="14"/>
      <c r="T724" s="14"/>
      <c r="U724" s="31">
        <v>1</v>
      </c>
      <c r="V724" s="32">
        <v>0</v>
      </c>
      <c r="W724" s="19"/>
      <c r="X724" s="19" t="s">
        <v>1667</v>
      </c>
      <c r="Y724" s="19" t="s">
        <v>1663</v>
      </c>
      <c r="Z724" s="19" t="s">
        <v>1663</v>
      </c>
      <c r="AA724" s="19" t="s">
        <v>1663</v>
      </c>
      <c r="AB724" s="19" t="s">
        <v>1663</v>
      </c>
    </row>
    <row r="725" spans="1:28" s="18" customFormat="1">
      <c r="A725" s="18" t="s">
        <v>1486</v>
      </c>
      <c r="B725" s="18" t="s">
        <v>9</v>
      </c>
      <c r="C725" s="18" t="s">
        <v>2061</v>
      </c>
      <c r="D725" s="18" t="s">
        <v>1866</v>
      </c>
      <c r="E725" s="19" t="s">
        <v>12</v>
      </c>
      <c r="F725" s="18" t="s">
        <v>13</v>
      </c>
      <c r="G725" s="29"/>
      <c r="H725" s="32" t="str">
        <f>IF(Prueba[[#This Row],[Cant.]]=0,"",IF(OR(Prueba[[#This Row],[Cant.2]]="",Prueba[[#This Row],[Puesto2]]=""),"?",Prueba[[#This Row],[Puesto2]]))</f>
        <v/>
      </c>
      <c r="I725" s="31"/>
      <c r="J725" s="32"/>
      <c r="K725" s="14"/>
      <c r="L725" s="14"/>
      <c r="M725" s="31"/>
      <c r="N725" s="32" t="str">
        <f>IF(Prueba[[#This Row],[Cant.4]]=0,"",IF(OR(Prueba[[#This Row],[Cant.6]]="",Prueba[[#This Row],[Puesto6]]=""),"?",Prueba[[#This Row],[Puesto6]]))</f>
        <v/>
      </c>
      <c r="O725" s="31"/>
      <c r="P725" s="32" t="str">
        <f>IF(Prueba[[#This Row],[Cant.5]]=0,"",IF(OR(Prueba[[#This Row],[Cant.6]]="",Prueba[[#This Row],[Puesto6]]=""),"?",Prueba[[#This Row],[Puesto6]]))</f>
        <v/>
      </c>
      <c r="Q725" s="31"/>
      <c r="R725" s="32"/>
      <c r="S725" s="14"/>
      <c r="T725" s="14"/>
      <c r="U725" s="31">
        <v>1</v>
      </c>
      <c r="V725" s="32">
        <v>3</v>
      </c>
      <c r="W725" s="19"/>
      <c r="X725" s="19" t="s">
        <v>1667</v>
      </c>
      <c r="Y725" s="19" t="s">
        <v>1663</v>
      </c>
      <c r="Z725" s="19" t="s">
        <v>1663</v>
      </c>
      <c r="AA725" s="19" t="s">
        <v>1663</v>
      </c>
      <c r="AB725" s="19" t="s">
        <v>1663</v>
      </c>
    </row>
    <row r="726" spans="1:28" s="18" customFormat="1">
      <c r="A726" s="18" t="s">
        <v>1487</v>
      </c>
      <c r="B726" s="18" t="s">
        <v>9</v>
      </c>
      <c r="C726" s="18" t="s">
        <v>2175</v>
      </c>
      <c r="D726" s="18" t="s">
        <v>2176</v>
      </c>
      <c r="E726" s="19" t="s">
        <v>12</v>
      </c>
      <c r="F726" s="18" t="s">
        <v>13</v>
      </c>
      <c r="G726" s="29"/>
      <c r="H726" s="32" t="str">
        <f>IF(Prueba[[#This Row],[Cant.]]=0,"",IF(OR(Prueba[[#This Row],[Cant.2]]="",Prueba[[#This Row],[Puesto2]]=""),"?",Prueba[[#This Row],[Puesto2]]))</f>
        <v/>
      </c>
      <c r="I726" s="31"/>
      <c r="J726" s="32"/>
      <c r="K726" s="14"/>
      <c r="L726" s="14"/>
      <c r="M726" s="31"/>
      <c r="N726" s="32" t="str">
        <f>IF(Prueba[[#This Row],[Cant.4]]=0,"",IF(OR(Prueba[[#This Row],[Cant.6]]="",Prueba[[#This Row],[Puesto6]]=""),"?",Prueba[[#This Row],[Puesto6]]))</f>
        <v/>
      </c>
      <c r="O726" s="31"/>
      <c r="P726" s="32" t="str">
        <f>IF(Prueba[[#This Row],[Cant.5]]=0,"",IF(OR(Prueba[[#This Row],[Cant.6]]="",Prueba[[#This Row],[Puesto6]]=""),"?",Prueba[[#This Row],[Puesto6]]))</f>
        <v/>
      </c>
      <c r="Q726" s="31"/>
      <c r="R726" s="32"/>
      <c r="S726" s="14"/>
      <c r="T726" s="14"/>
      <c r="U726" s="31">
        <v>1</v>
      </c>
      <c r="V726" s="32">
        <v>3</v>
      </c>
      <c r="W726" s="19"/>
      <c r="X726" s="19" t="s">
        <v>1667</v>
      </c>
      <c r="Y726" s="19" t="s">
        <v>1663</v>
      </c>
      <c r="Z726" s="19" t="s">
        <v>1663</v>
      </c>
      <c r="AA726" s="19" t="s">
        <v>1663</v>
      </c>
      <c r="AB726" s="19" t="s">
        <v>1663</v>
      </c>
    </row>
    <row r="727" spans="1:28" s="18" customFormat="1">
      <c r="A727" s="18" t="s">
        <v>1489</v>
      </c>
      <c r="B727" s="18" t="s">
        <v>9</v>
      </c>
      <c r="C727" s="18" t="s">
        <v>2175</v>
      </c>
      <c r="D727" s="18" t="s">
        <v>2176</v>
      </c>
      <c r="E727" s="19" t="s">
        <v>12</v>
      </c>
      <c r="F727" s="18" t="s">
        <v>13</v>
      </c>
      <c r="G727" s="29"/>
      <c r="H727" s="32" t="str">
        <f>IF(Prueba[[#This Row],[Cant.]]=0,"",IF(OR(Prueba[[#This Row],[Cant.2]]="",Prueba[[#This Row],[Puesto2]]=""),"?",Prueba[[#This Row],[Puesto2]]))</f>
        <v/>
      </c>
      <c r="I727" s="31"/>
      <c r="J727" s="32"/>
      <c r="K727" s="14"/>
      <c r="L727" s="14"/>
      <c r="M727" s="31"/>
      <c r="N727" s="32" t="str">
        <f>IF(Prueba[[#This Row],[Cant.4]]=0,"",IF(OR(Prueba[[#This Row],[Cant.6]]="",Prueba[[#This Row],[Puesto6]]=""),"?",Prueba[[#This Row],[Puesto6]]))</f>
        <v/>
      </c>
      <c r="O727" s="31"/>
      <c r="P727" s="32" t="str">
        <f>IF(Prueba[[#This Row],[Cant.5]]=0,"",IF(OR(Prueba[[#This Row],[Cant.6]]="",Prueba[[#This Row],[Puesto6]]=""),"?",Prueba[[#This Row],[Puesto6]]))</f>
        <v/>
      </c>
      <c r="Q727" s="31"/>
      <c r="R727" s="32"/>
      <c r="S727" s="14"/>
      <c r="T727" s="14"/>
      <c r="U727" s="31">
        <v>1</v>
      </c>
      <c r="V727" s="32">
        <v>3</v>
      </c>
      <c r="W727" s="19"/>
      <c r="X727" s="19" t="s">
        <v>1667</v>
      </c>
      <c r="Y727" s="19" t="s">
        <v>1663</v>
      </c>
      <c r="Z727" s="19" t="s">
        <v>1663</v>
      </c>
      <c r="AA727" s="19" t="s">
        <v>1663</v>
      </c>
      <c r="AB727" s="19" t="s">
        <v>1663</v>
      </c>
    </row>
    <row r="728" spans="1:28" s="18" customFormat="1">
      <c r="A728" s="18" t="s">
        <v>1490</v>
      </c>
      <c r="B728" s="18" t="s">
        <v>9</v>
      </c>
      <c r="C728" s="18" t="s">
        <v>1794</v>
      </c>
      <c r="D728" s="18" t="s">
        <v>1896</v>
      </c>
      <c r="E728" s="19" t="s">
        <v>18</v>
      </c>
      <c r="F728" s="18" t="s">
        <v>13</v>
      </c>
      <c r="G728" s="29"/>
      <c r="H728" s="32" t="str">
        <f>IF(Prueba[[#This Row],[Cant.]]=0,"",IF(OR(Prueba[[#This Row],[Cant.2]]="",Prueba[[#This Row],[Puesto2]]=""),"?",Prueba[[#This Row],[Puesto2]]))</f>
        <v/>
      </c>
      <c r="I728" s="31"/>
      <c r="J728" s="32"/>
      <c r="K728" s="14"/>
      <c r="L728" s="14"/>
      <c r="M728" s="31"/>
      <c r="N728" s="32" t="str">
        <f>IF(Prueba[[#This Row],[Cant.4]]=0,"",IF(OR(Prueba[[#This Row],[Cant.6]]="",Prueba[[#This Row],[Puesto6]]=""),"?",Prueba[[#This Row],[Puesto6]]))</f>
        <v/>
      </c>
      <c r="O728" s="31"/>
      <c r="P728" s="32" t="str">
        <f>IF(Prueba[[#This Row],[Cant.5]]=0,"",IF(OR(Prueba[[#This Row],[Cant.6]]="",Prueba[[#This Row],[Puesto6]]=""),"?",Prueba[[#This Row],[Puesto6]]))</f>
        <v/>
      </c>
      <c r="Q728" s="31"/>
      <c r="R728" s="32"/>
      <c r="S728" s="14"/>
      <c r="T728" s="14"/>
      <c r="U728" s="31">
        <v>1</v>
      </c>
      <c r="V728" s="32">
        <v>0</v>
      </c>
      <c r="W728" s="19"/>
      <c r="X728" s="19" t="s">
        <v>1667</v>
      </c>
      <c r="Y728" s="19" t="s">
        <v>1663</v>
      </c>
      <c r="Z728" s="19" t="s">
        <v>1663</v>
      </c>
      <c r="AA728" s="19" t="s">
        <v>1663</v>
      </c>
      <c r="AB728" s="19" t="s">
        <v>1663</v>
      </c>
    </row>
    <row r="729" spans="1:28" s="18" customFormat="1">
      <c r="A729" s="18" t="s">
        <v>1491</v>
      </c>
      <c r="B729" s="18" t="s">
        <v>9</v>
      </c>
      <c r="C729" s="18" t="s">
        <v>1794</v>
      </c>
      <c r="D729" s="18" t="s">
        <v>2177</v>
      </c>
      <c r="E729" s="19" t="s">
        <v>18</v>
      </c>
      <c r="F729" s="18" t="s">
        <v>13</v>
      </c>
      <c r="G729" s="29"/>
      <c r="H729" s="32" t="str">
        <f>IF(Prueba[[#This Row],[Cant.]]=0,"",IF(OR(Prueba[[#This Row],[Cant.2]]="",Prueba[[#This Row],[Puesto2]]=""),"?",Prueba[[#This Row],[Puesto2]]))</f>
        <v/>
      </c>
      <c r="I729" s="31"/>
      <c r="J729" s="32"/>
      <c r="K729" s="14"/>
      <c r="L729" s="14"/>
      <c r="M729" s="31"/>
      <c r="N729" s="32" t="str">
        <f>IF(Prueba[[#This Row],[Cant.4]]=0,"",IF(OR(Prueba[[#This Row],[Cant.6]]="",Prueba[[#This Row],[Puesto6]]=""),"?",Prueba[[#This Row],[Puesto6]]))</f>
        <v/>
      </c>
      <c r="O729" s="31"/>
      <c r="P729" s="32" t="str">
        <f>IF(Prueba[[#This Row],[Cant.5]]=0,"",IF(OR(Prueba[[#This Row],[Cant.6]]="",Prueba[[#This Row],[Puesto6]]=""),"?",Prueba[[#This Row],[Puesto6]]))</f>
        <v/>
      </c>
      <c r="Q729" s="31"/>
      <c r="R729" s="32"/>
      <c r="S729" s="14"/>
      <c r="T729" s="14"/>
      <c r="U729" s="31">
        <v>2</v>
      </c>
      <c r="V729" s="32">
        <v>0</v>
      </c>
      <c r="W729" s="19"/>
      <c r="X729" s="19" t="s">
        <v>1667</v>
      </c>
      <c r="Y729" s="19" t="s">
        <v>1663</v>
      </c>
      <c r="Z729" s="19" t="s">
        <v>1663</v>
      </c>
      <c r="AA729" s="19" t="s">
        <v>1663</v>
      </c>
      <c r="AB729" s="19" t="s">
        <v>1663</v>
      </c>
    </row>
    <row r="730" spans="1:28" s="18" customFormat="1">
      <c r="A730" s="18" t="s">
        <v>1492</v>
      </c>
      <c r="B730" s="18" t="s">
        <v>9</v>
      </c>
      <c r="C730" s="18" t="s">
        <v>1794</v>
      </c>
      <c r="D730" s="18" t="s">
        <v>1896</v>
      </c>
      <c r="E730" s="19" t="s">
        <v>18</v>
      </c>
      <c r="F730" s="18" t="s">
        <v>13</v>
      </c>
      <c r="G730" s="29"/>
      <c r="H730" s="32" t="str">
        <f>IF(Prueba[[#This Row],[Cant.]]=0,"",IF(OR(Prueba[[#This Row],[Cant.2]]="",Prueba[[#This Row],[Puesto2]]=""),"?",Prueba[[#This Row],[Puesto2]]))</f>
        <v/>
      </c>
      <c r="I730" s="31"/>
      <c r="J730" s="32"/>
      <c r="K730" s="14"/>
      <c r="L730" s="14"/>
      <c r="M730" s="31"/>
      <c r="N730" s="32" t="str">
        <f>IF(Prueba[[#This Row],[Cant.4]]=0,"",IF(OR(Prueba[[#This Row],[Cant.6]]="",Prueba[[#This Row],[Puesto6]]=""),"?",Prueba[[#This Row],[Puesto6]]))</f>
        <v/>
      </c>
      <c r="O730" s="31"/>
      <c r="P730" s="32" t="str">
        <f>IF(Prueba[[#This Row],[Cant.5]]=0,"",IF(OR(Prueba[[#This Row],[Cant.6]]="",Prueba[[#This Row],[Puesto6]]=""),"?",Prueba[[#This Row],[Puesto6]]))</f>
        <v/>
      </c>
      <c r="Q730" s="31"/>
      <c r="R730" s="32"/>
      <c r="S730" s="14"/>
      <c r="T730" s="14"/>
      <c r="U730" s="31">
        <v>2</v>
      </c>
      <c r="V730" s="32">
        <v>0</v>
      </c>
      <c r="W730" s="19"/>
      <c r="X730" s="19" t="s">
        <v>1667</v>
      </c>
      <c r="Y730" s="19" t="s">
        <v>1663</v>
      </c>
      <c r="Z730" s="19" t="s">
        <v>1663</v>
      </c>
      <c r="AA730" s="19" t="s">
        <v>1663</v>
      </c>
      <c r="AB730" s="19" t="s">
        <v>1663</v>
      </c>
    </row>
    <row r="731" spans="1:28" s="18" customFormat="1">
      <c r="A731" s="18" t="s">
        <v>2178</v>
      </c>
      <c r="B731" s="18" t="s">
        <v>9</v>
      </c>
      <c r="C731" s="18" t="s">
        <v>1903</v>
      </c>
      <c r="D731" s="18" t="s">
        <v>2179</v>
      </c>
      <c r="E731" s="19" t="s">
        <v>1815</v>
      </c>
      <c r="F731" s="18" t="s">
        <v>13</v>
      </c>
      <c r="G731" s="29"/>
      <c r="H731" s="32" t="str">
        <f>IF(Prueba[[#This Row],[Cant.]]=0,"",IF(OR(Prueba[[#This Row],[Cant.2]]="",Prueba[[#This Row],[Puesto2]]=""),"?",Prueba[[#This Row],[Puesto2]]))</f>
        <v/>
      </c>
      <c r="I731" s="31"/>
      <c r="J731" s="32"/>
      <c r="K731" s="14"/>
      <c r="L731" s="14"/>
      <c r="M731" s="31"/>
      <c r="N731" s="32" t="str">
        <f>IF(Prueba[[#This Row],[Cant.4]]=0,"",IF(OR(Prueba[[#This Row],[Cant.6]]="",Prueba[[#This Row],[Puesto6]]=""),"?",Prueba[[#This Row],[Puesto6]]))</f>
        <v/>
      </c>
      <c r="O731" s="31"/>
      <c r="P731" s="32" t="str">
        <f>IF(Prueba[[#This Row],[Cant.5]]=0,"",IF(OR(Prueba[[#This Row],[Cant.6]]="",Prueba[[#This Row],[Puesto6]]=""),"?",Prueba[[#This Row],[Puesto6]]))</f>
        <v/>
      </c>
      <c r="Q731" s="31"/>
      <c r="R731" s="32"/>
      <c r="S731" s="14"/>
      <c r="T731" s="14"/>
      <c r="U731" s="31"/>
      <c r="V731" s="32" t="s">
        <v>1663</v>
      </c>
      <c r="W731" s="19"/>
      <c r="X731" s="19" t="s">
        <v>1667</v>
      </c>
      <c r="Y731" s="19" t="s">
        <v>1663</v>
      </c>
      <c r="Z731" s="19" t="s">
        <v>1663</v>
      </c>
      <c r="AA731" s="19" t="s">
        <v>1663</v>
      </c>
      <c r="AB731" s="19" t="s">
        <v>1663</v>
      </c>
    </row>
    <row r="732" spans="1:28" s="18" customFormat="1">
      <c r="A732" s="18" t="s">
        <v>1493</v>
      </c>
      <c r="B732" s="18" t="s">
        <v>9</v>
      </c>
      <c r="C732" s="18" t="s">
        <v>2180</v>
      </c>
      <c r="D732" s="18" t="s">
        <v>2181</v>
      </c>
      <c r="E732" s="19" t="s">
        <v>1815</v>
      </c>
      <c r="F732" s="18" t="s">
        <v>13</v>
      </c>
      <c r="G732" s="29"/>
      <c r="H732" s="32" t="str">
        <f>IF(Prueba[[#This Row],[Cant.]]=0,"",IF(OR(Prueba[[#This Row],[Cant.2]]="",Prueba[[#This Row],[Puesto2]]=""),"?",Prueba[[#This Row],[Puesto2]]))</f>
        <v/>
      </c>
      <c r="I732" s="31"/>
      <c r="J732" s="32"/>
      <c r="K732" s="14"/>
      <c r="L732" s="14"/>
      <c r="M732" s="31"/>
      <c r="N732" s="32" t="str">
        <f>IF(Prueba[[#This Row],[Cant.4]]=0,"",IF(OR(Prueba[[#This Row],[Cant.6]]="",Prueba[[#This Row],[Puesto6]]=""),"?",Prueba[[#This Row],[Puesto6]]))</f>
        <v/>
      </c>
      <c r="O732" s="31"/>
      <c r="P732" s="32" t="str">
        <f>IF(Prueba[[#This Row],[Cant.5]]=0,"",IF(OR(Prueba[[#This Row],[Cant.6]]="",Prueba[[#This Row],[Puesto6]]=""),"?",Prueba[[#This Row],[Puesto6]]))</f>
        <v/>
      </c>
      <c r="Q732" s="31"/>
      <c r="R732" s="32"/>
      <c r="S732" s="14"/>
      <c r="T732" s="14"/>
      <c r="U732" s="31">
        <v>1</v>
      </c>
      <c r="V732" s="32">
        <v>3</v>
      </c>
      <c r="W732" s="19"/>
      <c r="X732" s="19" t="s">
        <v>1667</v>
      </c>
      <c r="Y732" s="19" t="s">
        <v>1663</v>
      </c>
      <c r="Z732" s="19" t="s">
        <v>1663</v>
      </c>
      <c r="AA732" s="19" t="s">
        <v>1663</v>
      </c>
      <c r="AB732" s="19" t="s">
        <v>1663</v>
      </c>
    </row>
    <row r="733" spans="1:28" s="18" customFormat="1">
      <c r="A733" s="18" t="s">
        <v>1495</v>
      </c>
      <c r="B733" s="18" t="s">
        <v>9</v>
      </c>
      <c r="C733" s="18" t="s">
        <v>1696</v>
      </c>
      <c r="D733" s="18" t="s">
        <v>2182</v>
      </c>
      <c r="E733" s="19" t="s">
        <v>1815</v>
      </c>
      <c r="F733" s="18" t="s">
        <v>13</v>
      </c>
      <c r="G733" s="29"/>
      <c r="H733" s="32" t="str">
        <f>IF(Prueba[[#This Row],[Cant.]]=0,"",IF(OR(Prueba[[#This Row],[Cant.2]]="",Prueba[[#This Row],[Puesto2]]=""),"?",Prueba[[#This Row],[Puesto2]]))</f>
        <v/>
      </c>
      <c r="I733" s="31"/>
      <c r="J733" s="32"/>
      <c r="K733" s="14"/>
      <c r="L733" s="14"/>
      <c r="M733" s="31"/>
      <c r="N733" s="32" t="str">
        <f>IF(Prueba[[#This Row],[Cant.4]]=0,"",IF(OR(Prueba[[#This Row],[Cant.6]]="",Prueba[[#This Row],[Puesto6]]=""),"?",Prueba[[#This Row],[Puesto6]]))</f>
        <v/>
      </c>
      <c r="O733" s="31"/>
      <c r="P733" s="32" t="str">
        <f>IF(Prueba[[#This Row],[Cant.5]]=0,"",IF(OR(Prueba[[#This Row],[Cant.6]]="",Prueba[[#This Row],[Puesto6]]=""),"?",Prueba[[#This Row],[Puesto6]]))</f>
        <v/>
      </c>
      <c r="Q733" s="31"/>
      <c r="R733" s="32"/>
      <c r="S733" s="14"/>
      <c r="T733" s="14"/>
      <c r="U733" s="31">
        <v>1</v>
      </c>
      <c r="V733" s="32" t="s">
        <v>1447</v>
      </c>
      <c r="W733" s="19"/>
      <c r="X733" s="19" t="s">
        <v>1667</v>
      </c>
      <c r="Y733" s="19" t="s">
        <v>1663</v>
      </c>
      <c r="Z733" s="19" t="s">
        <v>1663</v>
      </c>
      <c r="AA733" s="19" t="s">
        <v>1663</v>
      </c>
      <c r="AB733" s="19" t="s">
        <v>1663</v>
      </c>
    </row>
    <row r="734" spans="1:28" s="18" customFormat="1">
      <c r="A734" s="18" t="s">
        <v>1142</v>
      </c>
      <c r="B734" s="18" t="s">
        <v>9</v>
      </c>
      <c r="C734" s="18" t="s">
        <v>241</v>
      </c>
      <c r="D734" s="18" t="s">
        <v>1049</v>
      </c>
      <c r="E734" s="19" t="s">
        <v>22</v>
      </c>
      <c r="F734" s="18" t="s">
        <v>13</v>
      </c>
      <c r="G734" s="29"/>
      <c r="H734" s="32" t="str">
        <f>IF(Prueba[[#This Row],[Cant.]]=0,"",IF(OR(Prueba[[#This Row],[Cant.2]]="",Prueba[[#This Row],[Puesto2]]=""),"?",Prueba[[#This Row],[Puesto2]]))</f>
        <v/>
      </c>
      <c r="I734" s="31"/>
      <c r="J734" s="32"/>
      <c r="K734" s="14">
        <v>1</v>
      </c>
      <c r="L734" s="14"/>
      <c r="M734" s="31">
        <v>1</v>
      </c>
      <c r="N734" s="32">
        <f>IF(Prueba[[#This Row],[Cant.4]]=0,"",IF(OR(Prueba[[#This Row],[Cant.6]]="",Prueba[[#This Row],[Puesto6]]=""),"?",Prueba[[#This Row],[Puesto6]]))</f>
        <v>3</v>
      </c>
      <c r="O734" s="31">
        <v>1</v>
      </c>
      <c r="P734" s="32">
        <f>IF(Prueba[[#This Row],[Cant.5]]=0,"",IF(OR(Prueba[[#This Row],[Cant.6]]="",Prueba[[#This Row],[Puesto6]]=""),"?",Prueba[[#This Row],[Puesto6]]))</f>
        <v>3</v>
      </c>
      <c r="Q734" s="31">
        <v>1</v>
      </c>
      <c r="R734" s="32">
        <v>3</v>
      </c>
      <c r="S734" s="14">
        <v>3</v>
      </c>
      <c r="T734" s="14">
        <v>3</v>
      </c>
      <c r="U734" s="31">
        <v>8</v>
      </c>
      <c r="V734" s="32">
        <v>3</v>
      </c>
      <c r="W734" s="19">
        <v>64</v>
      </c>
      <c r="X734" s="19" t="s">
        <v>1664</v>
      </c>
      <c r="Y734" s="19" t="s">
        <v>1663</v>
      </c>
      <c r="Z734" s="19" t="s">
        <v>1663</v>
      </c>
      <c r="AA734" s="19" t="s">
        <v>1663</v>
      </c>
      <c r="AB734" s="19" t="s">
        <v>1663</v>
      </c>
    </row>
    <row r="735" spans="1:28" s="18" customFormat="1">
      <c r="A735" s="18" t="s">
        <v>2183</v>
      </c>
      <c r="B735" s="18" t="s">
        <v>9</v>
      </c>
      <c r="C735" s="18" t="s">
        <v>1731</v>
      </c>
      <c r="D735" s="18" t="s">
        <v>2184</v>
      </c>
      <c r="E735" s="19" t="s">
        <v>1733</v>
      </c>
      <c r="F735" s="18" t="s">
        <v>13</v>
      </c>
      <c r="G735" s="29"/>
      <c r="H735" s="32" t="str">
        <f>IF(Prueba[[#This Row],[Cant.]]=0,"",IF(OR(Prueba[[#This Row],[Cant.2]]="",Prueba[[#This Row],[Puesto2]]=""),"?",Prueba[[#This Row],[Puesto2]]))</f>
        <v/>
      </c>
      <c r="I735" s="31"/>
      <c r="J735" s="32"/>
      <c r="K735" s="14"/>
      <c r="L735" s="14"/>
      <c r="M735" s="31"/>
      <c r="N735" s="32" t="str">
        <f>IF(Prueba[[#This Row],[Cant.4]]=0,"",IF(OR(Prueba[[#This Row],[Cant.6]]="",Prueba[[#This Row],[Puesto6]]=""),"?",Prueba[[#This Row],[Puesto6]]))</f>
        <v/>
      </c>
      <c r="O735" s="31"/>
      <c r="P735" s="32" t="str">
        <f>IF(Prueba[[#This Row],[Cant.5]]=0,"",IF(OR(Prueba[[#This Row],[Cant.6]]="",Prueba[[#This Row],[Puesto6]]=""),"?",Prueba[[#This Row],[Puesto6]]))</f>
        <v/>
      </c>
      <c r="Q735" s="31"/>
      <c r="R735" s="32"/>
      <c r="S735" s="14">
        <v>2</v>
      </c>
      <c r="T735" s="14"/>
      <c r="U735" s="31"/>
      <c r="V735" s="32" t="s">
        <v>1663</v>
      </c>
      <c r="W735" s="19">
        <v>16</v>
      </c>
      <c r="X735" s="19" t="s">
        <v>1664</v>
      </c>
      <c r="Y735" s="19" t="s">
        <v>1663</v>
      </c>
      <c r="Z735" s="19" t="s">
        <v>1663</v>
      </c>
      <c r="AA735" s="19" t="s">
        <v>1663</v>
      </c>
      <c r="AB735" s="19" t="s">
        <v>1663</v>
      </c>
    </row>
    <row r="736" spans="1:28" s="18" customFormat="1">
      <c r="A736" s="18" t="s">
        <v>1496</v>
      </c>
      <c r="B736" s="18" t="s">
        <v>9</v>
      </c>
      <c r="C736" s="18" t="s">
        <v>2185</v>
      </c>
      <c r="D736" s="18" t="s">
        <v>1868</v>
      </c>
      <c r="E736" s="19" t="s">
        <v>39</v>
      </c>
      <c r="F736" s="18" t="s">
        <v>13</v>
      </c>
      <c r="G736" s="29"/>
      <c r="H736" s="32" t="str">
        <f>IF(Prueba[[#This Row],[Cant.]]=0,"",IF(OR(Prueba[[#This Row],[Cant.2]]="",Prueba[[#This Row],[Puesto2]]=""),"?",Prueba[[#This Row],[Puesto2]]))</f>
        <v/>
      </c>
      <c r="I736" s="31"/>
      <c r="J736" s="32"/>
      <c r="K736" s="14"/>
      <c r="L736" s="14"/>
      <c r="M736" s="31"/>
      <c r="N736" s="32" t="str">
        <f>IF(Prueba[[#This Row],[Cant.4]]=0,"",IF(OR(Prueba[[#This Row],[Cant.6]]="",Prueba[[#This Row],[Puesto6]]=""),"?",Prueba[[#This Row],[Puesto6]]))</f>
        <v/>
      </c>
      <c r="O736" s="31"/>
      <c r="P736" s="32" t="str">
        <f>IF(Prueba[[#This Row],[Cant.5]]=0,"",IF(OR(Prueba[[#This Row],[Cant.6]]="",Prueba[[#This Row],[Puesto6]]=""),"?",Prueba[[#This Row],[Puesto6]]))</f>
        <v/>
      </c>
      <c r="Q736" s="31"/>
      <c r="R736" s="32"/>
      <c r="S736" s="14"/>
      <c r="T736" s="14"/>
      <c r="U736" s="31">
        <v>1</v>
      </c>
      <c r="V736" s="32" t="s">
        <v>1447</v>
      </c>
      <c r="W736" s="19"/>
      <c r="X736" s="19" t="s">
        <v>1667</v>
      </c>
      <c r="Y736" s="19" t="s">
        <v>1663</v>
      </c>
      <c r="Z736" s="19" t="s">
        <v>1663</v>
      </c>
      <c r="AA736" s="19" t="s">
        <v>1663</v>
      </c>
      <c r="AB736" s="19" t="s">
        <v>1663</v>
      </c>
    </row>
    <row r="737" spans="1:28" s="18" customFormat="1">
      <c r="A737" s="18" t="s">
        <v>1497</v>
      </c>
      <c r="B737" s="18" t="s">
        <v>9</v>
      </c>
      <c r="C737" s="18" t="s">
        <v>1996</v>
      </c>
      <c r="D737" s="18" t="s">
        <v>1997</v>
      </c>
      <c r="E737" s="19" t="s">
        <v>39</v>
      </c>
      <c r="F737" s="18" t="s">
        <v>13</v>
      </c>
      <c r="G737" s="29"/>
      <c r="H737" s="32" t="str">
        <f>IF(Prueba[[#This Row],[Cant.]]=0,"",IF(OR(Prueba[[#This Row],[Cant.2]]="",Prueba[[#This Row],[Puesto2]]=""),"?",Prueba[[#This Row],[Puesto2]]))</f>
        <v/>
      </c>
      <c r="I737" s="31"/>
      <c r="J737" s="32"/>
      <c r="K737" s="14"/>
      <c r="L737" s="14"/>
      <c r="M737" s="31"/>
      <c r="N737" s="32" t="str">
        <f>IF(Prueba[[#This Row],[Cant.4]]=0,"",IF(OR(Prueba[[#This Row],[Cant.6]]="",Prueba[[#This Row],[Puesto6]]=""),"?",Prueba[[#This Row],[Puesto6]]))</f>
        <v/>
      </c>
      <c r="O737" s="31"/>
      <c r="P737" s="32" t="str">
        <f>IF(Prueba[[#This Row],[Cant.5]]=0,"",IF(OR(Prueba[[#This Row],[Cant.6]]="",Prueba[[#This Row],[Puesto6]]=""),"?",Prueba[[#This Row],[Puesto6]]))</f>
        <v/>
      </c>
      <c r="Q737" s="31"/>
      <c r="R737" s="32"/>
      <c r="S737" s="14"/>
      <c r="T737" s="14"/>
      <c r="U737" s="31">
        <v>2</v>
      </c>
      <c r="V737" s="32" t="s">
        <v>1447</v>
      </c>
      <c r="W737" s="19"/>
      <c r="X737" s="19" t="s">
        <v>1667</v>
      </c>
      <c r="Y737" s="19" t="s">
        <v>1663</v>
      </c>
      <c r="Z737" s="19" t="s">
        <v>1663</v>
      </c>
      <c r="AA737" s="19" t="s">
        <v>1663</v>
      </c>
      <c r="AB737" s="19" t="s">
        <v>1663</v>
      </c>
    </row>
    <row r="738" spans="1:28" s="18" customFormat="1">
      <c r="A738" s="18" t="s">
        <v>1143</v>
      </c>
      <c r="B738" s="18" t="s">
        <v>9</v>
      </c>
      <c r="C738" s="18" t="s">
        <v>139</v>
      </c>
      <c r="D738" s="18" t="s">
        <v>1144</v>
      </c>
      <c r="E738" s="19" t="s">
        <v>39</v>
      </c>
      <c r="F738" s="18" t="s">
        <v>13</v>
      </c>
      <c r="G738" s="29"/>
      <c r="H738" s="32" t="str">
        <f>IF(Prueba[[#This Row],[Cant.]]=0,"",IF(OR(Prueba[[#This Row],[Cant.2]]="",Prueba[[#This Row],[Puesto2]]=""),"?",Prueba[[#This Row],[Puesto2]]))</f>
        <v/>
      </c>
      <c r="I738" s="31"/>
      <c r="J738" s="32"/>
      <c r="K738" s="14">
        <v>4</v>
      </c>
      <c r="L738" s="14"/>
      <c r="M738" s="31">
        <v>4</v>
      </c>
      <c r="N738" s="32" t="str">
        <f>IF(Prueba[[#This Row],[Cant.4]]=0,"",IF(OR(Prueba[[#This Row],[Cant.6]]="",Prueba[[#This Row],[Puesto6]]=""),"?",Prueba[[#This Row],[Puesto6]]))</f>
        <v>B</v>
      </c>
      <c r="O738" s="31">
        <v>4</v>
      </c>
      <c r="P738" s="32" t="str">
        <f>IF(Prueba[[#This Row],[Cant.5]]=0,"",IF(OR(Prueba[[#This Row],[Cant.6]]="",Prueba[[#This Row],[Puesto6]]=""),"?",Prueba[[#This Row],[Puesto6]]))</f>
        <v>B</v>
      </c>
      <c r="Q738" s="31">
        <v>4</v>
      </c>
      <c r="R738" s="32" t="s">
        <v>1447</v>
      </c>
      <c r="S738" s="14">
        <v>4</v>
      </c>
      <c r="T738" s="14" t="s">
        <v>1447</v>
      </c>
      <c r="U738" s="31">
        <v>4</v>
      </c>
      <c r="V738" s="32" t="s">
        <v>1447</v>
      </c>
      <c r="W738" s="19"/>
      <c r="X738" s="19" t="s">
        <v>1667</v>
      </c>
      <c r="Y738" s="19" t="s">
        <v>1663</v>
      </c>
      <c r="Z738" s="19" t="s">
        <v>1663</v>
      </c>
      <c r="AA738" s="19" t="s">
        <v>1663</v>
      </c>
      <c r="AB738" s="19" t="s">
        <v>1663</v>
      </c>
    </row>
    <row r="739" spans="1:28" s="18" customFormat="1">
      <c r="A739" s="21" t="s">
        <v>1498</v>
      </c>
      <c r="B739" s="22" t="s">
        <v>9</v>
      </c>
      <c r="C739" t="s">
        <v>1867</v>
      </c>
      <c r="D739" t="s">
        <v>2186</v>
      </c>
      <c r="E739" s="19" t="s">
        <v>39</v>
      </c>
      <c r="F739" s="22" t="s">
        <v>13</v>
      </c>
      <c r="G739" s="30"/>
      <c r="H739" s="32" t="str">
        <f>IF(Prueba[[#This Row],[Cant.]]=0,"",IF(OR(Prueba[[#This Row],[Cant.2]]="",Prueba[[#This Row],[Puesto2]]=""),"?",Prueba[[#This Row],[Puesto2]]))</f>
        <v/>
      </c>
      <c r="I739" s="33"/>
      <c r="J739" s="34"/>
      <c r="K739" s="83"/>
      <c r="L739" s="83"/>
      <c r="M739" s="33"/>
      <c r="N739" s="32" t="str">
        <f>IF(Prueba[[#This Row],[Cant.4]]=0,"",IF(OR(Prueba[[#This Row],[Cant.6]]="",Prueba[[#This Row],[Puesto6]]=""),"?",Prueba[[#This Row],[Puesto6]]))</f>
        <v/>
      </c>
      <c r="O739" s="33"/>
      <c r="P739" s="32" t="str">
        <f>IF(Prueba[[#This Row],[Cant.5]]=0,"",IF(OR(Prueba[[#This Row],[Cant.6]]="",Prueba[[#This Row],[Puesto6]]=""),"?",Prueba[[#This Row],[Puesto6]]))</f>
        <v/>
      </c>
      <c r="Q739" s="33"/>
      <c r="R739" s="34"/>
      <c r="S739" s="83"/>
      <c r="T739" s="83"/>
      <c r="U739" s="33">
        <v>1</v>
      </c>
      <c r="V739" s="34">
        <v>3</v>
      </c>
      <c r="W739" s="23"/>
      <c r="X739" s="19" t="s">
        <v>1667</v>
      </c>
      <c r="Y739" s="19" t="s">
        <v>1663</v>
      </c>
      <c r="Z739" s="19" t="s">
        <v>1663</v>
      </c>
      <c r="AA739" s="19" t="s">
        <v>1663</v>
      </c>
      <c r="AB739" s="19" t="s">
        <v>1663</v>
      </c>
    </row>
    <row r="740" spans="1:28" s="18" customFormat="1">
      <c r="A740" s="18" t="s">
        <v>1499</v>
      </c>
      <c r="B740" s="18" t="s">
        <v>9</v>
      </c>
      <c r="C740" s="18" t="s">
        <v>1867</v>
      </c>
      <c r="D740" s="18" t="s">
        <v>2186</v>
      </c>
      <c r="E740" s="19" t="s">
        <v>39</v>
      </c>
      <c r="F740" s="18" t="s">
        <v>13</v>
      </c>
      <c r="G740" s="29"/>
      <c r="H740" s="32" t="str">
        <f>IF(Prueba[[#This Row],[Cant.]]=0,"",IF(OR(Prueba[[#This Row],[Cant.2]]="",Prueba[[#This Row],[Puesto2]]=""),"?",Prueba[[#This Row],[Puesto2]]))</f>
        <v/>
      </c>
      <c r="I740" s="31"/>
      <c r="J740" s="32"/>
      <c r="K740" s="14"/>
      <c r="L740" s="14"/>
      <c r="M740" s="31"/>
      <c r="N740" s="32" t="str">
        <f>IF(Prueba[[#This Row],[Cant.4]]=0,"",IF(OR(Prueba[[#This Row],[Cant.6]]="",Prueba[[#This Row],[Puesto6]]=""),"?",Prueba[[#This Row],[Puesto6]]))</f>
        <v/>
      </c>
      <c r="O740" s="31"/>
      <c r="P740" s="32" t="str">
        <f>IF(Prueba[[#This Row],[Cant.5]]=0,"",IF(OR(Prueba[[#This Row],[Cant.6]]="",Prueba[[#This Row],[Puesto6]]=""),"?",Prueba[[#This Row],[Puesto6]]))</f>
        <v/>
      </c>
      <c r="Q740" s="31"/>
      <c r="R740" s="32"/>
      <c r="S740" s="14"/>
      <c r="T740" s="14"/>
      <c r="U740" s="31">
        <v>1</v>
      </c>
      <c r="V740" s="32">
        <v>3</v>
      </c>
      <c r="W740" s="19"/>
      <c r="X740" s="19" t="s">
        <v>1667</v>
      </c>
      <c r="Y740" s="19" t="s">
        <v>1663</v>
      </c>
      <c r="Z740" s="19" t="s">
        <v>1663</v>
      </c>
      <c r="AA740" s="19" t="s">
        <v>1663</v>
      </c>
      <c r="AB740" s="19" t="s">
        <v>1663</v>
      </c>
    </row>
    <row r="741" spans="1:28" s="18" customFormat="1">
      <c r="A741" s="18" t="s">
        <v>1500</v>
      </c>
      <c r="B741" s="18" t="s">
        <v>9</v>
      </c>
      <c r="C741" s="18" t="s">
        <v>2169</v>
      </c>
      <c r="D741" s="18" t="s">
        <v>2170</v>
      </c>
      <c r="E741" s="19" t="s">
        <v>18</v>
      </c>
      <c r="F741" s="18" t="s">
        <v>13</v>
      </c>
      <c r="G741" s="29"/>
      <c r="H741" s="32" t="str">
        <f>IF(Prueba[[#This Row],[Cant.]]=0,"",IF(OR(Prueba[[#This Row],[Cant.2]]="",Prueba[[#This Row],[Puesto2]]=""),"?",Prueba[[#This Row],[Puesto2]]))</f>
        <v/>
      </c>
      <c r="I741" s="31"/>
      <c r="J741" s="32"/>
      <c r="K741" s="14"/>
      <c r="L741" s="14"/>
      <c r="M741" s="31"/>
      <c r="N741" s="32" t="str">
        <f>IF(Prueba[[#This Row],[Cant.4]]=0,"",IF(OR(Prueba[[#This Row],[Cant.6]]="",Prueba[[#This Row],[Puesto6]]=""),"?",Prueba[[#This Row],[Puesto6]]))</f>
        <v/>
      </c>
      <c r="O741" s="31"/>
      <c r="P741" s="32" t="str">
        <f>IF(Prueba[[#This Row],[Cant.5]]=0,"",IF(OR(Prueba[[#This Row],[Cant.6]]="",Prueba[[#This Row],[Puesto6]]=""),"?",Prueba[[#This Row],[Puesto6]]))</f>
        <v/>
      </c>
      <c r="Q741" s="31"/>
      <c r="R741" s="32"/>
      <c r="S741" s="14"/>
      <c r="T741" s="14"/>
      <c r="U741" s="31">
        <v>1</v>
      </c>
      <c r="V741" s="32">
        <v>1</v>
      </c>
      <c r="W741" s="19"/>
      <c r="X741" s="19" t="s">
        <v>1667</v>
      </c>
      <c r="Y741" s="19" t="s">
        <v>1663</v>
      </c>
      <c r="Z741" s="19" t="s">
        <v>1663</v>
      </c>
      <c r="AA741" s="19" t="s">
        <v>1663</v>
      </c>
      <c r="AB741" s="19" t="s">
        <v>1663</v>
      </c>
    </row>
    <row r="742" spans="1:28" s="18" customFormat="1">
      <c r="A742" s="18" t="s">
        <v>1501</v>
      </c>
      <c r="B742" s="18" t="s">
        <v>9</v>
      </c>
      <c r="C742" s="18" t="s">
        <v>2000</v>
      </c>
      <c r="D742" s="18" t="s">
        <v>2001</v>
      </c>
      <c r="E742" s="19" t="s">
        <v>195</v>
      </c>
      <c r="F742" s="18" t="s">
        <v>13</v>
      </c>
      <c r="G742" s="29"/>
      <c r="H742" s="32" t="str">
        <f>IF(Prueba[[#This Row],[Cant.]]=0,"",IF(OR(Prueba[[#This Row],[Cant.2]]="",Prueba[[#This Row],[Puesto2]]=""),"?",Prueba[[#This Row],[Puesto2]]))</f>
        <v/>
      </c>
      <c r="I742" s="31"/>
      <c r="J742" s="32"/>
      <c r="K742" s="14"/>
      <c r="L742" s="14"/>
      <c r="M742" s="31"/>
      <c r="N742" s="32" t="str">
        <f>IF(Prueba[[#This Row],[Cant.4]]=0,"",IF(OR(Prueba[[#This Row],[Cant.6]]="",Prueba[[#This Row],[Puesto6]]=""),"?",Prueba[[#This Row],[Puesto6]]))</f>
        <v/>
      </c>
      <c r="O742" s="31"/>
      <c r="P742" s="32" t="str">
        <f>IF(Prueba[[#This Row],[Cant.5]]=0,"",IF(OR(Prueba[[#This Row],[Cant.6]]="",Prueba[[#This Row],[Puesto6]]=""),"?",Prueba[[#This Row],[Puesto6]]))</f>
        <v/>
      </c>
      <c r="Q742" s="31"/>
      <c r="R742" s="32"/>
      <c r="S742" s="14"/>
      <c r="T742" s="14"/>
      <c r="U742" s="31">
        <v>1</v>
      </c>
      <c r="V742" s="32" t="s">
        <v>1421</v>
      </c>
      <c r="W742" s="19"/>
      <c r="X742" s="19" t="s">
        <v>1667</v>
      </c>
      <c r="Y742" s="19" t="s">
        <v>1663</v>
      </c>
      <c r="Z742" s="19" t="s">
        <v>1663</v>
      </c>
      <c r="AA742" s="19" t="s">
        <v>1663</v>
      </c>
      <c r="AB742" s="19" t="s">
        <v>1663</v>
      </c>
    </row>
    <row r="743" spans="1:28" s="18" customFormat="1">
      <c r="A743" s="18" t="s">
        <v>552</v>
      </c>
      <c r="B743" s="18" t="s">
        <v>9</v>
      </c>
      <c r="C743" s="18" t="s">
        <v>174</v>
      </c>
      <c r="D743" s="18" t="s">
        <v>21</v>
      </c>
      <c r="E743" s="19" t="s">
        <v>22</v>
      </c>
      <c r="F743" s="18" t="s">
        <v>13</v>
      </c>
      <c r="G743" s="29">
        <v>1</v>
      </c>
      <c r="H743" s="32" t="str">
        <f>IF(Prueba[[#This Row],[Cant.]]=0,"",IF(OR(Prueba[[#This Row],[Cant.2]]="",Prueba[[#This Row],[Puesto2]]=""),"?",Prueba[[#This Row],[Puesto2]]))</f>
        <v>A</v>
      </c>
      <c r="I743" s="31">
        <v>1</v>
      </c>
      <c r="J743" s="32" t="s">
        <v>1421</v>
      </c>
      <c r="K743" s="14">
        <v>1</v>
      </c>
      <c r="L743" s="14"/>
      <c r="M743" s="31">
        <v>1</v>
      </c>
      <c r="N743" s="32" t="str">
        <f>IF(Prueba[[#This Row],[Cant.4]]=0,"",IF(OR(Prueba[[#This Row],[Cant.6]]="",Prueba[[#This Row],[Puesto6]]=""),"?",Prueba[[#This Row],[Puesto6]]))</f>
        <v>A</v>
      </c>
      <c r="O743" s="31">
        <v>1</v>
      </c>
      <c r="P743" s="32" t="str">
        <f>IF(Prueba[[#This Row],[Cant.5]]=0,"",IF(OR(Prueba[[#This Row],[Cant.6]]="",Prueba[[#This Row],[Puesto6]]=""),"?",Prueba[[#This Row],[Puesto6]]))</f>
        <v>A</v>
      </c>
      <c r="Q743" s="31">
        <v>1</v>
      </c>
      <c r="R743" s="32" t="s">
        <v>1421</v>
      </c>
      <c r="S743" s="14">
        <v>1</v>
      </c>
      <c r="T743" s="14" t="s">
        <v>1421</v>
      </c>
      <c r="U743" s="31">
        <v>1</v>
      </c>
      <c r="V743" s="32" t="s">
        <v>1421</v>
      </c>
      <c r="W743" s="19">
        <v>8</v>
      </c>
      <c r="X743" s="19" t="s">
        <v>1664</v>
      </c>
      <c r="Y743" s="19">
        <v>2</v>
      </c>
      <c r="Z743" s="19" t="s">
        <v>1421</v>
      </c>
      <c r="AA743" s="19">
        <v>2</v>
      </c>
      <c r="AB743" s="19" t="s">
        <v>1421</v>
      </c>
    </row>
    <row r="744" spans="1:28" s="18" customFormat="1">
      <c r="A744" s="18" t="s">
        <v>1503</v>
      </c>
      <c r="B744" s="18" t="s">
        <v>9</v>
      </c>
      <c r="C744" s="18" t="s">
        <v>2187</v>
      </c>
      <c r="D744" s="18" t="s">
        <v>2188</v>
      </c>
      <c r="E744" s="19" t="s">
        <v>39</v>
      </c>
      <c r="F744" s="18" t="s">
        <v>13</v>
      </c>
      <c r="G744" s="29"/>
      <c r="H744" s="32" t="str">
        <f>IF(Prueba[[#This Row],[Cant.]]=0,"",IF(OR(Prueba[[#This Row],[Cant.2]]="",Prueba[[#This Row],[Puesto2]]=""),"?",Prueba[[#This Row],[Puesto2]]))</f>
        <v/>
      </c>
      <c r="I744" s="31"/>
      <c r="J744" s="32"/>
      <c r="K744" s="14"/>
      <c r="L744" s="14"/>
      <c r="M744" s="31"/>
      <c r="N744" s="32" t="str">
        <f>IF(Prueba[[#This Row],[Cant.4]]=0,"",IF(OR(Prueba[[#This Row],[Cant.6]]="",Prueba[[#This Row],[Puesto6]]=""),"?",Prueba[[#This Row],[Puesto6]]))</f>
        <v/>
      </c>
      <c r="O744" s="31"/>
      <c r="P744" s="32" t="str">
        <f>IF(Prueba[[#This Row],[Cant.5]]=0,"",IF(OR(Prueba[[#This Row],[Cant.6]]="",Prueba[[#This Row],[Puesto6]]=""),"?",Prueba[[#This Row],[Puesto6]]))</f>
        <v/>
      </c>
      <c r="Q744" s="31"/>
      <c r="R744" s="32"/>
      <c r="S744" s="14"/>
      <c r="T744" s="14"/>
      <c r="U744" s="31">
        <v>1</v>
      </c>
      <c r="V744" s="32" t="s">
        <v>1399</v>
      </c>
      <c r="W744" s="19"/>
      <c r="X744" s="19" t="s">
        <v>1667</v>
      </c>
      <c r="Y744" s="19" t="s">
        <v>1663</v>
      </c>
      <c r="Z744" s="19" t="s">
        <v>1663</v>
      </c>
      <c r="AA744" s="19" t="s">
        <v>1663</v>
      </c>
      <c r="AB744" s="19" t="s">
        <v>1663</v>
      </c>
    </row>
    <row r="745" spans="1:28" s="18" customFormat="1">
      <c r="A745" s="18" t="s">
        <v>1505</v>
      </c>
      <c r="B745" s="18" t="s">
        <v>9</v>
      </c>
      <c r="C745" s="18" t="s">
        <v>1910</v>
      </c>
      <c r="D745" s="18" t="s">
        <v>1911</v>
      </c>
      <c r="E745" s="19" t="s">
        <v>1815</v>
      </c>
      <c r="F745" s="18" t="s">
        <v>13</v>
      </c>
      <c r="G745" s="29"/>
      <c r="H745" s="32" t="str">
        <f>IF(Prueba[[#This Row],[Cant.]]=0,"",IF(OR(Prueba[[#This Row],[Cant.2]]="",Prueba[[#This Row],[Puesto2]]=""),"?",Prueba[[#This Row],[Puesto2]]))</f>
        <v/>
      </c>
      <c r="I745" s="31"/>
      <c r="J745" s="32"/>
      <c r="K745" s="14"/>
      <c r="L745" s="14"/>
      <c r="M745" s="31"/>
      <c r="N745" s="32" t="str">
        <f>IF(Prueba[[#This Row],[Cant.4]]=0,"",IF(OR(Prueba[[#This Row],[Cant.6]]="",Prueba[[#This Row],[Puesto6]]=""),"?",Prueba[[#This Row],[Puesto6]]))</f>
        <v/>
      </c>
      <c r="O745" s="31"/>
      <c r="P745" s="32" t="str">
        <f>IF(Prueba[[#This Row],[Cant.5]]=0,"",IF(OR(Prueba[[#This Row],[Cant.6]]="",Prueba[[#This Row],[Puesto6]]=""),"?",Prueba[[#This Row],[Puesto6]]))</f>
        <v/>
      </c>
      <c r="Q745" s="31"/>
      <c r="R745" s="32"/>
      <c r="S745" s="14"/>
      <c r="T745" s="14"/>
      <c r="U745" s="31">
        <v>1</v>
      </c>
      <c r="V745" s="32" t="s">
        <v>1399</v>
      </c>
      <c r="W745" s="19"/>
      <c r="X745" s="19" t="s">
        <v>1667</v>
      </c>
      <c r="Y745" s="19" t="s">
        <v>1663</v>
      </c>
      <c r="Z745" s="19" t="s">
        <v>1663</v>
      </c>
      <c r="AA745" s="19" t="s">
        <v>1663</v>
      </c>
      <c r="AB745" s="19" t="s">
        <v>1663</v>
      </c>
    </row>
    <row r="746" spans="1:28" s="18" customFormat="1">
      <c r="A746" s="18" t="s">
        <v>553</v>
      </c>
      <c r="B746" s="18" t="s">
        <v>9</v>
      </c>
      <c r="C746" s="18" t="s">
        <v>554</v>
      </c>
      <c r="D746" s="18" t="s">
        <v>555</v>
      </c>
      <c r="E746" s="19" t="s">
        <v>22</v>
      </c>
      <c r="F746" s="18" t="s">
        <v>13</v>
      </c>
      <c r="G746" s="29"/>
      <c r="H746" s="32" t="str">
        <f>IF(Prueba[[#This Row],[Cant.]]=0,"",IF(OR(Prueba[[#This Row],[Cant.2]]="",Prueba[[#This Row],[Puesto2]]=""),"?",Prueba[[#This Row],[Puesto2]]))</f>
        <v/>
      </c>
      <c r="I746" s="31">
        <v>1</v>
      </c>
      <c r="J746" s="32">
        <v>3</v>
      </c>
      <c r="K746" s="14"/>
      <c r="L746" s="14"/>
      <c r="M746" s="31"/>
      <c r="N746" s="32" t="str">
        <f>IF(Prueba[[#This Row],[Cant.4]]=0,"",IF(OR(Prueba[[#This Row],[Cant.6]]="",Prueba[[#This Row],[Puesto6]]=""),"?",Prueba[[#This Row],[Puesto6]]))</f>
        <v/>
      </c>
      <c r="O746" s="31"/>
      <c r="P746" s="32" t="str">
        <f>IF(Prueba[[#This Row],[Cant.5]]=0,"",IF(OR(Prueba[[#This Row],[Cant.6]]="",Prueba[[#This Row],[Puesto6]]=""),"?",Prueba[[#This Row],[Puesto6]]))</f>
        <v/>
      </c>
      <c r="Q746" s="31"/>
      <c r="R746" s="32"/>
      <c r="S746" s="14"/>
      <c r="T746" s="14"/>
      <c r="U746" s="31">
        <v>2</v>
      </c>
      <c r="V746" s="32" t="s">
        <v>1427</v>
      </c>
      <c r="W746" s="19">
        <v>16</v>
      </c>
      <c r="X746" s="19" t="s">
        <v>1664</v>
      </c>
      <c r="Y746" s="19" t="s">
        <v>1663</v>
      </c>
      <c r="Z746" s="19" t="s">
        <v>1663</v>
      </c>
      <c r="AA746" s="19">
        <v>2</v>
      </c>
      <c r="AB746" s="19">
        <v>3</v>
      </c>
    </row>
    <row r="747" spans="1:28" s="18" customFormat="1">
      <c r="A747" s="18" t="s">
        <v>1506</v>
      </c>
      <c r="B747" s="18" t="s">
        <v>9</v>
      </c>
      <c r="C747" s="18" t="s">
        <v>1726</v>
      </c>
      <c r="D747" s="18" t="s">
        <v>1913</v>
      </c>
      <c r="E747" s="19" t="s">
        <v>230</v>
      </c>
      <c r="F747" s="18" t="s">
        <v>13</v>
      </c>
      <c r="G747" s="29"/>
      <c r="H747" s="32" t="str">
        <f>IF(Prueba[[#This Row],[Cant.]]=0,"",IF(OR(Prueba[[#This Row],[Cant.2]]="",Prueba[[#This Row],[Puesto2]]=""),"?",Prueba[[#This Row],[Puesto2]]))</f>
        <v/>
      </c>
      <c r="I747" s="31"/>
      <c r="J747" s="32"/>
      <c r="K747" s="14"/>
      <c r="L747" s="14"/>
      <c r="M747" s="31"/>
      <c r="N747" s="32" t="str">
        <f>IF(Prueba[[#This Row],[Cant.4]]=0,"",IF(OR(Prueba[[#This Row],[Cant.6]]="",Prueba[[#This Row],[Puesto6]]=""),"?",Prueba[[#This Row],[Puesto6]]))</f>
        <v/>
      </c>
      <c r="O747" s="31"/>
      <c r="P747" s="32" t="str">
        <f>IF(Prueba[[#This Row],[Cant.5]]=0,"",IF(OR(Prueba[[#This Row],[Cant.6]]="",Prueba[[#This Row],[Puesto6]]=""),"?",Prueba[[#This Row],[Puesto6]]))</f>
        <v/>
      </c>
      <c r="Q747" s="31"/>
      <c r="R747" s="32"/>
      <c r="S747" s="14"/>
      <c r="T747" s="14"/>
      <c r="U747" s="31">
        <v>7</v>
      </c>
      <c r="V747" s="32">
        <v>3</v>
      </c>
      <c r="W747" s="19"/>
      <c r="X747" s="19" t="s">
        <v>1667</v>
      </c>
      <c r="Y747" s="19" t="s">
        <v>1663</v>
      </c>
      <c r="Z747" s="19" t="s">
        <v>1663</v>
      </c>
      <c r="AA747" s="19" t="s">
        <v>1663</v>
      </c>
      <c r="AB747" s="19" t="s">
        <v>1663</v>
      </c>
    </row>
    <row r="748" spans="1:28" s="18" customFormat="1">
      <c r="A748" s="18" t="s">
        <v>1145</v>
      </c>
      <c r="B748" s="18" t="s">
        <v>9</v>
      </c>
      <c r="C748" s="18" t="s">
        <v>1134</v>
      </c>
      <c r="D748" s="18" t="s">
        <v>1134</v>
      </c>
      <c r="E748" s="19" t="s">
        <v>22</v>
      </c>
      <c r="F748" s="18" t="s">
        <v>13</v>
      </c>
      <c r="G748" s="29"/>
      <c r="H748" s="32" t="str">
        <f>IF(Prueba[[#This Row],[Cant.]]=0,"",IF(OR(Prueba[[#This Row],[Cant.2]]="",Prueba[[#This Row],[Puesto2]]=""),"?",Prueba[[#This Row],[Puesto2]]))</f>
        <v/>
      </c>
      <c r="I748" s="31"/>
      <c r="J748" s="32"/>
      <c r="K748" s="14">
        <v>2</v>
      </c>
      <c r="L748" s="14"/>
      <c r="M748" s="31">
        <v>2</v>
      </c>
      <c r="N748" s="32" t="str">
        <f>IF(Prueba[[#This Row],[Cant.4]]=0,"",IF(OR(Prueba[[#This Row],[Cant.6]]="",Prueba[[#This Row],[Puesto6]]=""),"?",Prueba[[#This Row],[Puesto6]]))</f>
        <v>D</v>
      </c>
      <c r="O748" s="31">
        <v>2</v>
      </c>
      <c r="P748" s="32" t="str">
        <f>IF(Prueba[[#This Row],[Cant.5]]=0,"",IF(OR(Prueba[[#This Row],[Cant.6]]="",Prueba[[#This Row],[Puesto6]]=""),"?",Prueba[[#This Row],[Puesto6]]))</f>
        <v>D</v>
      </c>
      <c r="Q748" s="31">
        <v>2</v>
      </c>
      <c r="R748" s="32" t="s">
        <v>1399</v>
      </c>
      <c r="S748" s="14">
        <v>2</v>
      </c>
      <c r="T748" s="14" t="s">
        <v>1399</v>
      </c>
      <c r="U748" s="31">
        <v>2</v>
      </c>
      <c r="V748" s="32" t="s">
        <v>1399</v>
      </c>
      <c r="W748" s="19">
        <v>16</v>
      </c>
      <c r="X748" s="19" t="s">
        <v>1664</v>
      </c>
      <c r="Y748" s="19" t="s">
        <v>1663</v>
      </c>
      <c r="Z748" s="19" t="s">
        <v>1663</v>
      </c>
      <c r="AA748" s="19" t="s">
        <v>1663</v>
      </c>
      <c r="AB748" s="19" t="s">
        <v>1663</v>
      </c>
    </row>
    <row r="749" spans="1:28" s="18" customFormat="1">
      <c r="A749" s="21" t="s">
        <v>1508</v>
      </c>
      <c r="B749" s="22" t="s">
        <v>9</v>
      </c>
      <c r="C749" t="s">
        <v>1731</v>
      </c>
      <c r="D749" t="s">
        <v>2189</v>
      </c>
      <c r="E749" s="23" t="s">
        <v>22</v>
      </c>
      <c r="F749" s="22" t="s">
        <v>13</v>
      </c>
      <c r="G749" s="30"/>
      <c r="H749" s="32" t="str">
        <f>IF(Prueba[[#This Row],[Cant.]]=0,"",IF(OR(Prueba[[#This Row],[Cant.2]]="",Prueba[[#This Row],[Puesto2]]=""),"?",Prueba[[#This Row],[Puesto2]]))</f>
        <v/>
      </c>
      <c r="I749" s="33"/>
      <c r="J749" s="34"/>
      <c r="K749" s="83"/>
      <c r="L749" s="83"/>
      <c r="M749" s="33"/>
      <c r="N749" s="32" t="str">
        <f>IF(Prueba[[#This Row],[Cant.4]]=0,"",IF(OR(Prueba[[#This Row],[Cant.6]]="",Prueba[[#This Row],[Puesto6]]=""),"?",Prueba[[#This Row],[Puesto6]]))</f>
        <v/>
      </c>
      <c r="O749" s="33"/>
      <c r="P749" s="32" t="str">
        <f>IF(Prueba[[#This Row],[Cant.5]]=0,"",IF(OR(Prueba[[#This Row],[Cant.6]]="",Prueba[[#This Row],[Puesto6]]=""),"?",Prueba[[#This Row],[Puesto6]]))</f>
        <v/>
      </c>
      <c r="Q749" s="33"/>
      <c r="R749" s="34"/>
      <c r="S749" s="83"/>
      <c r="T749" s="83"/>
      <c r="U749" s="33">
        <v>1</v>
      </c>
      <c r="V749" s="34">
        <v>0</v>
      </c>
      <c r="W749" s="23">
        <v>8</v>
      </c>
      <c r="X749" s="19" t="s">
        <v>1664</v>
      </c>
      <c r="Y749" s="19" t="s">
        <v>1663</v>
      </c>
      <c r="Z749" s="19" t="s">
        <v>1663</v>
      </c>
      <c r="AA749" s="19" t="s">
        <v>1663</v>
      </c>
      <c r="AB749" s="19" t="s">
        <v>1663</v>
      </c>
    </row>
    <row r="750" spans="1:28" s="18" customFormat="1">
      <c r="A750" s="18" t="s">
        <v>1509</v>
      </c>
      <c r="B750" s="18" t="s">
        <v>9</v>
      </c>
      <c r="C750" s="18" t="s">
        <v>1731</v>
      </c>
      <c r="D750" s="18" t="s">
        <v>2060</v>
      </c>
      <c r="E750" s="19" t="s">
        <v>1733</v>
      </c>
      <c r="F750" s="18" t="s">
        <v>13</v>
      </c>
      <c r="G750" s="29"/>
      <c r="H750" s="32" t="str">
        <f>IF(Prueba[[#This Row],[Cant.]]=0,"",IF(OR(Prueba[[#This Row],[Cant.2]]="",Prueba[[#This Row],[Puesto2]]=""),"?",Prueba[[#This Row],[Puesto2]]))</f>
        <v/>
      </c>
      <c r="I750" s="31"/>
      <c r="J750" s="32"/>
      <c r="K750" s="14"/>
      <c r="L750" s="14"/>
      <c r="M750" s="31"/>
      <c r="N750" s="32" t="str">
        <f>IF(Prueba[[#This Row],[Cant.4]]=0,"",IF(OR(Prueba[[#This Row],[Cant.6]]="",Prueba[[#This Row],[Puesto6]]=""),"?",Prueba[[#This Row],[Puesto6]]))</f>
        <v/>
      </c>
      <c r="O750" s="31"/>
      <c r="P750" s="32" t="str">
        <f>IF(Prueba[[#This Row],[Cant.5]]=0,"",IF(OR(Prueba[[#This Row],[Cant.6]]="",Prueba[[#This Row],[Puesto6]]=""),"?",Prueba[[#This Row],[Puesto6]]))</f>
        <v/>
      </c>
      <c r="Q750" s="31"/>
      <c r="R750" s="32"/>
      <c r="S750" s="14"/>
      <c r="T750" s="14"/>
      <c r="U750" s="31">
        <v>1</v>
      </c>
      <c r="V750" s="32" t="s">
        <v>1402</v>
      </c>
      <c r="W750" s="19">
        <v>8</v>
      </c>
      <c r="X750" s="19" t="s">
        <v>1664</v>
      </c>
      <c r="Y750" s="19" t="s">
        <v>1663</v>
      </c>
      <c r="Z750" s="19" t="s">
        <v>1663</v>
      </c>
      <c r="AA750" s="19" t="s">
        <v>1663</v>
      </c>
      <c r="AB750" s="19" t="s">
        <v>1663</v>
      </c>
    </row>
    <row r="751" spans="1:28" s="18" customFormat="1">
      <c r="A751" s="18" t="s">
        <v>1510</v>
      </c>
      <c r="B751" s="18" t="s">
        <v>9</v>
      </c>
      <c r="C751" s="18" t="s">
        <v>1731</v>
      </c>
      <c r="D751" s="18" t="s">
        <v>1965</v>
      </c>
      <c r="E751" s="19" t="s">
        <v>1733</v>
      </c>
      <c r="F751" s="18" t="s">
        <v>13</v>
      </c>
      <c r="G751" s="29"/>
      <c r="H751" s="32" t="str">
        <f>IF(Prueba[[#This Row],[Cant.]]=0,"",IF(OR(Prueba[[#This Row],[Cant.2]]="",Prueba[[#This Row],[Puesto2]]=""),"?",Prueba[[#This Row],[Puesto2]]))</f>
        <v/>
      </c>
      <c r="I751" s="31"/>
      <c r="J751" s="32"/>
      <c r="K751" s="14"/>
      <c r="L751" s="14"/>
      <c r="M751" s="31"/>
      <c r="N751" s="32" t="str">
        <f>IF(Prueba[[#This Row],[Cant.4]]=0,"",IF(OR(Prueba[[#This Row],[Cant.6]]="",Prueba[[#This Row],[Puesto6]]=""),"?",Prueba[[#This Row],[Puesto6]]))</f>
        <v/>
      </c>
      <c r="O751" s="31"/>
      <c r="P751" s="32" t="str">
        <f>IF(Prueba[[#This Row],[Cant.5]]=0,"",IF(OR(Prueba[[#This Row],[Cant.6]]="",Prueba[[#This Row],[Puesto6]]=""),"?",Prueba[[#This Row],[Puesto6]]))</f>
        <v/>
      </c>
      <c r="Q751" s="31"/>
      <c r="R751" s="32"/>
      <c r="S751" s="14"/>
      <c r="T751" s="14"/>
      <c r="U751" s="31">
        <v>2</v>
      </c>
      <c r="V751" s="32" t="s">
        <v>1447</v>
      </c>
      <c r="W751" s="19">
        <v>16</v>
      </c>
      <c r="X751" s="19" t="s">
        <v>1664</v>
      </c>
      <c r="Y751" s="19" t="s">
        <v>1663</v>
      </c>
      <c r="Z751" s="19" t="s">
        <v>1663</v>
      </c>
      <c r="AA751" s="19" t="s">
        <v>1663</v>
      </c>
      <c r="AB751" s="19" t="s">
        <v>1663</v>
      </c>
    </row>
    <row r="752" spans="1:28" s="18" customFormat="1">
      <c r="A752" s="18" t="s">
        <v>1511</v>
      </c>
      <c r="B752" s="18" t="s">
        <v>9</v>
      </c>
      <c r="C752" s="18" t="s">
        <v>1731</v>
      </c>
      <c r="D752" s="18" t="s">
        <v>1965</v>
      </c>
      <c r="E752" s="19" t="s">
        <v>1733</v>
      </c>
      <c r="F752" s="18" t="s">
        <v>13</v>
      </c>
      <c r="G752" s="29"/>
      <c r="H752" s="32" t="str">
        <f>IF(Prueba[[#This Row],[Cant.]]=0,"",IF(OR(Prueba[[#This Row],[Cant.2]]="",Prueba[[#This Row],[Puesto2]]=""),"?",Prueba[[#This Row],[Puesto2]]))</f>
        <v/>
      </c>
      <c r="I752" s="31"/>
      <c r="J752" s="32"/>
      <c r="K752" s="14"/>
      <c r="L752" s="14"/>
      <c r="M752" s="31"/>
      <c r="N752" s="32" t="str">
        <f>IF(Prueba[[#This Row],[Cant.4]]=0,"",IF(OR(Prueba[[#This Row],[Cant.6]]="",Prueba[[#This Row],[Puesto6]]=""),"?",Prueba[[#This Row],[Puesto6]]))</f>
        <v/>
      </c>
      <c r="O752" s="31"/>
      <c r="P752" s="32" t="str">
        <f>IF(Prueba[[#This Row],[Cant.5]]=0,"",IF(OR(Prueba[[#This Row],[Cant.6]]="",Prueba[[#This Row],[Puesto6]]=""),"?",Prueba[[#This Row],[Puesto6]]))</f>
        <v/>
      </c>
      <c r="Q752" s="31"/>
      <c r="R752" s="32"/>
      <c r="S752" s="14"/>
      <c r="T752" s="14"/>
      <c r="U752" s="31">
        <v>2</v>
      </c>
      <c r="V752" s="32" t="s">
        <v>1402</v>
      </c>
      <c r="W752" s="19">
        <v>16</v>
      </c>
      <c r="X752" s="19" t="s">
        <v>1664</v>
      </c>
      <c r="Y752" s="19" t="s">
        <v>1663</v>
      </c>
      <c r="Z752" s="19" t="s">
        <v>1663</v>
      </c>
      <c r="AA752" s="19" t="s">
        <v>1663</v>
      </c>
      <c r="AB752" s="19" t="s">
        <v>1663</v>
      </c>
    </row>
    <row r="753" spans="1:28" s="18" customFormat="1">
      <c r="A753" s="18" t="s">
        <v>1512</v>
      </c>
      <c r="B753" s="18" t="s">
        <v>9</v>
      </c>
      <c r="C753" s="18" t="s">
        <v>2045</v>
      </c>
      <c r="D753" s="18" t="s">
        <v>2046</v>
      </c>
      <c r="E753" s="19" t="s">
        <v>39</v>
      </c>
      <c r="F753" s="18" t="s">
        <v>13</v>
      </c>
      <c r="G753" s="29"/>
      <c r="H753" s="32" t="str">
        <f>IF(Prueba[[#This Row],[Cant.]]=0,"",IF(OR(Prueba[[#This Row],[Cant.2]]="",Prueba[[#This Row],[Puesto2]]=""),"?",Prueba[[#This Row],[Puesto2]]))</f>
        <v/>
      </c>
      <c r="I753" s="31"/>
      <c r="J753" s="32"/>
      <c r="K753" s="14"/>
      <c r="L753" s="14"/>
      <c r="M753" s="31"/>
      <c r="N753" s="32" t="str">
        <f>IF(Prueba[[#This Row],[Cant.4]]=0,"",IF(OR(Prueba[[#This Row],[Cant.6]]="",Prueba[[#This Row],[Puesto6]]=""),"?",Prueba[[#This Row],[Puesto6]]))</f>
        <v/>
      </c>
      <c r="O753" s="31"/>
      <c r="P753" s="32" t="str">
        <f>IF(Prueba[[#This Row],[Cant.5]]=0,"",IF(OR(Prueba[[#This Row],[Cant.6]]="",Prueba[[#This Row],[Puesto6]]=""),"?",Prueba[[#This Row],[Puesto6]]))</f>
        <v/>
      </c>
      <c r="Q753" s="31"/>
      <c r="R753" s="32"/>
      <c r="S753" s="14"/>
      <c r="T753" s="14"/>
      <c r="U753" s="31">
        <v>1</v>
      </c>
      <c r="V753" s="32">
        <v>4</v>
      </c>
      <c r="W753" s="19"/>
      <c r="X753" s="19" t="s">
        <v>1667</v>
      </c>
      <c r="Y753" s="19" t="s">
        <v>1663</v>
      </c>
      <c r="Z753" s="19" t="s">
        <v>1663</v>
      </c>
      <c r="AA753" s="19" t="s">
        <v>1663</v>
      </c>
      <c r="AB753" s="19" t="s">
        <v>1663</v>
      </c>
    </row>
    <row r="754" spans="1:28" s="18" customFormat="1">
      <c r="A754" s="18" t="s">
        <v>1146</v>
      </c>
      <c r="B754" s="18" t="s">
        <v>9</v>
      </c>
      <c r="C754" s="18" t="s">
        <v>16</v>
      </c>
      <c r="D754" s="18" t="s">
        <v>984</v>
      </c>
      <c r="E754" s="19" t="s">
        <v>18</v>
      </c>
      <c r="F754" s="18" t="s">
        <v>13</v>
      </c>
      <c r="G754" s="29"/>
      <c r="H754" s="32" t="str">
        <f>IF(Prueba[[#This Row],[Cant.]]=0,"",IF(OR(Prueba[[#This Row],[Cant.2]]="",Prueba[[#This Row],[Puesto2]]=""),"?",Prueba[[#This Row],[Puesto2]]))</f>
        <v/>
      </c>
      <c r="I754" s="31"/>
      <c r="J754" s="32"/>
      <c r="K754" s="14">
        <v>1</v>
      </c>
      <c r="L754" s="14"/>
      <c r="M754" s="31">
        <v>1</v>
      </c>
      <c r="N754" s="32" t="str">
        <f>IF(Prueba[[#This Row],[Cant.4]]=0,"",IF(OR(Prueba[[#This Row],[Cant.6]]="",Prueba[[#This Row],[Puesto6]]=""),"?",Prueba[[#This Row],[Puesto6]]))</f>
        <v>C</v>
      </c>
      <c r="O754" s="31">
        <v>1</v>
      </c>
      <c r="P754" s="32" t="str">
        <f>IF(Prueba[[#This Row],[Cant.5]]=0,"",IF(OR(Prueba[[#This Row],[Cant.6]]="",Prueba[[#This Row],[Puesto6]]=""),"?",Prueba[[#This Row],[Puesto6]]))</f>
        <v>C</v>
      </c>
      <c r="Q754" s="31">
        <v>1</v>
      </c>
      <c r="R754" s="32" t="s">
        <v>1402</v>
      </c>
      <c r="S754" s="14"/>
      <c r="T754" s="14"/>
      <c r="U754" s="31">
        <v>1</v>
      </c>
      <c r="V754" s="32" t="s">
        <v>1402</v>
      </c>
      <c r="W754" s="19"/>
      <c r="X754" s="19" t="s">
        <v>1667</v>
      </c>
      <c r="Y754" s="19" t="s">
        <v>1663</v>
      </c>
      <c r="Z754" s="19" t="s">
        <v>1663</v>
      </c>
      <c r="AA754" s="19" t="s">
        <v>1663</v>
      </c>
      <c r="AB754" s="19" t="s">
        <v>1663</v>
      </c>
    </row>
    <row r="755" spans="1:28" s="18" customFormat="1">
      <c r="A755" s="18" t="s">
        <v>2190</v>
      </c>
      <c r="C755" s="18" t="s">
        <v>2191</v>
      </c>
      <c r="D755" s="18" t="s">
        <v>2191</v>
      </c>
      <c r="E755" s="19" t="s">
        <v>18</v>
      </c>
      <c r="G755" s="29"/>
      <c r="H755" s="32" t="str">
        <f>IF(Prueba[[#This Row],[Cant.]]=0,"",IF(OR(Prueba[[#This Row],[Cant.2]]="",Prueba[[#This Row],[Puesto2]]=""),"?",Prueba[[#This Row],[Puesto2]]))</f>
        <v/>
      </c>
      <c r="I755" s="31"/>
      <c r="J755" s="32"/>
      <c r="K755" s="14"/>
      <c r="L755" s="14"/>
      <c r="M755" s="31"/>
      <c r="N755" s="32" t="str">
        <f>IF(Prueba[[#This Row],[Cant.4]]=0,"",IF(OR(Prueba[[#This Row],[Cant.6]]="",Prueba[[#This Row],[Puesto6]]=""),"?",Prueba[[#This Row],[Puesto6]]))</f>
        <v/>
      </c>
      <c r="O755" s="31"/>
      <c r="P755" s="32" t="str">
        <f>IF(Prueba[[#This Row],[Cant.5]]=0,"",IF(OR(Prueba[[#This Row],[Cant.6]]="",Prueba[[#This Row],[Puesto6]]=""),"?",Prueba[[#This Row],[Puesto6]]))</f>
        <v/>
      </c>
      <c r="Q755" s="31"/>
      <c r="R755" s="32"/>
      <c r="S755" s="14"/>
      <c r="T755" s="14"/>
      <c r="U755" s="31"/>
      <c r="V755" s="32" t="s">
        <v>1663</v>
      </c>
      <c r="X755" s="19" t="s">
        <v>1667</v>
      </c>
      <c r="Y755" s="19">
        <v>1</v>
      </c>
      <c r="Z755" s="19" t="s">
        <v>1402</v>
      </c>
      <c r="AA755" s="19">
        <v>1</v>
      </c>
      <c r="AB755" s="19" t="s">
        <v>1402</v>
      </c>
    </row>
    <row r="756" spans="1:28" s="18" customFormat="1">
      <c r="A756" s="18" t="s">
        <v>1513</v>
      </c>
      <c r="B756" s="18" t="s">
        <v>9</v>
      </c>
      <c r="C756" s="18" t="s">
        <v>1752</v>
      </c>
      <c r="D756" s="18" t="s">
        <v>2060</v>
      </c>
      <c r="E756" s="19" t="s">
        <v>1733</v>
      </c>
      <c r="F756" s="18" t="s">
        <v>13</v>
      </c>
      <c r="G756" s="29"/>
      <c r="H756" s="32" t="str">
        <f>IF(Prueba[[#This Row],[Cant.]]=0,"",IF(OR(Prueba[[#This Row],[Cant.2]]="",Prueba[[#This Row],[Puesto2]]=""),"?",Prueba[[#This Row],[Puesto2]]))</f>
        <v/>
      </c>
      <c r="I756" s="31"/>
      <c r="J756" s="32"/>
      <c r="K756" s="14"/>
      <c r="L756" s="14"/>
      <c r="M756" s="31"/>
      <c r="N756" s="32" t="str">
        <f>IF(Prueba[[#This Row],[Cant.4]]=0,"",IF(OR(Prueba[[#This Row],[Cant.6]]="",Prueba[[#This Row],[Puesto6]]=""),"?",Prueba[[#This Row],[Puesto6]]))</f>
        <v/>
      </c>
      <c r="O756" s="31"/>
      <c r="P756" s="32" t="str">
        <f>IF(Prueba[[#This Row],[Cant.5]]=0,"",IF(OR(Prueba[[#This Row],[Cant.6]]="",Prueba[[#This Row],[Puesto6]]=""),"?",Prueba[[#This Row],[Puesto6]]))</f>
        <v/>
      </c>
      <c r="Q756" s="31"/>
      <c r="R756" s="32"/>
      <c r="S756" s="14"/>
      <c r="T756" s="14"/>
      <c r="U756" s="31">
        <v>1</v>
      </c>
      <c r="V756" s="32" t="s">
        <v>1402</v>
      </c>
      <c r="W756" s="19">
        <v>8</v>
      </c>
      <c r="X756" s="19" t="s">
        <v>1664</v>
      </c>
      <c r="Y756" s="19" t="s">
        <v>1663</v>
      </c>
      <c r="Z756" s="19" t="s">
        <v>1663</v>
      </c>
      <c r="AA756" s="19" t="s">
        <v>1663</v>
      </c>
      <c r="AB756" s="19" t="s">
        <v>1663</v>
      </c>
    </row>
    <row r="757" spans="1:28" s="18" customFormat="1">
      <c r="A757" s="18" t="s">
        <v>1514</v>
      </c>
      <c r="B757" s="18" t="s">
        <v>9</v>
      </c>
      <c r="C757" s="18" t="s">
        <v>2192</v>
      </c>
      <c r="D757" s="18" t="s">
        <v>2193</v>
      </c>
      <c r="E757" s="19" t="s">
        <v>39</v>
      </c>
      <c r="F757" s="18" t="s">
        <v>13</v>
      </c>
      <c r="G757" s="29"/>
      <c r="H757" s="32" t="str">
        <f>IF(Prueba[[#This Row],[Cant.]]=0,"",IF(OR(Prueba[[#This Row],[Cant.2]]="",Prueba[[#This Row],[Puesto2]]=""),"?",Prueba[[#This Row],[Puesto2]]))</f>
        <v/>
      </c>
      <c r="I757" s="31"/>
      <c r="J757" s="32"/>
      <c r="K757" s="14"/>
      <c r="L757" s="14"/>
      <c r="M757" s="31"/>
      <c r="N757" s="32" t="str">
        <f>IF(Prueba[[#This Row],[Cant.4]]=0,"",IF(OR(Prueba[[#This Row],[Cant.6]]="",Prueba[[#This Row],[Puesto6]]=""),"?",Prueba[[#This Row],[Puesto6]]))</f>
        <v/>
      </c>
      <c r="O757" s="31"/>
      <c r="P757" s="32" t="str">
        <f>IF(Prueba[[#This Row],[Cant.5]]=0,"",IF(OR(Prueba[[#This Row],[Cant.6]]="",Prueba[[#This Row],[Puesto6]]=""),"?",Prueba[[#This Row],[Puesto6]]))</f>
        <v/>
      </c>
      <c r="Q757" s="31"/>
      <c r="R757" s="32"/>
      <c r="S757" s="14"/>
      <c r="T757" s="14"/>
      <c r="U757" s="31">
        <v>1</v>
      </c>
      <c r="V757" s="32">
        <v>4</v>
      </c>
      <c r="W757" s="19"/>
      <c r="X757" s="19" t="s">
        <v>1667</v>
      </c>
      <c r="Y757" s="19" t="s">
        <v>1663</v>
      </c>
      <c r="Z757" s="19" t="s">
        <v>1663</v>
      </c>
      <c r="AA757" s="19" t="s">
        <v>1663</v>
      </c>
      <c r="AB757" s="19" t="s">
        <v>1663</v>
      </c>
    </row>
    <row r="758" spans="1:28" s="18" customFormat="1">
      <c r="A758" s="18" t="s">
        <v>1516</v>
      </c>
      <c r="B758" s="18" t="s">
        <v>9</v>
      </c>
      <c r="C758" s="18" t="s">
        <v>1943</v>
      </c>
      <c r="D758" s="18" t="s">
        <v>1944</v>
      </c>
      <c r="E758" s="19" t="s">
        <v>18</v>
      </c>
      <c r="F758" s="18" t="s">
        <v>13</v>
      </c>
      <c r="G758" s="29"/>
      <c r="H758" s="32" t="str">
        <f>IF(Prueba[[#This Row],[Cant.]]=0,"",IF(OR(Prueba[[#This Row],[Cant.2]]="",Prueba[[#This Row],[Puesto2]]=""),"?",Prueba[[#This Row],[Puesto2]]))</f>
        <v/>
      </c>
      <c r="I758" s="31"/>
      <c r="J758" s="32"/>
      <c r="K758" s="14"/>
      <c r="L758" s="14"/>
      <c r="M758" s="31"/>
      <c r="N758" s="32" t="str">
        <f>IF(Prueba[[#This Row],[Cant.4]]=0,"",IF(OR(Prueba[[#This Row],[Cant.6]]="",Prueba[[#This Row],[Puesto6]]=""),"?",Prueba[[#This Row],[Puesto6]]))</f>
        <v/>
      </c>
      <c r="O758" s="31"/>
      <c r="P758" s="32" t="str">
        <f>IF(Prueba[[#This Row],[Cant.5]]=0,"",IF(OR(Prueba[[#This Row],[Cant.6]]="",Prueba[[#This Row],[Puesto6]]=""),"?",Prueba[[#This Row],[Puesto6]]))</f>
        <v/>
      </c>
      <c r="Q758" s="31"/>
      <c r="R758" s="32"/>
      <c r="S758" s="14"/>
      <c r="T758" s="14"/>
      <c r="U758" s="31">
        <v>2</v>
      </c>
      <c r="V758" s="32">
        <v>2</v>
      </c>
      <c r="W758" s="19"/>
      <c r="X758" s="19" t="s">
        <v>1667</v>
      </c>
      <c r="Y758" s="19" t="s">
        <v>1663</v>
      </c>
      <c r="Z758" s="19" t="s">
        <v>1663</v>
      </c>
      <c r="AA758" s="19" t="s">
        <v>1663</v>
      </c>
      <c r="AB758" s="19" t="s">
        <v>1663</v>
      </c>
    </row>
    <row r="759" spans="1:28" s="18" customFormat="1">
      <c r="A759" s="18" t="s">
        <v>2194</v>
      </c>
      <c r="B759" s="18" t="s">
        <v>1806</v>
      </c>
      <c r="C759" s="18" t="s">
        <v>1813</v>
      </c>
      <c r="D759" s="18" t="s">
        <v>1814</v>
      </c>
      <c r="E759" s="19" t="s">
        <v>1733</v>
      </c>
      <c r="F759" s="18" t="s">
        <v>13</v>
      </c>
      <c r="G759" s="29"/>
      <c r="H759" s="32" t="str">
        <f>IF(Prueba[[#This Row],[Cant.]]=0,"",IF(OR(Prueba[[#This Row],[Cant.2]]="",Prueba[[#This Row],[Puesto2]]=""),"?",Prueba[[#This Row],[Puesto2]]))</f>
        <v/>
      </c>
      <c r="I759" s="31"/>
      <c r="J759" s="32"/>
      <c r="K759" s="14"/>
      <c r="L759" s="14"/>
      <c r="M759" s="31"/>
      <c r="N759" s="32"/>
      <c r="O759" s="31"/>
      <c r="P759" s="32"/>
      <c r="Q759" s="31"/>
      <c r="R759" s="32"/>
      <c r="S759" s="14"/>
      <c r="T759" s="14"/>
      <c r="U759" s="31"/>
      <c r="V759" s="32" t="s">
        <v>1663</v>
      </c>
      <c r="W759" s="19">
        <v>8</v>
      </c>
      <c r="X759" s="19" t="s">
        <v>1664</v>
      </c>
      <c r="Y759" s="19" t="s">
        <v>1663</v>
      </c>
      <c r="Z759" s="19" t="s">
        <v>1663</v>
      </c>
      <c r="AA759" s="19" t="s">
        <v>1663</v>
      </c>
      <c r="AB759" s="19" t="s">
        <v>1663</v>
      </c>
    </row>
    <row r="760" spans="1:28" s="18" customFormat="1">
      <c r="A760" s="35" t="s">
        <v>1147</v>
      </c>
      <c r="B760" s="35" t="s">
        <v>9</v>
      </c>
      <c r="C760" s="35" t="s">
        <v>1148</v>
      </c>
      <c r="D760" s="35" t="s">
        <v>1148</v>
      </c>
      <c r="E760" s="36" t="s">
        <v>22</v>
      </c>
      <c r="F760" s="35" t="s">
        <v>13</v>
      </c>
      <c r="G760" s="29"/>
      <c r="H760" s="32" t="str">
        <f>IF(Prueba[[#This Row],[Cant.]]=0,"",IF(OR(Prueba[[#This Row],[Cant.2]]="",Prueba[[#This Row],[Puesto2]]=""),"?",Prueba[[#This Row],[Puesto2]]))</f>
        <v/>
      </c>
      <c r="I760" s="31"/>
      <c r="J760" s="32"/>
      <c r="K760" s="14">
        <v>1</v>
      </c>
      <c r="L760" s="14"/>
      <c r="M760" s="31">
        <v>1</v>
      </c>
      <c r="N760" s="32" t="str">
        <f>IF(Prueba[[#This Row],[Cant.4]]=0,"",IF(OR(Prueba[[#This Row],[Cant.6]]="",Prueba[[#This Row],[Puesto6]]=""),"?",Prueba[[#This Row],[Puesto6]]))</f>
        <v>C</v>
      </c>
      <c r="O760" s="31">
        <v>1</v>
      </c>
      <c r="P760" s="32" t="str">
        <f>IF(Prueba[[#This Row],[Cant.5]]=0,"",IF(OR(Prueba[[#This Row],[Cant.6]]="",Prueba[[#This Row],[Puesto6]]=""),"?",Prueba[[#This Row],[Puesto6]]))</f>
        <v>C</v>
      </c>
      <c r="Q760" s="31">
        <v>1</v>
      </c>
      <c r="R760" s="32" t="s">
        <v>1402</v>
      </c>
      <c r="S760" s="14">
        <v>1</v>
      </c>
      <c r="T760" s="37" t="s">
        <v>1402</v>
      </c>
      <c r="U760" s="31">
        <v>1</v>
      </c>
      <c r="V760" s="32" t="s">
        <v>1402</v>
      </c>
      <c r="W760" s="36">
        <v>8</v>
      </c>
      <c r="X760" s="19" t="s">
        <v>1664</v>
      </c>
      <c r="Y760" s="19" t="s">
        <v>1663</v>
      </c>
      <c r="Z760" s="19" t="s">
        <v>1663</v>
      </c>
      <c r="AA760" s="19" t="s">
        <v>1663</v>
      </c>
      <c r="AB760" s="19" t="s">
        <v>1663</v>
      </c>
    </row>
    <row r="761" spans="1:28" s="18" customFormat="1">
      <c r="A761" s="18" t="s">
        <v>1517</v>
      </c>
      <c r="B761" s="18" t="s">
        <v>9</v>
      </c>
      <c r="C761" s="18" t="s">
        <v>1754</v>
      </c>
      <c r="D761" s="18" t="s">
        <v>1918</v>
      </c>
      <c r="E761" s="19" t="s">
        <v>18</v>
      </c>
      <c r="F761" s="18" t="s">
        <v>13</v>
      </c>
      <c r="G761" s="29"/>
      <c r="H761" s="32" t="str">
        <f>IF(Prueba[[#This Row],[Cant.]]=0,"",IF(OR(Prueba[[#This Row],[Cant.2]]="",Prueba[[#This Row],[Puesto2]]=""),"?",Prueba[[#This Row],[Puesto2]]))</f>
        <v/>
      </c>
      <c r="I761" s="31"/>
      <c r="J761" s="32"/>
      <c r="K761" s="14"/>
      <c r="L761" s="14"/>
      <c r="M761" s="31"/>
      <c r="N761" s="32" t="str">
        <f>IF(Prueba[[#This Row],[Cant.4]]=0,"",IF(OR(Prueba[[#This Row],[Cant.6]]="",Prueba[[#This Row],[Puesto6]]=""),"?",Prueba[[#This Row],[Puesto6]]))</f>
        <v/>
      </c>
      <c r="O761" s="31"/>
      <c r="P761" s="32" t="str">
        <f>IF(Prueba[[#This Row],[Cant.5]]=0,"",IF(OR(Prueba[[#This Row],[Cant.6]]="",Prueba[[#This Row],[Puesto6]]=""),"?",Prueba[[#This Row],[Puesto6]]))</f>
        <v/>
      </c>
      <c r="Q761" s="31"/>
      <c r="R761" s="32"/>
      <c r="S761" s="14"/>
      <c r="T761" s="14"/>
      <c r="U761" s="31">
        <v>1</v>
      </c>
      <c r="V761" s="32">
        <v>2</v>
      </c>
      <c r="W761" s="19"/>
      <c r="X761" s="19" t="s">
        <v>1667</v>
      </c>
      <c r="Y761" s="19" t="s">
        <v>1663</v>
      </c>
      <c r="Z761" s="19" t="s">
        <v>1663</v>
      </c>
      <c r="AA761" s="19" t="s">
        <v>1663</v>
      </c>
      <c r="AB761" s="19" t="s">
        <v>1663</v>
      </c>
    </row>
    <row r="762" spans="1:28" s="18" customFormat="1">
      <c r="A762" s="18" t="s">
        <v>2195</v>
      </c>
      <c r="B762" s="18" t="s">
        <v>9</v>
      </c>
      <c r="C762" s="18" t="s">
        <v>1827</v>
      </c>
      <c r="D762" s="18" t="s">
        <v>1828</v>
      </c>
      <c r="E762" s="19" t="s">
        <v>1733</v>
      </c>
      <c r="F762" s="18" t="s">
        <v>13</v>
      </c>
      <c r="G762" s="29"/>
      <c r="H762" s="32" t="str">
        <f>IF(Prueba[[#This Row],[Cant.]]=0,"",IF(OR(Prueba[[#This Row],[Cant.2]]="",Prueba[[#This Row],[Puesto2]]=""),"?",Prueba[[#This Row],[Puesto2]]))</f>
        <v/>
      </c>
      <c r="I762" s="31"/>
      <c r="J762" s="32"/>
      <c r="K762" s="14"/>
      <c r="L762" s="14"/>
      <c r="M762" s="31"/>
      <c r="N762" s="32" t="str">
        <f>IF(Prueba[[#This Row],[Cant.4]]=0,"",IF(OR(Prueba[[#This Row],[Cant.6]]="",Prueba[[#This Row],[Puesto6]]=""),"?",Prueba[[#This Row],[Puesto6]]))</f>
        <v/>
      </c>
      <c r="O762" s="31"/>
      <c r="P762" s="32" t="str">
        <f>IF(Prueba[[#This Row],[Cant.5]]=0,"",IF(OR(Prueba[[#This Row],[Cant.6]]="",Prueba[[#This Row],[Puesto6]]=""),"?",Prueba[[#This Row],[Puesto6]]))</f>
        <v/>
      </c>
      <c r="Q762" s="31"/>
      <c r="R762" s="32"/>
      <c r="S762" s="14">
        <v>2</v>
      </c>
      <c r="T762" s="14"/>
      <c r="U762" s="31"/>
      <c r="V762" s="32" t="s">
        <v>1663</v>
      </c>
      <c r="W762" s="19">
        <v>16</v>
      </c>
      <c r="X762" s="19" t="s">
        <v>1664</v>
      </c>
      <c r="Y762" s="19" t="s">
        <v>1663</v>
      </c>
      <c r="Z762" s="19" t="s">
        <v>1663</v>
      </c>
      <c r="AA762" s="19" t="s">
        <v>1663</v>
      </c>
      <c r="AB762" s="19" t="s">
        <v>1663</v>
      </c>
    </row>
    <row r="763" spans="1:28" s="18" customFormat="1">
      <c r="A763" s="18" t="s">
        <v>1518</v>
      </c>
      <c r="B763" s="18" t="s">
        <v>9</v>
      </c>
      <c r="C763" s="18" t="s">
        <v>1827</v>
      </c>
      <c r="D763" s="18" t="s">
        <v>1828</v>
      </c>
      <c r="E763" s="19" t="s">
        <v>1733</v>
      </c>
      <c r="F763" s="18" t="s">
        <v>13</v>
      </c>
      <c r="G763" s="29"/>
      <c r="H763" s="32" t="str">
        <f>IF(Prueba[[#This Row],[Cant.]]=0,"",IF(OR(Prueba[[#This Row],[Cant.2]]="",Prueba[[#This Row],[Puesto2]]=""),"?",Prueba[[#This Row],[Puesto2]]))</f>
        <v/>
      </c>
      <c r="I763" s="31"/>
      <c r="J763" s="32"/>
      <c r="K763" s="14"/>
      <c r="L763" s="14"/>
      <c r="M763" s="31"/>
      <c r="N763" s="32" t="str">
        <f>IF(Prueba[[#This Row],[Cant.4]]=0,"",IF(OR(Prueba[[#This Row],[Cant.6]]="",Prueba[[#This Row],[Puesto6]]=""),"?",Prueba[[#This Row],[Puesto6]]))</f>
        <v/>
      </c>
      <c r="O763" s="31"/>
      <c r="P763" s="32" t="str">
        <f>IF(Prueba[[#This Row],[Cant.5]]=0,"",IF(OR(Prueba[[#This Row],[Cant.6]]="",Prueba[[#This Row],[Puesto6]]=""),"?",Prueba[[#This Row],[Puesto6]]))</f>
        <v/>
      </c>
      <c r="Q763" s="31"/>
      <c r="R763" s="32"/>
      <c r="S763" s="14"/>
      <c r="T763" s="14"/>
      <c r="U763" s="31">
        <v>1</v>
      </c>
      <c r="V763" s="32">
        <v>4</v>
      </c>
      <c r="W763" s="19">
        <v>8</v>
      </c>
      <c r="X763" s="19" t="s">
        <v>1664</v>
      </c>
      <c r="Y763" s="19" t="s">
        <v>1663</v>
      </c>
      <c r="Z763" s="19" t="s">
        <v>1663</v>
      </c>
      <c r="AA763" s="19" t="s">
        <v>1663</v>
      </c>
      <c r="AB763" s="19" t="s">
        <v>1663</v>
      </c>
    </row>
    <row r="764" spans="1:28" s="18" customFormat="1">
      <c r="A764" s="18" t="s">
        <v>1149</v>
      </c>
      <c r="B764" s="18" t="s">
        <v>9</v>
      </c>
      <c r="C764" s="18" t="s">
        <v>557</v>
      </c>
      <c r="D764" s="18" t="s">
        <v>558</v>
      </c>
      <c r="E764" s="19" t="s">
        <v>22</v>
      </c>
      <c r="F764" s="18" t="s">
        <v>13</v>
      </c>
      <c r="G764" s="29"/>
      <c r="H764" s="32" t="str">
        <f>IF(Prueba[[#This Row],[Cant.]]=0,"",IF(OR(Prueba[[#This Row],[Cant.2]]="",Prueba[[#This Row],[Puesto2]]=""),"?",Prueba[[#This Row],[Puesto2]]))</f>
        <v/>
      </c>
      <c r="I764" s="31"/>
      <c r="J764" s="32"/>
      <c r="K764" s="14">
        <v>8</v>
      </c>
      <c r="L764" s="14"/>
      <c r="M764" s="31">
        <v>8</v>
      </c>
      <c r="N764" s="32">
        <f>IF(Prueba[[#This Row],[Cant.4]]=0,"",IF(OR(Prueba[[#This Row],[Cant.6]]="",Prueba[[#This Row],[Puesto6]]=""),"?",Prueba[[#This Row],[Puesto6]]))</f>
        <v>5</v>
      </c>
      <c r="O764" s="31">
        <v>8</v>
      </c>
      <c r="P764" s="32">
        <f>IF(Prueba[[#This Row],[Cant.5]]=0,"",IF(OR(Prueba[[#This Row],[Cant.6]]="",Prueba[[#This Row],[Puesto6]]=""),"?",Prueba[[#This Row],[Puesto6]]))</f>
        <v>5</v>
      </c>
      <c r="Q764" s="31">
        <v>8</v>
      </c>
      <c r="R764" s="32">
        <v>5</v>
      </c>
      <c r="S764" s="14">
        <v>8</v>
      </c>
      <c r="T764" s="14">
        <v>5</v>
      </c>
      <c r="U764" s="31">
        <v>9</v>
      </c>
      <c r="V764" s="32">
        <v>5</v>
      </c>
      <c r="W764" s="19">
        <v>72</v>
      </c>
      <c r="X764" s="19" t="s">
        <v>1664</v>
      </c>
      <c r="Y764" s="19" t="s">
        <v>1663</v>
      </c>
      <c r="Z764" s="19" t="s">
        <v>1663</v>
      </c>
      <c r="AA764" s="19" t="s">
        <v>1663</v>
      </c>
      <c r="AB764" s="19" t="s">
        <v>1663</v>
      </c>
    </row>
    <row r="765" spans="1:28" s="18" customFormat="1">
      <c r="A765" s="18" t="s">
        <v>1150</v>
      </c>
      <c r="B765" s="18" t="s">
        <v>9</v>
      </c>
      <c r="C765" s="18" t="s">
        <v>558</v>
      </c>
      <c r="D765" s="18" t="s">
        <v>558</v>
      </c>
      <c r="E765" s="19" t="s">
        <v>22</v>
      </c>
      <c r="F765" s="18" t="s">
        <v>13</v>
      </c>
      <c r="G765" s="29"/>
      <c r="H765" s="32" t="str">
        <f>IF(Prueba[[#This Row],[Cant.]]=0,"",IF(OR(Prueba[[#This Row],[Cant.2]]="",Prueba[[#This Row],[Puesto2]]=""),"?",Prueba[[#This Row],[Puesto2]]))</f>
        <v/>
      </c>
      <c r="I765" s="31"/>
      <c r="J765" s="32"/>
      <c r="K765" s="14">
        <v>5</v>
      </c>
      <c r="L765" s="14"/>
      <c r="M765" s="31">
        <v>5</v>
      </c>
      <c r="N765" s="32">
        <f>IF(Prueba[[#This Row],[Cant.4]]=0,"",IF(OR(Prueba[[#This Row],[Cant.6]]="",Prueba[[#This Row],[Puesto6]]=""),"?",Prueba[[#This Row],[Puesto6]]))</f>
        <v>0</v>
      </c>
      <c r="O765" s="31">
        <v>5</v>
      </c>
      <c r="P765" s="32">
        <f>IF(Prueba[[#This Row],[Cant.5]]=0,"",IF(OR(Prueba[[#This Row],[Cant.6]]="",Prueba[[#This Row],[Puesto6]]=""),"?",Prueba[[#This Row],[Puesto6]]))</f>
        <v>0</v>
      </c>
      <c r="Q765" s="31">
        <v>5</v>
      </c>
      <c r="R765" s="32">
        <v>0</v>
      </c>
      <c r="S765" s="14">
        <v>5</v>
      </c>
      <c r="T765" s="14">
        <v>0</v>
      </c>
      <c r="U765" s="31">
        <v>5</v>
      </c>
      <c r="V765" s="32">
        <v>1</v>
      </c>
      <c r="W765" s="19">
        <v>40</v>
      </c>
      <c r="X765" s="19" t="s">
        <v>1664</v>
      </c>
      <c r="Y765" s="19" t="s">
        <v>1663</v>
      </c>
      <c r="Z765" s="19" t="s">
        <v>1663</v>
      </c>
      <c r="AA765" s="19" t="s">
        <v>1663</v>
      </c>
      <c r="AB765" s="19" t="s">
        <v>1663</v>
      </c>
    </row>
    <row r="766" spans="1:28" s="18" customFormat="1">
      <c r="A766" s="18" t="s">
        <v>1151</v>
      </c>
      <c r="B766" s="18" t="s">
        <v>9</v>
      </c>
      <c r="C766" s="18" t="s">
        <v>557</v>
      </c>
      <c r="D766" s="18" t="s">
        <v>558</v>
      </c>
      <c r="E766" s="19" t="s">
        <v>22</v>
      </c>
      <c r="F766" s="18" t="s">
        <v>13</v>
      </c>
      <c r="G766" s="29"/>
      <c r="H766" s="32" t="str">
        <f>IF(Prueba[[#This Row],[Cant.]]=0,"",IF(OR(Prueba[[#This Row],[Cant.2]]="",Prueba[[#This Row],[Puesto2]]=""),"?",Prueba[[#This Row],[Puesto2]]))</f>
        <v/>
      </c>
      <c r="I766" s="31"/>
      <c r="J766" s="32"/>
      <c r="K766" s="14">
        <v>1</v>
      </c>
      <c r="L766" s="14"/>
      <c r="M766" s="31">
        <v>1</v>
      </c>
      <c r="N766" s="32">
        <f>IF(Prueba[[#This Row],[Cant.4]]=0,"",IF(OR(Prueba[[#This Row],[Cant.6]]="",Prueba[[#This Row],[Puesto6]]=""),"?",Prueba[[#This Row],[Puesto6]]))</f>
        <v>4</v>
      </c>
      <c r="O766" s="31">
        <v>1</v>
      </c>
      <c r="P766" s="32">
        <f>IF(Prueba[[#This Row],[Cant.5]]=0,"",IF(OR(Prueba[[#This Row],[Cant.6]]="",Prueba[[#This Row],[Puesto6]]=""),"?",Prueba[[#This Row],[Puesto6]]))</f>
        <v>4</v>
      </c>
      <c r="Q766" s="31">
        <v>1</v>
      </c>
      <c r="R766" s="32">
        <v>4</v>
      </c>
      <c r="S766" s="14">
        <v>1</v>
      </c>
      <c r="T766" s="14">
        <v>4</v>
      </c>
      <c r="U766" s="31">
        <v>1</v>
      </c>
      <c r="V766" s="32">
        <v>4</v>
      </c>
      <c r="W766" s="19">
        <v>8</v>
      </c>
      <c r="X766" s="19" t="s">
        <v>1664</v>
      </c>
      <c r="Y766" s="19" t="s">
        <v>1663</v>
      </c>
      <c r="Z766" s="19" t="s">
        <v>1663</v>
      </c>
      <c r="AA766" s="19" t="s">
        <v>1663</v>
      </c>
      <c r="AB766" s="19" t="s">
        <v>1663</v>
      </c>
    </row>
    <row r="767" spans="1:28" s="18" customFormat="1">
      <c r="A767" s="18" t="s">
        <v>1520</v>
      </c>
      <c r="B767" s="18" t="s">
        <v>9</v>
      </c>
      <c r="C767" s="18" t="s">
        <v>1827</v>
      </c>
      <c r="D767" s="18" t="s">
        <v>1828</v>
      </c>
      <c r="E767" s="19" t="s">
        <v>1733</v>
      </c>
      <c r="F767" s="18" t="s">
        <v>13</v>
      </c>
      <c r="G767" s="29"/>
      <c r="H767" s="32" t="str">
        <f>IF(Prueba[[#This Row],[Cant.]]=0,"",IF(OR(Prueba[[#This Row],[Cant.2]]="",Prueba[[#This Row],[Puesto2]]=""),"?",Prueba[[#This Row],[Puesto2]]))</f>
        <v/>
      </c>
      <c r="I767" s="31"/>
      <c r="J767" s="32"/>
      <c r="K767" s="14"/>
      <c r="L767" s="14"/>
      <c r="M767" s="31"/>
      <c r="N767" s="32" t="str">
        <f>IF(Prueba[[#This Row],[Cant.4]]=0,"",IF(OR(Prueba[[#This Row],[Cant.6]]="",Prueba[[#This Row],[Puesto6]]=""),"?",Prueba[[#This Row],[Puesto6]]))</f>
        <v/>
      </c>
      <c r="O767" s="31"/>
      <c r="P767" s="32" t="str">
        <f>IF(Prueba[[#This Row],[Cant.5]]=0,"",IF(OR(Prueba[[#This Row],[Cant.6]]="",Prueba[[#This Row],[Puesto6]]=""),"?",Prueba[[#This Row],[Puesto6]]))</f>
        <v/>
      </c>
      <c r="Q767" s="31"/>
      <c r="R767" s="32"/>
      <c r="S767" s="14"/>
      <c r="T767" s="14"/>
      <c r="U767" s="31">
        <v>5</v>
      </c>
      <c r="V767" s="32">
        <v>0</v>
      </c>
      <c r="W767" s="19">
        <v>40</v>
      </c>
      <c r="X767" s="19" t="s">
        <v>1664</v>
      </c>
      <c r="Y767" s="19" t="s">
        <v>1663</v>
      </c>
      <c r="Z767" s="19" t="s">
        <v>1663</v>
      </c>
      <c r="AA767" s="19" t="s">
        <v>1663</v>
      </c>
      <c r="AB767" s="19" t="s">
        <v>1663</v>
      </c>
    </row>
    <row r="768" spans="1:28" s="18" customFormat="1">
      <c r="A768" s="18" t="s">
        <v>1152</v>
      </c>
      <c r="B768" s="18" t="s">
        <v>9</v>
      </c>
      <c r="C768" s="18" t="s">
        <v>557</v>
      </c>
      <c r="D768" s="18" t="s">
        <v>558</v>
      </c>
      <c r="E768" s="19" t="s">
        <v>22</v>
      </c>
      <c r="F768" s="18" t="s">
        <v>13</v>
      </c>
      <c r="G768" s="29"/>
      <c r="H768" s="32" t="str">
        <f>IF(Prueba[[#This Row],[Cant.]]=0,"",IF(OR(Prueba[[#This Row],[Cant.2]]="",Prueba[[#This Row],[Puesto2]]=""),"?",Prueba[[#This Row],[Puesto2]]))</f>
        <v/>
      </c>
      <c r="I768" s="31"/>
      <c r="J768" s="32"/>
      <c r="K768" s="14">
        <v>12</v>
      </c>
      <c r="L768" s="14"/>
      <c r="M768" s="31">
        <v>12</v>
      </c>
      <c r="N768" s="32">
        <f>IF(Prueba[[#This Row],[Cant.4]]=0,"",IF(OR(Prueba[[#This Row],[Cant.6]]="",Prueba[[#This Row],[Puesto6]]=""),"?",Prueba[[#This Row],[Puesto6]]))</f>
        <v>3</v>
      </c>
      <c r="O768" s="31">
        <v>12</v>
      </c>
      <c r="P768" s="32">
        <f>IF(Prueba[[#This Row],[Cant.5]]=0,"",IF(OR(Prueba[[#This Row],[Cant.6]]="",Prueba[[#This Row],[Puesto6]]=""),"?",Prueba[[#This Row],[Puesto6]]))</f>
        <v>3</v>
      </c>
      <c r="Q768" s="31">
        <v>12</v>
      </c>
      <c r="R768" s="32">
        <v>3</v>
      </c>
      <c r="S768" s="14"/>
      <c r="T768" s="14"/>
      <c r="U768" s="31">
        <v>12</v>
      </c>
      <c r="V768" s="32">
        <v>3</v>
      </c>
      <c r="W768" s="19">
        <v>96</v>
      </c>
      <c r="X768" s="19" t="s">
        <v>1664</v>
      </c>
      <c r="Y768" s="19" t="s">
        <v>1663</v>
      </c>
      <c r="Z768" s="19" t="s">
        <v>1663</v>
      </c>
      <c r="AA768" s="19" t="s">
        <v>1663</v>
      </c>
      <c r="AB768" s="19" t="s">
        <v>1663</v>
      </c>
    </row>
    <row r="769" spans="1:28" s="18" customFormat="1" ht="28.9">
      <c r="A769" s="18" t="s">
        <v>556</v>
      </c>
      <c r="B769" s="18" t="s">
        <v>9</v>
      </c>
      <c r="C769" s="18" t="s">
        <v>557</v>
      </c>
      <c r="D769" s="18" t="s">
        <v>558</v>
      </c>
      <c r="E769" s="19" t="s">
        <v>22</v>
      </c>
      <c r="F769" s="18" t="s">
        <v>13</v>
      </c>
      <c r="G769" s="29">
        <v>2</v>
      </c>
      <c r="H769" s="32">
        <f>IF(Prueba[[#This Row],[Cant.]]=0,"",IF(OR(Prueba[[#This Row],[Cant.2]]="",Prueba[[#This Row],[Puesto2]]=""),"?",Prueba[[#This Row],[Puesto2]]))</f>
        <v>6</v>
      </c>
      <c r="I769" s="31">
        <v>2</v>
      </c>
      <c r="J769" s="32">
        <v>6</v>
      </c>
      <c r="K769" s="14">
        <v>20</v>
      </c>
      <c r="L769" s="14"/>
      <c r="M769" s="31">
        <v>20</v>
      </c>
      <c r="N769" s="32" t="str">
        <f>IF(Prueba[[#This Row],[Cant.4]]=0,"",IF(OR(Prueba[[#This Row],[Cant.6]]="",Prueba[[#This Row],[Puesto6]]=""),"?",Prueba[[#This Row],[Puesto6]]))</f>
        <v>2x0 + 8x3 + 2x6 + 8xB</v>
      </c>
      <c r="O769" s="31">
        <v>18</v>
      </c>
      <c r="P769" s="32" t="str">
        <f>IF(Prueba[[#This Row],[Cant.5]]=0,"",IF(OR(Prueba[[#This Row],[Cant.6]]="",Prueba[[#This Row],[Puesto6]]=""),"?",Prueba[[#This Row],[Puesto6]]))</f>
        <v>2x0 + 8x3 + 2x6 + 8xB</v>
      </c>
      <c r="Q769" s="31">
        <v>20</v>
      </c>
      <c r="R769" s="32" t="s">
        <v>2196</v>
      </c>
      <c r="S769" s="14">
        <v>18</v>
      </c>
      <c r="T769" s="14" t="s">
        <v>2197</v>
      </c>
      <c r="U769" s="31">
        <v>20</v>
      </c>
      <c r="V769" s="32" t="s">
        <v>1521</v>
      </c>
      <c r="W769" s="19">
        <v>160</v>
      </c>
      <c r="X769" s="19" t="s">
        <v>1664</v>
      </c>
      <c r="Y769" s="19">
        <v>3</v>
      </c>
      <c r="Z769" s="19">
        <v>6</v>
      </c>
      <c r="AA769" s="19">
        <v>3</v>
      </c>
      <c r="AB769" s="19">
        <v>6</v>
      </c>
    </row>
    <row r="770" spans="1:28" s="18" customFormat="1">
      <c r="A770" s="18" t="s">
        <v>1522</v>
      </c>
      <c r="B770" s="18" t="s">
        <v>9</v>
      </c>
      <c r="C770" s="18" t="s">
        <v>1827</v>
      </c>
      <c r="D770" s="18" t="s">
        <v>1828</v>
      </c>
      <c r="E770" s="19" t="s">
        <v>1733</v>
      </c>
      <c r="F770" s="18" t="s">
        <v>13</v>
      </c>
      <c r="G770" s="29"/>
      <c r="H770" s="32" t="str">
        <f>IF(Prueba[[#This Row],[Cant.]]=0,"",IF(OR(Prueba[[#This Row],[Cant.2]]="",Prueba[[#This Row],[Puesto2]]=""),"?",Prueba[[#This Row],[Puesto2]]))</f>
        <v/>
      </c>
      <c r="I770" s="31"/>
      <c r="J770" s="32"/>
      <c r="K770" s="14"/>
      <c r="L770" s="14"/>
      <c r="M770" s="31"/>
      <c r="N770" s="32" t="str">
        <f>IF(Prueba[[#This Row],[Cant.4]]=0,"",IF(OR(Prueba[[#This Row],[Cant.6]]="",Prueba[[#This Row],[Puesto6]]=""),"?",Prueba[[#This Row],[Puesto6]]))</f>
        <v/>
      </c>
      <c r="O770" s="31"/>
      <c r="P770" s="32" t="str">
        <f>IF(Prueba[[#This Row],[Cant.5]]=0,"",IF(OR(Prueba[[#This Row],[Cant.6]]="",Prueba[[#This Row],[Puesto6]]=""),"?",Prueba[[#This Row],[Puesto6]]))</f>
        <v/>
      </c>
      <c r="Q770" s="31"/>
      <c r="R770" s="32"/>
      <c r="S770" s="14"/>
      <c r="T770" s="14"/>
      <c r="U770" s="31">
        <v>4</v>
      </c>
      <c r="V770" s="32" t="s">
        <v>1523</v>
      </c>
      <c r="W770" s="19">
        <v>32</v>
      </c>
      <c r="X770" s="19" t="s">
        <v>1664</v>
      </c>
      <c r="Y770" s="19" t="s">
        <v>1663</v>
      </c>
      <c r="Z770" s="19" t="s">
        <v>1663</v>
      </c>
      <c r="AA770" s="19" t="s">
        <v>1663</v>
      </c>
      <c r="AB770" s="19" t="s">
        <v>1663</v>
      </c>
    </row>
    <row r="771" spans="1:28" s="18" customFormat="1" ht="28.9">
      <c r="A771" s="18" t="s">
        <v>1153</v>
      </c>
      <c r="B771" s="18" t="s">
        <v>9</v>
      </c>
      <c r="C771" s="18" t="s">
        <v>557</v>
      </c>
      <c r="D771" s="18" t="s">
        <v>558</v>
      </c>
      <c r="E771" s="19" t="s">
        <v>22</v>
      </c>
      <c r="F771" s="18" t="s">
        <v>13</v>
      </c>
      <c r="G771" s="29"/>
      <c r="H771" s="32" t="str">
        <f>IF(Prueba[[#This Row],[Cant.]]=0,"",IF(OR(Prueba[[#This Row],[Cant.2]]="",Prueba[[#This Row],[Puesto2]]=""),"?",Prueba[[#This Row],[Puesto2]]))</f>
        <v/>
      </c>
      <c r="I771" s="31"/>
      <c r="J771" s="32"/>
      <c r="K771" s="14">
        <v>48</v>
      </c>
      <c r="L771" s="14"/>
      <c r="M771" s="31">
        <v>48</v>
      </c>
      <c r="N771" s="32" t="str">
        <f>IF(Prueba[[#This Row],[Cant.4]]=0,"",IF(OR(Prueba[[#This Row],[Cant.6]]="",Prueba[[#This Row],[Puesto6]]=""),"?",Prueba[[#This Row],[Puesto6]]))</f>
        <v>16x0 + 12x3 + 16xA</v>
      </c>
      <c r="O771" s="31">
        <v>48</v>
      </c>
      <c r="P771" s="32" t="str">
        <f>IF(Prueba[[#This Row],[Cant.5]]=0,"",IF(OR(Prueba[[#This Row],[Cant.6]]="",Prueba[[#This Row],[Puesto6]]=""),"?",Prueba[[#This Row],[Puesto6]]))</f>
        <v>16x0 + 12x3 + 16xA</v>
      </c>
      <c r="Q771" s="31">
        <v>48</v>
      </c>
      <c r="R771" s="32" t="s">
        <v>2198</v>
      </c>
      <c r="S771" s="14">
        <v>8</v>
      </c>
      <c r="T771" s="14" t="s">
        <v>2199</v>
      </c>
      <c r="U771" s="31">
        <v>36</v>
      </c>
      <c r="V771" s="32" t="s">
        <v>1524</v>
      </c>
      <c r="W771" s="19">
        <v>688</v>
      </c>
      <c r="X771" s="19" t="s">
        <v>1664</v>
      </c>
      <c r="Y771" s="19" t="s">
        <v>1663</v>
      </c>
      <c r="Z771" s="19" t="s">
        <v>1663</v>
      </c>
      <c r="AA771" s="19" t="s">
        <v>1663</v>
      </c>
      <c r="AB771" s="19" t="s">
        <v>1663</v>
      </c>
    </row>
    <row r="772" spans="1:28" s="18" customFormat="1">
      <c r="A772" s="3" t="s">
        <v>1525</v>
      </c>
      <c r="B772" s="22" t="s">
        <v>9</v>
      </c>
      <c r="C772" t="s">
        <v>1827</v>
      </c>
      <c r="D772" t="s">
        <v>1828</v>
      </c>
      <c r="E772" s="23" t="s">
        <v>22</v>
      </c>
      <c r="F772" s="22" t="s">
        <v>13</v>
      </c>
      <c r="G772" s="30"/>
      <c r="H772" s="32" t="str">
        <f>IF(Prueba[[#This Row],[Cant.]]=0,"",IF(OR(Prueba[[#This Row],[Cant.2]]="",Prueba[[#This Row],[Puesto2]]=""),"?",Prueba[[#This Row],[Puesto2]]))</f>
        <v/>
      </c>
      <c r="I772" s="33"/>
      <c r="J772" s="34"/>
      <c r="K772" s="83"/>
      <c r="L772" s="83"/>
      <c r="M772" s="33"/>
      <c r="N772" s="32" t="str">
        <f>IF(Prueba[[#This Row],[Cant.4]]=0,"",IF(OR(Prueba[[#This Row],[Cant.6]]="",Prueba[[#This Row],[Puesto6]]=""),"?",Prueba[[#This Row],[Puesto6]]))</f>
        <v/>
      </c>
      <c r="O772" s="33"/>
      <c r="P772" s="32" t="str">
        <f>IF(Prueba[[#This Row],[Cant.5]]=0,"",IF(OR(Prueba[[#This Row],[Cant.6]]="",Prueba[[#This Row],[Puesto6]]=""),"?",Prueba[[#This Row],[Puesto6]]))</f>
        <v/>
      </c>
      <c r="Q772" s="33"/>
      <c r="R772" s="34"/>
      <c r="S772" s="83"/>
      <c r="T772" s="83"/>
      <c r="U772" s="33">
        <v>32</v>
      </c>
      <c r="V772" s="34">
        <v>0</v>
      </c>
      <c r="W772" s="23">
        <v>256</v>
      </c>
      <c r="X772" s="19" t="s">
        <v>1664</v>
      </c>
      <c r="Y772" s="19" t="s">
        <v>1663</v>
      </c>
      <c r="Z772" s="19" t="s">
        <v>1663</v>
      </c>
      <c r="AA772" s="19" t="s">
        <v>1663</v>
      </c>
      <c r="AB772" s="19" t="s">
        <v>1663</v>
      </c>
    </row>
    <row r="773" spans="1:28" s="18" customFormat="1">
      <c r="A773" s="18" t="s">
        <v>1154</v>
      </c>
      <c r="B773" s="18" t="s">
        <v>9</v>
      </c>
      <c r="C773" s="18" t="s">
        <v>557</v>
      </c>
      <c r="D773" s="18" t="s">
        <v>558</v>
      </c>
      <c r="E773" s="19" t="s">
        <v>22</v>
      </c>
      <c r="F773" s="18" t="s">
        <v>13</v>
      </c>
      <c r="G773" s="29"/>
      <c r="H773" s="32" t="str">
        <f>IF(Prueba[[#This Row],[Cant.]]=0,"",IF(OR(Prueba[[#This Row],[Cant.2]]="",Prueba[[#This Row],[Puesto2]]=""),"?",Prueba[[#This Row],[Puesto2]]))</f>
        <v/>
      </c>
      <c r="I773" s="31"/>
      <c r="J773" s="32"/>
      <c r="K773" s="14">
        <v>8</v>
      </c>
      <c r="L773" s="14"/>
      <c r="M773" s="31">
        <v>8</v>
      </c>
      <c r="N773" s="32" t="str">
        <f>IF(Prueba[[#This Row],[Cant.4]]=0,"",IF(OR(Prueba[[#This Row],[Cant.6]]="",Prueba[[#This Row],[Puesto6]]=""),"?",Prueba[[#This Row],[Puesto6]]))</f>
        <v>B</v>
      </c>
      <c r="O773" s="31">
        <v>8</v>
      </c>
      <c r="P773" s="32" t="str">
        <f>IF(Prueba[[#This Row],[Cant.5]]=0,"",IF(OR(Prueba[[#This Row],[Cant.6]]="",Prueba[[#This Row],[Puesto6]]=""),"?",Prueba[[#This Row],[Puesto6]]))</f>
        <v>B</v>
      </c>
      <c r="Q773" s="31">
        <v>8</v>
      </c>
      <c r="R773" s="32" t="s">
        <v>1447</v>
      </c>
      <c r="S773" s="14">
        <v>8</v>
      </c>
      <c r="T773" s="14" t="s">
        <v>1447</v>
      </c>
      <c r="U773" s="31">
        <v>12</v>
      </c>
      <c r="V773" s="32" t="s">
        <v>1526</v>
      </c>
      <c r="W773" s="19">
        <v>96</v>
      </c>
      <c r="X773" s="19" t="s">
        <v>1664</v>
      </c>
      <c r="Y773" s="19" t="s">
        <v>1663</v>
      </c>
      <c r="Z773" s="19" t="s">
        <v>1663</v>
      </c>
      <c r="AA773" s="19" t="s">
        <v>1663</v>
      </c>
      <c r="AB773" s="19" t="s">
        <v>1663</v>
      </c>
    </row>
    <row r="774" spans="1:28" s="18" customFormat="1">
      <c r="A774" s="18" t="s">
        <v>1155</v>
      </c>
      <c r="B774" s="18" t="s">
        <v>9</v>
      </c>
      <c r="C774" s="18" t="s">
        <v>557</v>
      </c>
      <c r="D774" s="18" t="s">
        <v>558</v>
      </c>
      <c r="E774" s="19" t="s">
        <v>22</v>
      </c>
      <c r="F774" s="18" t="s">
        <v>13</v>
      </c>
      <c r="G774" s="29"/>
      <c r="H774" s="32" t="str">
        <f>IF(Prueba[[#This Row],[Cant.]]=0,"",IF(OR(Prueba[[#This Row],[Cant.2]]="",Prueba[[#This Row],[Puesto2]]=""),"?",Prueba[[#This Row],[Puesto2]]))</f>
        <v/>
      </c>
      <c r="I774" s="31"/>
      <c r="J774" s="32"/>
      <c r="K774" s="14">
        <v>8</v>
      </c>
      <c r="L774" s="14"/>
      <c r="M774" s="31">
        <v>8</v>
      </c>
      <c r="N774" s="32" t="str">
        <f>IF(Prueba[[#This Row],[Cant.4]]=0,"",IF(OR(Prueba[[#This Row],[Cant.6]]="",Prueba[[#This Row],[Puesto6]]=""),"?",Prueba[[#This Row],[Puesto6]]))</f>
        <v>A</v>
      </c>
      <c r="O774" s="31">
        <v>8</v>
      </c>
      <c r="P774" s="32" t="str">
        <f>IF(Prueba[[#This Row],[Cant.5]]=0,"",IF(OR(Prueba[[#This Row],[Cant.6]]="",Prueba[[#This Row],[Puesto6]]=""),"?",Prueba[[#This Row],[Puesto6]]))</f>
        <v>A</v>
      </c>
      <c r="Q774" s="31">
        <v>8</v>
      </c>
      <c r="R774" s="32" t="s">
        <v>1421</v>
      </c>
      <c r="S774" s="14">
        <v>8</v>
      </c>
      <c r="T774" s="14" t="s">
        <v>1421</v>
      </c>
      <c r="U774" s="31">
        <v>8</v>
      </c>
      <c r="V774" s="32" t="s">
        <v>1421</v>
      </c>
      <c r="W774" s="19">
        <v>64</v>
      </c>
      <c r="X774" s="19" t="s">
        <v>1664</v>
      </c>
      <c r="Y774" s="19" t="s">
        <v>1663</v>
      </c>
      <c r="Z774" s="19" t="s">
        <v>1663</v>
      </c>
      <c r="AA774" s="19" t="s">
        <v>1663</v>
      </c>
      <c r="AB774" s="19" t="s">
        <v>1663</v>
      </c>
    </row>
    <row r="775" spans="1:28" s="18" customFormat="1">
      <c r="A775" s="18" t="s">
        <v>1156</v>
      </c>
      <c r="B775" s="18" t="s">
        <v>9</v>
      </c>
      <c r="C775" s="18" t="s">
        <v>557</v>
      </c>
      <c r="D775" s="18" t="s">
        <v>558</v>
      </c>
      <c r="E775" s="19" t="s">
        <v>22</v>
      </c>
      <c r="F775" s="18" t="s">
        <v>13</v>
      </c>
      <c r="G775" s="29"/>
      <c r="H775" s="32" t="str">
        <f>IF(Prueba[[#This Row],[Cant.]]=0,"",IF(OR(Prueba[[#This Row],[Cant.2]]="",Prueba[[#This Row],[Puesto2]]=""),"?",Prueba[[#This Row],[Puesto2]]))</f>
        <v/>
      </c>
      <c r="I775" s="31"/>
      <c r="J775" s="32"/>
      <c r="K775" s="14">
        <v>8</v>
      </c>
      <c r="L775" s="14"/>
      <c r="M775" s="31">
        <v>8</v>
      </c>
      <c r="N775" s="32">
        <f>IF(Prueba[[#This Row],[Cant.4]]=0,"",IF(OR(Prueba[[#This Row],[Cant.6]]="",Prueba[[#This Row],[Puesto6]]=""),"?",Prueba[[#This Row],[Puesto6]]))</f>
        <v>3</v>
      </c>
      <c r="O775" s="31">
        <v>8</v>
      </c>
      <c r="P775" s="32">
        <f>IF(Prueba[[#This Row],[Cant.5]]=0,"",IF(OR(Prueba[[#This Row],[Cant.6]]="",Prueba[[#This Row],[Puesto6]]=""),"?",Prueba[[#This Row],[Puesto6]]))</f>
        <v>3</v>
      </c>
      <c r="Q775" s="31">
        <v>8</v>
      </c>
      <c r="R775" s="32">
        <v>3</v>
      </c>
      <c r="S775" s="14">
        <v>8</v>
      </c>
      <c r="T775" s="14">
        <v>3</v>
      </c>
      <c r="U775" s="31">
        <v>8</v>
      </c>
      <c r="V775" s="32">
        <v>3</v>
      </c>
      <c r="W775" s="19">
        <v>64</v>
      </c>
      <c r="X775" s="19" t="s">
        <v>1664</v>
      </c>
      <c r="Y775" s="19" t="s">
        <v>1663</v>
      </c>
      <c r="Z775" s="19" t="s">
        <v>1663</v>
      </c>
      <c r="AA775" s="19" t="s">
        <v>1663</v>
      </c>
      <c r="AB775" s="19" t="s">
        <v>1663</v>
      </c>
    </row>
    <row r="776" spans="1:28" s="18" customFormat="1">
      <c r="A776" s="18" t="s">
        <v>1157</v>
      </c>
      <c r="B776" s="18" t="s">
        <v>9</v>
      </c>
      <c r="C776" s="18" t="s">
        <v>557</v>
      </c>
      <c r="D776" s="18" t="s">
        <v>558</v>
      </c>
      <c r="E776" s="19" t="s">
        <v>22</v>
      </c>
      <c r="F776" s="18" t="s">
        <v>13</v>
      </c>
      <c r="G776" s="29"/>
      <c r="H776" s="32" t="str">
        <f>IF(Prueba[[#This Row],[Cant.]]=0,"",IF(OR(Prueba[[#This Row],[Cant.2]]="",Prueba[[#This Row],[Puesto2]]=""),"?",Prueba[[#This Row],[Puesto2]]))</f>
        <v/>
      </c>
      <c r="I776" s="31"/>
      <c r="J776" s="32"/>
      <c r="K776" s="14">
        <v>16</v>
      </c>
      <c r="L776" s="14"/>
      <c r="M776" s="31">
        <v>16</v>
      </c>
      <c r="N776" s="32" t="str">
        <f>IF(Prueba[[#This Row],[Cant.4]]=0,"",IF(OR(Prueba[[#This Row],[Cant.6]]="",Prueba[[#This Row],[Puesto6]]=""),"?",Prueba[[#This Row],[Puesto6]]))</f>
        <v>8x0 + 8xD</v>
      </c>
      <c r="O776" s="31">
        <v>16</v>
      </c>
      <c r="P776" s="32" t="str">
        <f>IF(Prueba[[#This Row],[Cant.5]]=0,"",IF(OR(Prueba[[#This Row],[Cant.6]]="",Prueba[[#This Row],[Puesto6]]=""),"?",Prueba[[#This Row],[Puesto6]]))</f>
        <v>8x0 + 8xD</v>
      </c>
      <c r="Q776" s="31">
        <v>16</v>
      </c>
      <c r="R776" s="32" t="s">
        <v>2200</v>
      </c>
      <c r="S776" s="14"/>
      <c r="T776" s="14"/>
      <c r="U776" s="31"/>
      <c r="V776" s="32" t="s">
        <v>1663</v>
      </c>
      <c r="W776" s="19">
        <v>64</v>
      </c>
      <c r="X776" s="19" t="s">
        <v>1664</v>
      </c>
      <c r="Y776" s="19" t="s">
        <v>1663</v>
      </c>
      <c r="Z776" s="19" t="s">
        <v>1663</v>
      </c>
      <c r="AA776" s="19" t="s">
        <v>1663</v>
      </c>
      <c r="AB776" s="19" t="s">
        <v>1663</v>
      </c>
    </row>
    <row r="777" spans="1:28" s="18" customFormat="1">
      <c r="A777" s="18" t="s">
        <v>1527</v>
      </c>
      <c r="B777" s="18" t="s">
        <v>9</v>
      </c>
      <c r="C777" s="18" t="s">
        <v>1827</v>
      </c>
      <c r="D777" s="18" t="s">
        <v>1828</v>
      </c>
      <c r="E777" s="19" t="s">
        <v>1733</v>
      </c>
      <c r="F777" s="18" t="s">
        <v>13</v>
      </c>
      <c r="G777" s="29"/>
      <c r="H777" s="32" t="str">
        <f>IF(Prueba[[#This Row],[Cant.]]=0,"",IF(OR(Prueba[[#This Row],[Cant.2]]="",Prueba[[#This Row],[Puesto2]]=""),"?",Prueba[[#This Row],[Puesto2]]))</f>
        <v/>
      </c>
      <c r="I777" s="31"/>
      <c r="J777" s="32"/>
      <c r="K777" s="14"/>
      <c r="L777" s="14"/>
      <c r="M777" s="31"/>
      <c r="N777" s="32" t="str">
        <f>IF(Prueba[[#This Row],[Cant.4]]=0,"",IF(OR(Prueba[[#This Row],[Cant.6]]="",Prueba[[#This Row],[Puesto6]]=""),"?",Prueba[[#This Row],[Puesto6]]))</f>
        <v/>
      </c>
      <c r="O777" s="31"/>
      <c r="P777" s="32" t="str">
        <f>IF(Prueba[[#This Row],[Cant.5]]=0,"",IF(OR(Prueba[[#This Row],[Cant.6]]="",Prueba[[#This Row],[Puesto6]]=""),"?",Prueba[[#This Row],[Puesto6]]))</f>
        <v/>
      </c>
      <c r="Q777" s="31"/>
      <c r="R777" s="32"/>
      <c r="S777" s="14"/>
      <c r="T777" s="14"/>
      <c r="U777" s="31">
        <v>4</v>
      </c>
      <c r="V777" s="32">
        <v>3</v>
      </c>
      <c r="W777" s="19">
        <v>32</v>
      </c>
      <c r="X777" s="19" t="s">
        <v>1664</v>
      </c>
      <c r="Y777" s="19" t="s">
        <v>1663</v>
      </c>
      <c r="Z777" s="19" t="s">
        <v>1663</v>
      </c>
      <c r="AA777" s="19" t="s">
        <v>1663</v>
      </c>
      <c r="AB777" s="19" t="s">
        <v>1663</v>
      </c>
    </row>
    <row r="778" spans="1:28" s="18" customFormat="1">
      <c r="A778" s="18" t="s">
        <v>1528</v>
      </c>
      <c r="B778" s="18" t="s">
        <v>9</v>
      </c>
      <c r="C778" s="18" t="s">
        <v>1794</v>
      </c>
      <c r="D778" s="18" t="s">
        <v>1896</v>
      </c>
      <c r="E778" s="19" t="s">
        <v>18</v>
      </c>
      <c r="F778" s="18" t="s">
        <v>13</v>
      </c>
      <c r="G778" s="29"/>
      <c r="H778" s="32" t="str">
        <f>IF(Prueba[[#This Row],[Cant.]]=0,"",IF(OR(Prueba[[#This Row],[Cant.2]]="",Prueba[[#This Row],[Puesto2]]=""),"?",Prueba[[#This Row],[Puesto2]]))</f>
        <v/>
      </c>
      <c r="I778" s="31"/>
      <c r="J778" s="32"/>
      <c r="K778" s="14"/>
      <c r="L778" s="14"/>
      <c r="M778" s="31"/>
      <c r="N778" s="32" t="str">
        <f>IF(Prueba[[#This Row],[Cant.4]]=0,"",IF(OR(Prueba[[#This Row],[Cant.6]]="",Prueba[[#This Row],[Puesto6]]=""),"?",Prueba[[#This Row],[Puesto6]]))</f>
        <v/>
      </c>
      <c r="O778" s="31"/>
      <c r="P778" s="32" t="str">
        <f>IF(Prueba[[#This Row],[Cant.5]]=0,"",IF(OR(Prueba[[#This Row],[Cant.6]]="",Prueba[[#This Row],[Puesto6]]=""),"?",Prueba[[#This Row],[Puesto6]]))</f>
        <v/>
      </c>
      <c r="Q778" s="31"/>
      <c r="R778" s="32"/>
      <c r="S778" s="14"/>
      <c r="T778" s="14"/>
      <c r="U778" s="31">
        <v>1</v>
      </c>
      <c r="V778" s="32">
        <v>5</v>
      </c>
      <c r="W778" s="19"/>
      <c r="X778" s="19" t="s">
        <v>1667</v>
      </c>
      <c r="Y778" s="19" t="s">
        <v>1663</v>
      </c>
      <c r="Z778" s="19" t="s">
        <v>1663</v>
      </c>
      <c r="AA778" s="19" t="s">
        <v>1663</v>
      </c>
      <c r="AB778" s="19" t="s">
        <v>1663</v>
      </c>
    </row>
    <row r="779" spans="1:28" s="18" customFormat="1">
      <c r="A779" s="18" t="s">
        <v>1529</v>
      </c>
      <c r="B779" s="18" t="s">
        <v>9</v>
      </c>
      <c r="C779" s="18" t="s">
        <v>2201</v>
      </c>
      <c r="D779" s="18" t="s">
        <v>2202</v>
      </c>
      <c r="E779" s="19" t="s">
        <v>18</v>
      </c>
      <c r="F779" s="18" t="s">
        <v>13</v>
      </c>
      <c r="G779" s="29"/>
      <c r="H779" s="32" t="str">
        <f>IF(Prueba[[#This Row],[Cant.]]=0,"",IF(OR(Prueba[[#This Row],[Cant.2]]="",Prueba[[#This Row],[Puesto2]]=""),"?",Prueba[[#This Row],[Puesto2]]))</f>
        <v/>
      </c>
      <c r="I779" s="31"/>
      <c r="J779" s="32"/>
      <c r="K779" s="14"/>
      <c r="L779" s="14"/>
      <c r="M779" s="31"/>
      <c r="N779" s="32" t="str">
        <f>IF(Prueba[[#This Row],[Cant.4]]=0,"",IF(OR(Prueba[[#This Row],[Cant.6]]="",Prueba[[#This Row],[Puesto6]]=""),"?",Prueba[[#This Row],[Puesto6]]))</f>
        <v/>
      </c>
      <c r="O779" s="31"/>
      <c r="P779" s="32" t="str">
        <f>IF(Prueba[[#This Row],[Cant.5]]=0,"",IF(OR(Prueba[[#This Row],[Cant.6]]="",Prueba[[#This Row],[Puesto6]]=""),"?",Prueba[[#This Row],[Puesto6]]))</f>
        <v/>
      </c>
      <c r="Q779" s="31"/>
      <c r="R779" s="32"/>
      <c r="S779" s="14"/>
      <c r="T779" s="14"/>
      <c r="U779" s="31">
        <v>1</v>
      </c>
      <c r="V779" s="32">
        <v>2</v>
      </c>
      <c r="W779" s="19"/>
      <c r="X779" s="19" t="s">
        <v>1667</v>
      </c>
      <c r="Y779" s="19" t="s">
        <v>1663</v>
      </c>
      <c r="Z779" s="19" t="s">
        <v>1663</v>
      </c>
      <c r="AA779" s="19" t="s">
        <v>1663</v>
      </c>
      <c r="AB779" s="19" t="s">
        <v>1663</v>
      </c>
    </row>
    <row r="780" spans="1:28" s="18" customFormat="1">
      <c r="A780" s="18" t="s">
        <v>1531</v>
      </c>
      <c r="B780" s="18" t="s">
        <v>9</v>
      </c>
      <c r="C780" s="18" t="s">
        <v>1794</v>
      </c>
      <c r="D780" s="18" t="s">
        <v>1896</v>
      </c>
      <c r="E780" s="19" t="s">
        <v>18</v>
      </c>
      <c r="F780" s="18" t="s">
        <v>13</v>
      </c>
      <c r="G780" s="29"/>
      <c r="H780" s="32" t="str">
        <f>IF(Prueba[[#This Row],[Cant.]]=0,"",IF(OR(Prueba[[#This Row],[Cant.2]]="",Prueba[[#This Row],[Puesto2]]=""),"?",Prueba[[#This Row],[Puesto2]]))</f>
        <v/>
      </c>
      <c r="I780" s="31"/>
      <c r="J780" s="32"/>
      <c r="K780" s="14"/>
      <c r="L780" s="14"/>
      <c r="M780" s="31"/>
      <c r="N780" s="32" t="str">
        <f>IF(Prueba[[#This Row],[Cant.4]]=0,"",IF(OR(Prueba[[#This Row],[Cant.6]]="",Prueba[[#This Row],[Puesto6]]=""),"?",Prueba[[#This Row],[Puesto6]]))</f>
        <v/>
      </c>
      <c r="O780" s="31"/>
      <c r="P780" s="32" t="str">
        <f>IF(Prueba[[#This Row],[Cant.5]]=0,"",IF(OR(Prueba[[#This Row],[Cant.6]]="",Prueba[[#This Row],[Puesto6]]=""),"?",Prueba[[#This Row],[Puesto6]]))</f>
        <v/>
      </c>
      <c r="Q780" s="31"/>
      <c r="R780" s="32"/>
      <c r="S780" s="14"/>
      <c r="T780" s="14"/>
      <c r="U780" s="31">
        <v>1</v>
      </c>
      <c r="V780" s="32">
        <v>6</v>
      </c>
      <c r="W780" s="19"/>
      <c r="X780" s="19" t="s">
        <v>1667</v>
      </c>
      <c r="Y780" s="19" t="s">
        <v>1663</v>
      </c>
      <c r="Z780" s="19" t="s">
        <v>1663</v>
      </c>
      <c r="AA780" s="19" t="s">
        <v>1663</v>
      </c>
      <c r="AB780" s="19" t="s">
        <v>1663</v>
      </c>
    </row>
    <row r="781" spans="1:28" s="18" customFormat="1">
      <c r="A781" s="18" t="s">
        <v>1532</v>
      </c>
      <c r="B781" s="18" t="s">
        <v>9</v>
      </c>
      <c r="C781" s="18" t="s">
        <v>2203</v>
      </c>
      <c r="D781" s="18" t="s">
        <v>2113</v>
      </c>
      <c r="E781" s="19" t="s">
        <v>12</v>
      </c>
      <c r="F781" s="18" t="s">
        <v>13</v>
      </c>
      <c r="G781" s="29"/>
      <c r="H781" s="32" t="str">
        <f>IF(Prueba[[#This Row],[Cant.]]=0,"",IF(OR(Prueba[[#This Row],[Cant.2]]="",Prueba[[#This Row],[Puesto2]]=""),"?",Prueba[[#This Row],[Puesto2]]))</f>
        <v/>
      </c>
      <c r="I781" s="31"/>
      <c r="J781" s="32"/>
      <c r="K781" s="14"/>
      <c r="L781" s="14"/>
      <c r="M781" s="31"/>
      <c r="N781" s="32" t="str">
        <f>IF(Prueba[[#This Row],[Cant.4]]=0,"",IF(OR(Prueba[[#This Row],[Cant.6]]="",Prueba[[#This Row],[Puesto6]]=""),"?",Prueba[[#This Row],[Puesto6]]))</f>
        <v/>
      </c>
      <c r="O781" s="31"/>
      <c r="P781" s="32" t="str">
        <f>IF(Prueba[[#This Row],[Cant.5]]=0,"",IF(OR(Prueba[[#This Row],[Cant.6]]="",Prueba[[#This Row],[Puesto6]]=""),"?",Prueba[[#This Row],[Puesto6]]))</f>
        <v/>
      </c>
      <c r="Q781" s="31"/>
      <c r="R781" s="32"/>
      <c r="S781" s="14"/>
      <c r="T781" s="14"/>
      <c r="U781" s="31">
        <v>1</v>
      </c>
      <c r="V781" s="32">
        <v>6</v>
      </c>
      <c r="W781" s="19"/>
      <c r="X781" s="19" t="s">
        <v>1667</v>
      </c>
      <c r="Y781" s="19" t="s">
        <v>1663</v>
      </c>
      <c r="Z781" s="19" t="s">
        <v>1663</v>
      </c>
      <c r="AA781" s="19" t="s">
        <v>1663</v>
      </c>
      <c r="AB781" s="19" t="s">
        <v>1663</v>
      </c>
    </row>
    <row r="782" spans="1:28" s="18" customFormat="1">
      <c r="A782" s="18" t="s">
        <v>1534</v>
      </c>
      <c r="B782" s="18" t="s">
        <v>9</v>
      </c>
      <c r="C782" s="18" t="s">
        <v>2204</v>
      </c>
      <c r="D782" s="18" t="s">
        <v>2205</v>
      </c>
      <c r="E782" s="19" t="s">
        <v>12</v>
      </c>
      <c r="F782" s="18" t="s">
        <v>13</v>
      </c>
      <c r="G782" s="29"/>
      <c r="H782" s="32" t="str">
        <f>IF(Prueba[[#This Row],[Cant.]]=0,"",IF(OR(Prueba[[#This Row],[Cant.2]]="",Prueba[[#This Row],[Puesto2]]=""),"?",Prueba[[#This Row],[Puesto2]]))</f>
        <v/>
      </c>
      <c r="I782" s="31"/>
      <c r="J782" s="32"/>
      <c r="K782" s="14"/>
      <c r="L782" s="14"/>
      <c r="M782" s="31"/>
      <c r="N782" s="32" t="str">
        <f>IF(Prueba[[#This Row],[Cant.4]]=0,"",IF(OR(Prueba[[#This Row],[Cant.6]]="",Prueba[[#This Row],[Puesto6]]=""),"?",Prueba[[#This Row],[Puesto6]]))</f>
        <v/>
      </c>
      <c r="O782" s="31"/>
      <c r="P782" s="32" t="str">
        <f>IF(Prueba[[#This Row],[Cant.5]]=0,"",IF(OR(Prueba[[#This Row],[Cant.6]]="",Prueba[[#This Row],[Puesto6]]=""),"?",Prueba[[#This Row],[Puesto6]]))</f>
        <v/>
      </c>
      <c r="Q782" s="31"/>
      <c r="R782" s="32"/>
      <c r="S782" s="14"/>
      <c r="T782" s="14"/>
      <c r="U782" s="31">
        <v>1</v>
      </c>
      <c r="V782" s="32">
        <v>0</v>
      </c>
      <c r="W782" s="19"/>
      <c r="X782" s="19" t="s">
        <v>1667</v>
      </c>
      <c r="Y782" s="19" t="s">
        <v>1663</v>
      </c>
      <c r="Z782" s="19" t="s">
        <v>1663</v>
      </c>
      <c r="AA782" s="19" t="s">
        <v>1663</v>
      </c>
      <c r="AB782" s="19" t="s">
        <v>1663</v>
      </c>
    </row>
    <row r="783" spans="1:28" s="18" customFormat="1">
      <c r="A783" s="18" t="s">
        <v>1535</v>
      </c>
      <c r="B783" s="18" t="s">
        <v>9</v>
      </c>
      <c r="C783" s="18" t="s">
        <v>1827</v>
      </c>
      <c r="D783" s="18" t="s">
        <v>1828</v>
      </c>
      <c r="E783" s="19" t="s">
        <v>12</v>
      </c>
      <c r="F783" s="18" t="s">
        <v>13</v>
      </c>
      <c r="G783" s="29"/>
      <c r="H783" s="32" t="str">
        <f>IF(Prueba[[#This Row],[Cant.]]=0,"",IF(OR(Prueba[[#This Row],[Cant.2]]="",Prueba[[#This Row],[Puesto2]]=""),"?",Prueba[[#This Row],[Puesto2]]))</f>
        <v/>
      </c>
      <c r="I783" s="31"/>
      <c r="J783" s="32"/>
      <c r="K783" s="14"/>
      <c r="L783" s="14"/>
      <c r="M783" s="31"/>
      <c r="N783" s="32" t="str">
        <f>IF(Prueba[[#This Row],[Cant.4]]=0,"",IF(OR(Prueba[[#This Row],[Cant.6]]="",Prueba[[#This Row],[Puesto6]]=""),"?",Prueba[[#This Row],[Puesto6]]))</f>
        <v/>
      </c>
      <c r="O783" s="31"/>
      <c r="P783" s="32" t="str">
        <f>IF(Prueba[[#This Row],[Cant.5]]=0,"",IF(OR(Prueba[[#This Row],[Cant.6]]="",Prueba[[#This Row],[Puesto6]]=""),"?",Prueba[[#This Row],[Puesto6]]))</f>
        <v/>
      </c>
      <c r="Q783" s="31"/>
      <c r="R783" s="32"/>
      <c r="S783" s="14"/>
      <c r="T783" s="14"/>
      <c r="U783" s="31">
        <v>1</v>
      </c>
      <c r="V783" s="32">
        <v>6</v>
      </c>
      <c r="W783" s="19"/>
      <c r="X783" s="19" t="s">
        <v>1667</v>
      </c>
      <c r="Y783" s="19" t="s">
        <v>1663</v>
      </c>
      <c r="Z783" s="19" t="s">
        <v>1663</v>
      </c>
      <c r="AA783" s="19" t="s">
        <v>1663</v>
      </c>
      <c r="AB783" s="19" t="s">
        <v>1663</v>
      </c>
    </row>
    <row r="784" spans="1:28" s="18" customFormat="1">
      <c r="A784" s="18" t="s">
        <v>1536</v>
      </c>
      <c r="B784" s="18" t="s">
        <v>9</v>
      </c>
      <c r="C784" s="18" t="s">
        <v>2206</v>
      </c>
      <c r="D784" s="18" t="s">
        <v>2207</v>
      </c>
      <c r="E784" s="19" t="s">
        <v>1538</v>
      </c>
      <c r="F784" s="18" t="s">
        <v>13</v>
      </c>
      <c r="G784" s="29"/>
      <c r="H784" s="32" t="str">
        <f>IF(Prueba[[#This Row],[Cant.]]=0,"",IF(OR(Prueba[[#This Row],[Cant.2]]="",Prueba[[#This Row],[Puesto2]]=""),"?",Prueba[[#This Row],[Puesto2]]))</f>
        <v/>
      </c>
      <c r="I784" s="31"/>
      <c r="J784" s="32"/>
      <c r="K784" s="14"/>
      <c r="L784" s="14"/>
      <c r="M784" s="31"/>
      <c r="N784" s="32" t="str">
        <f>IF(Prueba[[#This Row],[Cant.4]]=0,"",IF(OR(Prueba[[#This Row],[Cant.6]]="",Prueba[[#This Row],[Puesto6]]=""),"?",Prueba[[#This Row],[Puesto6]]))</f>
        <v/>
      </c>
      <c r="O784" s="31"/>
      <c r="P784" s="32" t="str">
        <f>IF(Prueba[[#This Row],[Cant.5]]=0,"",IF(OR(Prueba[[#This Row],[Cant.6]]="",Prueba[[#This Row],[Puesto6]]=""),"?",Prueba[[#This Row],[Puesto6]]))</f>
        <v/>
      </c>
      <c r="Q784" s="31"/>
      <c r="R784" s="32"/>
      <c r="S784" s="14"/>
      <c r="T784" s="14"/>
      <c r="U784" s="31">
        <v>1</v>
      </c>
      <c r="V784" s="32">
        <v>6</v>
      </c>
      <c r="W784" s="19"/>
      <c r="X784" s="19" t="s">
        <v>1667</v>
      </c>
      <c r="Y784" s="19" t="s">
        <v>1663</v>
      </c>
      <c r="Z784" s="19" t="s">
        <v>1663</v>
      </c>
      <c r="AA784" s="19" t="s">
        <v>1663</v>
      </c>
      <c r="AB784" s="19" t="s">
        <v>1663</v>
      </c>
    </row>
    <row r="785" spans="1:28" s="18" customFormat="1" ht="28.9">
      <c r="A785" s="18" t="s">
        <v>559</v>
      </c>
      <c r="B785" s="18" t="s">
        <v>9</v>
      </c>
      <c r="C785" s="18" t="s">
        <v>121</v>
      </c>
      <c r="D785" s="18" t="s">
        <v>560</v>
      </c>
      <c r="E785" s="19" t="s">
        <v>22</v>
      </c>
      <c r="F785" s="18" t="s">
        <v>13</v>
      </c>
      <c r="G785" s="29">
        <v>32</v>
      </c>
      <c r="H785" s="32" t="str">
        <f>IF(Prueba[[#This Row],[Cant.]]=0,"",IF(OR(Prueba[[#This Row],[Cant.2]]="",Prueba[[#This Row],[Puesto2]]=""),"?",Prueba[[#This Row],[Puesto2]]))</f>
        <v>19x2 + 1x4 + 1x5 + 3x6</v>
      </c>
      <c r="I785" s="31">
        <v>32</v>
      </c>
      <c r="J785" s="32" t="s">
        <v>2208</v>
      </c>
      <c r="K785" s="14">
        <v>86</v>
      </c>
      <c r="L785" s="14"/>
      <c r="M785" s="31">
        <v>92</v>
      </c>
      <c r="N785" s="32" t="str">
        <f>IF(Prueba[[#This Row],[Cant.4]]=0,"",IF(OR(Prueba[[#This Row],[Cant.6]]="",Prueba[[#This Row],[Puesto6]]=""),"?",Prueba[[#This Row],[Puesto6]]))</f>
        <v>65x2 + 8x5 + 2x6 + 4xD</v>
      </c>
      <c r="O785" s="31">
        <v>89</v>
      </c>
      <c r="P785" s="32" t="str">
        <f>IF(Prueba[[#This Row],[Cant.5]]=0,"",IF(OR(Prueba[[#This Row],[Cant.6]]="",Prueba[[#This Row],[Puesto6]]=""),"?",Prueba[[#This Row],[Puesto6]]))</f>
        <v>65x2 + 8x5 + 2x6 + 4xD</v>
      </c>
      <c r="Q785" s="31">
        <v>98</v>
      </c>
      <c r="R785" s="32" t="s">
        <v>2209</v>
      </c>
      <c r="S785" s="14">
        <v>86</v>
      </c>
      <c r="T785" s="14"/>
      <c r="U785" s="31">
        <v>120</v>
      </c>
      <c r="V785" s="32" t="s">
        <v>1539</v>
      </c>
      <c r="W785" s="85">
        <v>960</v>
      </c>
      <c r="X785" s="85" t="s">
        <v>1686</v>
      </c>
      <c r="Y785" s="19">
        <v>38</v>
      </c>
      <c r="Z785" s="19" t="s">
        <v>2208</v>
      </c>
      <c r="AA785" s="19">
        <v>38</v>
      </c>
      <c r="AB785" s="19" t="s">
        <v>2208</v>
      </c>
    </row>
    <row r="786" spans="1:28" s="18" customFormat="1">
      <c r="A786" s="18" t="s">
        <v>1158</v>
      </c>
      <c r="B786" s="18" t="s">
        <v>9</v>
      </c>
      <c r="C786" s="18" t="s">
        <v>121</v>
      </c>
      <c r="D786" s="18" t="s">
        <v>560</v>
      </c>
      <c r="E786" s="19" t="s">
        <v>22</v>
      </c>
      <c r="F786" s="18" t="s">
        <v>13</v>
      </c>
      <c r="G786" s="29"/>
      <c r="H786" s="32" t="str">
        <f>IF(Prueba[[#This Row],[Cant.]]=0,"",IF(OR(Prueba[[#This Row],[Cant.2]]="",Prueba[[#This Row],[Puesto2]]=""),"?",Prueba[[#This Row],[Puesto2]]))</f>
        <v/>
      </c>
      <c r="I786" s="31"/>
      <c r="J786" s="32"/>
      <c r="K786" s="14">
        <v>3</v>
      </c>
      <c r="L786" s="14"/>
      <c r="M786" s="31"/>
      <c r="N786" s="32" t="str">
        <f>IF(Prueba[[#This Row],[Cant.4]]=0,"",IF(OR(Prueba[[#This Row],[Cant.6]]="",Prueba[[#This Row],[Puesto6]]=""),"?",Prueba[[#This Row],[Puesto6]]))</f>
        <v/>
      </c>
      <c r="O786" s="31"/>
      <c r="P786" s="32" t="str">
        <f>IF(Prueba[[#This Row],[Cant.5]]=0,"",IF(OR(Prueba[[#This Row],[Cant.6]]="",Prueba[[#This Row],[Puesto6]]=""),"?",Prueba[[#This Row],[Puesto6]]))</f>
        <v/>
      </c>
      <c r="Q786" s="31"/>
      <c r="R786" s="32"/>
      <c r="S786" s="14"/>
      <c r="T786" s="14"/>
      <c r="U786" s="31">
        <v>1</v>
      </c>
      <c r="V786" s="32">
        <v>5</v>
      </c>
      <c r="W786" s="19">
        <v>8</v>
      </c>
      <c r="X786" s="19" t="s">
        <v>1664</v>
      </c>
      <c r="Y786" s="19" t="s">
        <v>1663</v>
      </c>
      <c r="Z786" s="19" t="s">
        <v>1663</v>
      </c>
      <c r="AA786" s="19" t="s">
        <v>1663</v>
      </c>
      <c r="AB786" s="19" t="s">
        <v>1663</v>
      </c>
    </row>
    <row r="787" spans="1:28" s="18" customFormat="1">
      <c r="A787" s="18" t="s">
        <v>2210</v>
      </c>
      <c r="B787" s="18" t="s">
        <v>9</v>
      </c>
      <c r="C787" s="18" t="s">
        <v>2211</v>
      </c>
      <c r="D787" s="18" t="s">
        <v>2177</v>
      </c>
      <c r="E787" s="19" t="s">
        <v>1815</v>
      </c>
      <c r="F787" s="18" t="s">
        <v>13</v>
      </c>
      <c r="G787" s="29"/>
      <c r="H787" s="32" t="str">
        <f>IF(Prueba[[#This Row],[Cant.]]=0,"",IF(OR(Prueba[[#This Row],[Cant.2]]="",Prueba[[#This Row],[Puesto2]]=""),"?",Prueba[[#This Row],[Puesto2]]))</f>
        <v/>
      </c>
      <c r="I787" s="31"/>
      <c r="J787" s="32"/>
      <c r="K787" s="14"/>
      <c r="L787" s="14"/>
      <c r="M787" s="31"/>
      <c r="N787" s="32" t="str">
        <f>IF(Prueba[[#This Row],[Cant.4]]=0,"",IF(OR(Prueba[[#This Row],[Cant.6]]="",Prueba[[#This Row],[Puesto6]]=""),"?",Prueba[[#This Row],[Puesto6]]))</f>
        <v/>
      </c>
      <c r="O787" s="31"/>
      <c r="P787" s="32" t="str">
        <f>IF(Prueba[[#This Row],[Cant.5]]=0,"",IF(OR(Prueba[[#This Row],[Cant.6]]="",Prueba[[#This Row],[Puesto6]]=""),"?",Prueba[[#This Row],[Puesto6]]))</f>
        <v/>
      </c>
      <c r="Q787" s="31"/>
      <c r="R787" s="32"/>
      <c r="S787" s="14"/>
      <c r="T787" s="14"/>
      <c r="U787" s="31"/>
      <c r="V787" s="32" t="s">
        <v>1663</v>
      </c>
      <c r="W787" s="19"/>
      <c r="X787" s="19" t="s">
        <v>1667</v>
      </c>
      <c r="Y787" s="19" t="s">
        <v>1663</v>
      </c>
      <c r="Z787" s="19" t="s">
        <v>1663</v>
      </c>
      <c r="AA787" s="19" t="s">
        <v>1663</v>
      </c>
      <c r="AB787" s="19" t="s">
        <v>1663</v>
      </c>
    </row>
    <row r="788" spans="1:28" s="18" customFormat="1">
      <c r="A788" s="18" t="s">
        <v>1540</v>
      </c>
      <c r="B788" s="18" t="s">
        <v>9</v>
      </c>
      <c r="C788" s="18" t="s">
        <v>2212</v>
      </c>
      <c r="D788" s="18" t="s">
        <v>2213</v>
      </c>
      <c r="E788" s="19" t="s">
        <v>39</v>
      </c>
      <c r="F788" s="18" t="s">
        <v>13</v>
      </c>
      <c r="G788" s="29"/>
      <c r="H788" s="32" t="str">
        <f>IF(Prueba[[#This Row],[Cant.]]=0,"",IF(OR(Prueba[[#This Row],[Cant.2]]="",Prueba[[#This Row],[Puesto2]]=""),"?",Prueba[[#This Row],[Puesto2]]))</f>
        <v/>
      </c>
      <c r="I788" s="31"/>
      <c r="J788" s="32"/>
      <c r="K788" s="14"/>
      <c r="L788" s="14"/>
      <c r="M788" s="31"/>
      <c r="N788" s="32" t="str">
        <f>IF(Prueba[[#This Row],[Cant.4]]=0,"",IF(OR(Prueba[[#This Row],[Cant.6]]="",Prueba[[#This Row],[Puesto6]]=""),"?",Prueba[[#This Row],[Puesto6]]))</f>
        <v/>
      </c>
      <c r="O788" s="31"/>
      <c r="P788" s="32" t="str">
        <f>IF(Prueba[[#This Row],[Cant.5]]=0,"",IF(OR(Prueba[[#This Row],[Cant.6]]="",Prueba[[#This Row],[Puesto6]]=""),"?",Prueba[[#This Row],[Puesto6]]))</f>
        <v/>
      </c>
      <c r="Q788" s="31"/>
      <c r="R788" s="32"/>
      <c r="S788" s="14"/>
      <c r="T788" s="14"/>
      <c r="U788" s="31">
        <v>1</v>
      </c>
      <c r="V788" s="32" t="s">
        <v>1399</v>
      </c>
      <c r="W788" s="19"/>
      <c r="X788" s="19" t="s">
        <v>1667</v>
      </c>
      <c r="Y788" s="19" t="s">
        <v>1663</v>
      </c>
      <c r="Z788" s="19" t="s">
        <v>1663</v>
      </c>
      <c r="AA788" s="19" t="s">
        <v>1663</v>
      </c>
      <c r="AB788" s="19" t="s">
        <v>1663</v>
      </c>
    </row>
    <row r="789" spans="1:28" s="18" customFormat="1">
      <c r="A789" s="18" t="s">
        <v>1542</v>
      </c>
      <c r="B789" s="18" t="s">
        <v>9</v>
      </c>
      <c r="C789" s="18" t="s">
        <v>1788</v>
      </c>
      <c r="D789" s="18" t="s">
        <v>2052</v>
      </c>
      <c r="E789" s="19" t="s">
        <v>18</v>
      </c>
      <c r="F789" s="18" t="s">
        <v>13</v>
      </c>
      <c r="G789" s="29"/>
      <c r="H789" s="32" t="str">
        <f>IF(Prueba[[#This Row],[Cant.]]=0,"",IF(OR(Prueba[[#This Row],[Cant.2]]="",Prueba[[#This Row],[Puesto2]]=""),"?",Prueba[[#This Row],[Puesto2]]))</f>
        <v/>
      </c>
      <c r="I789" s="31"/>
      <c r="J789" s="32"/>
      <c r="K789" s="14"/>
      <c r="L789" s="14"/>
      <c r="M789" s="31"/>
      <c r="N789" s="32" t="str">
        <f>IF(Prueba[[#This Row],[Cant.4]]=0,"",IF(OR(Prueba[[#This Row],[Cant.6]]="",Prueba[[#This Row],[Puesto6]]=""),"?",Prueba[[#This Row],[Puesto6]]))</f>
        <v/>
      </c>
      <c r="O789" s="31"/>
      <c r="P789" s="32" t="str">
        <f>IF(Prueba[[#This Row],[Cant.5]]=0,"",IF(OR(Prueba[[#This Row],[Cant.6]]="",Prueba[[#This Row],[Puesto6]]=""),"?",Prueba[[#This Row],[Puesto6]]))</f>
        <v/>
      </c>
      <c r="Q789" s="31"/>
      <c r="R789" s="32"/>
      <c r="S789" s="14"/>
      <c r="T789" s="14"/>
      <c r="U789" s="31">
        <v>1</v>
      </c>
      <c r="V789" s="32">
        <v>2</v>
      </c>
      <c r="W789" s="19"/>
      <c r="X789" s="19" t="s">
        <v>1667</v>
      </c>
      <c r="Y789" s="19" t="s">
        <v>1663</v>
      </c>
      <c r="Z789" s="19" t="s">
        <v>1663</v>
      </c>
      <c r="AA789" s="19" t="s">
        <v>1663</v>
      </c>
      <c r="AB789" s="19" t="s">
        <v>1663</v>
      </c>
    </row>
    <row r="790" spans="1:28" s="18" customFormat="1">
      <c r="A790" s="18" t="s">
        <v>1544</v>
      </c>
      <c r="B790" s="18" t="s">
        <v>9</v>
      </c>
      <c r="C790" s="18" t="s">
        <v>2138</v>
      </c>
      <c r="D790" s="18" t="s">
        <v>2139</v>
      </c>
      <c r="E790" s="19" t="s">
        <v>12</v>
      </c>
      <c r="F790" s="18" t="s">
        <v>13</v>
      </c>
      <c r="G790" s="29"/>
      <c r="H790" s="32" t="str">
        <f>IF(Prueba[[#This Row],[Cant.]]=0,"",IF(OR(Prueba[[#This Row],[Cant.2]]="",Prueba[[#This Row],[Puesto2]]=""),"?",Prueba[[#This Row],[Puesto2]]))</f>
        <v/>
      </c>
      <c r="I790" s="31"/>
      <c r="J790" s="32"/>
      <c r="K790" s="14"/>
      <c r="L790" s="14"/>
      <c r="M790" s="31"/>
      <c r="N790" s="32" t="str">
        <f>IF(Prueba[[#This Row],[Cant.4]]=0,"",IF(OR(Prueba[[#This Row],[Cant.6]]="",Prueba[[#This Row],[Puesto6]]=""),"?",Prueba[[#This Row],[Puesto6]]))</f>
        <v/>
      </c>
      <c r="O790" s="31"/>
      <c r="P790" s="32" t="str">
        <f>IF(Prueba[[#This Row],[Cant.5]]=0,"",IF(OR(Prueba[[#This Row],[Cant.6]]="",Prueba[[#This Row],[Puesto6]]=""),"?",Prueba[[#This Row],[Puesto6]]))</f>
        <v/>
      </c>
      <c r="Q790" s="31"/>
      <c r="R790" s="32"/>
      <c r="S790" s="14"/>
      <c r="T790" s="14"/>
      <c r="U790" s="31">
        <v>1</v>
      </c>
      <c r="V790" s="32">
        <v>6</v>
      </c>
      <c r="W790" s="19"/>
      <c r="X790" s="19" t="s">
        <v>1667</v>
      </c>
      <c r="Y790" s="19" t="s">
        <v>1663</v>
      </c>
      <c r="Z790" s="19" t="s">
        <v>1663</v>
      </c>
      <c r="AA790" s="19" t="s">
        <v>1663</v>
      </c>
      <c r="AB790" s="19" t="s">
        <v>1663</v>
      </c>
    </row>
    <row r="791" spans="1:28" s="18" customFormat="1">
      <c r="A791" s="18" t="s">
        <v>1546</v>
      </c>
      <c r="B791" s="18" t="s">
        <v>9</v>
      </c>
      <c r="C791" s="18" t="s">
        <v>2138</v>
      </c>
      <c r="D791" s="18" t="s">
        <v>2139</v>
      </c>
      <c r="E791" s="19" t="s">
        <v>12</v>
      </c>
      <c r="F791" s="18" t="s">
        <v>13</v>
      </c>
      <c r="G791" s="29"/>
      <c r="H791" s="32" t="str">
        <f>IF(Prueba[[#This Row],[Cant.]]=0,"",IF(OR(Prueba[[#This Row],[Cant.2]]="",Prueba[[#This Row],[Puesto2]]=""),"?",Prueba[[#This Row],[Puesto2]]))</f>
        <v/>
      </c>
      <c r="I791" s="31"/>
      <c r="J791" s="32"/>
      <c r="K791" s="14"/>
      <c r="L791" s="14"/>
      <c r="M791" s="31"/>
      <c r="N791" s="32" t="str">
        <f>IF(Prueba[[#This Row],[Cant.4]]=0,"",IF(OR(Prueba[[#This Row],[Cant.6]]="",Prueba[[#This Row],[Puesto6]]=""),"?",Prueba[[#This Row],[Puesto6]]))</f>
        <v/>
      </c>
      <c r="O791" s="31"/>
      <c r="P791" s="32" t="str">
        <f>IF(Prueba[[#This Row],[Cant.5]]=0,"",IF(OR(Prueba[[#This Row],[Cant.6]]="",Prueba[[#This Row],[Puesto6]]=""),"?",Prueba[[#This Row],[Puesto6]]))</f>
        <v/>
      </c>
      <c r="Q791" s="31"/>
      <c r="R791" s="32"/>
      <c r="S791" s="14"/>
      <c r="T791" s="14"/>
      <c r="U791" s="31">
        <v>2</v>
      </c>
      <c r="V791" s="32">
        <v>6</v>
      </c>
      <c r="W791" s="19"/>
      <c r="X791" s="19" t="s">
        <v>1667</v>
      </c>
      <c r="Y791" s="19" t="s">
        <v>1663</v>
      </c>
      <c r="Z791" s="19" t="s">
        <v>1663</v>
      </c>
      <c r="AA791" s="19" t="s">
        <v>1663</v>
      </c>
      <c r="AB791" s="19" t="s">
        <v>1663</v>
      </c>
    </row>
    <row r="792" spans="1:28" s="18" customFormat="1">
      <c r="A792" s="18" t="s">
        <v>561</v>
      </c>
      <c r="B792" s="18" t="s">
        <v>9</v>
      </c>
      <c r="C792" s="18" t="s">
        <v>56</v>
      </c>
      <c r="D792" s="18" t="s">
        <v>521</v>
      </c>
      <c r="E792" s="19" t="s">
        <v>22</v>
      </c>
      <c r="F792" s="18" t="s">
        <v>13</v>
      </c>
      <c r="G792" s="29">
        <v>1</v>
      </c>
      <c r="H792" s="32">
        <f>IF(Prueba[[#This Row],[Cant.]]=0,"",IF(OR(Prueba[[#This Row],[Cant.2]]="",Prueba[[#This Row],[Puesto2]]=""),"?",Prueba[[#This Row],[Puesto2]]))</f>
        <v>4</v>
      </c>
      <c r="I792" s="31">
        <v>1</v>
      </c>
      <c r="J792" s="32">
        <v>4</v>
      </c>
      <c r="K792" s="14">
        <v>1</v>
      </c>
      <c r="L792" s="14"/>
      <c r="M792" s="31">
        <v>1</v>
      </c>
      <c r="N792" s="32">
        <f>IF(Prueba[[#This Row],[Cant.4]]=0,"",IF(OR(Prueba[[#This Row],[Cant.6]]="",Prueba[[#This Row],[Puesto6]]=""),"?",Prueba[[#This Row],[Puesto6]]))</f>
        <v>4</v>
      </c>
      <c r="O792" s="31">
        <v>1</v>
      </c>
      <c r="P792" s="32">
        <f>IF(Prueba[[#This Row],[Cant.5]]=0,"",IF(OR(Prueba[[#This Row],[Cant.6]]="",Prueba[[#This Row],[Puesto6]]=""),"?",Prueba[[#This Row],[Puesto6]]))</f>
        <v>4</v>
      </c>
      <c r="Q792" s="31">
        <v>1</v>
      </c>
      <c r="R792" s="32">
        <v>4</v>
      </c>
      <c r="S792" s="14">
        <v>1</v>
      </c>
      <c r="T792" s="14">
        <v>4</v>
      </c>
      <c r="U792" s="31"/>
      <c r="V792" s="32" t="s">
        <v>1663</v>
      </c>
      <c r="W792" s="19">
        <v>8</v>
      </c>
      <c r="X792" s="19" t="s">
        <v>1664</v>
      </c>
      <c r="Y792" s="19">
        <v>2</v>
      </c>
      <c r="Z792" s="19">
        <v>4</v>
      </c>
      <c r="AA792" s="19">
        <v>2</v>
      </c>
      <c r="AB792" s="19">
        <v>4</v>
      </c>
    </row>
    <row r="793" spans="1:28" s="18" customFormat="1">
      <c r="A793" s="18" t="s">
        <v>1159</v>
      </c>
      <c r="B793" s="18" t="s">
        <v>9</v>
      </c>
      <c r="C793" s="18" t="s">
        <v>21</v>
      </c>
      <c r="D793" s="18" t="s">
        <v>21</v>
      </c>
      <c r="E793" s="19" t="s">
        <v>12</v>
      </c>
      <c r="F793" s="18" t="s">
        <v>13</v>
      </c>
      <c r="G793" s="29"/>
      <c r="H793" s="32" t="str">
        <f>IF(Prueba[[#This Row],[Cant.]]=0,"",IF(OR(Prueba[[#This Row],[Cant.2]]="",Prueba[[#This Row],[Puesto2]]=""),"?",Prueba[[#This Row],[Puesto2]]))</f>
        <v/>
      </c>
      <c r="I793" s="31"/>
      <c r="J793" s="32"/>
      <c r="K793" s="14">
        <v>1</v>
      </c>
      <c r="L793" s="14"/>
      <c r="M793" s="31">
        <v>1</v>
      </c>
      <c r="N793" s="32">
        <f>IF(Prueba[[#This Row],[Cant.4]]=0,"",IF(OR(Prueba[[#This Row],[Cant.6]]="",Prueba[[#This Row],[Puesto6]]=""),"?",Prueba[[#This Row],[Puesto6]]))</f>
        <v>5</v>
      </c>
      <c r="O793" s="31">
        <v>1</v>
      </c>
      <c r="P793" s="32">
        <f>IF(Prueba[[#This Row],[Cant.5]]=0,"",IF(OR(Prueba[[#This Row],[Cant.6]]="",Prueba[[#This Row],[Puesto6]]=""),"?",Prueba[[#This Row],[Puesto6]]))</f>
        <v>5</v>
      </c>
      <c r="Q793" s="31">
        <v>1</v>
      </c>
      <c r="R793" s="32">
        <v>5</v>
      </c>
      <c r="S793" s="14">
        <v>1</v>
      </c>
      <c r="T793" s="14">
        <v>5</v>
      </c>
      <c r="U793" s="31"/>
      <c r="V793" s="32" t="s">
        <v>1663</v>
      </c>
      <c r="W793" s="19"/>
      <c r="X793" s="19" t="s">
        <v>1667</v>
      </c>
      <c r="Y793" s="19" t="s">
        <v>1663</v>
      </c>
      <c r="Z793" s="19" t="s">
        <v>1663</v>
      </c>
      <c r="AA793" s="19" t="s">
        <v>1663</v>
      </c>
      <c r="AB793" s="19" t="s">
        <v>1663</v>
      </c>
    </row>
    <row r="794" spans="1:28" s="18" customFormat="1">
      <c r="A794" s="18" t="s">
        <v>562</v>
      </c>
      <c r="B794" s="18" t="s">
        <v>9</v>
      </c>
      <c r="C794" s="18" t="s">
        <v>563</v>
      </c>
      <c r="D794" s="18" t="s">
        <v>564</v>
      </c>
      <c r="E794" s="19" t="s">
        <v>12</v>
      </c>
      <c r="F794" s="18" t="s">
        <v>13</v>
      </c>
      <c r="G794" s="29">
        <v>1</v>
      </c>
      <c r="H794" s="32" t="str">
        <f>IF(Prueba[[#This Row],[Cant.]]=0,"",IF(OR(Prueba[[#This Row],[Cant.2]]="",Prueba[[#This Row],[Puesto2]]=""),"?",Prueba[[#This Row],[Puesto2]]))</f>
        <v>D</v>
      </c>
      <c r="I794" s="31">
        <v>1</v>
      </c>
      <c r="J794" s="32" t="s">
        <v>1399</v>
      </c>
      <c r="K794" s="14"/>
      <c r="L794" s="14"/>
      <c r="M794" s="31"/>
      <c r="N794" s="32" t="str">
        <f>IF(Prueba[[#This Row],[Cant.4]]=0,"",IF(OR(Prueba[[#This Row],[Cant.6]]="",Prueba[[#This Row],[Puesto6]]=""),"?",Prueba[[#This Row],[Puesto6]]))</f>
        <v/>
      </c>
      <c r="O794" s="31">
        <v>1</v>
      </c>
      <c r="P794" s="32" t="s">
        <v>1399</v>
      </c>
      <c r="Q794" s="31"/>
      <c r="R794" s="32"/>
      <c r="S794" s="14"/>
      <c r="T794" s="14"/>
      <c r="U794" s="31"/>
      <c r="V794" s="32" t="s">
        <v>1663</v>
      </c>
      <c r="W794" s="19"/>
      <c r="X794" s="19" t="s">
        <v>1667</v>
      </c>
      <c r="Y794" s="19">
        <v>1</v>
      </c>
      <c r="Z794" s="19" t="s">
        <v>1399</v>
      </c>
      <c r="AA794" s="19">
        <v>1</v>
      </c>
      <c r="AB794" s="19" t="s">
        <v>1399</v>
      </c>
    </row>
    <row r="795" spans="1:28" s="18" customFormat="1">
      <c r="A795" s="18" t="s">
        <v>1160</v>
      </c>
      <c r="B795" s="18" t="s">
        <v>9</v>
      </c>
      <c r="C795" s="18" t="s">
        <v>312</v>
      </c>
      <c r="D795" s="18" t="s">
        <v>739</v>
      </c>
      <c r="E795" s="19" t="s">
        <v>22</v>
      </c>
      <c r="F795" s="18" t="s">
        <v>13</v>
      </c>
      <c r="G795" s="29"/>
      <c r="H795" s="32" t="str">
        <f>IF(Prueba[[#This Row],[Cant.]]=0,"",IF(OR(Prueba[[#This Row],[Cant.2]]="",Prueba[[#This Row],[Puesto2]]=""),"?",Prueba[[#This Row],[Puesto2]]))</f>
        <v/>
      </c>
      <c r="I795" s="31"/>
      <c r="J795" s="32"/>
      <c r="K795" s="14">
        <v>2</v>
      </c>
      <c r="L795" s="14">
        <v>2</v>
      </c>
      <c r="M795" s="31">
        <v>2</v>
      </c>
      <c r="N795" s="32">
        <f>IF(Prueba[[#This Row],[Cant.4]]=0,"",IF(OR(Prueba[[#This Row],[Cant.6]]="",Prueba[[#This Row],[Puesto6]]=""),"?",Prueba[[#This Row],[Puesto6]]))</f>
        <v>2</v>
      </c>
      <c r="O795" s="31">
        <v>2</v>
      </c>
      <c r="P795" s="32">
        <f>IF(Prueba[[#This Row],[Cant.5]]=0,"",IF(OR(Prueba[[#This Row],[Cant.6]]="",Prueba[[#This Row],[Puesto6]]=""),"?",Prueba[[#This Row],[Puesto6]]))</f>
        <v>2</v>
      </c>
      <c r="Q795" s="31">
        <v>2</v>
      </c>
      <c r="R795" s="32">
        <v>2</v>
      </c>
      <c r="S795" s="14">
        <v>2</v>
      </c>
      <c r="T795" s="14">
        <v>2</v>
      </c>
      <c r="U795" s="31">
        <v>2</v>
      </c>
      <c r="V795" s="32" t="s">
        <v>2214</v>
      </c>
      <c r="W795" s="19">
        <v>16</v>
      </c>
      <c r="X795" s="19" t="s">
        <v>1664</v>
      </c>
      <c r="Y795" s="19" t="s">
        <v>1663</v>
      </c>
      <c r="Z795" s="19" t="s">
        <v>1663</v>
      </c>
      <c r="AA795" s="19" t="s">
        <v>1663</v>
      </c>
      <c r="AB795" s="19" t="s">
        <v>1663</v>
      </c>
    </row>
    <row r="796" spans="1:28" s="18" customFormat="1">
      <c r="A796" s="18" t="s">
        <v>565</v>
      </c>
      <c r="B796" s="18" t="s">
        <v>9</v>
      </c>
      <c r="C796" s="18" t="s">
        <v>566</v>
      </c>
      <c r="D796" s="18" t="s">
        <v>17</v>
      </c>
      <c r="E796" s="19" t="s">
        <v>18</v>
      </c>
      <c r="F796" s="18" t="s">
        <v>13</v>
      </c>
      <c r="G796" s="29">
        <v>3</v>
      </c>
      <c r="H796" s="32" t="str">
        <f>IF(Prueba[[#This Row],[Cant.]]=0,"",IF(OR(Prueba[[#This Row],[Cant.2]]="",Prueba[[#This Row],[Puesto2]]=""),"?",Prueba[[#This Row],[Puesto2]]))</f>
        <v>C</v>
      </c>
      <c r="I796" s="31">
        <v>3</v>
      </c>
      <c r="J796" s="32" t="s">
        <v>1402</v>
      </c>
      <c r="K796" s="14">
        <v>4</v>
      </c>
      <c r="L796" s="14"/>
      <c r="M796" s="31">
        <v>2</v>
      </c>
      <c r="N796" s="32" t="str">
        <f>IF(Prueba[[#This Row],[Cant.4]]=0,"",IF(OR(Prueba[[#This Row],[Cant.6]]="",Prueba[[#This Row],[Puesto6]]=""),"?",Prueba[[#This Row],[Puesto6]]))</f>
        <v>C</v>
      </c>
      <c r="O796" s="31">
        <v>2</v>
      </c>
      <c r="P796" s="32" t="str">
        <f>IF(Prueba[[#This Row],[Cant.5]]=0,"",IF(OR(Prueba[[#This Row],[Cant.6]]="",Prueba[[#This Row],[Puesto6]]=""),"?",Prueba[[#This Row],[Puesto6]]))</f>
        <v>C</v>
      </c>
      <c r="Q796" s="31">
        <v>2</v>
      </c>
      <c r="R796" s="32" t="s">
        <v>1402</v>
      </c>
      <c r="S796" s="14">
        <v>2</v>
      </c>
      <c r="T796" s="14" t="s">
        <v>1402</v>
      </c>
      <c r="U796" s="31">
        <v>4</v>
      </c>
      <c r="V796" s="32" t="s">
        <v>1402</v>
      </c>
      <c r="W796" s="19"/>
      <c r="X796" s="19" t="s">
        <v>1667</v>
      </c>
      <c r="Y796" s="19" t="s">
        <v>1663</v>
      </c>
      <c r="Z796" s="19" t="s">
        <v>1663</v>
      </c>
      <c r="AA796" s="19" t="s">
        <v>1663</v>
      </c>
      <c r="AB796" s="19" t="s">
        <v>1663</v>
      </c>
    </row>
    <row r="797" spans="1:28" s="18" customFormat="1">
      <c r="A797" s="22" t="s">
        <v>1548</v>
      </c>
      <c r="B797" s="22" t="s">
        <v>9</v>
      </c>
      <c r="C797" t="s">
        <v>1746</v>
      </c>
      <c r="D797" t="s">
        <v>1747</v>
      </c>
      <c r="E797" s="23" t="s">
        <v>18</v>
      </c>
      <c r="F797" s="22" t="s">
        <v>13</v>
      </c>
      <c r="G797" s="30"/>
      <c r="H797" s="32" t="str">
        <f>IF(Prueba[[#This Row],[Cant.]]=0,"",IF(OR(Prueba[[#This Row],[Cant.2]]="",Prueba[[#This Row],[Puesto2]]=""),"?",Prueba[[#This Row],[Puesto2]]))</f>
        <v/>
      </c>
      <c r="I797" s="33"/>
      <c r="J797" s="34"/>
      <c r="K797" s="83"/>
      <c r="L797" s="83"/>
      <c r="M797" s="33"/>
      <c r="N797" s="32" t="str">
        <f>IF(Prueba[[#This Row],[Cant.4]]=0,"",IF(OR(Prueba[[#This Row],[Cant.6]]="",Prueba[[#This Row],[Puesto6]]=""),"?",Prueba[[#This Row],[Puesto6]]))</f>
        <v/>
      </c>
      <c r="O797" s="33"/>
      <c r="P797" s="32" t="str">
        <f>IF(Prueba[[#This Row],[Cant.5]]=0,"",IF(OR(Prueba[[#This Row],[Cant.6]]="",Prueba[[#This Row],[Puesto6]]=""),"?",Prueba[[#This Row],[Puesto6]]))</f>
        <v/>
      </c>
      <c r="Q797" s="33"/>
      <c r="R797" s="34"/>
      <c r="S797" s="83"/>
      <c r="T797" s="83"/>
      <c r="U797" s="33">
        <v>1</v>
      </c>
      <c r="V797" s="32" t="s">
        <v>1402</v>
      </c>
      <c r="W797" s="23"/>
      <c r="X797" s="19" t="s">
        <v>1667</v>
      </c>
      <c r="Y797" s="19" t="s">
        <v>1663</v>
      </c>
      <c r="Z797" s="19" t="s">
        <v>1663</v>
      </c>
      <c r="AA797" s="19" t="s">
        <v>1663</v>
      </c>
      <c r="AB797" s="19" t="s">
        <v>1663</v>
      </c>
    </row>
    <row r="798" spans="1:28" s="18" customFormat="1">
      <c r="A798" s="18" t="s">
        <v>2215</v>
      </c>
      <c r="B798" s="18" t="s">
        <v>9</v>
      </c>
      <c r="C798" s="18" t="s">
        <v>2216</v>
      </c>
      <c r="D798" s="18" t="s">
        <v>2217</v>
      </c>
      <c r="E798" s="19" t="s">
        <v>1733</v>
      </c>
      <c r="F798" s="18" t="s">
        <v>13</v>
      </c>
      <c r="G798" s="29"/>
      <c r="H798" s="32" t="str">
        <f>IF(Prueba[[#This Row],[Cant.]]=0,"",IF(OR(Prueba[[#This Row],[Cant.2]]="",Prueba[[#This Row],[Puesto2]]=""),"?",Prueba[[#This Row],[Puesto2]]))</f>
        <v/>
      </c>
      <c r="I798" s="31"/>
      <c r="J798" s="32"/>
      <c r="K798" s="14"/>
      <c r="L798" s="14"/>
      <c r="M798" s="31"/>
      <c r="N798" s="32" t="str">
        <f>IF(Prueba[[#This Row],[Cant.4]]=0,"",IF(OR(Prueba[[#This Row],[Cant.6]]="",Prueba[[#This Row],[Puesto6]]=""),"?",Prueba[[#This Row],[Puesto6]]))</f>
        <v/>
      </c>
      <c r="O798" s="31"/>
      <c r="P798" s="32" t="str">
        <f>IF(Prueba[[#This Row],[Cant.5]]=0,"",IF(OR(Prueba[[#This Row],[Cant.6]]="",Prueba[[#This Row],[Puesto6]]=""),"?",Prueba[[#This Row],[Puesto6]]))</f>
        <v/>
      </c>
      <c r="Q798" s="31"/>
      <c r="R798" s="32"/>
      <c r="S798" s="14">
        <v>1</v>
      </c>
      <c r="T798" s="14" t="s">
        <v>1402</v>
      </c>
      <c r="U798" s="31"/>
      <c r="V798" s="32" t="s">
        <v>1663</v>
      </c>
      <c r="W798" s="19">
        <v>8</v>
      </c>
      <c r="X798" s="19" t="s">
        <v>1664</v>
      </c>
      <c r="Y798" s="19" t="s">
        <v>1663</v>
      </c>
      <c r="Z798" s="19" t="s">
        <v>1663</v>
      </c>
      <c r="AA798" s="19" t="s">
        <v>1663</v>
      </c>
      <c r="AB798" s="19" t="s">
        <v>1663</v>
      </c>
    </row>
    <row r="799" spans="1:28" s="18" customFormat="1">
      <c r="A799" s="18" t="s">
        <v>1161</v>
      </c>
      <c r="B799" s="18" t="s">
        <v>9</v>
      </c>
      <c r="C799" s="18" t="s">
        <v>974</v>
      </c>
      <c r="D799" s="18" t="s">
        <v>1162</v>
      </c>
      <c r="E799" s="19" t="s">
        <v>18</v>
      </c>
      <c r="F799" s="18" t="s">
        <v>13</v>
      </c>
      <c r="G799" s="29"/>
      <c r="H799" s="32" t="str">
        <f>IF(Prueba[[#This Row],[Cant.]]=0,"",IF(OR(Prueba[[#This Row],[Cant.2]]="",Prueba[[#This Row],[Puesto2]]=""),"?",Prueba[[#This Row],[Puesto2]]))</f>
        <v/>
      </c>
      <c r="I799" s="31"/>
      <c r="J799" s="32"/>
      <c r="K799" s="14">
        <v>1</v>
      </c>
      <c r="L799" s="14"/>
      <c r="M799" s="31">
        <v>1</v>
      </c>
      <c r="N799" s="32">
        <f>IF(Prueba[[#This Row],[Cant.4]]=0,"",IF(OR(Prueba[[#This Row],[Cant.6]]="",Prueba[[#This Row],[Puesto6]]=""),"?",Prueba[[#This Row],[Puesto6]]))</f>
        <v>0</v>
      </c>
      <c r="O799" s="31">
        <v>1</v>
      </c>
      <c r="P799" s="32">
        <f>IF(Prueba[[#This Row],[Cant.5]]=0,"",IF(OR(Prueba[[#This Row],[Cant.6]]="",Prueba[[#This Row],[Puesto6]]=""),"?",Prueba[[#This Row],[Puesto6]]))</f>
        <v>0</v>
      </c>
      <c r="Q799" s="31">
        <v>1</v>
      </c>
      <c r="R799" s="32">
        <v>0</v>
      </c>
      <c r="S799" s="14">
        <v>1</v>
      </c>
      <c r="T799" s="14">
        <v>0</v>
      </c>
      <c r="U799" s="31">
        <v>1</v>
      </c>
      <c r="V799" s="32">
        <v>0</v>
      </c>
      <c r="W799" s="19"/>
      <c r="X799" s="19" t="s">
        <v>1667</v>
      </c>
      <c r="Y799" s="19" t="s">
        <v>1663</v>
      </c>
      <c r="Z799" s="19" t="s">
        <v>1663</v>
      </c>
      <c r="AA799" s="19" t="s">
        <v>1663</v>
      </c>
      <c r="AB799" s="19" t="s">
        <v>1663</v>
      </c>
    </row>
    <row r="800" spans="1:28" s="18" customFormat="1" ht="28.9">
      <c r="A800" s="18" t="s">
        <v>1163</v>
      </c>
      <c r="B800" s="18" t="s">
        <v>9</v>
      </c>
      <c r="C800" s="18" t="s">
        <v>299</v>
      </c>
      <c r="D800" s="18" t="s">
        <v>1164</v>
      </c>
      <c r="E800" s="19" t="s">
        <v>22</v>
      </c>
      <c r="F800" s="18" t="s">
        <v>13</v>
      </c>
      <c r="G800" s="29"/>
      <c r="H800" s="32" t="str">
        <f>IF(Prueba[[#This Row],[Cant.]]=0,"",IF(OR(Prueba[[#This Row],[Cant.2]]="",Prueba[[#This Row],[Puesto2]]=""),"?",Prueba[[#This Row],[Puesto2]]))</f>
        <v/>
      </c>
      <c r="I800" s="31"/>
      <c r="J800" s="32"/>
      <c r="K800" s="14"/>
      <c r="L800" s="14"/>
      <c r="M800" s="31">
        <v>2</v>
      </c>
      <c r="N800" s="32">
        <f>IF(Prueba[[#This Row],[Cant.4]]=0,"",IF(OR(Prueba[[#This Row],[Cant.6]]="",Prueba[[#This Row],[Puesto6]]=""),"?",Prueba[[#This Row],[Puesto6]]))</f>
        <v>6</v>
      </c>
      <c r="O800" s="31"/>
      <c r="P800" s="32"/>
      <c r="Q800" s="31">
        <v>2</v>
      </c>
      <c r="R800" s="32">
        <v>6</v>
      </c>
      <c r="S800" s="14">
        <v>2</v>
      </c>
      <c r="T800" s="14" t="s">
        <v>2218</v>
      </c>
      <c r="U800" s="31"/>
      <c r="V800" s="32" t="s">
        <v>1663</v>
      </c>
      <c r="W800" s="19">
        <v>16</v>
      </c>
      <c r="X800" s="19" t="s">
        <v>1664</v>
      </c>
      <c r="Y800" s="19" t="s">
        <v>1663</v>
      </c>
      <c r="Z800" s="19" t="s">
        <v>1663</v>
      </c>
      <c r="AA800" s="19" t="s">
        <v>1663</v>
      </c>
      <c r="AB800" s="19" t="s">
        <v>1663</v>
      </c>
    </row>
    <row r="801" spans="1:28" s="18" customFormat="1">
      <c r="A801" s="18" t="s">
        <v>567</v>
      </c>
      <c r="B801" s="18" t="s">
        <v>9</v>
      </c>
      <c r="C801" s="18" t="s">
        <v>568</v>
      </c>
      <c r="D801" s="18" t="s">
        <v>569</v>
      </c>
      <c r="E801" s="19" t="s">
        <v>12</v>
      </c>
      <c r="F801" s="18" t="s">
        <v>13</v>
      </c>
      <c r="G801" s="29">
        <v>2</v>
      </c>
      <c r="H801" s="32" t="str">
        <f>IF(Prueba[[#This Row],[Cant.]]=0,"",IF(OR(Prueba[[#This Row],[Cant.2]]="",Prueba[[#This Row],[Puesto2]]=""),"?",Prueba[[#This Row],[Puesto2]]))</f>
        <v>C</v>
      </c>
      <c r="I801" s="31">
        <v>2</v>
      </c>
      <c r="J801" s="32" t="s">
        <v>1402</v>
      </c>
      <c r="K801" s="14"/>
      <c r="L801" s="14"/>
      <c r="M801" s="31"/>
      <c r="N801" s="32" t="str">
        <f>IF(Prueba[[#This Row],[Cant.4]]=0,"",IF(OR(Prueba[[#This Row],[Cant.6]]="",Prueba[[#This Row],[Puesto6]]=""),"?",Prueba[[#This Row],[Puesto6]]))</f>
        <v/>
      </c>
      <c r="O801" s="31"/>
      <c r="P801" s="32" t="str">
        <f>IF(Prueba[[#This Row],[Cant.5]]=0,"",IF(OR(Prueba[[#This Row],[Cant.6]]="",Prueba[[#This Row],[Puesto6]]=""),"?",Prueba[[#This Row],[Puesto6]]))</f>
        <v/>
      </c>
      <c r="Q801" s="31"/>
      <c r="R801" s="32"/>
      <c r="S801" s="14"/>
      <c r="T801" s="14"/>
      <c r="U801" s="31"/>
      <c r="V801" s="32" t="s">
        <v>1663</v>
      </c>
      <c r="W801" s="19"/>
      <c r="X801" s="19" t="s">
        <v>1667</v>
      </c>
      <c r="Y801" s="19">
        <v>2</v>
      </c>
      <c r="Z801" s="19" t="s">
        <v>1402</v>
      </c>
      <c r="AA801" s="19">
        <v>2</v>
      </c>
      <c r="AB801" s="19" t="s">
        <v>1402</v>
      </c>
    </row>
    <row r="802" spans="1:28" s="18" customFormat="1">
      <c r="A802" s="18" t="s">
        <v>1549</v>
      </c>
      <c r="B802" s="18" t="s">
        <v>9</v>
      </c>
      <c r="C802" s="18" t="s">
        <v>1887</v>
      </c>
      <c r="D802" s="18" t="s">
        <v>2219</v>
      </c>
      <c r="E802" s="19" t="s">
        <v>39</v>
      </c>
      <c r="F802" s="18" t="s">
        <v>13</v>
      </c>
      <c r="G802" s="29"/>
      <c r="H802" s="32" t="str">
        <f>IF(Prueba[[#This Row],[Cant.]]=0,"",IF(OR(Prueba[[#This Row],[Cant.2]]="",Prueba[[#This Row],[Puesto2]]=""),"?",Prueba[[#This Row],[Puesto2]]))</f>
        <v/>
      </c>
      <c r="I802" s="31"/>
      <c r="J802" s="32"/>
      <c r="K802" s="14"/>
      <c r="L802" s="14"/>
      <c r="M802" s="31"/>
      <c r="N802" s="32" t="str">
        <f>IF(Prueba[[#This Row],[Cant.4]]=0,"",IF(OR(Prueba[[#This Row],[Cant.6]]="",Prueba[[#This Row],[Puesto6]]=""),"?",Prueba[[#This Row],[Puesto6]]))</f>
        <v/>
      </c>
      <c r="O802" s="31"/>
      <c r="P802" s="32" t="str">
        <f>IF(Prueba[[#This Row],[Cant.5]]=0,"",IF(OR(Prueba[[#This Row],[Cant.6]]="",Prueba[[#This Row],[Puesto6]]=""),"?",Prueba[[#This Row],[Puesto6]]))</f>
        <v/>
      </c>
      <c r="Q802" s="31"/>
      <c r="R802" s="32"/>
      <c r="S802" s="14"/>
      <c r="T802" s="14"/>
      <c r="U802" s="31">
        <v>1</v>
      </c>
      <c r="V802" s="32">
        <v>6</v>
      </c>
      <c r="W802" s="19"/>
      <c r="X802" s="19" t="s">
        <v>1667</v>
      </c>
      <c r="Y802" s="19" t="s">
        <v>1663</v>
      </c>
      <c r="Z802" s="19" t="s">
        <v>1663</v>
      </c>
      <c r="AA802" s="19" t="s">
        <v>1663</v>
      </c>
      <c r="AB802" s="19" t="s">
        <v>1663</v>
      </c>
    </row>
    <row r="803" spans="1:28" s="18" customFormat="1">
      <c r="A803" s="18" t="s">
        <v>1550</v>
      </c>
      <c r="B803" s="18" t="s">
        <v>9</v>
      </c>
      <c r="C803" s="18" t="s">
        <v>2211</v>
      </c>
      <c r="D803" s="18" t="s">
        <v>1896</v>
      </c>
      <c r="E803" s="19" t="s">
        <v>12</v>
      </c>
      <c r="F803" s="18" t="s">
        <v>13</v>
      </c>
      <c r="G803" s="29"/>
      <c r="H803" s="32" t="str">
        <f>IF(Prueba[[#This Row],[Cant.]]=0,"",IF(OR(Prueba[[#This Row],[Cant.2]]="",Prueba[[#This Row],[Puesto2]]=""),"?",Prueba[[#This Row],[Puesto2]]))</f>
        <v/>
      </c>
      <c r="I803" s="31"/>
      <c r="J803" s="32"/>
      <c r="K803" s="14"/>
      <c r="L803" s="14"/>
      <c r="M803" s="31"/>
      <c r="N803" s="32" t="str">
        <f>IF(Prueba[[#This Row],[Cant.4]]=0,"",IF(OR(Prueba[[#This Row],[Cant.6]]="",Prueba[[#This Row],[Puesto6]]=""),"?",Prueba[[#This Row],[Puesto6]]))</f>
        <v/>
      </c>
      <c r="O803" s="31"/>
      <c r="P803" s="32" t="str">
        <f>IF(Prueba[[#This Row],[Cant.5]]=0,"",IF(OR(Prueba[[#This Row],[Cant.6]]="",Prueba[[#This Row],[Puesto6]]=""),"?",Prueba[[#This Row],[Puesto6]]))</f>
        <v/>
      </c>
      <c r="Q803" s="31"/>
      <c r="R803" s="32"/>
      <c r="S803" s="14"/>
      <c r="T803" s="14"/>
      <c r="U803" s="31">
        <v>1</v>
      </c>
      <c r="V803" s="32">
        <v>0</v>
      </c>
      <c r="W803" s="19"/>
      <c r="X803" s="19" t="s">
        <v>1667</v>
      </c>
      <c r="Y803" s="19" t="s">
        <v>1663</v>
      </c>
      <c r="Z803" s="19" t="s">
        <v>1663</v>
      </c>
      <c r="AA803" s="19" t="s">
        <v>1663</v>
      </c>
      <c r="AB803" s="19" t="s">
        <v>1663</v>
      </c>
    </row>
    <row r="804" spans="1:28" s="18" customFormat="1">
      <c r="A804" s="18" t="s">
        <v>1552</v>
      </c>
      <c r="B804" s="18" t="s">
        <v>9</v>
      </c>
      <c r="C804" s="18" t="s">
        <v>2220</v>
      </c>
      <c r="D804" s="18" t="s">
        <v>2221</v>
      </c>
      <c r="E804" s="19" t="s">
        <v>1815</v>
      </c>
      <c r="F804" s="18" t="s">
        <v>13</v>
      </c>
      <c r="G804" s="29"/>
      <c r="H804" s="32" t="str">
        <f>IF(Prueba[[#This Row],[Cant.]]=0,"",IF(OR(Prueba[[#This Row],[Cant.2]]="",Prueba[[#This Row],[Puesto2]]=""),"?",Prueba[[#This Row],[Puesto2]]))</f>
        <v/>
      </c>
      <c r="I804" s="31"/>
      <c r="J804" s="32"/>
      <c r="K804" s="14"/>
      <c r="L804" s="14"/>
      <c r="M804" s="31"/>
      <c r="N804" s="32" t="str">
        <f>IF(Prueba[[#This Row],[Cant.4]]=0,"",IF(OR(Prueba[[#This Row],[Cant.6]]="",Prueba[[#This Row],[Puesto6]]=""),"?",Prueba[[#This Row],[Puesto6]]))</f>
        <v/>
      </c>
      <c r="O804" s="31"/>
      <c r="P804" s="32" t="str">
        <f>IF(Prueba[[#This Row],[Cant.5]]=0,"",IF(OR(Prueba[[#This Row],[Cant.6]]="",Prueba[[#This Row],[Puesto6]]=""),"?",Prueba[[#This Row],[Puesto6]]))</f>
        <v/>
      </c>
      <c r="Q804" s="31"/>
      <c r="R804" s="32"/>
      <c r="S804" s="14"/>
      <c r="T804" s="14"/>
      <c r="U804" s="31">
        <v>1</v>
      </c>
      <c r="V804" s="32">
        <v>6</v>
      </c>
      <c r="W804" s="19"/>
      <c r="X804" s="19" t="s">
        <v>1667</v>
      </c>
      <c r="Y804" s="19" t="s">
        <v>1663</v>
      </c>
      <c r="Z804" s="19" t="s">
        <v>1663</v>
      </c>
      <c r="AA804" s="19" t="s">
        <v>1663</v>
      </c>
      <c r="AB804" s="19" t="s">
        <v>1663</v>
      </c>
    </row>
    <row r="805" spans="1:28" s="18" customFormat="1">
      <c r="A805" s="18" t="s">
        <v>1319</v>
      </c>
      <c r="B805" s="18" t="s">
        <v>9</v>
      </c>
      <c r="C805" s="18" t="s">
        <v>1320</v>
      </c>
      <c r="D805" s="18" t="s">
        <v>1321</v>
      </c>
      <c r="E805" s="19" t="s">
        <v>22</v>
      </c>
      <c r="F805" s="18" t="s">
        <v>13</v>
      </c>
      <c r="G805" s="29"/>
      <c r="H805" s="32" t="str">
        <f>IF(Prueba[[#This Row],[Cant.]]=0,"",IF(OR(Prueba[[#This Row],[Cant.2]]="",Prueba[[#This Row],[Puesto2]]=""),"?",Prueba[[#This Row],[Puesto2]]))</f>
        <v/>
      </c>
      <c r="I805" s="31"/>
      <c r="J805" s="32"/>
      <c r="K805" s="14">
        <v>3</v>
      </c>
      <c r="L805" s="14"/>
      <c r="M805" s="31">
        <v>3</v>
      </c>
      <c r="N805" s="32">
        <f>IF(Prueba[[#This Row],[Cant.4]]=0,"",IF(OR(Prueba[[#This Row],[Cant.6]]="",Prueba[[#This Row],[Puesto6]]=""),"?",Prueba[[#This Row],[Puesto6]]))</f>
        <v>6</v>
      </c>
      <c r="O805" s="31"/>
      <c r="P805" s="32"/>
      <c r="Q805" s="31">
        <v>3</v>
      </c>
      <c r="R805" s="32">
        <v>6</v>
      </c>
      <c r="S805" s="14">
        <v>3</v>
      </c>
      <c r="T805" s="14">
        <v>6</v>
      </c>
      <c r="U805" s="31"/>
      <c r="V805" s="32" t="s">
        <v>1663</v>
      </c>
      <c r="W805" s="19">
        <v>24</v>
      </c>
      <c r="X805" s="19" t="s">
        <v>1664</v>
      </c>
      <c r="Y805" s="19" t="s">
        <v>1663</v>
      </c>
      <c r="Z805" s="19" t="s">
        <v>1663</v>
      </c>
      <c r="AA805" s="19" t="s">
        <v>1663</v>
      </c>
      <c r="AB805" s="19" t="s">
        <v>1663</v>
      </c>
    </row>
    <row r="806" spans="1:28" s="18" customFormat="1">
      <c r="A806" s="18" t="s">
        <v>570</v>
      </c>
      <c r="B806" s="18" t="s">
        <v>9</v>
      </c>
      <c r="C806" s="18" t="s">
        <v>571</v>
      </c>
      <c r="D806" s="18" t="s">
        <v>572</v>
      </c>
      <c r="E806" s="19" t="s">
        <v>22</v>
      </c>
      <c r="F806" s="18" t="s">
        <v>13</v>
      </c>
      <c r="G806" s="29">
        <v>3</v>
      </c>
      <c r="H806" s="32">
        <f>IF(Prueba[[#This Row],[Cant.]]=0,"",IF(OR(Prueba[[#This Row],[Cant.2]]="",Prueba[[#This Row],[Puesto2]]=""),"?",Prueba[[#This Row],[Puesto2]]))</f>
        <v>5</v>
      </c>
      <c r="I806" s="31">
        <v>3</v>
      </c>
      <c r="J806" s="32">
        <v>5</v>
      </c>
      <c r="K806" s="14"/>
      <c r="L806" s="14"/>
      <c r="M806" s="31"/>
      <c r="N806" s="32" t="str">
        <f>IF(Prueba[[#This Row],[Cant.4]]=0,"",IF(OR(Prueba[[#This Row],[Cant.6]]="",Prueba[[#This Row],[Puesto6]]=""),"?",Prueba[[#This Row],[Puesto6]]))</f>
        <v/>
      </c>
      <c r="O806" s="31"/>
      <c r="P806" s="32" t="str">
        <f>IF(Prueba[[#This Row],[Cant.5]]=0,"",IF(OR(Prueba[[#This Row],[Cant.6]]="",Prueba[[#This Row],[Puesto6]]=""),"?",Prueba[[#This Row],[Puesto6]]))</f>
        <v/>
      </c>
      <c r="Q806" s="31"/>
      <c r="R806" s="32"/>
      <c r="S806" s="14"/>
      <c r="T806" s="14"/>
      <c r="U806" s="31"/>
      <c r="V806" s="32" t="s">
        <v>1663</v>
      </c>
      <c r="W806" s="19">
        <v>24</v>
      </c>
      <c r="X806" s="19" t="s">
        <v>1664</v>
      </c>
      <c r="Y806" s="19">
        <v>4</v>
      </c>
      <c r="Z806" s="19">
        <v>5</v>
      </c>
      <c r="AA806" s="19">
        <v>4</v>
      </c>
      <c r="AB806" s="19">
        <v>5</v>
      </c>
    </row>
    <row r="807" spans="1:28" s="18" customFormat="1" ht="28.9">
      <c r="A807" s="18" t="s">
        <v>573</v>
      </c>
      <c r="B807" s="18" t="s">
        <v>9</v>
      </c>
      <c r="C807" s="18" t="s">
        <v>574</v>
      </c>
      <c r="D807" s="18" t="s">
        <v>575</v>
      </c>
      <c r="E807" s="19" t="s">
        <v>22</v>
      </c>
      <c r="F807" s="18" t="s">
        <v>13</v>
      </c>
      <c r="G807" s="29">
        <v>10</v>
      </c>
      <c r="H807" s="32" t="str">
        <f>IF(Prueba[[#This Row],[Cant.]]=0,"",IF(OR(Prueba[[#This Row],[Cant.2]]="",Prueba[[#This Row],[Puesto2]]=""),"?",Prueba[[#This Row],[Puesto2]]))</f>
        <v>3x2 + 2x5 + 7xD</v>
      </c>
      <c r="I807" s="31">
        <v>10</v>
      </c>
      <c r="J807" s="32" t="s">
        <v>2222</v>
      </c>
      <c r="K807" s="14">
        <v>1</v>
      </c>
      <c r="L807" s="14"/>
      <c r="M807" s="31">
        <v>1</v>
      </c>
      <c r="N807" s="32">
        <f>IF(Prueba[[#This Row],[Cant.4]]=0,"",IF(OR(Prueba[[#This Row],[Cant.6]]="",Prueba[[#This Row],[Puesto6]]=""),"?",Prueba[[#This Row],[Puesto6]]))</f>
        <v>6</v>
      </c>
      <c r="O807" s="31">
        <v>1</v>
      </c>
      <c r="P807" s="32">
        <f>IF(Prueba[[#This Row],[Cant.5]]=0,"",IF(OR(Prueba[[#This Row],[Cant.6]]="",Prueba[[#This Row],[Puesto6]]=""),"?",Prueba[[#This Row],[Puesto6]]))</f>
        <v>6</v>
      </c>
      <c r="Q807" s="31">
        <v>1</v>
      </c>
      <c r="R807" s="32">
        <v>6</v>
      </c>
      <c r="S807" s="14">
        <v>2</v>
      </c>
      <c r="T807" s="14"/>
      <c r="U807" s="31">
        <v>1</v>
      </c>
      <c r="V807" s="32">
        <v>6</v>
      </c>
      <c r="W807" s="19">
        <v>8</v>
      </c>
      <c r="X807" s="19" t="s">
        <v>1664</v>
      </c>
      <c r="Y807" s="19">
        <v>11</v>
      </c>
      <c r="Z807" s="19" t="s">
        <v>2222</v>
      </c>
      <c r="AA807" s="19">
        <v>11</v>
      </c>
      <c r="AB807" s="19" t="s">
        <v>2222</v>
      </c>
    </row>
    <row r="808" spans="1:28" s="18" customFormat="1">
      <c r="A808" s="18" t="s">
        <v>2223</v>
      </c>
      <c r="B808" s="18" t="s">
        <v>9</v>
      </c>
      <c r="C808" s="18" t="s">
        <v>2160</v>
      </c>
      <c r="D808" s="18" t="s">
        <v>2146</v>
      </c>
      <c r="E808" s="19" t="s">
        <v>1733</v>
      </c>
      <c r="F808" s="18" t="s">
        <v>13</v>
      </c>
      <c r="G808" s="29"/>
      <c r="H808" s="32" t="str">
        <f>IF(Prueba[[#This Row],[Cant.]]=0,"",IF(OR(Prueba[[#This Row],[Cant.2]]="",Prueba[[#This Row],[Puesto2]]=""),"?",Prueba[[#This Row],[Puesto2]]))</f>
        <v/>
      </c>
      <c r="I808" s="31"/>
      <c r="J808" s="32"/>
      <c r="K808" s="14"/>
      <c r="L808" s="14"/>
      <c r="M808" s="31"/>
      <c r="N808" s="32" t="str">
        <f>IF(Prueba[[#This Row],[Cant.4]]=0,"",IF(OR(Prueba[[#This Row],[Cant.6]]="",Prueba[[#This Row],[Puesto6]]=""),"?",Prueba[[#This Row],[Puesto6]]))</f>
        <v/>
      </c>
      <c r="O808" s="31"/>
      <c r="P808" s="32" t="str">
        <f>IF(Prueba[[#This Row],[Cant.5]]=0,"",IF(OR(Prueba[[#This Row],[Cant.6]]="",Prueba[[#This Row],[Puesto6]]=""),"?",Prueba[[#This Row],[Puesto6]]))</f>
        <v/>
      </c>
      <c r="Q808" s="31"/>
      <c r="R808" s="32"/>
      <c r="S808" s="14"/>
      <c r="T808" s="14"/>
      <c r="U808" s="31">
        <v>2</v>
      </c>
      <c r="V808" s="32">
        <v>5</v>
      </c>
      <c r="W808" s="19">
        <v>16</v>
      </c>
      <c r="X808" s="19" t="s">
        <v>1664</v>
      </c>
      <c r="Y808" s="19" t="s">
        <v>1663</v>
      </c>
      <c r="Z808" s="19" t="s">
        <v>1663</v>
      </c>
      <c r="AA808" s="19" t="s">
        <v>1663</v>
      </c>
      <c r="AB808" s="19" t="s">
        <v>1663</v>
      </c>
    </row>
    <row r="809" spans="1:28" s="18" customFormat="1">
      <c r="A809" s="18" t="s">
        <v>1554</v>
      </c>
      <c r="B809" s="18" t="s">
        <v>9</v>
      </c>
      <c r="C809" s="18" t="s">
        <v>1761</v>
      </c>
      <c r="D809" s="18" t="s">
        <v>288</v>
      </c>
      <c r="E809" s="19" t="s">
        <v>289</v>
      </c>
      <c r="F809" s="18" t="s">
        <v>13</v>
      </c>
      <c r="G809" s="29"/>
      <c r="H809" s="32" t="str">
        <f>IF(Prueba[[#This Row],[Cant.]]=0,"",IF(OR(Prueba[[#This Row],[Cant.2]]="",Prueba[[#This Row],[Puesto2]]=""),"?",Prueba[[#This Row],[Puesto2]]))</f>
        <v/>
      </c>
      <c r="I809" s="31"/>
      <c r="J809" s="32"/>
      <c r="K809" s="14"/>
      <c r="L809" s="14"/>
      <c r="M809" s="31"/>
      <c r="N809" s="32" t="str">
        <f>IF(Prueba[[#This Row],[Cant.4]]=0,"",IF(OR(Prueba[[#This Row],[Cant.6]]="",Prueba[[#This Row],[Puesto6]]=""),"?",Prueba[[#This Row],[Puesto6]]))</f>
        <v/>
      </c>
      <c r="O809" s="31"/>
      <c r="P809" s="32" t="str">
        <f>IF(Prueba[[#This Row],[Cant.5]]=0,"",IF(OR(Prueba[[#This Row],[Cant.6]]="",Prueba[[#This Row],[Puesto6]]=""),"?",Prueba[[#This Row],[Puesto6]]))</f>
        <v/>
      </c>
      <c r="Q809" s="31"/>
      <c r="R809" s="32"/>
      <c r="S809" s="14"/>
      <c r="T809" s="14"/>
      <c r="U809" s="31">
        <v>1</v>
      </c>
      <c r="V809" s="32">
        <v>0</v>
      </c>
      <c r="W809" s="19"/>
      <c r="X809" s="19" t="s">
        <v>1667</v>
      </c>
      <c r="Y809" s="19" t="s">
        <v>1663</v>
      </c>
      <c r="Z809" s="19" t="s">
        <v>1663</v>
      </c>
      <c r="AA809" s="19" t="s">
        <v>1663</v>
      </c>
      <c r="AB809" s="19" t="s">
        <v>1663</v>
      </c>
    </row>
    <row r="810" spans="1:28" s="18" customFormat="1">
      <c r="A810" s="18" t="s">
        <v>1370</v>
      </c>
      <c r="B810" s="18" t="s">
        <v>9</v>
      </c>
      <c r="C810" s="18" t="s">
        <v>1371</v>
      </c>
      <c r="D810" s="18" t="s">
        <v>630</v>
      </c>
      <c r="E810" s="19" t="s">
        <v>22</v>
      </c>
      <c r="F810" s="18" t="s">
        <v>13</v>
      </c>
      <c r="G810" s="29"/>
      <c r="H810" s="32" t="str">
        <f>IF(Prueba[[#This Row],[Cant.]]=0,"",IF(OR(Prueba[[#This Row],[Cant.2]]="",Prueba[[#This Row],[Puesto2]]=""),"?",Prueba[[#This Row],[Puesto2]]))</f>
        <v/>
      </c>
      <c r="I810" s="31"/>
      <c r="J810" s="32"/>
      <c r="K810" s="14">
        <v>2</v>
      </c>
      <c r="L810" s="14"/>
      <c r="M810" s="31">
        <v>2</v>
      </c>
      <c r="N810" s="32">
        <f>IF(Prueba[[#This Row],[Cant.4]]=0,"",IF(OR(Prueba[[#This Row],[Cant.6]]="",Prueba[[#This Row],[Puesto6]]=""),"?",Prueba[[#This Row],[Puesto6]]))</f>
        <v>0</v>
      </c>
      <c r="O810" s="31"/>
      <c r="P810" s="32"/>
      <c r="Q810" s="31">
        <v>2</v>
      </c>
      <c r="R810" s="32">
        <v>0</v>
      </c>
      <c r="S810" s="14"/>
      <c r="T810" s="14"/>
      <c r="U810" s="31"/>
      <c r="V810" s="32" t="s">
        <v>1663</v>
      </c>
      <c r="W810" s="19">
        <v>16</v>
      </c>
      <c r="X810" s="19" t="s">
        <v>1664</v>
      </c>
      <c r="Y810" s="19" t="s">
        <v>1663</v>
      </c>
      <c r="Z810" s="19" t="s">
        <v>1663</v>
      </c>
      <c r="AA810" s="19" t="s">
        <v>1663</v>
      </c>
      <c r="AB810" s="19" t="s">
        <v>1663</v>
      </c>
    </row>
    <row r="811" spans="1:28" s="18" customFormat="1">
      <c r="A811" s="18" t="s">
        <v>1165</v>
      </c>
      <c r="B811" s="18" t="s">
        <v>9</v>
      </c>
      <c r="C811" s="18" t="s">
        <v>613</v>
      </c>
      <c r="D811" s="18" t="s">
        <v>630</v>
      </c>
      <c r="E811" s="19" t="s">
        <v>22</v>
      </c>
      <c r="F811" s="18" t="s">
        <v>13</v>
      </c>
      <c r="G811" s="29"/>
      <c r="H811" s="32" t="str">
        <f>IF(Prueba[[#This Row],[Cant.]]=0,"",IF(OR(Prueba[[#This Row],[Cant.2]]="",Prueba[[#This Row],[Puesto2]]=""),"?",Prueba[[#This Row],[Puesto2]]))</f>
        <v/>
      </c>
      <c r="I811" s="31"/>
      <c r="J811" s="32"/>
      <c r="K811" s="14">
        <v>4</v>
      </c>
      <c r="L811" s="14"/>
      <c r="M811" s="31">
        <v>4</v>
      </c>
      <c r="N811" s="32">
        <f>IF(Prueba[[#This Row],[Cant.4]]=0,"",IF(OR(Prueba[[#This Row],[Cant.6]]="",Prueba[[#This Row],[Puesto6]]=""),"?",Prueba[[#This Row],[Puesto6]]))</f>
        <v>5</v>
      </c>
      <c r="O811" s="31">
        <v>4</v>
      </c>
      <c r="P811" s="32">
        <f>IF(Prueba[[#This Row],[Cant.5]]=0,"",IF(OR(Prueba[[#This Row],[Cant.6]]="",Prueba[[#This Row],[Puesto6]]=""),"?",Prueba[[#This Row],[Puesto6]]))</f>
        <v>5</v>
      </c>
      <c r="Q811" s="31">
        <v>4</v>
      </c>
      <c r="R811" s="32">
        <v>5</v>
      </c>
      <c r="S811" s="14">
        <v>4</v>
      </c>
      <c r="T811" s="14">
        <v>5</v>
      </c>
      <c r="U811" s="31">
        <v>4</v>
      </c>
      <c r="V811" s="32">
        <v>5</v>
      </c>
      <c r="W811" s="19">
        <v>32</v>
      </c>
      <c r="X811" s="19" t="s">
        <v>1664</v>
      </c>
      <c r="Y811" s="19" t="s">
        <v>1663</v>
      </c>
      <c r="Z811" s="19" t="s">
        <v>1663</v>
      </c>
      <c r="AA811" s="19" t="s">
        <v>1663</v>
      </c>
      <c r="AB811" s="19" t="s">
        <v>1663</v>
      </c>
    </row>
    <row r="812" spans="1:28" s="18" customFormat="1">
      <c r="A812" s="18" t="s">
        <v>1166</v>
      </c>
      <c r="B812" s="18" t="s">
        <v>9</v>
      </c>
      <c r="C812" s="18" t="s">
        <v>577</v>
      </c>
      <c r="D812" s="18" t="s">
        <v>630</v>
      </c>
      <c r="E812" s="19" t="s">
        <v>22</v>
      </c>
      <c r="F812" s="18" t="s">
        <v>13</v>
      </c>
      <c r="G812" s="29"/>
      <c r="H812" s="32" t="str">
        <f>IF(Prueba[[#This Row],[Cant.]]=0,"",IF(OR(Prueba[[#This Row],[Cant.2]]="",Prueba[[#This Row],[Puesto2]]=""),"?",Prueba[[#This Row],[Puesto2]]))</f>
        <v/>
      </c>
      <c r="I812" s="31"/>
      <c r="J812" s="32"/>
      <c r="K812" s="14">
        <v>6</v>
      </c>
      <c r="L812" s="14"/>
      <c r="M812" s="31">
        <v>6</v>
      </c>
      <c r="N812" s="32" t="str">
        <f>IF(Prueba[[#This Row],[Cant.4]]=0,"",IF(OR(Prueba[[#This Row],[Cant.6]]="",Prueba[[#This Row],[Puesto6]]=""),"?",Prueba[[#This Row],[Puesto6]]))</f>
        <v>D</v>
      </c>
      <c r="O812" s="31">
        <v>6</v>
      </c>
      <c r="P812" s="32" t="str">
        <f>IF(Prueba[[#This Row],[Cant.5]]=0,"",IF(OR(Prueba[[#This Row],[Cant.6]]="",Prueba[[#This Row],[Puesto6]]=""),"?",Prueba[[#This Row],[Puesto6]]))</f>
        <v>D</v>
      </c>
      <c r="Q812" s="31">
        <v>6</v>
      </c>
      <c r="R812" s="32" t="s">
        <v>1399</v>
      </c>
      <c r="S812" s="14">
        <v>6</v>
      </c>
      <c r="T812" s="14" t="s">
        <v>1399</v>
      </c>
      <c r="U812" s="31">
        <v>7</v>
      </c>
      <c r="V812" s="32" t="s">
        <v>1556</v>
      </c>
      <c r="W812" s="19">
        <v>56</v>
      </c>
      <c r="X812" s="19" t="s">
        <v>1664</v>
      </c>
      <c r="Y812" s="19" t="s">
        <v>1663</v>
      </c>
      <c r="Z812" s="19" t="s">
        <v>1663</v>
      </c>
      <c r="AA812" s="19" t="s">
        <v>1663</v>
      </c>
      <c r="AB812" s="19" t="s">
        <v>1663</v>
      </c>
    </row>
    <row r="813" spans="1:28" s="18" customFormat="1">
      <c r="A813" s="18" t="s">
        <v>1167</v>
      </c>
      <c r="B813" s="18" t="s">
        <v>9</v>
      </c>
      <c r="C813" s="18" t="s">
        <v>630</v>
      </c>
      <c r="D813" s="18" t="s">
        <v>630</v>
      </c>
      <c r="E813" s="19" t="s">
        <v>22</v>
      </c>
      <c r="F813" s="18" t="s">
        <v>13</v>
      </c>
      <c r="G813" s="29"/>
      <c r="H813" s="32" t="str">
        <f>IF(Prueba[[#This Row],[Cant.]]=0,"",IF(OR(Prueba[[#This Row],[Cant.2]]="",Prueba[[#This Row],[Puesto2]]=""),"?",Prueba[[#This Row],[Puesto2]]))</f>
        <v/>
      </c>
      <c r="I813" s="31"/>
      <c r="J813" s="32"/>
      <c r="K813" s="14">
        <v>6</v>
      </c>
      <c r="L813" s="14"/>
      <c r="M813" s="31">
        <v>6</v>
      </c>
      <c r="N813" s="32">
        <f>IF(Prueba[[#This Row],[Cant.4]]=0,"",IF(OR(Prueba[[#This Row],[Cant.6]]="",Prueba[[#This Row],[Puesto6]]=""),"?",Prueba[[#This Row],[Puesto6]]))</f>
        <v>6</v>
      </c>
      <c r="O813" s="31">
        <v>6</v>
      </c>
      <c r="P813" s="32">
        <f>IF(Prueba[[#This Row],[Cant.5]]=0,"",IF(OR(Prueba[[#This Row],[Cant.6]]="",Prueba[[#This Row],[Puesto6]]=""),"?",Prueba[[#This Row],[Puesto6]]))</f>
        <v>6</v>
      </c>
      <c r="Q813" s="31">
        <v>6</v>
      </c>
      <c r="R813" s="32">
        <v>6</v>
      </c>
      <c r="S813" s="14">
        <v>6</v>
      </c>
      <c r="T813" s="14">
        <v>6</v>
      </c>
      <c r="U813" s="31"/>
      <c r="V813" s="32" t="s">
        <v>1663</v>
      </c>
      <c r="W813" s="19">
        <v>48</v>
      </c>
      <c r="X813" s="19" t="s">
        <v>1664</v>
      </c>
      <c r="Y813" s="19" t="s">
        <v>1663</v>
      </c>
      <c r="Z813" s="19" t="s">
        <v>1663</v>
      </c>
      <c r="AA813" s="19" t="s">
        <v>1663</v>
      </c>
      <c r="AB813" s="19" t="s">
        <v>1663</v>
      </c>
    </row>
    <row r="814" spans="1:28" s="18" customFormat="1">
      <c r="A814" s="18" t="s">
        <v>1557</v>
      </c>
      <c r="B814" s="18" t="s">
        <v>9</v>
      </c>
      <c r="C814" s="18" t="s">
        <v>2224</v>
      </c>
      <c r="D814" s="18" t="s">
        <v>1854</v>
      </c>
      <c r="E814" s="19" t="s">
        <v>1733</v>
      </c>
      <c r="F814" s="18" t="s">
        <v>13</v>
      </c>
      <c r="G814" s="29"/>
      <c r="H814" s="32" t="str">
        <f>IF(Prueba[[#This Row],[Cant.]]=0,"",IF(OR(Prueba[[#This Row],[Cant.2]]="",Prueba[[#This Row],[Puesto2]]=""),"?",Prueba[[#This Row],[Puesto2]]))</f>
        <v/>
      </c>
      <c r="I814" s="31"/>
      <c r="J814" s="32"/>
      <c r="K814" s="14"/>
      <c r="L814" s="14"/>
      <c r="M814" s="31"/>
      <c r="N814" s="32" t="str">
        <f>IF(Prueba[[#This Row],[Cant.4]]=0,"",IF(OR(Prueba[[#This Row],[Cant.6]]="",Prueba[[#This Row],[Puesto6]]=""),"?",Prueba[[#This Row],[Puesto6]]))</f>
        <v/>
      </c>
      <c r="O814" s="31"/>
      <c r="P814" s="32" t="str">
        <f>IF(Prueba[[#This Row],[Cant.5]]=0,"",IF(OR(Prueba[[#This Row],[Cant.6]]="",Prueba[[#This Row],[Puesto6]]=""),"?",Prueba[[#This Row],[Puesto6]]))</f>
        <v/>
      </c>
      <c r="Q814" s="31"/>
      <c r="R814" s="32"/>
      <c r="S814" s="14"/>
      <c r="T814" s="14"/>
      <c r="U814" s="31">
        <v>2</v>
      </c>
      <c r="V814" s="32">
        <v>0</v>
      </c>
      <c r="W814" s="19">
        <v>16</v>
      </c>
      <c r="X814" s="19" t="s">
        <v>1664</v>
      </c>
      <c r="Y814" s="19" t="s">
        <v>1663</v>
      </c>
      <c r="Z814" s="19" t="s">
        <v>1663</v>
      </c>
      <c r="AA814" s="19" t="s">
        <v>1663</v>
      </c>
      <c r="AB814" s="19" t="s">
        <v>1663</v>
      </c>
    </row>
    <row r="815" spans="1:28" s="18" customFormat="1">
      <c r="A815" s="18" t="s">
        <v>1559</v>
      </c>
      <c r="B815" s="18" t="s">
        <v>9</v>
      </c>
      <c r="C815" s="18" t="s">
        <v>2224</v>
      </c>
      <c r="D815" s="18" t="s">
        <v>2225</v>
      </c>
      <c r="E815" s="19" t="s">
        <v>1733</v>
      </c>
      <c r="F815" s="18" t="s">
        <v>13</v>
      </c>
      <c r="G815" s="29"/>
      <c r="H815" s="32" t="str">
        <f>IF(Prueba[[#This Row],[Cant.]]=0,"",IF(OR(Prueba[[#This Row],[Cant.2]]="",Prueba[[#This Row],[Puesto2]]=""),"?",Prueba[[#This Row],[Puesto2]]))</f>
        <v/>
      </c>
      <c r="I815" s="31"/>
      <c r="J815" s="32"/>
      <c r="K815" s="14"/>
      <c r="L815" s="14"/>
      <c r="M815" s="31"/>
      <c r="N815" s="32" t="str">
        <f>IF(Prueba[[#This Row],[Cant.4]]=0,"",IF(OR(Prueba[[#This Row],[Cant.6]]="",Prueba[[#This Row],[Puesto6]]=""),"?",Prueba[[#This Row],[Puesto6]]))</f>
        <v/>
      </c>
      <c r="O815" s="31"/>
      <c r="P815" s="32" t="str">
        <f>IF(Prueba[[#This Row],[Cant.5]]=0,"",IF(OR(Prueba[[#This Row],[Cant.6]]="",Prueba[[#This Row],[Puesto6]]=""),"?",Prueba[[#This Row],[Puesto6]]))</f>
        <v/>
      </c>
      <c r="Q815" s="31"/>
      <c r="R815" s="32"/>
      <c r="S815" s="14"/>
      <c r="T815" s="14"/>
      <c r="U815" s="31">
        <v>4</v>
      </c>
      <c r="V815" s="32" t="s">
        <v>1560</v>
      </c>
      <c r="W815" s="19">
        <v>32</v>
      </c>
      <c r="X815" s="19" t="s">
        <v>1664</v>
      </c>
      <c r="Y815" s="19" t="s">
        <v>1663</v>
      </c>
      <c r="Z815" s="19" t="s">
        <v>1663</v>
      </c>
      <c r="AA815" s="19" t="s">
        <v>1663</v>
      </c>
      <c r="AB815" s="19" t="s">
        <v>1663</v>
      </c>
    </row>
    <row r="816" spans="1:28" s="18" customFormat="1">
      <c r="A816" s="18" t="s">
        <v>1168</v>
      </c>
      <c r="B816" s="18" t="s">
        <v>9</v>
      </c>
      <c r="C816" s="18" t="s">
        <v>630</v>
      </c>
      <c r="D816" s="18" t="s">
        <v>630</v>
      </c>
      <c r="E816" s="19" t="s">
        <v>22</v>
      </c>
      <c r="F816" s="18" t="s">
        <v>13</v>
      </c>
      <c r="G816" s="29"/>
      <c r="H816" s="32" t="str">
        <f>IF(Prueba[[#This Row],[Cant.]]=0,"",IF(OR(Prueba[[#This Row],[Cant.2]]="",Prueba[[#This Row],[Puesto2]]=""),"?",Prueba[[#This Row],[Puesto2]]))</f>
        <v/>
      </c>
      <c r="I816" s="31"/>
      <c r="J816" s="32"/>
      <c r="K816" s="14">
        <v>2</v>
      </c>
      <c r="L816" s="14"/>
      <c r="M816" s="31">
        <v>2</v>
      </c>
      <c r="N816" s="32">
        <f>IF(Prueba[[#This Row],[Cant.4]]=0,"",IF(OR(Prueba[[#This Row],[Cant.6]]="",Prueba[[#This Row],[Puesto6]]=""),"?",Prueba[[#This Row],[Puesto6]]))</f>
        <v>6</v>
      </c>
      <c r="O816" s="31">
        <v>2</v>
      </c>
      <c r="P816" s="32">
        <f>IF(Prueba[[#This Row],[Cant.5]]=0,"",IF(OR(Prueba[[#This Row],[Cant.6]]="",Prueba[[#This Row],[Puesto6]]=""),"?",Prueba[[#This Row],[Puesto6]]))</f>
        <v>6</v>
      </c>
      <c r="Q816" s="31">
        <v>2</v>
      </c>
      <c r="R816" s="32">
        <v>6</v>
      </c>
      <c r="S816" s="14">
        <v>2</v>
      </c>
      <c r="T816" s="14">
        <v>6</v>
      </c>
      <c r="U816" s="31"/>
      <c r="V816" s="32" t="s">
        <v>1663</v>
      </c>
      <c r="W816" s="19">
        <v>16</v>
      </c>
      <c r="X816" s="19" t="s">
        <v>1664</v>
      </c>
      <c r="Y816" s="19" t="s">
        <v>1663</v>
      </c>
      <c r="Z816" s="19" t="s">
        <v>1663</v>
      </c>
      <c r="AA816" s="19" t="s">
        <v>1663</v>
      </c>
      <c r="AB816" s="19" t="s">
        <v>1663</v>
      </c>
    </row>
    <row r="817" spans="1:28" s="18" customFormat="1">
      <c r="A817" s="18" t="s">
        <v>1169</v>
      </c>
      <c r="B817" s="18" t="s">
        <v>9</v>
      </c>
      <c r="C817" s="18" t="s">
        <v>577</v>
      </c>
      <c r="D817" s="18" t="s">
        <v>630</v>
      </c>
      <c r="E817" s="19" t="s">
        <v>22</v>
      </c>
      <c r="F817" s="18" t="s">
        <v>13</v>
      </c>
      <c r="G817" s="29"/>
      <c r="H817" s="32" t="str">
        <f>IF(Prueba[[#This Row],[Cant.]]=0,"",IF(OR(Prueba[[#This Row],[Cant.2]]="",Prueba[[#This Row],[Puesto2]]=""),"?",Prueba[[#This Row],[Puesto2]]))</f>
        <v/>
      </c>
      <c r="I817" s="31"/>
      <c r="J817" s="32"/>
      <c r="K817" s="14">
        <v>1</v>
      </c>
      <c r="L817" s="14"/>
      <c r="M817" s="31">
        <v>1</v>
      </c>
      <c r="N817" s="32">
        <f>IF(Prueba[[#This Row],[Cant.4]]=0,"",IF(OR(Prueba[[#This Row],[Cant.6]]="",Prueba[[#This Row],[Puesto6]]=""),"?",Prueba[[#This Row],[Puesto6]]))</f>
        <v>0</v>
      </c>
      <c r="O817" s="31">
        <v>1</v>
      </c>
      <c r="P817" s="32">
        <f>IF(Prueba[[#This Row],[Cant.5]]=0,"",IF(OR(Prueba[[#This Row],[Cant.6]]="",Prueba[[#This Row],[Puesto6]]=""),"?",Prueba[[#This Row],[Puesto6]]))</f>
        <v>0</v>
      </c>
      <c r="Q817" s="31">
        <v>1</v>
      </c>
      <c r="R817" s="32">
        <v>0</v>
      </c>
      <c r="S817" s="14">
        <v>1</v>
      </c>
      <c r="T817" s="14">
        <v>0</v>
      </c>
      <c r="U817" s="31"/>
      <c r="V817" s="32" t="s">
        <v>1663</v>
      </c>
      <c r="W817" s="19">
        <v>8</v>
      </c>
      <c r="X817" s="19" t="s">
        <v>1664</v>
      </c>
      <c r="Y817" s="19" t="s">
        <v>1663</v>
      </c>
      <c r="Z817" s="19" t="s">
        <v>1663</v>
      </c>
      <c r="AA817" s="19" t="s">
        <v>1663</v>
      </c>
      <c r="AB817" s="19" t="s">
        <v>1663</v>
      </c>
    </row>
    <row r="818" spans="1:28" s="18" customFormat="1">
      <c r="A818" s="18" t="s">
        <v>576</v>
      </c>
      <c r="B818" s="18" t="s">
        <v>9</v>
      </c>
      <c r="C818" s="18" t="s">
        <v>577</v>
      </c>
      <c r="D818" s="18" t="s">
        <v>578</v>
      </c>
      <c r="E818" s="19" t="s">
        <v>22</v>
      </c>
      <c r="F818" s="18" t="s">
        <v>13</v>
      </c>
      <c r="G818" s="29">
        <v>2</v>
      </c>
      <c r="H818" s="32">
        <f>IF(Prueba[[#This Row],[Cant.]]=0,"",IF(OR(Prueba[[#This Row],[Cant.2]]="",Prueba[[#This Row],[Puesto2]]=""),"?",Prueba[[#This Row],[Puesto2]]))</f>
        <v>4</v>
      </c>
      <c r="I818" s="31">
        <v>2</v>
      </c>
      <c r="J818" s="32">
        <v>4</v>
      </c>
      <c r="K818" s="14"/>
      <c r="L818" s="14"/>
      <c r="M818" s="31"/>
      <c r="N818" s="32" t="str">
        <f>IF(Prueba[[#This Row],[Cant.4]]=0,"",IF(OR(Prueba[[#This Row],[Cant.6]]="",Prueba[[#This Row],[Puesto6]]=""),"?",Prueba[[#This Row],[Puesto6]]))</f>
        <v/>
      </c>
      <c r="O818" s="31"/>
      <c r="P818" s="32" t="str">
        <f>IF(Prueba[[#This Row],[Cant.5]]=0,"",IF(OR(Prueba[[#This Row],[Cant.6]]="",Prueba[[#This Row],[Puesto6]]=""),"?",Prueba[[#This Row],[Puesto6]]))</f>
        <v/>
      </c>
      <c r="Q818" s="31"/>
      <c r="R818" s="32"/>
      <c r="S818" s="14"/>
      <c r="T818" s="14"/>
      <c r="U818" s="31"/>
      <c r="V818" s="14" t="s">
        <v>1663</v>
      </c>
      <c r="W818" s="19">
        <v>16</v>
      </c>
      <c r="X818" s="19" t="s">
        <v>1664</v>
      </c>
      <c r="Y818" s="19" t="s">
        <v>1663</v>
      </c>
      <c r="Z818" s="19" t="s">
        <v>1663</v>
      </c>
      <c r="AA818" s="19" t="s">
        <v>1663</v>
      </c>
      <c r="AB818" s="19" t="s">
        <v>1663</v>
      </c>
    </row>
    <row r="819" spans="1:28" s="18" customFormat="1">
      <c r="A819" s="18" t="s">
        <v>1170</v>
      </c>
      <c r="B819" s="18" t="s">
        <v>9</v>
      </c>
      <c r="C819" s="18" t="s">
        <v>577</v>
      </c>
      <c r="D819" s="18" t="s">
        <v>630</v>
      </c>
      <c r="E819" s="19" t="s">
        <v>22</v>
      </c>
      <c r="F819" s="18" t="s">
        <v>13</v>
      </c>
      <c r="G819" s="29"/>
      <c r="H819" s="32" t="str">
        <f>IF(Prueba[[#This Row],[Cant.]]=0,"",IF(OR(Prueba[[#This Row],[Cant.2]]="",Prueba[[#This Row],[Puesto2]]=""),"?",Prueba[[#This Row],[Puesto2]]))</f>
        <v/>
      </c>
      <c r="I819" s="31"/>
      <c r="J819" s="32"/>
      <c r="K819" s="14">
        <v>38</v>
      </c>
      <c r="L819" s="14"/>
      <c r="M819" s="31">
        <v>36</v>
      </c>
      <c r="N819" s="32" t="str">
        <f>IF(Prueba[[#This Row],[Cant.4]]=0,"",IF(OR(Prueba[[#This Row],[Cant.6]]="",Prueba[[#This Row],[Puesto6]]=""),"?",Prueba[[#This Row],[Puesto6]]))</f>
        <v>16x6 + 20xD</v>
      </c>
      <c r="O819" s="31">
        <v>38</v>
      </c>
      <c r="P819" s="32" t="str">
        <f>IF(Prueba[[#This Row],[Cant.5]]=0,"",IF(OR(Prueba[[#This Row],[Cant.6]]="",Prueba[[#This Row],[Puesto6]]=""),"?",Prueba[[#This Row],[Puesto6]]))</f>
        <v>16x6 + 20xD</v>
      </c>
      <c r="Q819" s="31">
        <v>36</v>
      </c>
      <c r="R819" s="32" t="s">
        <v>2226</v>
      </c>
      <c r="S819" s="14">
        <v>36</v>
      </c>
      <c r="T819" s="14" t="s">
        <v>2227</v>
      </c>
      <c r="U819" s="31"/>
      <c r="V819" s="32" t="s">
        <v>1663</v>
      </c>
      <c r="W819" s="19">
        <v>160</v>
      </c>
      <c r="X819" s="19" t="s">
        <v>1664</v>
      </c>
      <c r="Y819" s="19" t="s">
        <v>1663</v>
      </c>
      <c r="Z819" s="19" t="s">
        <v>1663</v>
      </c>
      <c r="AA819" s="19" t="s">
        <v>1663</v>
      </c>
      <c r="AB819" s="19" t="s">
        <v>1663</v>
      </c>
    </row>
    <row r="820" spans="1:28" s="18" customFormat="1">
      <c r="A820" s="18" t="s">
        <v>1561</v>
      </c>
      <c r="B820" s="18" t="s">
        <v>9</v>
      </c>
      <c r="C820" s="18" t="s">
        <v>2224</v>
      </c>
      <c r="D820" s="18" t="s">
        <v>2225</v>
      </c>
      <c r="E820" s="19" t="s">
        <v>1733</v>
      </c>
      <c r="F820" s="18" t="s">
        <v>13</v>
      </c>
      <c r="G820" s="29"/>
      <c r="H820" s="32" t="str">
        <f>IF(Prueba[[#This Row],[Cant.]]=0,"",IF(OR(Prueba[[#This Row],[Cant.2]]="",Prueba[[#This Row],[Puesto2]]=""),"?",Prueba[[#This Row],[Puesto2]]))</f>
        <v/>
      </c>
      <c r="I820" s="31"/>
      <c r="J820" s="32"/>
      <c r="K820" s="14"/>
      <c r="L820" s="14"/>
      <c r="M820" s="31"/>
      <c r="N820" s="32" t="str">
        <f>IF(Prueba[[#This Row],[Cant.4]]=0,"",IF(OR(Prueba[[#This Row],[Cant.6]]="",Prueba[[#This Row],[Puesto6]]=""),"?",Prueba[[#This Row],[Puesto6]]))</f>
        <v/>
      </c>
      <c r="O820" s="31"/>
      <c r="P820" s="32" t="str">
        <f>IF(Prueba[[#This Row],[Cant.5]]=0,"",IF(OR(Prueba[[#This Row],[Cant.6]]="",Prueba[[#This Row],[Puesto6]]=""),"?",Prueba[[#This Row],[Puesto6]]))</f>
        <v/>
      </c>
      <c r="Q820" s="31"/>
      <c r="R820" s="32"/>
      <c r="S820" s="14">
        <v>3</v>
      </c>
      <c r="T820" s="14"/>
      <c r="U820" s="31">
        <v>1</v>
      </c>
      <c r="V820" s="32">
        <v>0</v>
      </c>
      <c r="W820" s="19">
        <v>24</v>
      </c>
      <c r="X820" s="19" t="s">
        <v>1664</v>
      </c>
      <c r="Y820" s="19" t="s">
        <v>1663</v>
      </c>
      <c r="Z820" s="19" t="s">
        <v>1663</v>
      </c>
      <c r="AA820" s="19" t="s">
        <v>1663</v>
      </c>
      <c r="AB820" s="19" t="s">
        <v>1663</v>
      </c>
    </row>
    <row r="821" spans="1:28" s="18" customFormat="1">
      <c r="A821" s="18" t="s">
        <v>1171</v>
      </c>
      <c r="B821" s="18" t="s">
        <v>9</v>
      </c>
      <c r="C821" s="18" t="s">
        <v>630</v>
      </c>
      <c r="D821" s="18" t="s">
        <v>630</v>
      </c>
      <c r="E821" s="19" t="s">
        <v>22</v>
      </c>
      <c r="F821" s="18" t="s">
        <v>13</v>
      </c>
      <c r="G821" s="29"/>
      <c r="H821" s="32" t="str">
        <f>IF(Prueba[[#This Row],[Cant.]]=0,"",IF(OR(Prueba[[#This Row],[Cant.2]]="",Prueba[[#This Row],[Puesto2]]=""),"?",Prueba[[#This Row],[Puesto2]]))</f>
        <v/>
      </c>
      <c r="I821" s="31"/>
      <c r="J821" s="32"/>
      <c r="K821" s="14">
        <v>1</v>
      </c>
      <c r="L821" s="14"/>
      <c r="M821" s="31">
        <v>1</v>
      </c>
      <c r="N821" s="32">
        <f>IF(Prueba[[#This Row],[Cant.4]]=0,"",IF(OR(Prueba[[#This Row],[Cant.6]]="",Prueba[[#This Row],[Puesto6]]=""),"?",Prueba[[#This Row],[Puesto6]]))</f>
        <v>2</v>
      </c>
      <c r="O821" s="31">
        <v>1</v>
      </c>
      <c r="P821" s="32">
        <f>IF(Prueba[[#This Row],[Cant.5]]=0,"",IF(OR(Prueba[[#This Row],[Cant.6]]="",Prueba[[#This Row],[Puesto6]]=""),"?",Prueba[[#This Row],[Puesto6]]))</f>
        <v>2</v>
      </c>
      <c r="Q821" s="31">
        <v>1</v>
      </c>
      <c r="R821" s="32">
        <v>2</v>
      </c>
      <c r="S821" s="14">
        <v>1</v>
      </c>
      <c r="T821" s="14">
        <v>2</v>
      </c>
      <c r="U821" s="31">
        <v>1</v>
      </c>
      <c r="V821" s="32">
        <v>5</v>
      </c>
      <c r="W821" s="19">
        <v>8</v>
      </c>
      <c r="X821" s="19" t="s">
        <v>1664</v>
      </c>
      <c r="Y821" s="19" t="s">
        <v>1663</v>
      </c>
      <c r="Z821" s="19" t="s">
        <v>1663</v>
      </c>
      <c r="AA821" s="19" t="s">
        <v>1663</v>
      </c>
      <c r="AB821" s="19" t="s">
        <v>1663</v>
      </c>
    </row>
    <row r="822" spans="1:28" s="18" customFormat="1">
      <c r="A822" s="18" t="s">
        <v>1172</v>
      </c>
      <c r="B822" s="18" t="s">
        <v>9</v>
      </c>
      <c r="C822" s="18" t="s">
        <v>577</v>
      </c>
      <c r="D822" s="18" t="s">
        <v>630</v>
      </c>
      <c r="E822" s="19" t="s">
        <v>22</v>
      </c>
      <c r="F822" s="18" t="s">
        <v>13</v>
      </c>
      <c r="G822" s="29"/>
      <c r="H822" s="32" t="str">
        <f>IF(Prueba[[#This Row],[Cant.]]=0,"",IF(OR(Prueba[[#This Row],[Cant.2]]="",Prueba[[#This Row],[Puesto2]]=""),"?",Prueba[[#This Row],[Puesto2]]))</f>
        <v/>
      </c>
      <c r="I822" s="31"/>
      <c r="J822" s="32"/>
      <c r="K822" s="14">
        <v>6</v>
      </c>
      <c r="L822" s="14"/>
      <c r="M822" s="31">
        <v>6</v>
      </c>
      <c r="N822" s="32">
        <f>IF(Prueba[[#This Row],[Cant.4]]=0,"",IF(OR(Prueba[[#This Row],[Cant.6]]="",Prueba[[#This Row],[Puesto6]]=""),"?",Prueba[[#This Row],[Puesto6]]))</f>
        <v>5</v>
      </c>
      <c r="O822" s="31">
        <v>6</v>
      </c>
      <c r="P822" s="32">
        <f>IF(Prueba[[#This Row],[Cant.5]]=0,"",IF(OR(Prueba[[#This Row],[Cant.6]]="",Prueba[[#This Row],[Puesto6]]=""),"?",Prueba[[#This Row],[Puesto6]]))</f>
        <v>5</v>
      </c>
      <c r="Q822" s="31">
        <v>6</v>
      </c>
      <c r="R822" s="32">
        <v>5</v>
      </c>
      <c r="S822" s="14">
        <v>6</v>
      </c>
      <c r="T822" s="14">
        <v>5</v>
      </c>
      <c r="U822" s="31">
        <v>4</v>
      </c>
      <c r="V822" s="32">
        <v>5</v>
      </c>
      <c r="W822" s="19">
        <v>48</v>
      </c>
      <c r="X822" s="19" t="s">
        <v>1664</v>
      </c>
      <c r="Y822" s="19" t="s">
        <v>1663</v>
      </c>
      <c r="Z822" s="19" t="s">
        <v>1663</v>
      </c>
      <c r="AA822" s="19" t="s">
        <v>1663</v>
      </c>
      <c r="AB822" s="19" t="s">
        <v>1663</v>
      </c>
    </row>
    <row r="823" spans="1:28" s="18" customFormat="1">
      <c r="A823" s="18" t="s">
        <v>1562</v>
      </c>
      <c r="B823" s="18" t="s">
        <v>9</v>
      </c>
      <c r="C823" s="18" t="s">
        <v>2224</v>
      </c>
      <c r="D823" s="18" t="s">
        <v>2225</v>
      </c>
      <c r="E823" s="19" t="s">
        <v>1733</v>
      </c>
      <c r="F823" s="18" t="s">
        <v>13</v>
      </c>
      <c r="G823" s="29"/>
      <c r="H823" s="32" t="str">
        <f>IF(Prueba[[#This Row],[Cant.]]=0,"",IF(OR(Prueba[[#This Row],[Cant.2]]="",Prueba[[#This Row],[Puesto2]]=""),"?",Prueba[[#This Row],[Puesto2]]))</f>
        <v/>
      </c>
      <c r="I823" s="31"/>
      <c r="J823" s="32"/>
      <c r="K823" s="14"/>
      <c r="L823" s="14"/>
      <c r="M823" s="31"/>
      <c r="N823" s="32" t="str">
        <f>IF(Prueba[[#This Row],[Cant.4]]=0,"",IF(OR(Prueba[[#This Row],[Cant.6]]="",Prueba[[#This Row],[Puesto6]]=""),"?",Prueba[[#This Row],[Puesto6]]))</f>
        <v/>
      </c>
      <c r="O823" s="31"/>
      <c r="P823" s="32" t="str">
        <f>IF(Prueba[[#This Row],[Cant.5]]=0,"",IF(OR(Prueba[[#This Row],[Cant.6]]="",Prueba[[#This Row],[Puesto6]]=""),"?",Prueba[[#This Row],[Puesto6]]))</f>
        <v/>
      </c>
      <c r="Q823" s="31"/>
      <c r="R823" s="32"/>
      <c r="S823" s="14"/>
      <c r="T823" s="14"/>
      <c r="U823" s="31">
        <v>4</v>
      </c>
      <c r="V823" s="32">
        <v>6</v>
      </c>
      <c r="W823" s="19">
        <v>32</v>
      </c>
      <c r="X823" s="19" t="s">
        <v>1664</v>
      </c>
      <c r="Y823" s="19" t="s">
        <v>1663</v>
      </c>
      <c r="Z823" s="19" t="s">
        <v>1663</v>
      </c>
      <c r="AA823" s="19" t="s">
        <v>1663</v>
      </c>
      <c r="AB823" s="19" t="s">
        <v>1663</v>
      </c>
    </row>
    <row r="824" spans="1:28" s="18" customFormat="1">
      <c r="A824" s="18" t="s">
        <v>2228</v>
      </c>
      <c r="B824" s="18" t="s">
        <v>9</v>
      </c>
      <c r="C824" s="18" t="s">
        <v>2229</v>
      </c>
      <c r="D824" s="18" t="s">
        <v>2230</v>
      </c>
      <c r="E824" s="19" t="s">
        <v>1733</v>
      </c>
      <c r="F824" s="18" t="s">
        <v>13</v>
      </c>
      <c r="G824" s="29"/>
      <c r="H824" s="32" t="str">
        <f>IF(Prueba[[#This Row],[Cant.]]=0,"",IF(OR(Prueba[[#This Row],[Cant.2]]="",Prueba[[#This Row],[Puesto2]]=""),"?",Prueba[[#This Row],[Puesto2]]))</f>
        <v/>
      </c>
      <c r="I824" s="31"/>
      <c r="J824" s="32"/>
      <c r="K824" s="14"/>
      <c r="L824" s="14"/>
      <c r="M824" s="31"/>
      <c r="N824" s="32" t="str">
        <f>IF(Prueba[[#This Row],[Cant.4]]=0,"",IF(OR(Prueba[[#This Row],[Cant.6]]="",Prueba[[#This Row],[Puesto6]]=""),"?",Prueba[[#This Row],[Puesto6]]))</f>
        <v/>
      </c>
      <c r="O824" s="31"/>
      <c r="P824" s="32" t="str">
        <f>IF(Prueba[[#This Row],[Cant.5]]=0,"",IF(OR(Prueba[[#This Row],[Cant.6]]="",Prueba[[#This Row],[Puesto6]]=""),"?",Prueba[[#This Row],[Puesto6]]))</f>
        <v/>
      </c>
      <c r="Q824" s="31"/>
      <c r="R824" s="32"/>
      <c r="S824" s="14">
        <v>2</v>
      </c>
      <c r="T824" s="14"/>
      <c r="U824" s="31"/>
      <c r="V824" s="32" t="s">
        <v>1663</v>
      </c>
      <c r="W824" s="19">
        <v>16</v>
      </c>
      <c r="X824" s="19" t="s">
        <v>1664</v>
      </c>
      <c r="Y824" s="19" t="s">
        <v>1663</v>
      </c>
      <c r="Z824" s="19" t="s">
        <v>1663</v>
      </c>
      <c r="AA824" s="19" t="s">
        <v>1663</v>
      </c>
      <c r="AB824" s="19" t="s">
        <v>1663</v>
      </c>
    </row>
    <row r="825" spans="1:28" s="18" customFormat="1">
      <c r="A825" s="18" t="s">
        <v>1563</v>
      </c>
      <c r="B825" s="18" t="s">
        <v>9</v>
      </c>
      <c r="C825" s="18" t="s">
        <v>2229</v>
      </c>
      <c r="D825" s="18" t="s">
        <v>2230</v>
      </c>
      <c r="E825" s="19" t="s">
        <v>1733</v>
      </c>
      <c r="F825" s="18" t="s">
        <v>13</v>
      </c>
      <c r="G825" s="29"/>
      <c r="H825" s="32" t="str">
        <f>IF(Prueba[[#This Row],[Cant.]]=0,"",IF(OR(Prueba[[#This Row],[Cant.2]]="",Prueba[[#This Row],[Puesto2]]=""),"?",Prueba[[#This Row],[Puesto2]]))</f>
        <v/>
      </c>
      <c r="I825" s="31"/>
      <c r="J825" s="32"/>
      <c r="K825" s="14"/>
      <c r="L825" s="14"/>
      <c r="M825" s="31"/>
      <c r="N825" s="32" t="str">
        <f>IF(Prueba[[#This Row],[Cant.4]]=0,"",IF(OR(Prueba[[#This Row],[Cant.6]]="",Prueba[[#This Row],[Puesto6]]=""),"?",Prueba[[#This Row],[Puesto6]]))</f>
        <v/>
      </c>
      <c r="O825" s="31"/>
      <c r="P825" s="32" t="str">
        <f>IF(Prueba[[#This Row],[Cant.5]]=0,"",IF(OR(Prueba[[#This Row],[Cant.6]]="",Prueba[[#This Row],[Puesto6]]=""),"?",Prueba[[#This Row],[Puesto6]]))</f>
        <v/>
      </c>
      <c r="Q825" s="31"/>
      <c r="R825" s="32"/>
      <c r="S825" s="14"/>
      <c r="T825" s="14"/>
      <c r="U825" s="31">
        <v>1</v>
      </c>
      <c r="V825" s="113">
        <v>6</v>
      </c>
      <c r="W825" s="19">
        <v>8</v>
      </c>
      <c r="X825" s="19" t="s">
        <v>1664</v>
      </c>
      <c r="Y825" s="19" t="s">
        <v>1663</v>
      </c>
      <c r="Z825" s="19" t="s">
        <v>1663</v>
      </c>
      <c r="AA825" s="19" t="s">
        <v>1663</v>
      </c>
      <c r="AB825" s="19" t="s">
        <v>1663</v>
      </c>
    </row>
    <row r="826" spans="1:28" s="18" customFormat="1">
      <c r="A826" s="18" t="s">
        <v>1173</v>
      </c>
      <c r="B826" s="18" t="s">
        <v>9</v>
      </c>
      <c r="C826" s="18" t="s">
        <v>634</v>
      </c>
      <c r="D826" s="18" t="s">
        <v>634</v>
      </c>
      <c r="E826" s="19" t="s">
        <v>22</v>
      </c>
      <c r="F826" s="18" t="s">
        <v>13</v>
      </c>
      <c r="G826" s="29"/>
      <c r="H826" s="32" t="str">
        <f>IF(Prueba[[#This Row],[Cant.]]=0,"",IF(OR(Prueba[[#This Row],[Cant.2]]="",Prueba[[#This Row],[Puesto2]]=""),"?",Prueba[[#This Row],[Puesto2]]))</f>
        <v/>
      </c>
      <c r="I826" s="31"/>
      <c r="J826" s="32"/>
      <c r="K826" s="14"/>
      <c r="L826" s="14"/>
      <c r="M826" s="31"/>
      <c r="N826" s="32"/>
      <c r="O826" s="31"/>
      <c r="P826" s="32"/>
      <c r="Q826" s="31"/>
      <c r="R826" s="32"/>
      <c r="S826" s="14"/>
      <c r="T826" s="14"/>
      <c r="U826" s="31"/>
      <c r="V826" s="32"/>
      <c r="W826" s="19"/>
      <c r="X826" s="19" t="s">
        <v>1664</v>
      </c>
      <c r="Y826" s="19" t="s">
        <v>1663</v>
      </c>
      <c r="Z826" s="19" t="s">
        <v>1663</v>
      </c>
      <c r="AA826" s="19" t="s">
        <v>1663</v>
      </c>
      <c r="AB826" s="19" t="s">
        <v>1663</v>
      </c>
    </row>
    <row r="827" spans="1:28" s="18" customFormat="1" ht="28.9">
      <c r="A827" s="18" t="s">
        <v>579</v>
      </c>
      <c r="B827" s="18" t="s">
        <v>9</v>
      </c>
      <c r="C827" s="18" t="s">
        <v>580</v>
      </c>
      <c r="D827" s="18" t="s">
        <v>489</v>
      </c>
      <c r="E827" s="19" t="s">
        <v>22</v>
      </c>
      <c r="F827" s="18" t="s">
        <v>13</v>
      </c>
      <c r="G827" s="29">
        <v>6</v>
      </c>
      <c r="H827" s="32">
        <f>IF(Prueba[[#This Row],[Cant.]]=0,"",IF(OR(Prueba[[#This Row],[Cant.2]]="",Prueba[[#This Row],[Puesto2]]=""),"?",Prueba[[#This Row],[Puesto2]]))</f>
        <v>0</v>
      </c>
      <c r="I827" s="31">
        <v>6</v>
      </c>
      <c r="J827" s="32">
        <v>0</v>
      </c>
      <c r="K827" s="14">
        <v>15</v>
      </c>
      <c r="L827" s="14"/>
      <c r="M827" s="31">
        <v>15</v>
      </c>
      <c r="N827" s="32" t="str">
        <f>IF(Prueba[[#This Row],[Cant.4]]=0,"",IF(OR(Prueba[[#This Row],[Cant.6]]="",Prueba[[#This Row],[Puesto6]]=""),"?",Prueba[[#This Row],[Puesto6]]))</f>
        <v>6x0 + 1x6 + 8xD</v>
      </c>
      <c r="O827" s="31">
        <v>15</v>
      </c>
      <c r="P827" s="32" t="str">
        <f>IF(Prueba[[#This Row],[Cant.5]]=0,"",IF(OR(Prueba[[#This Row],[Cant.6]]="",Prueba[[#This Row],[Puesto6]]=""),"?",Prueba[[#This Row],[Puesto6]]))</f>
        <v>6x0 + 1x6 + 8xD</v>
      </c>
      <c r="Q827" s="31">
        <v>15</v>
      </c>
      <c r="R827" s="32" t="s">
        <v>2231</v>
      </c>
      <c r="S827" s="14">
        <v>15</v>
      </c>
      <c r="T827" s="14" t="s">
        <v>2232</v>
      </c>
      <c r="U827" s="31"/>
      <c r="V827" s="32" t="s">
        <v>1663</v>
      </c>
      <c r="W827" s="19">
        <v>64</v>
      </c>
      <c r="X827" s="19" t="s">
        <v>1664</v>
      </c>
      <c r="Y827" s="19" t="s">
        <v>1663</v>
      </c>
      <c r="Z827" s="19" t="s">
        <v>1663</v>
      </c>
      <c r="AA827" s="19" t="s">
        <v>1663</v>
      </c>
      <c r="AB827" s="19" t="s">
        <v>1663</v>
      </c>
    </row>
    <row r="828" spans="1:28" s="18" customFormat="1">
      <c r="A828" s="18" t="s">
        <v>581</v>
      </c>
      <c r="B828" s="18" t="s">
        <v>9</v>
      </c>
      <c r="C828" s="18" t="s">
        <v>580</v>
      </c>
      <c r="D828" s="18" t="s">
        <v>582</v>
      </c>
      <c r="E828" s="19" t="s">
        <v>22</v>
      </c>
      <c r="F828" s="18" t="s">
        <v>13</v>
      </c>
      <c r="G828" s="29">
        <v>11</v>
      </c>
      <c r="H828" s="32" t="str">
        <f>IF(Prueba[[#This Row],[Cant.]]=0,"",IF(OR(Prueba[[#This Row],[Cant.2]]="",Prueba[[#This Row],[Puesto2]]=""),"?",Prueba[[#This Row],[Puesto2]]))</f>
        <v>3x6 + 8xD</v>
      </c>
      <c r="I828" s="31">
        <v>11</v>
      </c>
      <c r="J828" s="32" t="s">
        <v>2233</v>
      </c>
      <c r="K828" s="14"/>
      <c r="L828" s="14"/>
      <c r="M828" s="31"/>
      <c r="N828" s="32" t="str">
        <f>IF(Prueba[[#This Row],[Cant.4]]=0,"",IF(OR(Prueba[[#This Row],[Cant.6]]="",Prueba[[#This Row],[Puesto6]]=""),"?",Prueba[[#This Row],[Puesto6]]))</f>
        <v/>
      </c>
      <c r="O828" s="31"/>
      <c r="P828" s="32" t="str">
        <f>IF(Prueba[[#This Row],[Cant.5]]=0,"",IF(OR(Prueba[[#This Row],[Cant.6]]="",Prueba[[#This Row],[Puesto6]]=""),"?",Prueba[[#This Row],[Puesto6]]))</f>
        <v/>
      </c>
      <c r="Q828" s="31"/>
      <c r="R828" s="32"/>
      <c r="S828" s="14"/>
      <c r="T828" s="14"/>
      <c r="U828" s="31"/>
      <c r="V828" s="32" t="s">
        <v>1663</v>
      </c>
      <c r="W828" s="19">
        <v>64</v>
      </c>
      <c r="X828" s="19" t="s">
        <v>1664</v>
      </c>
      <c r="Y828" s="19">
        <v>13</v>
      </c>
      <c r="Z828" s="19" t="s">
        <v>2233</v>
      </c>
      <c r="AA828" s="19">
        <v>13</v>
      </c>
      <c r="AB828" s="19" t="s">
        <v>2233</v>
      </c>
    </row>
    <row r="829" spans="1:28" s="18" customFormat="1">
      <c r="A829" s="18" t="s">
        <v>583</v>
      </c>
      <c r="B829" s="18" t="s">
        <v>9</v>
      </c>
      <c r="C829" s="18" t="s">
        <v>580</v>
      </c>
      <c r="D829" s="18" t="s">
        <v>584</v>
      </c>
      <c r="E829" s="19" t="s">
        <v>22</v>
      </c>
      <c r="F829" s="18" t="s">
        <v>13</v>
      </c>
      <c r="G829" s="29">
        <v>12</v>
      </c>
      <c r="H829" s="32" t="str">
        <f>IF(Prueba[[#This Row],[Cant.]]=0,"",IF(OR(Prueba[[#This Row],[Cant.2]]="",Prueba[[#This Row],[Puesto2]]=""),"?",Prueba[[#This Row],[Puesto2]]))</f>
        <v>2x4 + 10x6</v>
      </c>
      <c r="I829" s="31">
        <v>12</v>
      </c>
      <c r="J829" s="32" t="s">
        <v>2234</v>
      </c>
      <c r="K829" s="14">
        <v>24</v>
      </c>
      <c r="L829" s="14"/>
      <c r="M829" s="31">
        <v>22</v>
      </c>
      <c r="N829" s="32" t="str">
        <f>IF(Prueba[[#This Row],[Cant.4]]=0,"",IF(OR(Prueba[[#This Row],[Cant.6]]="",Prueba[[#This Row],[Puesto6]]=""),"?",Prueba[[#This Row],[Puesto6]]))</f>
        <v>10x6 + 8xD</v>
      </c>
      <c r="O829" s="31">
        <v>24</v>
      </c>
      <c r="P829" s="32" t="str">
        <f>IF(Prueba[[#This Row],[Cant.5]]=0,"",IF(OR(Prueba[[#This Row],[Cant.6]]="",Prueba[[#This Row],[Puesto6]]=""),"?",Prueba[[#This Row],[Puesto6]]))</f>
        <v>10x6 + 8xD</v>
      </c>
      <c r="Q829" s="31">
        <v>22</v>
      </c>
      <c r="R829" s="32" t="s">
        <v>2235</v>
      </c>
      <c r="S829" s="14">
        <v>22</v>
      </c>
      <c r="T829" s="14" t="s">
        <v>2236</v>
      </c>
      <c r="U829" s="31"/>
      <c r="V829" s="32" t="s">
        <v>1663</v>
      </c>
      <c r="W829" s="19">
        <v>176</v>
      </c>
      <c r="X829" s="19" t="s">
        <v>1664</v>
      </c>
      <c r="Y829" s="19">
        <v>14</v>
      </c>
      <c r="Z829" s="19" t="s">
        <v>2234</v>
      </c>
      <c r="AA829" s="19">
        <v>14</v>
      </c>
      <c r="AB829" s="19" t="s">
        <v>2234</v>
      </c>
    </row>
    <row r="830" spans="1:28" s="18" customFormat="1">
      <c r="A830" s="18" t="s">
        <v>1174</v>
      </c>
      <c r="B830" s="18" t="s">
        <v>9</v>
      </c>
      <c r="C830" s="18" t="s">
        <v>682</v>
      </c>
      <c r="D830" s="18" t="s">
        <v>582</v>
      </c>
      <c r="E830" s="19" t="s">
        <v>22</v>
      </c>
      <c r="F830" s="18" t="s">
        <v>13</v>
      </c>
      <c r="G830" s="29"/>
      <c r="H830" s="32" t="str">
        <f>IF(Prueba[[#This Row],[Cant.]]=0,"",IF(OR(Prueba[[#This Row],[Cant.2]]="",Prueba[[#This Row],[Puesto2]]=""),"?",Prueba[[#This Row],[Puesto2]]))</f>
        <v/>
      </c>
      <c r="I830" s="31"/>
      <c r="J830" s="32"/>
      <c r="K830" s="14">
        <v>8</v>
      </c>
      <c r="L830" s="14"/>
      <c r="M830" s="31">
        <v>10</v>
      </c>
      <c r="N830" s="32">
        <f>IF(Prueba[[#This Row],[Cant.4]]=0,"",IF(OR(Prueba[[#This Row],[Cant.6]]="",Prueba[[#This Row],[Puesto6]]=""),"?",Prueba[[#This Row],[Puesto6]]))</f>
        <v>6</v>
      </c>
      <c r="O830" s="31">
        <v>8</v>
      </c>
      <c r="P830" s="32">
        <f>IF(Prueba[[#This Row],[Cant.5]]=0,"",IF(OR(Prueba[[#This Row],[Cant.6]]="",Prueba[[#This Row],[Puesto6]]=""),"?",Prueba[[#This Row],[Puesto6]]))</f>
        <v>6</v>
      </c>
      <c r="Q830" s="31">
        <v>10</v>
      </c>
      <c r="R830" s="32">
        <v>6</v>
      </c>
      <c r="S830" s="14">
        <v>10</v>
      </c>
      <c r="T830" s="14">
        <v>6</v>
      </c>
      <c r="U830" s="31">
        <v>5</v>
      </c>
      <c r="V830" s="32" t="s">
        <v>1565</v>
      </c>
      <c r="W830" s="19">
        <v>80</v>
      </c>
      <c r="X830" s="19" t="s">
        <v>1664</v>
      </c>
      <c r="Y830" s="19" t="s">
        <v>1663</v>
      </c>
      <c r="Z830" s="19" t="s">
        <v>1663</v>
      </c>
      <c r="AA830" s="19" t="s">
        <v>1663</v>
      </c>
      <c r="AB830" s="19" t="s">
        <v>1663</v>
      </c>
    </row>
    <row r="831" spans="1:28" s="18" customFormat="1">
      <c r="A831" s="18" t="s">
        <v>1566</v>
      </c>
      <c r="B831" s="18" t="s">
        <v>9</v>
      </c>
      <c r="C831" s="18" t="s">
        <v>2237</v>
      </c>
      <c r="D831" s="18" t="s">
        <v>2238</v>
      </c>
      <c r="E831" s="19" t="s">
        <v>1733</v>
      </c>
      <c r="F831" s="18" t="s">
        <v>13</v>
      </c>
      <c r="G831" s="29"/>
      <c r="H831" s="32" t="str">
        <f>IF(Prueba[[#This Row],[Cant.]]=0,"",IF(OR(Prueba[[#This Row],[Cant.2]]="",Prueba[[#This Row],[Puesto2]]=""),"?",Prueba[[#This Row],[Puesto2]]))</f>
        <v/>
      </c>
      <c r="I831" s="31"/>
      <c r="J831" s="32"/>
      <c r="K831" s="14"/>
      <c r="L831" s="14"/>
      <c r="M831" s="31"/>
      <c r="N831" s="32" t="str">
        <f>IF(Prueba[[#This Row],[Cant.4]]=0,"",IF(OR(Prueba[[#This Row],[Cant.6]]="",Prueba[[#This Row],[Puesto6]]=""),"?",Prueba[[#This Row],[Puesto6]]))</f>
        <v/>
      </c>
      <c r="O831" s="31"/>
      <c r="P831" s="32" t="str">
        <f>IF(Prueba[[#This Row],[Cant.5]]=0,"",IF(OR(Prueba[[#This Row],[Cant.6]]="",Prueba[[#This Row],[Puesto6]]=""),"?",Prueba[[#This Row],[Puesto6]]))</f>
        <v/>
      </c>
      <c r="Q831" s="31"/>
      <c r="R831" s="32"/>
      <c r="S831" s="14">
        <v>8</v>
      </c>
      <c r="T831" s="14" t="s">
        <v>1399</v>
      </c>
      <c r="U831" s="31">
        <v>4</v>
      </c>
      <c r="V831" s="32" t="s">
        <v>1560</v>
      </c>
      <c r="W831" s="19">
        <v>64</v>
      </c>
      <c r="X831" s="19" t="s">
        <v>1664</v>
      </c>
      <c r="Y831" s="19" t="s">
        <v>1663</v>
      </c>
      <c r="Z831" s="19" t="s">
        <v>1663</v>
      </c>
      <c r="AA831" s="19" t="s">
        <v>1663</v>
      </c>
      <c r="AB831" s="19" t="s">
        <v>1663</v>
      </c>
    </row>
    <row r="832" spans="1:28" s="18" customFormat="1">
      <c r="A832" s="18" t="s">
        <v>1175</v>
      </c>
      <c r="B832" s="18" t="s">
        <v>9</v>
      </c>
      <c r="C832" s="18" t="s">
        <v>587</v>
      </c>
      <c r="D832" s="18" t="s">
        <v>587</v>
      </c>
      <c r="E832" s="19" t="s">
        <v>22</v>
      </c>
      <c r="F832" s="18" t="s">
        <v>13</v>
      </c>
      <c r="G832" s="29"/>
      <c r="H832" s="32" t="str">
        <f>IF(Prueba[[#This Row],[Cant.]]=0,"",IF(OR(Prueba[[#This Row],[Cant.2]]="",Prueba[[#This Row],[Puesto2]]=""),"?",Prueba[[#This Row],[Puesto2]]))</f>
        <v/>
      </c>
      <c r="I832" s="31"/>
      <c r="J832" s="32"/>
      <c r="K832" s="14">
        <v>2</v>
      </c>
      <c r="L832" s="14"/>
      <c r="M832" s="31">
        <v>4</v>
      </c>
      <c r="N832" s="32">
        <f>IF(Prueba[[#This Row],[Cant.4]]=0,"",IF(OR(Prueba[[#This Row],[Cant.6]]="",Prueba[[#This Row],[Puesto6]]=""),"?",Prueba[[#This Row],[Puesto6]]))</f>
        <v>2</v>
      </c>
      <c r="O832" s="31">
        <v>4</v>
      </c>
      <c r="P832" s="32">
        <f>IF(Prueba[[#This Row],[Cant.5]]=0,"",IF(OR(Prueba[[#This Row],[Cant.6]]="",Prueba[[#This Row],[Puesto6]]=""),"?",Prueba[[#This Row],[Puesto6]]))</f>
        <v>2</v>
      </c>
      <c r="Q832" s="31">
        <v>2</v>
      </c>
      <c r="R832" s="32">
        <v>2</v>
      </c>
      <c r="S832" s="14">
        <v>4</v>
      </c>
      <c r="T832" s="14" t="s">
        <v>2239</v>
      </c>
      <c r="U832" s="31">
        <v>2</v>
      </c>
      <c r="V832" s="32">
        <v>5</v>
      </c>
      <c r="W832" s="19">
        <v>16</v>
      </c>
      <c r="X832" s="19" t="s">
        <v>1664</v>
      </c>
      <c r="Y832" s="19" t="s">
        <v>1663</v>
      </c>
      <c r="Z832" s="19" t="s">
        <v>1663</v>
      </c>
      <c r="AA832" s="19" t="s">
        <v>1663</v>
      </c>
      <c r="AB832" s="19" t="s">
        <v>1663</v>
      </c>
    </row>
    <row r="833" spans="1:28" s="18" customFormat="1">
      <c r="A833" s="18" t="s">
        <v>1176</v>
      </c>
      <c r="B833" s="18" t="s">
        <v>9</v>
      </c>
      <c r="C833" s="18" t="s">
        <v>587</v>
      </c>
      <c r="D833" s="18" t="s">
        <v>1177</v>
      </c>
      <c r="E833" s="19" t="s">
        <v>22</v>
      </c>
      <c r="F833" s="18" t="s">
        <v>13</v>
      </c>
      <c r="G833" s="29"/>
      <c r="H833" s="32" t="str">
        <f>IF(Prueba[[#This Row],[Cant.]]=0,"",IF(OR(Prueba[[#This Row],[Cant.2]]="",Prueba[[#This Row],[Puesto2]]=""),"?",Prueba[[#This Row],[Puesto2]]))</f>
        <v/>
      </c>
      <c r="I833" s="31"/>
      <c r="J833" s="32"/>
      <c r="K833" s="14">
        <v>14</v>
      </c>
      <c r="L833" s="14"/>
      <c r="M833" s="31">
        <v>14</v>
      </c>
      <c r="N833" s="32">
        <f>IF(Prueba[[#This Row],[Cant.4]]=0,"",IF(OR(Prueba[[#This Row],[Cant.6]]="",Prueba[[#This Row],[Puesto6]]=""),"?",Prueba[[#This Row],[Puesto6]]))</f>
        <v>6</v>
      </c>
      <c r="O833" s="31">
        <v>14</v>
      </c>
      <c r="P833" s="32">
        <f>IF(Prueba[[#This Row],[Cant.5]]=0,"",IF(OR(Prueba[[#This Row],[Cant.6]]="",Prueba[[#This Row],[Puesto6]]=""),"?",Prueba[[#This Row],[Puesto6]]))</f>
        <v>6</v>
      </c>
      <c r="Q833" s="31">
        <v>14</v>
      </c>
      <c r="R833" s="32">
        <v>6</v>
      </c>
      <c r="S833" s="14">
        <v>14</v>
      </c>
      <c r="T833" s="14">
        <v>6</v>
      </c>
      <c r="U833" s="31"/>
      <c r="V833" s="32" t="s">
        <v>1663</v>
      </c>
      <c r="W833" s="19">
        <v>112</v>
      </c>
      <c r="X833" s="19" t="s">
        <v>1664</v>
      </c>
      <c r="Y833" s="19" t="s">
        <v>1663</v>
      </c>
      <c r="Z833" s="19" t="s">
        <v>1663</v>
      </c>
      <c r="AA833" s="19" t="s">
        <v>1663</v>
      </c>
      <c r="AB833" s="19" t="s">
        <v>1663</v>
      </c>
    </row>
    <row r="834" spans="1:28" s="18" customFormat="1">
      <c r="A834" s="18" t="s">
        <v>585</v>
      </c>
      <c r="B834" s="18" t="s">
        <v>9</v>
      </c>
      <c r="C834" s="18" t="s">
        <v>586</v>
      </c>
      <c r="D834" s="18" t="s">
        <v>587</v>
      </c>
      <c r="E834" s="19" t="s">
        <v>22</v>
      </c>
      <c r="F834" s="18" t="s">
        <v>13</v>
      </c>
      <c r="G834" s="29">
        <v>8</v>
      </c>
      <c r="H834" s="32" t="str">
        <f>IF(Prueba[[#This Row],[Cant.]]=0,"",IF(OR(Prueba[[#This Row],[Cant.2]]="",Prueba[[#This Row],[Puesto2]]=""),"?",Prueba[[#This Row],[Puesto2]]))</f>
        <v>6x0 + 2x5</v>
      </c>
      <c r="I834" s="31">
        <v>8</v>
      </c>
      <c r="J834" s="32" t="s">
        <v>2240</v>
      </c>
      <c r="K834" s="14">
        <v>8</v>
      </c>
      <c r="L834" s="14"/>
      <c r="M834" s="31">
        <v>8</v>
      </c>
      <c r="N834" s="32" t="str">
        <f>IF(Prueba[[#This Row],[Cant.4]]=0,"",IF(OR(Prueba[[#This Row],[Cant.6]]="",Prueba[[#This Row],[Puesto6]]=""),"?",Prueba[[#This Row],[Puesto6]]))</f>
        <v>6x0 + 2x5</v>
      </c>
      <c r="O834" s="31">
        <v>8</v>
      </c>
      <c r="P834" s="32" t="str">
        <f>IF(Prueba[[#This Row],[Cant.5]]=0,"",IF(OR(Prueba[[#This Row],[Cant.6]]="",Prueba[[#This Row],[Puesto6]]=""),"?",Prueba[[#This Row],[Puesto6]]))</f>
        <v>6x0 + 2x5</v>
      </c>
      <c r="Q834" s="31">
        <v>8</v>
      </c>
      <c r="R834" s="32" t="s">
        <v>2240</v>
      </c>
      <c r="S834" s="14">
        <v>8</v>
      </c>
      <c r="T834" s="14" t="s">
        <v>2241</v>
      </c>
      <c r="U834" s="31">
        <v>1</v>
      </c>
      <c r="V834" s="32">
        <v>6</v>
      </c>
      <c r="W834" s="19">
        <v>48</v>
      </c>
      <c r="X834" s="19" t="s">
        <v>1664</v>
      </c>
      <c r="Y834" s="19">
        <v>3</v>
      </c>
      <c r="Z834" s="19" t="s">
        <v>2240</v>
      </c>
      <c r="AA834" s="19">
        <v>3</v>
      </c>
      <c r="AB834" s="19" t="s">
        <v>2240</v>
      </c>
    </row>
    <row r="835" spans="1:28" s="18" customFormat="1">
      <c r="A835" s="18" t="s">
        <v>1178</v>
      </c>
      <c r="B835" s="18" t="s">
        <v>9</v>
      </c>
      <c r="C835" s="18" t="s">
        <v>586</v>
      </c>
      <c r="D835" s="18" t="s">
        <v>587</v>
      </c>
      <c r="E835" s="19" t="s">
        <v>22</v>
      </c>
      <c r="F835" s="18" t="s">
        <v>13</v>
      </c>
      <c r="G835" s="29"/>
      <c r="H835" s="32" t="str">
        <f>IF(Prueba[[#This Row],[Cant.]]=0,"",IF(OR(Prueba[[#This Row],[Cant.2]]="",Prueba[[#This Row],[Puesto2]]=""),"?",Prueba[[#This Row],[Puesto2]]))</f>
        <v/>
      </c>
      <c r="I835" s="31"/>
      <c r="J835" s="32"/>
      <c r="K835" s="14">
        <v>5</v>
      </c>
      <c r="L835" s="14"/>
      <c r="M835" s="31">
        <v>5</v>
      </c>
      <c r="N835" s="32" t="str">
        <f>IF(Prueba[[#This Row],[Cant.4]]=0,"",IF(OR(Prueba[[#This Row],[Cant.6]]="",Prueba[[#This Row],[Puesto6]]=""),"?",Prueba[[#This Row],[Puesto6]]))</f>
        <v>1x0 + 4x6</v>
      </c>
      <c r="O835" s="31">
        <v>5</v>
      </c>
      <c r="P835" s="32" t="str">
        <f>IF(Prueba[[#This Row],[Cant.5]]=0,"",IF(OR(Prueba[[#This Row],[Cant.6]]="",Prueba[[#This Row],[Puesto6]]=""),"?",Prueba[[#This Row],[Puesto6]]))</f>
        <v>1x0 + 4x6</v>
      </c>
      <c r="Q835" s="31">
        <v>5</v>
      </c>
      <c r="R835" s="32" t="s">
        <v>1565</v>
      </c>
      <c r="S835" s="14">
        <v>8</v>
      </c>
      <c r="T835" s="14" t="s">
        <v>2242</v>
      </c>
      <c r="U835" s="31">
        <v>4</v>
      </c>
      <c r="V835" s="32">
        <v>6</v>
      </c>
      <c r="W835" s="19">
        <v>32</v>
      </c>
      <c r="X835" s="19" t="s">
        <v>1664</v>
      </c>
      <c r="Y835" s="19" t="s">
        <v>1663</v>
      </c>
      <c r="Z835" s="19" t="s">
        <v>1663</v>
      </c>
      <c r="AA835" s="19" t="s">
        <v>1663</v>
      </c>
      <c r="AB835" s="19" t="s">
        <v>1663</v>
      </c>
    </row>
    <row r="836" spans="1:28" s="18" customFormat="1">
      <c r="A836" s="18" t="s">
        <v>1179</v>
      </c>
      <c r="B836" s="18" t="s">
        <v>9</v>
      </c>
      <c r="C836" s="18" t="s">
        <v>586</v>
      </c>
      <c r="D836" s="18" t="s">
        <v>587</v>
      </c>
      <c r="E836" s="19" t="s">
        <v>22</v>
      </c>
      <c r="F836" s="18" t="s">
        <v>13</v>
      </c>
      <c r="G836" s="29"/>
      <c r="H836" s="32" t="str">
        <f>IF(Prueba[[#This Row],[Cant.]]=0,"",IF(OR(Prueba[[#This Row],[Cant.2]]="",Prueba[[#This Row],[Puesto2]]=""),"?",Prueba[[#This Row],[Puesto2]]))</f>
        <v/>
      </c>
      <c r="I836" s="31"/>
      <c r="J836" s="32"/>
      <c r="K836" s="14">
        <v>4</v>
      </c>
      <c r="L836" s="14"/>
      <c r="M836" s="31">
        <v>4</v>
      </c>
      <c r="N836" s="32">
        <f>IF(Prueba[[#This Row],[Cant.4]]=0,"",IF(OR(Prueba[[#This Row],[Cant.6]]="",Prueba[[#This Row],[Puesto6]]=""),"?",Prueba[[#This Row],[Puesto6]]))</f>
        <v>0</v>
      </c>
      <c r="O836" s="31">
        <v>4</v>
      </c>
      <c r="P836" s="32">
        <f>IF(Prueba[[#This Row],[Cant.5]]=0,"",IF(OR(Prueba[[#This Row],[Cant.6]]="",Prueba[[#This Row],[Puesto6]]=""),"?",Prueba[[#This Row],[Puesto6]]))</f>
        <v>0</v>
      </c>
      <c r="Q836" s="31">
        <v>4</v>
      </c>
      <c r="R836" s="32">
        <v>0</v>
      </c>
      <c r="S836" s="14">
        <v>5</v>
      </c>
      <c r="T836" s="14">
        <v>0</v>
      </c>
      <c r="U836" s="31">
        <v>8</v>
      </c>
      <c r="V836" s="32" t="s">
        <v>1568</v>
      </c>
      <c r="W836" s="19">
        <v>64</v>
      </c>
      <c r="X836" s="19" t="s">
        <v>1664</v>
      </c>
      <c r="Y836" s="19" t="s">
        <v>1663</v>
      </c>
      <c r="Z836" s="19" t="s">
        <v>1663</v>
      </c>
      <c r="AA836" s="19" t="s">
        <v>1663</v>
      </c>
      <c r="AB836" s="19" t="s">
        <v>1663</v>
      </c>
    </row>
    <row r="837" spans="1:28" s="18" customFormat="1">
      <c r="A837" s="18" t="s">
        <v>1180</v>
      </c>
      <c r="B837" s="18" t="s">
        <v>9</v>
      </c>
      <c r="C837" s="18" t="s">
        <v>586</v>
      </c>
      <c r="D837" s="18" t="s">
        <v>587</v>
      </c>
      <c r="E837" s="19" t="s">
        <v>22</v>
      </c>
      <c r="F837" s="18" t="s">
        <v>13</v>
      </c>
      <c r="G837" s="29"/>
      <c r="H837" s="32" t="str">
        <f>IF(Prueba[[#This Row],[Cant.]]=0,"",IF(OR(Prueba[[#This Row],[Cant.2]]="",Prueba[[#This Row],[Puesto2]]=""),"?",Prueba[[#This Row],[Puesto2]]))</f>
        <v/>
      </c>
      <c r="I837" s="31"/>
      <c r="J837" s="32"/>
      <c r="K837" s="14">
        <v>4</v>
      </c>
      <c r="L837" s="14"/>
      <c r="M837" s="31">
        <v>4</v>
      </c>
      <c r="N837" s="32">
        <f>IF(Prueba[[#This Row],[Cant.4]]=0,"",IF(OR(Prueba[[#This Row],[Cant.6]]="",Prueba[[#This Row],[Puesto6]]=""),"?",Prueba[[#This Row],[Puesto6]]))</f>
        <v>5</v>
      </c>
      <c r="O837" s="31">
        <v>2</v>
      </c>
      <c r="P837" s="32">
        <f>IF(Prueba[[#This Row],[Cant.5]]=0,"",IF(OR(Prueba[[#This Row],[Cant.6]]="",Prueba[[#This Row],[Puesto6]]=""),"?",Prueba[[#This Row],[Puesto6]]))</f>
        <v>5</v>
      </c>
      <c r="Q837" s="31">
        <v>4</v>
      </c>
      <c r="R837" s="32">
        <v>5</v>
      </c>
      <c r="S837" s="14">
        <v>4</v>
      </c>
      <c r="T837" s="14">
        <v>5</v>
      </c>
      <c r="U837" s="31">
        <v>3</v>
      </c>
      <c r="V837" s="32" t="s">
        <v>1569</v>
      </c>
      <c r="W837" s="19">
        <v>32</v>
      </c>
      <c r="X837" s="19" t="s">
        <v>1664</v>
      </c>
      <c r="Y837" s="19" t="s">
        <v>1663</v>
      </c>
      <c r="Z837" s="19" t="s">
        <v>1663</v>
      </c>
      <c r="AA837" s="19" t="s">
        <v>1663</v>
      </c>
      <c r="AB837" s="19" t="s">
        <v>1663</v>
      </c>
    </row>
    <row r="838" spans="1:28" s="18" customFormat="1">
      <c r="A838" s="18" t="s">
        <v>1570</v>
      </c>
      <c r="B838" s="18" t="s">
        <v>9</v>
      </c>
      <c r="C838" s="18" t="s">
        <v>1930</v>
      </c>
      <c r="D838" s="18" t="s">
        <v>1931</v>
      </c>
      <c r="E838" s="19" t="s">
        <v>1733</v>
      </c>
      <c r="F838" s="18" t="s">
        <v>13</v>
      </c>
      <c r="G838" s="29"/>
      <c r="H838" s="32" t="str">
        <f>IF(Prueba[[#This Row],[Cant.]]=0,"",IF(OR(Prueba[[#This Row],[Cant.2]]="",Prueba[[#This Row],[Puesto2]]=""),"?",Prueba[[#This Row],[Puesto2]]))</f>
        <v/>
      </c>
      <c r="I838" s="31"/>
      <c r="J838" s="32"/>
      <c r="K838" s="14"/>
      <c r="L838" s="14"/>
      <c r="M838" s="31"/>
      <c r="N838" s="32" t="str">
        <f>IF(Prueba[[#This Row],[Cant.4]]=0,"",IF(OR(Prueba[[#This Row],[Cant.6]]="",Prueba[[#This Row],[Puesto6]]=""),"?",Prueba[[#This Row],[Puesto6]]))</f>
        <v/>
      </c>
      <c r="O838" s="31"/>
      <c r="P838" s="32" t="str">
        <f>IF(Prueba[[#This Row],[Cant.5]]=0,"",IF(OR(Prueba[[#This Row],[Cant.6]]="",Prueba[[#This Row],[Puesto6]]=""),"?",Prueba[[#This Row],[Puesto6]]))</f>
        <v/>
      </c>
      <c r="Q838" s="31"/>
      <c r="R838" s="32"/>
      <c r="S838" s="14"/>
      <c r="T838" s="14"/>
      <c r="U838" s="31">
        <v>1</v>
      </c>
      <c r="V838" s="32">
        <v>5</v>
      </c>
      <c r="W838" s="19">
        <v>8</v>
      </c>
      <c r="X838" s="19" t="s">
        <v>1664</v>
      </c>
      <c r="Y838" s="19" t="s">
        <v>1663</v>
      </c>
      <c r="Z838" s="19" t="s">
        <v>1663</v>
      </c>
      <c r="AA838" s="19" t="s">
        <v>1663</v>
      </c>
      <c r="AB838" s="19" t="s">
        <v>1663</v>
      </c>
    </row>
    <row r="839" spans="1:28" s="18" customFormat="1">
      <c r="A839" s="18" t="s">
        <v>588</v>
      </c>
      <c r="B839" s="18" t="s">
        <v>9</v>
      </c>
      <c r="C839" s="18" t="s">
        <v>586</v>
      </c>
      <c r="D839" s="18" t="s">
        <v>589</v>
      </c>
      <c r="E839" s="19" t="s">
        <v>22</v>
      </c>
      <c r="F839" s="18" t="s">
        <v>13</v>
      </c>
      <c r="G839" s="29">
        <v>13</v>
      </c>
      <c r="H839" s="32">
        <f>IF(Prueba[[#This Row],[Cant.]]=0,"",IF(OR(Prueba[[#This Row],[Cant.2]]="",Prueba[[#This Row],[Puesto2]]=""),"?",Prueba[[#This Row],[Puesto2]]))</f>
        <v>6</v>
      </c>
      <c r="I839" s="31">
        <v>13</v>
      </c>
      <c r="J839" s="32">
        <v>6</v>
      </c>
      <c r="K839" s="14"/>
      <c r="L839" s="14"/>
      <c r="M839" s="31"/>
      <c r="N839" s="32" t="str">
        <f>IF(Prueba[[#This Row],[Cant.4]]=0,"",IF(OR(Prueba[[#This Row],[Cant.6]]="",Prueba[[#This Row],[Puesto6]]=""),"?",Prueba[[#This Row],[Puesto6]]))</f>
        <v/>
      </c>
      <c r="O839" s="31"/>
      <c r="P839" s="32" t="str">
        <f>IF(Prueba[[#This Row],[Cant.5]]=0,"",IF(OR(Prueba[[#This Row],[Cant.6]]="",Prueba[[#This Row],[Puesto6]]=""),"?",Prueba[[#This Row],[Puesto6]]))</f>
        <v/>
      </c>
      <c r="Q839" s="31"/>
      <c r="R839" s="32"/>
      <c r="S839" s="14"/>
      <c r="T839" s="14"/>
      <c r="U839" s="31"/>
      <c r="V839" s="32" t="s">
        <v>1663</v>
      </c>
      <c r="W839" s="19">
        <v>104</v>
      </c>
      <c r="X839" s="19" t="s">
        <v>1664</v>
      </c>
      <c r="Y839" s="19">
        <v>15</v>
      </c>
      <c r="Z839" s="19">
        <v>6</v>
      </c>
      <c r="AA839" s="19">
        <v>15</v>
      </c>
      <c r="AB839" s="19">
        <v>6</v>
      </c>
    </row>
    <row r="840" spans="1:28" s="18" customFormat="1">
      <c r="A840" s="18" t="s">
        <v>590</v>
      </c>
      <c r="B840" s="18" t="s">
        <v>9</v>
      </c>
      <c r="C840" s="18" t="s">
        <v>586</v>
      </c>
      <c r="D840" s="18" t="s">
        <v>591</v>
      </c>
      <c r="E840" s="19" t="s">
        <v>22</v>
      </c>
      <c r="F840" s="18" t="s">
        <v>13</v>
      </c>
      <c r="G840" s="29">
        <v>8</v>
      </c>
      <c r="H840" s="32" t="str">
        <f>IF(Prueba[[#This Row],[Cant.]]=0,"",IF(OR(Prueba[[#This Row],[Cant.2]]="",Prueba[[#This Row],[Puesto2]]=""),"?",Prueba[[#This Row],[Puesto2]]))</f>
        <v>D</v>
      </c>
      <c r="I840" s="31">
        <v>8</v>
      </c>
      <c r="J840" s="32" t="s">
        <v>1399</v>
      </c>
      <c r="K840" s="14">
        <v>8</v>
      </c>
      <c r="L840" s="14"/>
      <c r="M840" s="31">
        <v>10</v>
      </c>
      <c r="N840" s="32" t="str">
        <f>IF(Prueba[[#This Row],[Cant.4]]=0,"",IF(OR(Prueba[[#This Row],[Cant.6]]="",Prueba[[#This Row],[Puesto6]]=""),"?",Prueba[[#This Row],[Puesto6]]))</f>
        <v>2x6 + 8xD</v>
      </c>
      <c r="O840" s="31">
        <v>8</v>
      </c>
      <c r="P840" s="32" t="str">
        <f>IF(Prueba[[#This Row],[Cant.5]]=0,"",IF(OR(Prueba[[#This Row],[Cant.6]]="",Prueba[[#This Row],[Puesto6]]=""),"?",Prueba[[#This Row],[Puesto6]]))</f>
        <v>2x6 + 8xD</v>
      </c>
      <c r="Q840" s="31">
        <v>10</v>
      </c>
      <c r="R840" s="32" t="s">
        <v>2243</v>
      </c>
      <c r="S840" s="14">
        <v>10</v>
      </c>
      <c r="T840" s="14" t="s">
        <v>2243</v>
      </c>
      <c r="U840" s="31"/>
      <c r="V840" s="32" t="s">
        <v>1663</v>
      </c>
      <c r="W840" s="19">
        <v>80</v>
      </c>
      <c r="X840" s="19" t="s">
        <v>1664</v>
      </c>
      <c r="Y840" s="19">
        <v>9</v>
      </c>
      <c r="Z840" s="19" t="s">
        <v>1399</v>
      </c>
      <c r="AA840" s="19">
        <v>9</v>
      </c>
      <c r="AB840" s="19" t="s">
        <v>1399</v>
      </c>
    </row>
    <row r="841" spans="1:28" s="18" customFormat="1">
      <c r="A841" s="18" t="s">
        <v>1181</v>
      </c>
      <c r="B841" s="18" t="s">
        <v>9</v>
      </c>
      <c r="C841" s="18" t="s">
        <v>586</v>
      </c>
      <c r="D841" s="18" t="s">
        <v>587</v>
      </c>
      <c r="E841" s="19" t="s">
        <v>22</v>
      </c>
      <c r="F841" s="18" t="s">
        <v>13</v>
      </c>
      <c r="G841" s="29"/>
      <c r="H841" s="32" t="str">
        <f>IF(Prueba[[#This Row],[Cant.]]=0,"",IF(OR(Prueba[[#This Row],[Cant.2]]="",Prueba[[#This Row],[Puesto2]]=""),"?",Prueba[[#This Row],[Puesto2]]))</f>
        <v/>
      </c>
      <c r="I841" s="31"/>
      <c r="J841" s="32"/>
      <c r="K841" s="14">
        <v>7</v>
      </c>
      <c r="L841" s="14"/>
      <c r="M841" s="31">
        <v>7</v>
      </c>
      <c r="N841" s="32" t="str">
        <f>IF(Prueba[[#This Row],[Cant.4]]=0,"",IF(OR(Prueba[[#This Row],[Cant.6]]="",Prueba[[#This Row],[Puesto6]]=""),"?",Prueba[[#This Row],[Puesto6]]))</f>
        <v>1x5 + 6xD</v>
      </c>
      <c r="O841" s="31">
        <v>7</v>
      </c>
      <c r="P841" s="32" t="str">
        <f>IF(Prueba[[#This Row],[Cant.5]]=0,"",IF(OR(Prueba[[#This Row],[Cant.6]]="",Prueba[[#This Row],[Puesto6]]=""),"?",Prueba[[#This Row],[Puesto6]]))</f>
        <v>1x5 + 6xD</v>
      </c>
      <c r="Q841" s="31">
        <v>7</v>
      </c>
      <c r="R841" s="32" t="s">
        <v>2244</v>
      </c>
      <c r="S841" s="14">
        <v>7</v>
      </c>
      <c r="T841" s="14" t="s">
        <v>2244</v>
      </c>
      <c r="U841" s="31">
        <v>6</v>
      </c>
      <c r="V841" s="32" t="s">
        <v>1399</v>
      </c>
      <c r="W841" s="19">
        <v>48</v>
      </c>
      <c r="X841" s="19" t="s">
        <v>1664</v>
      </c>
      <c r="Y841" s="19" t="s">
        <v>1663</v>
      </c>
      <c r="Z841" s="19" t="s">
        <v>1663</v>
      </c>
      <c r="AA841" s="19" t="s">
        <v>1663</v>
      </c>
      <c r="AB841" s="19" t="s">
        <v>1663</v>
      </c>
    </row>
    <row r="842" spans="1:28" s="18" customFormat="1">
      <c r="A842" s="18" t="s">
        <v>592</v>
      </c>
      <c r="B842" s="18" t="s">
        <v>9</v>
      </c>
      <c r="C842" s="18" t="s">
        <v>586</v>
      </c>
      <c r="D842" s="18" t="s">
        <v>593</v>
      </c>
      <c r="E842" s="19" t="s">
        <v>22</v>
      </c>
      <c r="F842" s="18" t="s">
        <v>13</v>
      </c>
      <c r="G842" s="29">
        <v>10</v>
      </c>
      <c r="H842" s="32">
        <f>IF(Prueba[[#This Row],[Cant.]]=0,"",IF(OR(Prueba[[#This Row],[Cant.2]]="",Prueba[[#This Row],[Puesto2]]=""),"?",Prueba[[#This Row],[Puesto2]]))</f>
        <v>6</v>
      </c>
      <c r="I842" s="31">
        <v>10</v>
      </c>
      <c r="J842" s="32">
        <v>6</v>
      </c>
      <c r="K842" s="14">
        <v>58</v>
      </c>
      <c r="L842" s="14"/>
      <c r="M842" s="31">
        <v>54</v>
      </c>
      <c r="N842" s="32" t="str">
        <f>IF(Prueba[[#This Row],[Cant.4]]=0,"",IF(OR(Prueba[[#This Row],[Cant.6]]="",Prueba[[#This Row],[Puesto6]]=""),"?",Prueba[[#This Row],[Puesto6]]))</f>
        <v>26x6 + 28xD</v>
      </c>
      <c r="O842" s="31">
        <v>58</v>
      </c>
      <c r="P842" s="32" t="str">
        <f>IF(Prueba[[#This Row],[Cant.5]]=0,"",IF(OR(Prueba[[#This Row],[Cant.6]]="",Prueba[[#This Row],[Puesto6]]=""),"?",Prueba[[#This Row],[Puesto6]]))</f>
        <v>26x6 + 28xD</v>
      </c>
      <c r="Q842" s="31">
        <v>54</v>
      </c>
      <c r="R842" s="32" t="s">
        <v>2245</v>
      </c>
      <c r="S842" s="14">
        <v>54</v>
      </c>
      <c r="T842" s="14" t="s">
        <v>2246</v>
      </c>
      <c r="U842" s="31"/>
      <c r="V842" s="32" t="s">
        <v>1663</v>
      </c>
      <c r="W842" s="19">
        <v>312</v>
      </c>
      <c r="X842" s="19" t="s">
        <v>1664</v>
      </c>
      <c r="Y842" s="19">
        <v>11</v>
      </c>
      <c r="Z842" s="19">
        <v>6</v>
      </c>
      <c r="AA842" s="19">
        <v>11</v>
      </c>
      <c r="AB842" s="19">
        <v>6</v>
      </c>
    </row>
    <row r="843" spans="1:28" s="18" customFormat="1">
      <c r="A843" s="18" t="s">
        <v>594</v>
      </c>
      <c r="B843" s="18" t="s">
        <v>9</v>
      </c>
      <c r="C843" s="18" t="s">
        <v>586</v>
      </c>
      <c r="D843" s="18" t="s">
        <v>587</v>
      </c>
      <c r="E843" s="19" t="s">
        <v>22</v>
      </c>
      <c r="F843" s="18" t="s">
        <v>13</v>
      </c>
      <c r="G843" s="29">
        <v>4</v>
      </c>
      <c r="H843" s="32">
        <f>IF(Prueba[[#This Row],[Cant.]]=0,"",IF(OR(Prueba[[#This Row],[Cant.2]]="",Prueba[[#This Row],[Puesto2]]=""),"?",Prueba[[#This Row],[Puesto2]]))</f>
        <v>4</v>
      </c>
      <c r="I843" s="31">
        <v>4</v>
      </c>
      <c r="J843" s="32">
        <v>4</v>
      </c>
      <c r="K843" s="14"/>
      <c r="L843" s="14"/>
      <c r="M843" s="31"/>
      <c r="N843" s="32" t="str">
        <f>IF(Prueba[[#This Row],[Cant.4]]=0,"",IF(OR(Prueba[[#This Row],[Cant.6]]="",Prueba[[#This Row],[Puesto6]]=""),"?",Prueba[[#This Row],[Puesto6]]))</f>
        <v/>
      </c>
      <c r="O843" s="31"/>
      <c r="P843" s="32" t="str">
        <f>IF(Prueba[[#This Row],[Cant.5]]=0,"",IF(OR(Prueba[[#This Row],[Cant.6]]="",Prueba[[#This Row],[Puesto6]]=""),"?",Prueba[[#This Row],[Puesto6]]))</f>
        <v/>
      </c>
      <c r="Q843" s="31"/>
      <c r="R843" s="32"/>
      <c r="S843" s="14"/>
      <c r="T843" s="14"/>
      <c r="U843" s="31"/>
      <c r="V843" s="32" t="s">
        <v>1663</v>
      </c>
      <c r="W843" s="19">
        <v>32</v>
      </c>
      <c r="X843" s="19" t="s">
        <v>1664</v>
      </c>
      <c r="Y843" s="19">
        <v>5</v>
      </c>
      <c r="Z843" s="19">
        <v>4</v>
      </c>
      <c r="AA843" s="19">
        <v>5</v>
      </c>
      <c r="AB843" s="19">
        <v>4</v>
      </c>
    </row>
    <row r="844" spans="1:28" s="18" customFormat="1" ht="43.15">
      <c r="A844" s="18" t="s">
        <v>1182</v>
      </c>
      <c r="B844" s="18" t="s">
        <v>9</v>
      </c>
      <c r="C844" s="18" t="s">
        <v>586</v>
      </c>
      <c r="D844" s="18" t="s">
        <v>587</v>
      </c>
      <c r="E844" s="19" t="s">
        <v>22</v>
      </c>
      <c r="F844" s="18" t="s">
        <v>13</v>
      </c>
      <c r="G844" s="29"/>
      <c r="H844" s="32" t="str">
        <f>IF(Prueba[[#This Row],[Cant.]]=0,"",IF(OR(Prueba[[#This Row],[Cant.2]]="",Prueba[[#This Row],[Puesto2]]=""),"?",Prueba[[#This Row],[Puesto2]]))</f>
        <v/>
      </c>
      <c r="I844" s="31"/>
      <c r="J844" s="32"/>
      <c r="K844" s="14">
        <v>18</v>
      </c>
      <c r="L844" s="14"/>
      <c r="M844" s="31">
        <v>21</v>
      </c>
      <c r="N844" s="32" t="str">
        <f>IF(Prueba[[#This Row],[Cant.4]]=0,"",IF(OR(Prueba[[#This Row],[Cant.6]]="",Prueba[[#This Row],[Puesto6]]=""),"?",Prueba[[#This Row],[Puesto6]]))</f>
        <v>1x2 + 2x5 + 12x6 + 4xD + 2x?</v>
      </c>
      <c r="O844" s="31">
        <v>18</v>
      </c>
      <c r="P844" s="32" t="str">
        <f>IF(Prueba[[#This Row],[Cant.5]]=0,"",IF(OR(Prueba[[#This Row],[Cant.6]]="",Prueba[[#This Row],[Puesto6]]=""),"?",Prueba[[#This Row],[Puesto6]]))</f>
        <v>1x2 + 2x5 + 12x6 + 4xD + 2x?</v>
      </c>
      <c r="Q844" s="31">
        <v>21</v>
      </c>
      <c r="R844" s="32" t="s">
        <v>2247</v>
      </c>
      <c r="S844" s="14">
        <v>17</v>
      </c>
      <c r="T844" s="14" t="s">
        <v>2248</v>
      </c>
      <c r="U844" s="31">
        <v>10</v>
      </c>
      <c r="V844" s="32" t="s">
        <v>1571</v>
      </c>
      <c r="W844" s="19">
        <v>96</v>
      </c>
      <c r="X844" s="19" t="s">
        <v>1664</v>
      </c>
      <c r="Y844" s="19">
        <v>3</v>
      </c>
      <c r="Z844" s="19">
        <v>0</v>
      </c>
      <c r="AA844" s="19">
        <v>3</v>
      </c>
      <c r="AB844" s="19">
        <v>0</v>
      </c>
    </row>
    <row r="845" spans="1:28" s="18" customFormat="1">
      <c r="A845" s="18" t="s">
        <v>1372</v>
      </c>
      <c r="B845" s="18" t="s">
        <v>9</v>
      </c>
      <c r="C845" s="18" t="s">
        <v>1373</v>
      </c>
      <c r="D845" s="18" t="s">
        <v>1374</v>
      </c>
      <c r="E845" s="19" t="s">
        <v>22</v>
      </c>
      <c r="F845" s="18" t="s">
        <v>13</v>
      </c>
      <c r="G845" s="29"/>
      <c r="H845" s="32" t="str">
        <f>IF(Prueba[[#This Row],[Cant.]]=0,"",IF(OR(Prueba[[#This Row],[Cant.2]]="",Prueba[[#This Row],[Puesto2]]=""),"?",Prueba[[#This Row],[Puesto2]]))</f>
        <v/>
      </c>
      <c r="I845" s="31"/>
      <c r="J845" s="32"/>
      <c r="K845" s="14"/>
      <c r="L845" s="14"/>
      <c r="M845" s="31"/>
      <c r="N845" s="32" t="str">
        <f>IF(Prueba[[#This Row],[Cant.4]]=0,"",IF(OR(Prueba[[#This Row],[Cant.6]]="",Prueba[[#This Row],[Puesto6]]=""),"?",Prueba[[#This Row],[Puesto6]]))</f>
        <v/>
      </c>
      <c r="O845" s="31"/>
      <c r="P845" s="32" t="str">
        <f>IF(Prueba[[#This Row],[Cant.5]]=0,"",IF(OR(Prueba[[#This Row],[Cant.6]]="",Prueba[[#This Row],[Puesto6]]=""),"?",Prueba[[#This Row],[Puesto6]]))</f>
        <v/>
      </c>
      <c r="Q845" s="31"/>
      <c r="R845" s="32"/>
      <c r="S845" s="14"/>
      <c r="T845" s="14"/>
      <c r="U845" s="31"/>
      <c r="V845" s="32" t="s">
        <v>1663</v>
      </c>
      <c r="W845" s="19">
        <v>0</v>
      </c>
      <c r="X845" s="19" t="s">
        <v>1664</v>
      </c>
      <c r="Y845" s="19" t="s">
        <v>1663</v>
      </c>
      <c r="Z845" s="19" t="s">
        <v>1663</v>
      </c>
      <c r="AA845" s="19" t="s">
        <v>1663</v>
      </c>
      <c r="AB845" s="19" t="s">
        <v>1663</v>
      </c>
    </row>
    <row r="846" spans="1:28" s="18" customFormat="1">
      <c r="A846" s="18" t="s">
        <v>1572</v>
      </c>
      <c r="B846" s="18" t="s">
        <v>9</v>
      </c>
      <c r="C846" s="18" t="s">
        <v>2249</v>
      </c>
      <c r="D846" s="18" t="s">
        <v>2250</v>
      </c>
      <c r="E846" s="19" t="s">
        <v>1733</v>
      </c>
      <c r="F846" s="18" t="s">
        <v>13</v>
      </c>
      <c r="G846" s="29"/>
      <c r="H846" s="32" t="str">
        <f>IF(Prueba[[#This Row],[Cant.]]=0,"",IF(OR(Prueba[[#This Row],[Cant.2]]="",Prueba[[#This Row],[Puesto2]]=""),"?",Prueba[[#This Row],[Puesto2]]))</f>
        <v/>
      </c>
      <c r="I846" s="31"/>
      <c r="J846" s="32"/>
      <c r="K846" s="14"/>
      <c r="L846" s="14"/>
      <c r="M846" s="31"/>
      <c r="N846" s="32" t="str">
        <f>IF(Prueba[[#This Row],[Cant.4]]=0,"",IF(OR(Prueba[[#This Row],[Cant.6]]="",Prueba[[#This Row],[Puesto6]]=""),"?",Prueba[[#This Row],[Puesto6]]))</f>
        <v/>
      </c>
      <c r="O846" s="31"/>
      <c r="P846" s="32" t="str">
        <f>IF(Prueba[[#This Row],[Cant.5]]=0,"",IF(OR(Prueba[[#This Row],[Cant.6]]="",Prueba[[#This Row],[Puesto6]]=""),"?",Prueba[[#This Row],[Puesto6]]))</f>
        <v/>
      </c>
      <c r="Q846" s="31"/>
      <c r="R846" s="32"/>
      <c r="S846" s="14"/>
      <c r="T846" s="14"/>
      <c r="U846" s="31">
        <v>2</v>
      </c>
      <c r="V846" s="32">
        <v>0</v>
      </c>
      <c r="W846" s="19">
        <v>16</v>
      </c>
      <c r="X846" s="19" t="s">
        <v>1664</v>
      </c>
      <c r="Y846" s="19" t="s">
        <v>1663</v>
      </c>
      <c r="Z846" s="19" t="s">
        <v>1663</v>
      </c>
      <c r="AA846" s="19" t="s">
        <v>1663</v>
      </c>
      <c r="AB846" s="19" t="s">
        <v>1663</v>
      </c>
    </row>
    <row r="847" spans="1:28" s="18" customFormat="1">
      <c r="A847" s="18" t="s">
        <v>1574</v>
      </c>
      <c r="B847" s="18" t="s">
        <v>9</v>
      </c>
      <c r="C847" s="18" t="s">
        <v>1881</v>
      </c>
      <c r="D847" s="18" t="s">
        <v>1882</v>
      </c>
      <c r="E847" s="19" t="s">
        <v>1733</v>
      </c>
      <c r="F847" s="18" t="s">
        <v>13</v>
      </c>
      <c r="G847" s="29"/>
      <c r="H847" s="32" t="str">
        <f>IF(Prueba[[#This Row],[Cant.]]=0,"",IF(OR(Prueba[[#This Row],[Cant.2]]="",Prueba[[#This Row],[Puesto2]]=""),"?",Prueba[[#This Row],[Puesto2]]))</f>
        <v/>
      </c>
      <c r="I847" s="31"/>
      <c r="J847" s="32"/>
      <c r="K847" s="14"/>
      <c r="L847" s="14"/>
      <c r="M847" s="31"/>
      <c r="N847" s="32" t="str">
        <f>IF(Prueba[[#This Row],[Cant.4]]=0,"",IF(OR(Prueba[[#This Row],[Cant.6]]="",Prueba[[#This Row],[Puesto6]]=""),"?",Prueba[[#This Row],[Puesto6]]))</f>
        <v/>
      </c>
      <c r="O847" s="31"/>
      <c r="P847" s="32" t="str">
        <f>IF(Prueba[[#This Row],[Cant.5]]=0,"",IF(OR(Prueba[[#This Row],[Cant.6]]="",Prueba[[#This Row],[Puesto6]]=""),"?",Prueba[[#This Row],[Puesto6]]))</f>
        <v/>
      </c>
      <c r="Q847" s="31"/>
      <c r="R847" s="32"/>
      <c r="S847" s="14"/>
      <c r="T847" s="14"/>
      <c r="U847" s="31">
        <v>2</v>
      </c>
      <c r="V847" s="32">
        <v>6</v>
      </c>
      <c r="W847" s="19">
        <v>16</v>
      </c>
      <c r="X847" s="19" t="s">
        <v>1664</v>
      </c>
      <c r="Y847" s="19" t="s">
        <v>1663</v>
      </c>
      <c r="Z847" s="19" t="s">
        <v>1663</v>
      </c>
      <c r="AA847" s="19" t="s">
        <v>1663</v>
      </c>
      <c r="AB847" s="19" t="s">
        <v>1663</v>
      </c>
    </row>
    <row r="848" spans="1:28" s="18" customFormat="1">
      <c r="A848" s="18" t="s">
        <v>595</v>
      </c>
      <c r="B848" s="18" t="s">
        <v>9</v>
      </c>
      <c r="C848" s="18" t="s">
        <v>596</v>
      </c>
      <c r="D848" s="18" t="s">
        <v>597</v>
      </c>
      <c r="E848" s="19" t="s">
        <v>22</v>
      </c>
      <c r="F848" s="18" t="s">
        <v>13</v>
      </c>
      <c r="G848" s="29">
        <v>3</v>
      </c>
      <c r="H848" s="32">
        <f>IF(Prueba[[#This Row],[Cant.]]=0,"",IF(OR(Prueba[[#This Row],[Cant.2]]="",Prueba[[#This Row],[Puesto2]]=""),"?",Prueba[[#This Row],[Puesto2]]))</f>
        <v>6</v>
      </c>
      <c r="I848" s="31">
        <v>3</v>
      </c>
      <c r="J848" s="32">
        <v>6</v>
      </c>
      <c r="K848" s="14"/>
      <c r="L848" s="14"/>
      <c r="M848" s="31"/>
      <c r="N848" s="32" t="str">
        <f>IF(Prueba[[#This Row],[Cant.4]]=0,"",IF(OR(Prueba[[#This Row],[Cant.6]]="",Prueba[[#This Row],[Puesto6]]=""),"?",Prueba[[#This Row],[Puesto6]]))</f>
        <v/>
      </c>
      <c r="O848" s="31"/>
      <c r="P848" s="32" t="str">
        <f>IF(Prueba[[#This Row],[Cant.5]]=0,"",IF(OR(Prueba[[#This Row],[Cant.6]]="",Prueba[[#This Row],[Puesto6]]=""),"?",Prueba[[#This Row],[Puesto6]]))</f>
        <v/>
      </c>
      <c r="Q848" s="31"/>
      <c r="R848" s="32"/>
      <c r="S848" s="14"/>
      <c r="T848" s="14"/>
      <c r="U848" s="31"/>
      <c r="V848" s="32" t="s">
        <v>1663</v>
      </c>
      <c r="W848" s="19">
        <v>24</v>
      </c>
      <c r="X848" s="19" t="s">
        <v>1664</v>
      </c>
      <c r="Y848" s="19">
        <v>4</v>
      </c>
      <c r="Z848" s="19">
        <v>6</v>
      </c>
      <c r="AA848" s="19">
        <v>4</v>
      </c>
      <c r="AB848" s="19">
        <v>6</v>
      </c>
    </row>
    <row r="849" spans="1:28" s="18" customFormat="1">
      <c r="A849" s="18" t="s">
        <v>598</v>
      </c>
      <c r="B849" s="18" t="s">
        <v>9</v>
      </c>
      <c r="C849" s="18" t="s">
        <v>599</v>
      </c>
      <c r="D849" s="18" t="s">
        <v>600</v>
      </c>
      <c r="E849" s="19" t="s">
        <v>22</v>
      </c>
      <c r="F849" s="18" t="s">
        <v>13</v>
      </c>
      <c r="G849" s="29">
        <v>2</v>
      </c>
      <c r="H849" s="32">
        <f>IF(Prueba[[#This Row],[Cant.]]=0,"",IF(OR(Prueba[[#This Row],[Cant.2]]="",Prueba[[#This Row],[Puesto2]]=""),"?",Prueba[[#This Row],[Puesto2]]))</f>
        <v>0</v>
      </c>
      <c r="I849" s="31">
        <v>2</v>
      </c>
      <c r="J849" s="32">
        <v>0</v>
      </c>
      <c r="K849" s="14"/>
      <c r="L849" s="14"/>
      <c r="M849" s="31"/>
      <c r="N849" s="32" t="str">
        <f>IF(Prueba[[#This Row],[Cant.4]]=0,"",IF(OR(Prueba[[#This Row],[Cant.6]]="",Prueba[[#This Row],[Puesto6]]=""),"?",Prueba[[#This Row],[Puesto6]]))</f>
        <v/>
      </c>
      <c r="O849" s="31"/>
      <c r="P849" s="32" t="str">
        <f>IF(Prueba[[#This Row],[Cant.5]]=0,"",IF(OR(Prueba[[#This Row],[Cant.6]]="",Prueba[[#This Row],[Puesto6]]=""),"?",Prueba[[#This Row],[Puesto6]]))</f>
        <v/>
      </c>
      <c r="Q849" s="31"/>
      <c r="R849" s="32"/>
      <c r="S849" s="14"/>
      <c r="T849" s="14"/>
      <c r="U849" s="31"/>
      <c r="V849" s="32" t="s">
        <v>1663</v>
      </c>
      <c r="W849" s="19">
        <v>32</v>
      </c>
      <c r="X849" s="19" t="s">
        <v>1664</v>
      </c>
      <c r="Y849" s="19">
        <v>4</v>
      </c>
      <c r="Z849" s="19">
        <v>2</v>
      </c>
      <c r="AA849" s="19">
        <v>4</v>
      </c>
      <c r="AB849" s="19">
        <v>2</v>
      </c>
    </row>
    <row r="850" spans="1:28" s="18" customFormat="1" ht="28.9">
      <c r="A850" s="18" t="s">
        <v>601</v>
      </c>
      <c r="B850" s="18" t="s">
        <v>9</v>
      </c>
      <c r="C850" s="18" t="s">
        <v>599</v>
      </c>
      <c r="D850" s="18" t="s">
        <v>602</v>
      </c>
      <c r="E850" s="19" t="s">
        <v>22</v>
      </c>
      <c r="F850" s="18" t="s">
        <v>13</v>
      </c>
      <c r="G850" s="29">
        <v>13</v>
      </c>
      <c r="H850" s="32" t="str">
        <f>IF(Prueba[[#This Row],[Cant.]]=0,"",IF(OR(Prueba[[#This Row],[Cant.2]]="",Prueba[[#This Row],[Puesto2]]=""),"?",Prueba[[#This Row],[Puesto2]]))</f>
        <v>2x5 + 11x6 + 1xC</v>
      </c>
      <c r="I850" s="31">
        <v>14</v>
      </c>
      <c r="J850" s="32" t="s">
        <v>2251</v>
      </c>
      <c r="K850" s="14"/>
      <c r="L850" s="14"/>
      <c r="M850" s="31"/>
      <c r="N850" s="32" t="str">
        <f>IF(Prueba[[#This Row],[Cant.4]]=0,"",IF(OR(Prueba[[#This Row],[Cant.6]]="",Prueba[[#This Row],[Puesto6]]=""),"?",Prueba[[#This Row],[Puesto6]]))</f>
        <v/>
      </c>
      <c r="O850" s="31"/>
      <c r="P850" s="32" t="str">
        <f>IF(Prueba[[#This Row],[Cant.5]]=0,"",IF(OR(Prueba[[#This Row],[Cant.6]]="",Prueba[[#This Row],[Puesto6]]=""),"?",Prueba[[#This Row],[Puesto6]]))</f>
        <v/>
      </c>
      <c r="Q850" s="31"/>
      <c r="R850" s="32"/>
      <c r="S850" s="14"/>
      <c r="T850" s="14"/>
      <c r="U850" s="31"/>
      <c r="V850" s="32" t="s">
        <v>1663</v>
      </c>
      <c r="W850" s="19">
        <v>88</v>
      </c>
      <c r="X850" s="19" t="s">
        <v>1664</v>
      </c>
      <c r="Y850" s="19">
        <v>16</v>
      </c>
      <c r="Z850" s="19" t="s">
        <v>2251</v>
      </c>
      <c r="AA850" s="19">
        <v>16</v>
      </c>
      <c r="AB850" s="19" t="s">
        <v>2251</v>
      </c>
    </row>
    <row r="851" spans="1:28" s="18" customFormat="1">
      <c r="A851" s="18" t="s">
        <v>603</v>
      </c>
      <c r="B851" s="18" t="s">
        <v>9</v>
      </c>
      <c r="C851" s="18" t="s">
        <v>599</v>
      </c>
      <c r="D851" s="18" t="s">
        <v>604</v>
      </c>
      <c r="E851" s="19" t="s">
        <v>22</v>
      </c>
      <c r="F851" s="18" t="s">
        <v>13</v>
      </c>
      <c r="G851" s="29">
        <v>2</v>
      </c>
      <c r="H851" s="32" t="str">
        <f>IF(Prueba[[#This Row],[Cant.]]=0,"",IF(OR(Prueba[[#This Row],[Cant.2]]="",Prueba[[#This Row],[Puesto2]]=""),"?",Prueba[[#This Row],[Puesto2]]))</f>
        <v>1x4 + 1x5</v>
      </c>
      <c r="I851" s="31">
        <v>2</v>
      </c>
      <c r="J851" s="32" t="s">
        <v>2252</v>
      </c>
      <c r="K851" s="14"/>
      <c r="L851" s="14"/>
      <c r="M851" s="31"/>
      <c r="N851" s="32" t="str">
        <f>IF(Prueba[[#This Row],[Cant.4]]=0,"",IF(OR(Prueba[[#This Row],[Cant.6]]="",Prueba[[#This Row],[Puesto6]]=""),"?",Prueba[[#This Row],[Puesto6]]))</f>
        <v/>
      </c>
      <c r="O851" s="31"/>
      <c r="P851" s="32" t="str">
        <f>IF(Prueba[[#This Row],[Cant.5]]=0,"",IF(OR(Prueba[[#This Row],[Cant.6]]="",Prueba[[#This Row],[Puesto6]]=""),"?",Prueba[[#This Row],[Puesto6]]))</f>
        <v/>
      </c>
      <c r="Q851" s="31"/>
      <c r="R851" s="32"/>
      <c r="S851" s="14"/>
      <c r="T851" s="14"/>
      <c r="U851" s="31"/>
      <c r="V851" s="32" t="s">
        <v>1663</v>
      </c>
      <c r="W851" s="19">
        <v>8</v>
      </c>
      <c r="X851" s="19" t="s">
        <v>1664</v>
      </c>
      <c r="Y851" s="19">
        <v>3</v>
      </c>
      <c r="Z851" s="19" t="s">
        <v>2252</v>
      </c>
      <c r="AA851" s="19">
        <v>3</v>
      </c>
      <c r="AB851" s="19" t="s">
        <v>2252</v>
      </c>
    </row>
    <row r="852" spans="1:28" s="18" customFormat="1">
      <c r="A852" s="18" t="s">
        <v>605</v>
      </c>
      <c r="B852" s="18" t="s">
        <v>9</v>
      </c>
      <c r="C852" s="18" t="s">
        <v>606</v>
      </c>
      <c r="D852" s="18" t="s">
        <v>607</v>
      </c>
      <c r="E852" s="19" t="s">
        <v>22</v>
      </c>
      <c r="F852" s="18" t="s">
        <v>13</v>
      </c>
      <c r="G852" s="29">
        <v>4</v>
      </c>
      <c r="H852" s="32">
        <f>IF(Prueba[[#This Row],[Cant.]]=0,"",IF(OR(Prueba[[#This Row],[Cant.2]]="",Prueba[[#This Row],[Puesto2]]=""),"?",Prueba[[#This Row],[Puesto2]]))</f>
        <v>6</v>
      </c>
      <c r="I852" s="31">
        <v>4</v>
      </c>
      <c r="J852" s="32">
        <v>6</v>
      </c>
      <c r="K852" s="14">
        <v>4</v>
      </c>
      <c r="L852" s="14"/>
      <c r="M852" s="31">
        <v>4</v>
      </c>
      <c r="N852" s="32">
        <f>IF(Prueba[[#This Row],[Cant.4]]=0,"",IF(OR(Prueba[[#This Row],[Cant.6]]="",Prueba[[#This Row],[Puesto6]]=""),"?",Prueba[[#This Row],[Puesto6]]))</f>
        <v>5</v>
      </c>
      <c r="O852" s="31">
        <v>4</v>
      </c>
      <c r="P852" s="32">
        <f>IF(Prueba[[#This Row],[Cant.5]]=0,"",IF(OR(Prueba[[#This Row],[Cant.6]]="",Prueba[[#This Row],[Puesto6]]=""),"?",Prueba[[#This Row],[Puesto6]]))</f>
        <v>5</v>
      </c>
      <c r="Q852" s="31">
        <v>4</v>
      </c>
      <c r="R852" s="32">
        <v>5</v>
      </c>
      <c r="S852" s="14"/>
      <c r="T852" s="14"/>
      <c r="U852" s="31"/>
      <c r="V852" s="32" t="s">
        <v>1663</v>
      </c>
      <c r="W852" s="19">
        <v>32</v>
      </c>
      <c r="X852" s="19" t="s">
        <v>1664</v>
      </c>
      <c r="Y852" s="19">
        <v>5</v>
      </c>
      <c r="Z852" s="19">
        <v>6</v>
      </c>
      <c r="AA852" s="19">
        <v>5</v>
      </c>
      <c r="AB852" s="19">
        <v>6</v>
      </c>
    </row>
    <row r="853" spans="1:28" s="18" customFormat="1" ht="28.9">
      <c r="A853" s="18" t="s">
        <v>608</v>
      </c>
      <c r="B853" s="18" t="s">
        <v>9</v>
      </c>
      <c r="C853" s="18" t="s">
        <v>606</v>
      </c>
      <c r="D853" s="18" t="s">
        <v>609</v>
      </c>
      <c r="E853" s="19" t="s">
        <v>22</v>
      </c>
      <c r="F853" s="18" t="s">
        <v>13</v>
      </c>
      <c r="G853" s="29">
        <v>4</v>
      </c>
      <c r="H853" s="32">
        <f>IF(Prueba[[#This Row],[Cant.]]=0,"",IF(OR(Prueba[[#This Row],[Cant.2]]="",Prueba[[#This Row],[Puesto2]]=""),"?",Prueba[[#This Row],[Puesto2]]))</f>
        <v>5</v>
      </c>
      <c r="I853" s="31">
        <v>4</v>
      </c>
      <c r="J853" s="32">
        <v>5</v>
      </c>
      <c r="K853" s="14">
        <v>5</v>
      </c>
      <c r="L853" s="14"/>
      <c r="M853" s="31">
        <v>4</v>
      </c>
      <c r="N853" s="32" t="str">
        <f>IF(Prueba[[#This Row],[Cant.4]]=0,"",IF(OR(Prueba[[#This Row],[Cant.6]]="",Prueba[[#This Row],[Puesto6]]=""),"?",Prueba[[#This Row],[Puesto6]]))</f>
        <v>2x0 + 1x2 + 1xD</v>
      </c>
      <c r="O853" s="31">
        <v>4</v>
      </c>
      <c r="P853" s="32" t="str">
        <f>IF(Prueba[[#This Row],[Cant.5]]=0,"",IF(OR(Prueba[[#This Row],[Cant.6]]="",Prueba[[#This Row],[Puesto6]]=""),"?",Prueba[[#This Row],[Puesto6]]))</f>
        <v>2x0 + 1x2 + 1xD</v>
      </c>
      <c r="Q853" s="31">
        <v>4</v>
      </c>
      <c r="R853" s="32" t="s">
        <v>2253</v>
      </c>
      <c r="S853" s="14">
        <v>4</v>
      </c>
      <c r="T853" s="14" t="s">
        <v>2254</v>
      </c>
      <c r="U853" s="31">
        <v>2</v>
      </c>
      <c r="V853" s="32">
        <v>6</v>
      </c>
      <c r="W853" s="19">
        <v>32</v>
      </c>
      <c r="X853" s="19" t="s">
        <v>1664</v>
      </c>
      <c r="Y853" s="19">
        <v>5</v>
      </c>
      <c r="Z853" s="19">
        <v>5</v>
      </c>
      <c r="AA853" s="19">
        <v>5</v>
      </c>
      <c r="AB853" s="19">
        <v>5</v>
      </c>
    </row>
    <row r="854" spans="1:28" s="18" customFormat="1">
      <c r="A854" s="18" t="s">
        <v>610</v>
      </c>
      <c r="B854" s="18" t="s">
        <v>9</v>
      </c>
      <c r="C854" s="18" t="s">
        <v>606</v>
      </c>
      <c r="D854" s="18" t="s">
        <v>611</v>
      </c>
      <c r="E854" s="19" t="s">
        <v>22</v>
      </c>
      <c r="F854" s="18" t="s">
        <v>13</v>
      </c>
      <c r="G854" s="29">
        <v>2</v>
      </c>
      <c r="H854" s="32" t="str">
        <f>IF(Prueba[[#This Row],[Cant.]]=0,"",IF(OR(Prueba[[#This Row],[Cant.2]]="",Prueba[[#This Row],[Puesto2]]=""),"?",Prueba[[#This Row],[Puesto2]]))</f>
        <v>?</v>
      </c>
      <c r="I854" s="31">
        <v>2</v>
      </c>
      <c r="J854" s="32"/>
      <c r="K854" s="14"/>
      <c r="L854" s="14"/>
      <c r="M854" s="31"/>
      <c r="N854" s="32" t="str">
        <f>IF(Prueba[[#This Row],[Cant.4]]=0,"",IF(OR(Prueba[[#This Row],[Cant.6]]="",Prueba[[#This Row],[Puesto6]]=""),"?",Prueba[[#This Row],[Puesto6]]))</f>
        <v/>
      </c>
      <c r="O854" s="31"/>
      <c r="P854" s="32" t="str">
        <f>IF(Prueba[[#This Row],[Cant.5]]=0,"",IF(OR(Prueba[[#This Row],[Cant.6]]="",Prueba[[#This Row],[Puesto6]]=""),"?",Prueba[[#This Row],[Puesto6]]))</f>
        <v/>
      </c>
      <c r="Q854" s="31"/>
      <c r="R854" s="32"/>
      <c r="S854" s="14"/>
      <c r="T854" s="14"/>
      <c r="U854" s="31"/>
      <c r="V854" s="32" t="s">
        <v>1663</v>
      </c>
      <c r="W854" s="19">
        <v>16</v>
      </c>
      <c r="X854" s="19" t="s">
        <v>1664</v>
      </c>
      <c r="Y854" s="19">
        <v>3</v>
      </c>
      <c r="Z854" s="19">
        <v>0</v>
      </c>
      <c r="AA854" s="19">
        <v>3</v>
      </c>
      <c r="AB854" s="19">
        <v>0</v>
      </c>
    </row>
    <row r="855" spans="1:28" s="40" customFormat="1" ht="43.15">
      <c r="A855" s="18" t="s">
        <v>612</v>
      </c>
      <c r="B855" s="18" t="s">
        <v>9</v>
      </c>
      <c r="C855" s="18" t="s">
        <v>613</v>
      </c>
      <c r="D855" s="18" t="s">
        <v>614</v>
      </c>
      <c r="E855" s="19" t="s">
        <v>22</v>
      </c>
      <c r="F855" s="18" t="s">
        <v>13</v>
      </c>
      <c r="G855" s="29">
        <v>151</v>
      </c>
      <c r="H855" s="32" t="str">
        <f>IF(Prueba[[#This Row],[Cant.]]=0,"",IF(OR(Prueba[[#This Row],[Cant.2]]="",Prueba[[#This Row],[Puesto2]]=""),"?",Prueba[[#This Row],[Puesto2]]))</f>
        <v>50x2 + 30x4 + 13x5 + 28x6</v>
      </c>
      <c r="I855" s="31">
        <v>149</v>
      </c>
      <c r="J855" s="32" t="s">
        <v>2255</v>
      </c>
      <c r="K855" s="14">
        <v>114</v>
      </c>
      <c r="L855" s="14"/>
      <c r="M855" s="31">
        <v>117</v>
      </c>
      <c r="N855" s="32" t="str">
        <f>IF(Prueba[[#This Row],[Cant.4]]=0,"",IF(OR(Prueba[[#This Row],[Cant.6]]="",Prueba[[#This Row],[Puesto6]]=""),"?",Prueba[[#This Row],[Puesto6]]))</f>
        <v>46x2 + 12x3 + 30x5 + 5x6 + 2xD</v>
      </c>
      <c r="O855" s="31">
        <v>124</v>
      </c>
      <c r="P855" s="32" t="str">
        <f>IF(Prueba[[#This Row],[Cant.5]]=0,"",IF(OR(Prueba[[#This Row],[Cant.6]]="",Prueba[[#This Row],[Puesto6]]=""),"?",Prueba[[#This Row],[Puesto6]]))</f>
        <v>46x2 + 12x3 + 30x5 + 5x6 + 2xD</v>
      </c>
      <c r="Q855" s="31">
        <v>103</v>
      </c>
      <c r="R855" s="32" t="s">
        <v>2256</v>
      </c>
      <c r="S855" s="14">
        <v>109</v>
      </c>
      <c r="T855" s="14"/>
      <c r="U855" s="31">
        <v>134</v>
      </c>
      <c r="V855" s="32" t="s">
        <v>1575</v>
      </c>
      <c r="W855" s="85">
        <v>1072</v>
      </c>
      <c r="X855" s="85" t="s">
        <v>1686</v>
      </c>
      <c r="Y855" s="19">
        <v>160</v>
      </c>
      <c r="Z855" s="19" t="s">
        <v>2255</v>
      </c>
      <c r="AA855" s="19">
        <v>160</v>
      </c>
      <c r="AB855" s="19" t="s">
        <v>2255</v>
      </c>
    </row>
    <row r="856" spans="1:28" s="40" customFormat="1">
      <c r="A856" s="18" t="s">
        <v>1576</v>
      </c>
      <c r="B856" s="18" t="s">
        <v>9</v>
      </c>
      <c r="C856" s="18" t="s">
        <v>2257</v>
      </c>
      <c r="D856" s="18" t="s">
        <v>2258</v>
      </c>
      <c r="E856" s="19" t="s">
        <v>1733</v>
      </c>
      <c r="F856" s="18" t="s">
        <v>13</v>
      </c>
      <c r="G856" s="29"/>
      <c r="H856" s="32" t="str">
        <f>IF(Prueba[[#This Row],[Cant.]]=0,"",IF(OR(Prueba[[#This Row],[Cant.2]]="",Prueba[[#This Row],[Puesto2]]=""),"?",Prueba[[#This Row],[Puesto2]]))</f>
        <v/>
      </c>
      <c r="I856" s="31"/>
      <c r="J856" s="32"/>
      <c r="K856" s="14"/>
      <c r="L856" s="14"/>
      <c r="M856" s="31"/>
      <c r="N856" s="32" t="str">
        <f>IF(Prueba[[#This Row],[Cant.4]]=0,"",IF(OR(Prueba[[#This Row],[Cant.6]]="",Prueba[[#This Row],[Puesto6]]=""),"?",Prueba[[#This Row],[Puesto6]]))</f>
        <v/>
      </c>
      <c r="O856" s="31"/>
      <c r="P856" s="32" t="str">
        <f>IF(Prueba[[#This Row],[Cant.5]]=0,"",IF(OR(Prueba[[#This Row],[Cant.6]]="",Prueba[[#This Row],[Puesto6]]=""),"?",Prueba[[#This Row],[Puesto6]]))</f>
        <v/>
      </c>
      <c r="Q856" s="31"/>
      <c r="R856" s="32"/>
      <c r="S856" s="14"/>
      <c r="T856" s="14"/>
      <c r="U856" s="31">
        <v>1</v>
      </c>
      <c r="V856" s="32">
        <v>5</v>
      </c>
      <c r="W856" s="19">
        <v>8</v>
      </c>
      <c r="X856" s="19" t="s">
        <v>1664</v>
      </c>
      <c r="Y856" s="19" t="s">
        <v>1663</v>
      </c>
      <c r="Z856" s="19" t="s">
        <v>1663</v>
      </c>
      <c r="AA856" s="19" t="s">
        <v>1663</v>
      </c>
      <c r="AB856" s="19" t="s">
        <v>1663</v>
      </c>
    </row>
    <row r="857" spans="1:28" s="18" customFormat="1">
      <c r="A857" s="18" t="s">
        <v>1183</v>
      </c>
      <c r="B857" s="18" t="s">
        <v>9</v>
      </c>
      <c r="C857" s="18" t="s">
        <v>1184</v>
      </c>
      <c r="D857" s="18" t="s">
        <v>1185</v>
      </c>
      <c r="E857" s="19" t="s">
        <v>22</v>
      </c>
      <c r="F857" s="18" t="s">
        <v>13</v>
      </c>
      <c r="G857" s="29"/>
      <c r="H857" s="32" t="str">
        <f>IF(Prueba[[#This Row],[Cant.]]=0,"",IF(OR(Prueba[[#This Row],[Cant.2]]="",Prueba[[#This Row],[Puesto2]]=""),"?",Prueba[[#This Row],[Puesto2]]))</f>
        <v/>
      </c>
      <c r="I857" s="31"/>
      <c r="J857" s="32"/>
      <c r="K857" s="14">
        <v>4</v>
      </c>
      <c r="L857" s="14"/>
      <c r="M857" s="31">
        <v>4</v>
      </c>
      <c r="N857" s="32">
        <f>IF(Prueba[[#This Row],[Cant.4]]=0,"",IF(OR(Prueba[[#This Row],[Cant.6]]="",Prueba[[#This Row],[Puesto6]]=""),"?",Prueba[[#This Row],[Puesto6]]))</f>
        <v>5</v>
      </c>
      <c r="O857" s="31">
        <v>2</v>
      </c>
      <c r="P857" s="32">
        <f>IF(Prueba[[#This Row],[Cant.5]]=0,"",IF(OR(Prueba[[#This Row],[Cant.6]]="",Prueba[[#This Row],[Puesto6]]=""),"?",Prueba[[#This Row],[Puesto6]]))</f>
        <v>5</v>
      </c>
      <c r="Q857" s="31">
        <v>4</v>
      </c>
      <c r="R857" s="32">
        <v>5</v>
      </c>
      <c r="S857" s="14">
        <v>4</v>
      </c>
      <c r="T857" s="14">
        <v>5</v>
      </c>
      <c r="U857" s="31">
        <v>2</v>
      </c>
      <c r="V857" s="32">
        <v>5</v>
      </c>
      <c r="W857" s="19">
        <v>32</v>
      </c>
      <c r="X857" s="19" t="s">
        <v>1664</v>
      </c>
      <c r="Y857" s="19" t="s">
        <v>1663</v>
      </c>
      <c r="Z857" s="19" t="s">
        <v>1663</v>
      </c>
      <c r="AA857" s="19" t="s">
        <v>1663</v>
      </c>
      <c r="AB857" s="19" t="s">
        <v>1663</v>
      </c>
    </row>
    <row r="858" spans="1:28" s="40" customFormat="1">
      <c r="A858" s="18" t="s">
        <v>1578</v>
      </c>
      <c r="B858" s="18" t="s">
        <v>9</v>
      </c>
      <c r="C858" s="18" t="s">
        <v>2237</v>
      </c>
      <c r="D858" s="18" t="s">
        <v>2238</v>
      </c>
      <c r="E858" s="19" t="s">
        <v>1733</v>
      </c>
      <c r="F858" s="18" t="s">
        <v>13</v>
      </c>
      <c r="G858" s="29"/>
      <c r="H858" s="32" t="str">
        <f>IF(Prueba[[#This Row],[Cant.]]=0,"",IF(OR(Prueba[[#This Row],[Cant.2]]="",Prueba[[#This Row],[Puesto2]]=""),"?",Prueba[[#This Row],[Puesto2]]))</f>
        <v/>
      </c>
      <c r="I858" s="31"/>
      <c r="J858" s="32"/>
      <c r="K858" s="14"/>
      <c r="L858" s="14"/>
      <c r="M858" s="31"/>
      <c r="N858" s="32" t="str">
        <f>IF(Prueba[[#This Row],[Cant.4]]=0,"",IF(OR(Prueba[[#This Row],[Cant.6]]="",Prueba[[#This Row],[Puesto6]]=""),"?",Prueba[[#This Row],[Puesto6]]))</f>
        <v/>
      </c>
      <c r="O858" s="31"/>
      <c r="P858" s="32" t="str">
        <f>IF(Prueba[[#This Row],[Cant.5]]=0,"",IF(OR(Prueba[[#This Row],[Cant.6]]="",Prueba[[#This Row],[Puesto6]]=""),"?",Prueba[[#This Row],[Puesto6]]))</f>
        <v/>
      </c>
      <c r="Q858" s="31"/>
      <c r="R858" s="32"/>
      <c r="S858" s="14">
        <v>3</v>
      </c>
      <c r="T858" s="14"/>
      <c r="U858" s="31">
        <v>2</v>
      </c>
      <c r="V858" s="32">
        <v>6</v>
      </c>
      <c r="W858" s="19">
        <v>24</v>
      </c>
      <c r="X858" s="19" t="s">
        <v>1664</v>
      </c>
      <c r="Y858" s="19" t="s">
        <v>1663</v>
      </c>
      <c r="Z858" s="19" t="s">
        <v>1663</v>
      </c>
      <c r="AA858" s="19" t="s">
        <v>1663</v>
      </c>
      <c r="AB858" s="19" t="s">
        <v>1663</v>
      </c>
    </row>
    <row r="859" spans="1:28" s="18" customFormat="1">
      <c r="A859" s="18" t="s">
        <v>1186</v>
      </c>
      <c r="B859" s="18" t="s">
        <v>9</v>
      </c>
      <c r="C859" s="18" t="s">
        <v>682</v>
      </c>
      <c r="D859" s="18" t="s">
        <v>582</v>
      </c>
      <c r="E859" s="19" t="s">
        <v>22</v>
      </c>
      <c r="F859" s="18" t="s">
        <v>13</v>
      </c>
      <c r="G859" s="29"/>
      <c r="H859" s="32" t="str">
        <f>IF(Prueba[[#This Row],[Cant.]]=0,"",IF(OR(Prueba[[#This Row],[Cant.2]]="",Prueba[[#This Row],[Puesto2]]=""),"?",Prueba[[#This Row],[Puesto2]]))</f>
        <v/>
      </c>
      <c r="I859" s="31"/>
      <c r="J859" s="32"/>
      <c r="K859" s="14">
        <v>1</v>
      </c>
      <c r="L859" s="14"/>
      <c r="M859" s="31">
        <v>1</v>
      </c>
      <c r="N859" s="32">
        <f>IF(Prueba[[#This Row],[Cant.4]]=0,"",IF(OR(Prueba[[#This Row],[Cant.6]]="",Prueba[[#This Row],[Puesto6]]=""),"?",Prueba[[#This Row],[Puesto6]]))</f>
        <v>5</v>
      </c>
      <c r="O859" s="31">
        <v>1</v>
      </c>
      <c r="P859" s="32">
        <f>IF(Prueba[[#This Row],[Cant.5]]=0,"",IF(OR(Prueba[[#This Row],[Cant.6]]="",Prueba[[#This Row],[Puesto6]]=""),"?",Prueba[[#This Row],[Puesto6]]))</f>
        <v>5</v>
      </c>
      <c r="Q859" s="31">
        <v>1</v>
      </c>
      <c r="R859" s="32">
        <v>5</v>
      </c>
      <c r="S859" s="14">
        <v>1</v>
      </c>
      <c r="T859" s="14">
        <v>5</v>
      </c>
      <c r="U859" s="31"/>
      <c r="V859" s="32" t="s">
        <v>1663</v>
      </c>
      <c r="W859" s="19">
        <v>8</v>
      </c>
      <c r="X859" s="19" t="s">
        <v>1664</v>
      </c>
      <c r="Y859" s="19" t="s">
        <v>1663</v>
      </c>
      <c r="Z859" s="19" t="s">
        <v>1663</v>
      </c>
      <c r="AA859" s="19" t="s">
        <v>1663</v>
      </c>
      <c r="AB859" s="19" t="s">
        <v>1663</v>
      </c>
    </row>
    <row r="860" spans="1:28" s="40" customFormat="1">
      <c r="A860" s="18" t="s">
        <v>1579</v>
      </c>
      <c r="B860" s="18" t="s">
        <v>9</v>
      </c>
      <c r="C860" s="18" t="s">
        <v>1580</v>
      </c>
      <c r="D860" s="18" t="s">
        <v>492</v>
      </c>
      <c r="E860" s="19" t="s">
        <v>22</v>
      </c>
      <c r="F860" s="18" t="s">
        <v>13</v>
      </c>
      <c r="G860" s="29">
        <v>1</v>
      </c>
      <c r="H860" s="32">
        <f>IF(Prueba[[#This Row],[Cant.]]=0,"",IF(OR(Prueba[[#This Row],[Cant.2]]="",Prueba[[#This Row],[Puesto2]]=""),"?",Prueba[[#This Row],[Puesto2]]))</f>
        <v>5</v>
      </c>
      <c r="I860" s="31">
        <v>1</v>
      </c>
      <c r="J860" s="32">
        <v>5</v>
      </c>
      <c r="K860" s="14"/>
      <c r="L860" s="14"/>
      <c r="M860" s="31">
        <v>1</v>
      </c>
      <c r="N860" s="32">
        <f>IF(Prueba[[#This Row],[Cant.4]]=0,"",IF(OR(Prueba[[#This Row],[Cant.6]]="",Prueba[[#This Row],[Puesto6]]=""),"?",Prueba[[#This Row],[Puesto6]]))</f>
        <v>5</v>
      </c>
      <c r="O860" s="31">
        <v>1</v>
      </c>
      <c r="P860" s="32">
        <f>IF(Prueba[[#This Row],[Cant.5]]=0,"",IF(OR(Prueba[[#This Row],[Cant.6]]="",Prueba[[#This Row],[Puesto6]]=""),"?",Prueba[[#This Row],[Puesto6]]))</f>
        <v>5</v>
      </c>
      <c r="Q860" s="31">
        <v>1</v>
      </c>
      <c r="R860" s="32">
        <v>5</v>
      </c>
      <c r="S860" s="14">
        <v>1</v>
      </c>
      <c r="T860" s="14">
        <v>5</v>
      </c>
      <c r="U860" s="31">
        <v>1</v>
      </c>
      <c r="V860" s="32">
        <v>6</v>
      </c>
      <c r="W860" s="19">
        <v>8</v>
      </c>
      <c r="X860" s="19" t="s">
        <v>1664</v>
      </c>
      <c r="Y860" s="19">
        <v>2</v>
      </c>
      <c r="Z860" s="19">
        <v>5</v>
      </c>
      <c r="AA860" s="19">
        <v>2</v>
      </c>
      <c r="AB860" s="19">
        <v>5</v>
      </c>
    </row>
    <row r="861" spans="1:28" s="40" customFormat="1" ht="28.9">
      <c r="A861" s="18" t="s">
        <v>1187</v>
      </c>
      <c r="B861" s="18" t="s">
        <v>9</v>
      </c>
      <c r="C861" s="18" t="s">
        <v>580</v>
      </c>
      <c r="D861" s="18" t="s">
        <v>1188</v>
      </c>
      <c r="E861" s="19" t="s">
        <v>22</v>
      </c>
      <c r="F861" s="18" t="s">
        <v>13</v>
      </c>
      <c r="G861" s="29"/>
      <c r="H861" s="32" t="str">
        <f>IF(Prueba[[#This Row],[Cant.]]=0,"",IF(OR(Prueba[[#This Row],[Cant.2]]="",Prueba[[#This Row],[Puesto2]]=""),"?",Prueba[[#This Row],[Puesto2]]))</f>
        <v/>
      </c>
      <c r="I861" s="31"/>
      <c r="J861" s="32"/>
      <c r="K861" s="14">
        <v>16</v>
      </c>
      <c r="L861" s="14"/>
      <c r="M861" s="31">
        <v>16</v>
      </c>
      <c r="N861" s="32" t="str">
        <f>IF(Prueba[[#This Row],[Cant.4]]=0,"",IF(OR(Prueba[[#This Row],[Cant.6]]="",Prueba[[#This Row],[Puesto6]]=""),"?",Prueba[[#This Row],[Puesto6]]))</f>
        <v>6x0 + 2x1 + 1x2 + 4x5 + 3xC</v>
      </c>
      <c r="O861" s="31">
        <v>16</v>
      </c>
      <c r="P861" s="32" t="str">
        <f>IF(Prueba[[#This Row],[Cant.5]]=0,"",IF(OR(Prueba[[#This Row],[Cant.6]]="",Prueba[[#This Row],[Puesto6]]=""),"?",Prueba[[#This Row],[Puesto6]]))</f>
        <v>6x0 + 2x1 + 1x2 + 4x5 + 3xC</v>
      </c>
      <c r="Q861" s="31">
        <v>12</v>
      </c>
      <c r="R861" s="32" t="s">
        <v>2259</v>
      </c>
      <c r="S861" s="14">
        <v>16</v>
      </c>
      <c r="T861" s="14" t="s">
        <v>2260</v>
      </c>
      <c r="U861" s="31">
        <v>11</v>
      </c>
      <c r="V861" s="32" t="s">
        <v>1581</v>
      </c>
      <c r="W861" s="19">
        <v>88</v>
      </c>
      <c r="X861" s="19" t="s">
        <v>1664</v>
      </c>
      <c r="Y861" s="19" t="s">
        <v>1663</v>
      </c>
      <c r="Z861" s="19" t="s">
        <v>1663</v>
      </c>
      <c r="AA861" s="19" t="s">
        <v>1663</v>
      </c>
      <c r="AB861" s="19" t="s">
        <v>1663</v>
      </c>
    </row>
    <row r="862" spans="1:28" s="40" customFormat="1">
      <c r="A862" s="18" t="s">
        <v>615</v>
      </c>
      <c r="B862" s="18" t="s">
        <v>9</v>
      </c>
      <c r="C862" s="18" t="s">
        <v>580</v>
      </c>
      <c r="D862" s="18" t="s">
        <v>616</v>
      </c>
      <c r="E862" s="19" t="s">
        <v>22</v>
      </c>
      <c r="F862" s="18" t="s">
        <v>13</v>
      </c>
      <c r="G862" s="29">
        <v>1</v>
      </c>
      <c r="H862" s="32">
        <f>IF(Prueba[[#This Row],[Cant.]]=0,"",IF(OR(Prueba[[#This Row],[Cant.2]]="",Prueba[[#This Row],[Puesto2]]=""),"?",Prueba[[#This Row],[Puesto2]]))</f>
        <v>5</v>
      </c>
      <c r="I862" s="31">
        <v>1</v>
      </c>
      <c r="J862" s="32">
        <v>5</v>
      </c>
      <c r="K862" s="14">
        <v>6</v>
      </c>
      <c r="L862" s="14"/>
      <c r="M862" s="31">
        <v>2</v>
      </c>
      <c r="N862" s="32">
        <f>IF(Prueba[[#This Row],[Cant.4]]=0,"",IF(OR(Prueba[[#This Row],[Cant.6]]="",Prueba[[#This Row],[Puesto6]]=""),"?",Prueba[[#This Row],[Puesto6]]))</f>
        <v>0</v>
      </c>
      <c r="O862" s="31">
        <v>2</v>
      </c>
      <c r="P862" s="32">
        <f>IF(Prueba[[#This Row],[Cant.5]]=0,"",IF(OR(Prueba[[#This Row],[Cant.6]]="",Prueba[[#This Row],[Puesto6]]=""),"?",Prueba[[#This Row],[Puesto6]]))</f>
        <v>0</v>
      </c>
      <c r="Q862" s="31">
        <v>2</v>
      </c>
      <c r="R862" s="32">
        <v>0</v>
      </c>
      <c r="S862" s="14"/>
      <c r="T862" s="14"/>
      <c r="U862" s="31">
        <v>2</v>
      </c>
      <c r="V862" s="32">
        <v>0</v>
      </c>
      <c r="W862" s="19">
        <v>16</v>
      </c>
      <c r="X862" s="19" t="s">
        <v>1664</v>
      </c>
      <c r="Y862" s="19">
        <v>4</v>
      </c>
      <c r="Z862" s="19">
        <v>5</v>
      </c>
      <c r="AA862" s="19">
        <v>4</v>
      </c>
      <c r="AB862" s="19">
        <v>5</v>
      </c>
    </row>
    <row r="863" spans="1:28" s="40" customFormat="1">
      <c r="A863" s="18" t="s">
        <v>1189</v>
      </c>
      <c r="B863" s="18" t="s">
        <v>9</v>
      </c>
      <c r="C863" s="18" t="s">
        <v>613</v>
      </c>
      <c r="D863" s="18" t="s">
        <v>492</v>
      </c>
      <c r="E863" s="19" t="s">
        <v>22</v>
      </c>
      <c r="F863" s="18" t="s">
        <v>13</v>
      </c>
      <c r="G863" s="29"/>
      <c r="H863" s="32" t="str">
        <f>IF(Prueba[[#This Row],[Cant.]]=0,"",IF(OR(Prueba[[#This Row],[Cant.2]]="",Prueba[[#This Row],[Puesto2]]=""),"?",Prueba[[#This Row],[Puesto2]]))</f>
        <v/>
      </c>
      <c r="I863" s="31"/>
      <c r="J863" s="32"/>
      <c r="K863" s="14">
        <v>6</v>
      </c>
      <c r="L863" s="14"/>
      <c r="M863" s="31">
        <v>6</v>
      </c>
      <c r="N863" s="32">
        <f>IF(Prueba[[#This Row],[Cant.4]]=0,"",IF(OR(Prueba[[#This Row],[Cant.6]]="",Prueba[[#This Row],[Puesto6]]=""),"?",Prueba[[#This Row],[Puesto6]]))</f>
        <v>3</v>
      </c>
      <c r="O863" s="31">
        <v>6</v>
      </c>
      <c r="P863" s="32">
        <f>IF(Prueba[[#This Row],[Cant.5]]=0,"",IF(OR(Prueba[[#This Row],[Cant.6]]="",Prueba[[#This Row],[Puesto6]]=""),"?",Prueba[[#This Row],[Puesto6]]))</f>
        <v>3</v>
      </c>
      <c r="Q863" s="31">
        <v>6</v>
      </c>
      <c r="R863" s="32">
        <v>3</v>
      </c>
      <c r="S863" s="14">
        <v>2</v>
      </c>
      <c r="T863" s="14">
        <v>3</v>
      </c>
      <c r="U863" s="31">
        <v>6</v>
      </c>
      <c r="V863" s="32">
        <v>3</v>
      </c>
      <c r="W863" s="19">
        <v>48</v>
      </c>
      <c r="X863" s="19" t="s">
        <v>1664</v>
      </c>
      <c r="Y863" s="19" t="s">
        <v>1663</v>
      </c>
      <c r="Z863" s="19" t="s">
        <v>1663</v>
      </c>
      <c r="AA863" s="19" t="s">
        <v>1663</v>
      </c>
      <c r="AB863" s="19" t="s">
        <v>1663</v>
      </c>
    </row>
    <row r="864" spans="1:28" s="18" customFormat="1">
      <c r="A864" s="18" t="s">
        <v>1190</v>
      </c>
      <c r="B864" s="18" t="s">
        <v>9</v>
      </c>
      <c r="C864" s="18" t="s">
        <v>577</v>
      </c>
      <c r="D864" s="18" t="s">
        <v>630</v>
      </c>
      <c r="E864" s="19" t="s">
        <v>22</v>
      </c>
      <c r="F864" s="18" t="s">
        <v>13</v>
      </c>
      <c r="G864" s="29"/>
      <c r="H864" s="32" t="str">
        <f>IF(Prueba[[#This Row],[Cant.]]=0,"",IF(OR(Prueba[[#This Row],[Cant.2]]="",Prueba[[#This Row],[Puesto2]]=""),"?",Prueba[[#This Row],[Puesto2]]))</f>
        <v/>
      </c>
      <c r="I864" s="31"/>
      <c r="J864" s="32"/>
      <c r="K864" s="14">
        <v>1</v>
      </c>
      <c r="L864" s="14"/>
      <c r="M864" s="31">
        <v>1</v>
      </c>
      <c r="N864" s="32">
        <f>IF(Prueba[[#This Row],[Cant.4]]=0,"",IF(OR(Prueba[[#This Row],[Cant.6]]="",Prueba[[#This Row],[Puesto6]]=""),"?",Prueba[[#This Row],[Puesto6]]))</f>
        <v>5</v>
      </c>
      <c r="O864" s="31">
        <v>1</v>
      </c>
      <c r="P864" s="32">
        <f>IF(Prueba[[#This Row],[Cant.5]]=0,"",IF(OR(Prueba[[#This Row],[Cant.6]]="",Prueba[[#This Row],[Puesto6]]=""),"?",Prueba[[#This Row],[Puesto6]]))</f>
        <v>5</v>
      </c>
      <c r="Q864" s="31">
        <v>1</v>
      </c>
      <c r="R864" s="32">
        <v>5</v>
      </c>
      <c r="S864" s="14">
        <v>1</v>
      </c>
      <c r="T864" s="14">
        <v>5</v>
      </c>
      <c r="U864" s="31"/>
      <c r="V864" s="32" t="s">
        <v>1663</v>
      </c>
      <c r="W864" s="19">
        <v>8</v>
      </c>
      <c r="X864" s="19" t="s">
        <v>1664</v>
      </c>
      <c r="Y864" s="19" t="s">
        <v>1663</v>
      </c>
      <c r="Z864" s="19" t="s">
        <v>1663</v>
      </c>
      <c r="AA864" s="19" t="s">
        <v>1663</v>
      </c>
      <c r="AB864" s="19" t="s">
        <v>1663</v>
      </c>
    </row>
    <row r="865" spans="1:28" s="18" customFormat="1">
      <c r="A865" s="18" t="s">
        <v>2261</v>
      </c>
      <c r="B865" s="18" t="s">
        <v>9</v>
      </c>
      <c r="C865" s="18" t="s">
        <v>2224</v>
      </c>
      <c r="D865" s="18" t="s">
        <v>2225</v>
      </c>
      <c r="E865" s="19" t="s">
        <v>1733</v>
      </c>
      <c r="F865" s="18" t="s">
        <v>13</v>
      </c>
      <c r="G865" s="29"/>
      <c r="H865" s="32" t="str">
        <f>IF(Prueba[[#This Row],[Cant.]]=0,"",IF(OR(Prueba[[#This Row],[Cant.2]]="",Prueba[[#This Row],[Puesto2]]=""),"?",Prueba[[#This Row],[Puesto2]]))</f>
        <v/>
      </c>
      <c r="I865" s="31"/>
      <c r="J865" s="32"/>
      <c r="K865" s="14"/>
      <c r="L865" s="14"/>
      <c r="M865" s="31"/>
      <c r="N865" s="32" t="str">
        <f>IF(Prueba[[#This Row],[Cant.4]]=0,"",IF(OR(Prueba[[#This Row],[Cant.6]]="",Prueba[[#This Row],[Puesto6]]=""),"?",Prueba[[#This Row],[Puesto6]]))</f>
        <v/>
      </c>
      <c r="O865" s="31"/>
      <c r="P865" s="32" t="str">
        <f>IF(Prueba[[#This Row],[Cant.5]]=0,"",IF(OR(Prueba[[#This Row],[Cant.6]]="",Prueba[[#This Row],[Puesto6]]=""),"?",Prueba[[#This Row],[Puesto6]]))</f>
        <v/>
      </c>
      <c r="Q865" s="31"/>
      <c r="R865" s="32"/>
      <c r="S865" s="14">
        <v>1</v>
      </c>
      <c r="T865" s="14">
        <v>0</v>
      </c>
      <c r="U865" s="31"/>
      <c r="V865" s="32" t="s">
        <v>1663</v>
      </c>
      <c r="W865" s="19">
        <v>8</v>
      </c>
      <c r="X865" s="19" t="s">
        <v>1664</v>
      </c>
      <c r="Y865" s="19" t="s">
        <v>1663</v>
      </c>
      <c r="Z865" s="19" t="s">
        <v>1663</v>
      </c>
      <c r="AA865" s="19" t="s">
        <v>1663</v>
      </c>
      <c r="AB865" s="19" t="s">
        <v>1663</v>
      </c>
    </row>
    <row r="866" spans="1:28" s="18" customFormat="1">
      <c r="A866" s="18" t="s">
        <v>1582</v>
      </c>
      <c r="B866" s="18" t="s">
        <v>9</v>
      </c>
      <c r="C866" s="18" t="s">
        <v>2224</v>
      </c>
      <c r="D866" s="18" t="s">
        <v>2225</v>
      </c>
      <c r="E866" s="19" t="s">
        <v>1733</v>
      </c>
      <c r="F866" s="18" t="s">
        <v>13</v>
      </c>
      <c r="G866" s="29"/>
      <c r="H866" s="32" t="str">
        <f>IF(Prueba[[#This Row],[Cant.]]=0,"",IF(OR(Prueba[[#This Row],[Cant.2]]="",Prueba[[#This Row],[Puesto2]]=""),"?",Prueba[[#This Row],[Puesto2]]))</f>
        <v/>
      </c>
      <c r="I866" s="31"/>
      <c r="J866" s="32"/>
      <c r="K866" s="14"/>
      <c r="L866" s="14"/>
      <c r="M866" s="31"/>
      <c r="N866" s="32" t="str">
        <f>IF(Prueba[[#This Row],[Cant.4]]=0,"",IF(OR(Prueba[[#This Row],[Cant.6]]="",Prueba[[#This Row],[Puesto6]]=""),"?",Prueba[[#This Row],[Puesto6]]))</f>
        <v/>
      </c>
      <c r="O866" s="31"/>
      <c r="P866" s="32" t="str">
        <f>IF(Prueba[[#This Row],[Cant.5]]=0,"",IF(OR(Prueba[[#This Row],[Cant.6]]="",Prueba[[#This Row],[Puesto6]]=""),"?",Prueba[[#This Row],[Puesto6]]))</f>
        <v/>
      </c>
      <c r="Q866" s="31"/>
      <c r="R866" s="32"/>
      <c r="S866" s="14"/>
      <c r="T866" s="14"/>
      <c r="U866" s="31">
        <v>1</v>
      </c>
      <c r="V866" s="32">
        <v>5</v>
      </c>
      <c r="W866" s="19">
        <v>8</v>
      </c>
      <c r="X866" s="19" t="s">
        <v>1664</v>
      </c>
      <c r="Y866" s="19" t="s">
        <v>1663</v>
      </c>
      <c r="Z866" s="19" t="s">
        <v>1663</v>
      </c>
      <c r="AA866" s="19" t="s">
        <v>1663</v>
      </c>
      <c r="AB866" s="19" t="s">
        <v>1663</v>
      </c>
    </row>
    <row r="867" spans="1:28" s="18" customFormat="1">
      <c r="A867" s="18" t="s">
        <v>1191</v>
      </c>
      <c r="B867" s="18" t="s">
        <v>9</v>
      </c>
      <c r="C867" s="18" t="s">
        <v>1192</v>
      </c>
      <c r="D867" s="18" t="s">
        <v>1193</v>
      </c>
      <c r="E867" s="19" t="s">
        <v>22</v>
      </c>
      <c r="F867" s="18" t="s">
        <v>13</v>
      </c>
      <c r="G867" s="29"/>
      <c r="H867" s="32" t="str">
        <f>IF(Prueba[[#This Row],[Cant.]]=0,"",IF(OR(Prueba[[#This Row],[Cant.2]]="",Prueba[[#This Row],[Puesto2]]=""),"?",Prueba[[#This Row],[Puesto2]]))</f>
        <v/>
      </c>
      <c r="I867" s="31"/>
      <c r="J867" s="32"/>
      <c r="K867" s="14">
        <v>4</v>
      </c>
      <c r="L867" s="14"/>
      <c r="M867" s="31">
        <v>4</v>
      </c>
      <c r="N867" s="32">
        <f>IF(Prueba[[#This Row],[Cant.4]]=0,"",IF(OR(Prueba[[#This Row],[Cant.6]]="",Prueba[[#This Row],[Puesto6]]=""),"?",Prueba[[#This Row],[Puesto6]]))</f>
        <v>0</v>
      </c>
      <c r="O867" s="31">
        <v>4</v>
      </c>
      <c r="P867" s="32">
        <f>IF(Prueba[[#This Row],[Cant.5]]=0,"",IF(OR(Prueba[[#This Row],[Cant.6]]="",Prueba[[#This Row],[Puesto6]]=""),"?",Prueba[[#This Row],[Puesto6]]))</f>
        <v>0</v>
      </c>
      <c r="Q867" s="31">
        <v>4</v>
      </c>
      <c r="R867" s="32">
        <v>0</v>
      </c>
      <c r="S867" s="14">
        <v>4</v>
      </c>
      <c r="T867" s="14">
        <v>0</v>
      </c>
      <c r="U867" s="31"/>
      <c r="V867" s="32" t="s">
        <v>1663</v>
      </c>
      <c r="W867" s="19">
        <v>32</v>
      </c>
      <c r="X867" s="19" t="s">
        <v>1664</v>
      </c>
      <c r="Y867" s="19" t="s">
        <v>1663</v>
      </c>
      <c r="Z867" s="19" t="s">
        <v>1663</v>
      </c>
      <c r="AA867" s="19" t="s">
        <v>1663</v>
      </c>
      <c r="AB867" s="19" t="s">
        <v>1663</v>
      </c>
    </row>
    <row r="868" spans="1:28" s="18" customFormat="1">
      <c r="A868" s="18" t="s">
        <v>617</v>
      </c>
      <c r="B868" s="18" t="s">
        <v>9</v>
      </c>
      <c r="C868" s="18" t="s">
        <v>599</v>
      </c>
      <c r="D868" s="18" t="s">
        <v>618</v>
      </c>
      <c r="E868" s="19" t="s">
        <v>22</v>
      </c>
      <c r="F868" s="18" t="s">
        <v>13</v>
      </c>
      <c r="G868" s="29">
        <v>6</v>
      </c>
      <c r="H868" s="32" t="str">
        <f>IF(Prueba[[#This Row],[Cant.]]=0,"",IF(OR(Prueba[[#This Row],[Cant.2]]="",Prueba[[#This Row],[Puesto2]]=""),"?",Prueba[[#This Row],[Puesto2]]))</f>
        <v>D</v>
      </c>
      <c r="I868" s="31">
        <v>6</v>
      </c>
      <c r="J868" s="32" t="s">
        <v>1399</v>
      </c>
      <c r="K868" s="14"/>
      <c r="L868" s="14"/>
      <c r="M868" s="31"/>
      <c r="N868" s="32" t="str">
        <f>IF(Prueba[[#This Row],[Cant.4]]=0,"",IF(OR(Prueba[[#This Row],[Cant.6]]="",Prueba[[#This Row],[Puesto6]]=""),"?",Prueba[[#This Row],[Puesto6]]))</f>
        <v/>
      </c>
      <c r="O868" s="31"/>
      <c r="P868" s="32" t="str">
        <f>IF(Prueba[[#This Row],[Cant.5]]=0,"",IF(OR(Prueba[[#This Row],[Cant.6]]="",Prueba[[#This Row],[Puesto6]]=""),"?",Prueba[[#This Row],[Puesto6]]))</f>
        <v/>
      </c>
      <c r="Q868" s="31"/>
      <c r="R868" s="32"/>
      <c r="S868" s="14"/>
      <c r="T868" s="14"/>
      <c r="U868" s="31"/>
      <c r="V868" s="32" t="s">
        <v>1663</v>
      </c>
      <c r="W868" s="19">
        <v>48</v>
      </c>
      <c r="X868" s="19" t="s">
        <v>1664</v>
      </c>
      <c r="Y868" s="19">
        <v>7</v>
      </c>
      <c r="Z868" s="19" t="s">
        <v>1399</v>
      </c>
      <c r="AA868" s="19">
        <v>7</v>
      </c>
      <c r="AB868" s="19" t="s">
        <v>1399</v>
      </c>
    </row>
    <row r="869" spans="1:28" s="40" customFormat="1">
      <c r="A869" s="18" t="s">
        <v>619</v>
      </c>
      <c r="B869" s="18" t="s">
        <v>9</v>
      </c>
      <c r="C869" s="18" t="s">
        <v>577</v>
      </c>
      <c r="D869" s="18" t="s">
        <v>620</v>
      </c>
      <c r="E869" s="19" t="s">
        <v>22</v>
      </c>
      <c r="F869" s="18" t="s">
        <v>13</v>
      </c>
      <c r="G869" s="29">
        <v>1</v>
      </c>
      <c r="H869" s="32">
        <f>IF(Prueba[[#This Row],[Cant.]]=0,"",IF(OR(Prueba[[#This Row],[Cant.2]]="",Prueba[[#This Row],[Puesto2]]=""),"?",Prueba[[#This Row],[Puesto2]]))</f>
        <v>6</v>
      </c>
      <c r="I869" s="31">
        <v>1</v>
      </c>
      <c r="J869" s="32">
        <v>6</v>
      </c>
      <c r="K869" s="14"/>
      <c r="L869" s="14"/>
      <c r="M869" s="31"/>
      <c r="N869" s="32" t="str">
        <f>IF(Prueba[[#This Row],[Cant.4]]=0,"",IF(OR(Prueba[[#This Row],[Cant.6]]="",Prueba[[#This Row],[Puesto6]]=""),"?",Prueba[[#This Row],[Puesto6]]))</f>
        <v/>
      </c>
      <c r="O869" s="31"/>
      <c r="P869" s="32" t="str">
        <f>IF(Prueba[[#This Row],[Cant.5]]=0,"",IF(OR(Prueba[[#This Row],[Cant.6]]="",Prueba[[#This Row],[Puesto6]]=""),"?",Prueba[[#This Row],[Puesto6]]))</f>
        <v/>
      </c>
      <c r="Q869" s="31"/>
      <c r="R869" s="32"/>
      <c r="S869" s="14">
        <v>1</v>
      </c>
      <c r="T869" s="14"/>
      <c r="U869" s="31"/>
      <c r="V869" s="32" t="s">
        <v>1663</v>
      </c>
      <c r="W869" s="19">
        <v>8</v>
      </c>
      <c r="X869" s="19" t="s">
        <v>1664</v>
      </c>
      <c r="Y869" s="19">
        <v>2</v>
      </c>
      <c r="Z869" s="19">
        <v>6</v>
      </c>
      <c r="AA869" s="19">
        <v>2</v>
      </c>
      <c r="AB869" s="19">
        <v>6</v>
      </c>
    </row>
    <row r="870" spans="1:28" s="18" customFormat="1" ht="43.15">
      <c r="A870" s="18" t="s">
        <v>621</v>
      </c>
      <c r="B870" s="18" t="s">
        <v>9</v>
      </c>
      <c r="C870" s="18" t="s">
        <v>580</v>
      </c>
      <c r="D870" s="18" t="s">
        <v>622</v>
      </c>
      <c r="E870" s="19" t="s">
        <v>22</v>
      </c>
      <c r="F870" s="18" t="s">
        <v>13</v>
      </c>
      <c r="G870" s="29">
        <v>78</v>
      </c>
      <c r="H870" s="32" t="str">
        <f>IF(Prueba[[#This Row],[Cant.]]=0,"",IF(OR(Prueba[[#This Row],[Cant.2]]="",Prueba[[#This Row],[Puesto2]]=""),"?",Prueba[[#This Row],[Puesto2]]))</f>
        <v>54x0 + 6x3 + 3x4 + 6x6 + 4xC</v>
      </c>
      <c r="I870" s="31">
        <v>78</v>
      </c>
      <c r="J870" s="32" t="s">
        <v>2262</v>
      </c>
      <c r="K870" s="14">
        <v>8</v>
      </c>
      <c r="L870" s="14"/>
      <c r="M870" s="31">
        <v>8</v>
      </c>
      <c r="N870" s="32">
        <f>IF(Prueba[[#This Row],[Cant.4]]=0,"",IF(OR(Prueba[[#This Row],[Cant.6]]="",Prueba[[#This Row],[Puesto6]]=""),"?",Prueba[[#This Row],[Puesto6]]))</f>
        <v>0</v>
      </c>
      <c r="O870" s="31">
        <v>8</v>
      </c>
      <c r="P870" s="32">
        <f>IF(Prueba[[#This Row],[Cant.5]]=0,"",IF(OR(Prueba[[#This Row],[Cant.6]]="",Prueba[[#This Row],[Puesto6]]=""),"?",Prueba[[#This Row],[Puesto6]]))</f>
        <v>0</v>
      </c>
      <c r="Q870" s="31">
        <v>8</v>
      </c>
      <c r="R870" s="32">
        <v>0</v>
      </c>
      <c r="S870" s="14"/>
      <c r="T870" s="14"/>
      <c r="U870" s="31"/>
      <c r="V870" s="32" t="s">
        <v>1663</v>
      </c>
      <c r="W870" s="19">
        <v>64</v>
      </c>
      <c r="X870" s="19" t="s">
        <v>1664</v>
      </c>
      <c r="Y870" s="19">
        <v>87</v>
      </c>
      <c r="Z870" s="19" t="s">
        <v>2262</v>
      </c>
      <c r="AA870" s="19">
        <v>90</v>
      </c>
      <c r="AB870" s="19" t="s">
        <v>2262</v>
      </c>
    </row>
    <row r="871" spans="1:28" s="18" customFormat="1">
      <c r="A871" s="18" t="s">
        <v>1194</v>
      </c>
      <c r="B871" s="18" t="s">
        <v>9</v>
      </c>
      <c r="C871" s="18" t="s">
        <v>606</v>
      </c>
      <c r="D871" s="18" t="s">
        <v>630</v>
      </c>
      <c r="E871" s="19" t="s">
        <v>22</v>
      </c>
      <c r="F871" s="18" t="s">
        <v>13</v>
      </c>
      <c r="G871" s="29"/>
      <c r="H871" s="32" t="str">
        <f>IF(Prueba[[#This Row],[Cant.]]=0,"",IF(OR(Prueba[[#This Row],[Cant.2]]="",Prueba[[#This Row],[Puesto2]]=""),"?",Prueba[[#This Row],[Puesto2]]))</f>
        <v/>
      </c>
      <c r="I871" s="31"/>
      <c r="J871" s="32"/>
      <c r="K871" s="14">
        <v>2</v>
      </c>
      <c r="L871" s="14"/>
      <c r="M871" s="31"/>
      <c r="N871" s="32" t="str">
        <f>IF(Prueba[[#This Row],[Cant.4]]=0,"",IF(OR(Prueba[[#This Row],[Cant.6]]="",Prueba[[#This Row],[Puesto6]]=""),"?",Prueba[[#This Row],[Puesto6]]))</f>
        <v/>
      </c>
      <c r="O871" s="31"/>
      <c r="P871" s="32" t="str">
        <f>IF(Prueba[[#This Row],[Cant.5]]=0,"",IF(OR(Prueba[[#This Row],[Cant.6]]="",Prueba[[#This Row],[Puesto6]]=""),"?",Prueba[[#This Row],[Puesto6]]))</f>
        <v/>
      </c>
      <c r="Q871" s="31"/>
      <c r="R871" s="32"/>
      <c r="S871" s="14"/>
      <c r="T871" s="14"/>
      <c r="U871" s="31"/>
      <c r="V871" s="32" t="s">
        <v>1663</v>
      </c>
      <c r="W871" s="19">
        <v>16</v>
      </c>
      <c r="X871" s="19" t="s">
        <v>1664</v>
      </c>
      <c r="Y871" s="19" t="s">
        <v>1663</v>
      </c>
      <c r="Z871" s="19" t="s">
        <v>1663</v>
      </c>
      <c r="AA871" s="19" t="s">
        <v>1663</v>
      </c>
      <c r="AB871" s="19" t="s">
        <v>1663</v>
      </c>
    </row>
    <row r="872" spans="1:28" s="18" customFormat="1">
      <c r="A872" s="18" t="s">
        <v>2263</v>
      </c>
      <c r="B872" s="18" t="s">
        <v>1806</v>
      </c>
      <c r="C872" s="18" t="s">
        <v>2264</v>
      </c>
      <c r="D872" s="18" t="s">
        <v>2265</v>
      </c>
      <c r="E872" s="19" t="s">
        <v>1733</v>
      </c>
      <c r="F872" s="18" t="s">
        <v>13</v>
      </c>
      <c r="G872" s="29"/>
      <c r="H872" s="32" t="str">
        <f>IF(Prueba[[#This Row],[Cant.]]=0,"",IF(OR(Prueba[[#This Row],[Cant.2]]="",Prueba[[#This Row],[Puesto2]]=""),"?",Prueba[[#This Row],[Puesto2]]))</f>
        <v/>
      </c>
      <c r="I872" s="31"/>
      <c r="J872" s="32"/>
      <c r="K872" s="14"/>
      <c r="L872" s="14"/>
      <c r="M872" s="31">
        <v>3</v>
      </c>
      <c r="N872" s="32" t="str">
        <f>IF(Prueba[[#This Row],[Cant.4]]=0,"",IF(OR(Prueba[[#This Row],[Cant.6]]="",Prueba[[#This Row],[Puesto6]]=""),"?",Prueba[[#This Row],[Puesto6]]))</f>
        <v>2x2 + 1x5</v>
      </c>
      <c r="O872" s="31">
        <v>3</v>
      </c>
      <c r="P872" s="32" t="str">
        <f>IF(Prueba[[#This Row],[Cant.5]]=0,"",IF(OR(Prueba[[#This Row],[Cant.6]]="",Prueba[[#This Row],[Puesto6]]=""),"?",Prueba[[#This Row],[Puesto6]]))</f>
        <v>2x2 + 1x5</v>
      </c>
      <c r="Q872" s="31">
        <v>3</v>
      </c>
      <c r="R872" s="32" t="s">
        <v>2266</v>
      </c>
      <c r="S872" s="14">
        <v>2</v>
      </c>
      <c r="T872" s="14"/>
      <c r="U872" s="31"/>
      <c r="V872" s="32" t="s">
        <v>1663</v>
      </c>
      <c r="W872" s="19">
        <v>16</v>
      </c>
      <c r="X872" s="19" t="s">
        <v>1664</v>
      </c>
      <c r="Y872" s="19" t="s">
        <v>1663</v>
      </c>
      <c r="Z872" s="19" t="s">
        <v>1663</v>
      </c>
      <c r="AA872" s="19" t="s">
        <v>1663</v>
      </c>
      <c r="AB872" s="19" t="s">
        <v>1663</v>
      </c>
    </row>
    <row r="873" spans="1:28" s="18" customFormat="1">
      <c r="A873" s="18" t="s">
        <v>623</v>
      </c>
      <c r="B873" s="18" t="s">
        <v>9</v>
      </c>
      <c r="C873" s="18" t="s">
        <v>580</v>
      </c>
      <c r="D873" s="18" t="s">
        <v>616</v>
      </c>
      <c r="E873" s="19" t="s">
        <v>22</v>
      </c>
      <c r="F873" s="18" t="s">
        <v>13</v>
      </c>
      <c r="G873" s="29">
        <v>4</v>
      </c>
      <c r="H873" s="32">
        <f>IF(Prueba[[#This Row],[Cant.]]=0,"",IF(OR(Prueba[[#This Row],[Cant.2]]="",Prueba[[#This Row],[Puesto2]]=""),"?",Prueba[[#This Row],[Puesto2]]))</f>
        <v>6</v>
      </c>
      <c r="I873" s="31">
        <v>4</v>
      </c>
      <c r="J873" s="32">
        <v>6</v>
      </c>
      <c r="K873" s="14"/>
      <c r="L873" s="14"/>
      <c r="M873" s="31"/>
      <c r="N873" s="32" t="str">
        <f>IF(Prueba[[#This Row],[Cant.4]]=0,"",IF(OR(Prueba[[#This Row],[Cant.6]]="",Prueba[[#This Row],[Puesto6]]=""),"?",Prueba[[#This Row],[Puesto6]]))</f>
        <v/>
      </c>
      <c r="O873" s="31"/>
      <c r="P873" s="32" t="str">
        <f>IF(Prueba[[#This Row],[Cant.5]]=0,"",IF(OR(Prueba[[#This Row],[Cant.6]]="",Prueba[[#This Row],[Puesto6]]=""),"?",Prueba[[#This Row],[Puesto6]]))</f>
        <v/>
      </c>
      <c r="Q873" s="31"/>
      <c r="R873" s="32"/>
      <c r="S873" s="14"/>
      <c r="T873" s="14"/>
      <c r="U873" s="31"/>
      <c r="V873" s="32" t="s">
        <v>1663</v>
      </c>
      <c r="W873" s="19">
        <v>32</v>
      </c>
      <c r="X873" s="19" t="s">
        <v>1664</v>
      </c>
      <c r="Y873" s="19">
        <v>5</v>
      </c>
      <c r="Z873" s="19">
        <v>6</v>
      </c>
      <c r="AA873" s="19">
        <v>5</v>
      </c>
      <c r="AB873" s="19">
        <v>6</v>
      </c>
    </row>
    <row r="874" spans="1:28" s="18" customFormat="1">
      <c r="A874" s="18" t="s">
        <v>1195</v>
      </c>
      <c r="B874" s="18" t="s">
        <v>9</v>
      </c>
      <c r="C874" s="18" t="s">
        <v>714</v>
      </c>
      <c r="D874" s="18" t="s">
        <v>1196</v>
      </c>
      <c r="E874" s="19" t="s">
        <v>22</v>
      </c>
      <c r="F874" s="18" t="s">
        <v>13</v>
      </c>
      <c r="G874" s="29"/>
      <c r="H874" s="32" t="str">
        <f>IF(Prueba[[#This Row],[Cant.]]=0,"",IF(OR(Prueba[[#This Row],[Cant.2]]="",Prueba[[#This Row],[Puesto2]]=""),"?",Prueba[[#This Row],[Puesto2]]))</f>
        <v/>
      </c>
      <c r="I874" s="31"/>
      <c r="J874" s="32"/>
      <c r="K874" s="14">
        <v>8</v>
      </c>
      <c r="L874" s="14"/>
      <c r="M874" s="31">
        <v>10</v>
      </c>
      <c r="N874" s="32">
        <f>IF(Prueba[[#This Row],[Cant.4]]=0,"",IF(OR(Prueba[[#This Row],[Cant.6]]="",Prueba[[#This Row],[Puesto6]]=""),"?",Prueba[[#This Row],[Puesto6]]))</f>
        <v>6</v>
      </c>
      <c r="O874" s="31">
        <v>8</v>
      </c>
      <c r="P874" s="32">
        <f>IF(Prueba[[#This Row],[Cant.5]]=0,"",IF(OR(Prueba[[#This Row],[Cant.6]]="",Prueba[[#This Row],[Puesto6]]=""),"?",Prueba[[#This Row],[Puesto6]]))</f>
        <v>6</v>
      </c>
      <c r="Q874" s="31">
        <v>10</v>
      </c>
      <c r="R874" s="32">
        <v>6</v>
      </c>
      <c r="S874" s="14">
        <v>10</v>
      </c>
      <c r="T874" s="14">
        <v>6</v>
      </c>
      <c r="U874" s="31"/>
      <c r="V874" s="32" t="s">
        <v>1663</v>
      </c>
      <c r="W874" s="19">
        <v>80</v>
      </c>
      <c r="X874" s="19" t="s">
        <v>1664</v>
      </c>
      <c r="Y874" s="19" t="s">
        <v>1663</v>
      </c>
      <c r="Z874" s="19" t="s">
        <v>1663</v>
      </c>
      <c r="AA874" s="19" t="s">
        <v>1663</v>
      </c>
      <c r="AB874" s="19" t="s">
        <v>1663</v>
      </c>
    </row>
    <row r="875" spans="1:28" s="18" customFormat="1" ht="28.9">
      <c r="A875" s="18" t="s">
        <v>624</v>
      </c>
      <c r="B875" s="18" t="s">
        <v>9</v>
      </c>
      <c r="C875" s="18" t="s">
        <v>606</v>
      </c>
      <c r="D875" s="18" t="s">
        <v>625</v>
      </c>
      <c r="E875" s="19" t="s">
        <v>22</v>
      </c>
      <c r="F875" s="18" t="s">
        <v>13</v>
      </c>
      <c r="G875" s="29">
        <v>4</v>
      </c>
      <c r="H875" s="32" t="str">
        <f>IF(Prueba[[#This Row],[Cant.]]=0,"",IF(OR(Prueba[[#This Row],[Cant.2]]="",Prueba[[#This Row],[Puesto2]]=""),"?",Prueba[[#This Row],[Puesto2]]))</f>
        <v>2x0 + 4x3</v>
      </c>
      <c r="I875" s="31">
        <v>4</v>
      </c>
      <c r="J875" s="32" t="s">
        <v>2267</v>
      </c>
      <c r="K875" s="14">
        <v>15</v>
      </c>
      <c r="L875" s="14"/>
      <c r="M875" s="31">
        <v>13</v>
      </c>
      <c r="N875" s="32" t="str">
        <f>IF(Prueba[[#This Row],[Cant.4]]=0,"",IF(OR(Prueba[[#This Row],[Cant.6]]="",Prueba[[#This Row],[Puesto6]]=""),"?",Prueba[[#This Row],[Puesto6]]))</f>
        <v>4x0 + 3x2 + 6xD</v>
      </c>
      <c r="O875" s="31">
        <v>7</v>
      </c>
      <c r="P875" s="32" t="str">
        <f>IF(Prueba[[#This Row],[Cant.5]]=0,"",IF(OR(Prueba[[#This Row],[Cant.6]]="",Prueba[[#This Row],[Puesto6]]=""),"?",Prueba[[#This Row],[Puesto6]]))</f>
        <v>4x0 + 3x2 + 6xD</v>
      </c>
      <c r="Q875" s="31">
        <v>13</v>
      </c>
      <c r="R875" s="32" t="s">
        <v>2268</v>
      </c>
      <c r="S875" s="14">
        <v>12</v>
      </c>
      <c r="T875" s="14" t="s">
        <v>2269</v>
      </c>
      <c r="U875" s="31">
        <v>9</v>
      </c>
      <c r="V875" s="32" t="s">
        <v>1583</v>
      </c>
      <c r="W875" s="19">
        <v>88</v>
      </c>
      <c r="X875" s="19" t="s">
        <v>1664</v>
      </c>
      <c r="Y875" s="19">
        <v>5</v>
      </c>
      <c r="Z875" s="19" t="s">
        <v>2267</v>
      </c>
      <c r="AA875" s="19">
        <v>5</v>
      </c>
      <c r="AB875" s="19" t="s">
        <v>2267</v>
      </c>
    </row>
    <row r="876" spans="1:28" s="18" customFormat="1">
      <c r="A876" s="18" t="s">
        <v>2270</v>
      </c>
      <c r="B876" s="18" t="s">
        <v>9</v>
      </c>
      <c r="C876" s="18" t="s">
        <v>1959</v>
      </c>
      <c r="D876" s="18" t="s">
        <v>2271</v>
      </c>
      <c r="E876" s="19" t="s">
        <v>22</v>
      </c>
      <c r="F876" s="18" t="s">
        <v>13</v>
      </c>
      <c r="G876" s="29"/>
      <c r="H876" s="32"/>
      <c r="I876" s="31"/>
      <c r="J876" s="32"/>
      <c r="K876" s="14">
        <v>1</v>
      </c>
      <c r="L876" s="14">
        <v>2</v>
      </c>
      <c r="M876" s="31">
        <v>1</v>
      </c>
      <c r="N876" s="32">
        <v>2</v>
      </c>
      <c r="O876" s="119">
        <v>1</v>
      </c>
      <c r="P876" s="120">
        <v>2</v>
      </c>
      <c r="Q876" s="31">
        <v>1</v>
      </c>
      <c r="R876" s="32">
        <v>2</v>
      </c>
      <c r="S876" s="14">
        <v>1</v>
      </c>
      <c r="T876" s="14">
        <v>2</v>
      </c>
      <c r="U876" s="31"/>
      <c r="V876" s="32" t="s">
        <v>1663</v>
      </c>
      <c r="W876" s="19">
        <v>8</v>
      </c>
      <c r="X876" s="19" t="s">
        <v>1664</v>
      </c>
      <c r="Y876" s="19" t="s">
        <v>1663</v>
      </c>
      <c r="Z876" s="19" t="s">
        <v>1663</v>
      </c>
      <c r="AA876" s="19" t="s">
        <v>1663</v>
      </c>
      <c r="AB876" s="19" t="s">
        <v>1663</v>
      </c>
    </row>
    <row r="877" spans="1:28" s="18" customFormat="1">
      <c r="A877" s="18" t="s">
        <v>1197</v>
      </c>
      <c r="B877" s="18" t="s">
        <v>9</v>
      </c>
      <c r="C877" s="18" t="s">
        <v>630</v>
      </c>
      <c r="D877" s="18" t="s">
        <v>611</v>
      </c>
      <c r="E877" s="19" t="s">
        <v>22</v>
      </c>
      <c r="F877" s="18" t="s">
        <v>13</v>
      </c>
      <c r="G877" s="29"/>
      <c r="H877" s="32" t="str">
        <f>IF(Prueba[[#This Row],[Cant.]]=0,"",IF(OR(Prueba[[#This Row],[Cant.2]]="",Prueba[[#This Row],[Puesto2]]=""),"?",Prueba[[#This Row],[Puesto2]]))</f>
        <v/>
      </c>
      <c r="I877" s="31"/>
      <c r="J877" s="32"/>
      <c r="K877" s="14">
        <v>1</v>
      </c>
      <c r="L877" s="14"/>
      <c r="M877" s="31">
        <v>1</v>
      </c>
      <c r="N877" s="32">
        <f>IF(Prueba[[#This Row],[Cant.4]]=0,"",IF(OR(Prueba[[#This Row],[Cant.6]]="",Prueba[[#This Row],[Puesto6]]=""),"?",Prueba[[#This Row],[Puesto6]]))</f>
        <v>5</v>
      </c>
      <c r="O877" s="31">
        <v>1</v>
      </c>
      <c r="P877" s="32">
        <f>IF(Prueba[[#This Row],[Cant.5]]=0,"",IF(OR(Prueba[[#This Row],[Cant.6]]="",Prueba[[#This Row],[Puesto6]]=""),"?",Prueba[[#This Row],[Puesto6]]))</f>
        <v>5</v>
      </c>
      <c r="Q877" s="31">
        <v>1</v>
      </c>
      <c r="R877" s="32">
        <v>5</v>
      </c>
      <c r="S877" s="14">
        <v>1</v>
      </c>
      <c r="T877" s="14">
        <v>5</v>
      </c>
      <c r="U877" s="31"/>
      <c r="V877" s="32" t="s">
        <v>1663</v>
      </c>
      <c r="W877" s="19">
        <v>8</v>
      </c>
      <c r="X877" s="19" t="s">
        <v>1664</v>
      </c>
      <c r="Y877" s="19" t="s">
        <v>1663</v>
      </c>
      <c r="Z877" s="19" t="s">
        <v>1663</v>
      </c>
      <c r="AA877" s="19" t="s">
        <v>1663</v>
      </c>
      <c r="AB877" s="19" t="s">
        <v>1663</v>
      </c>
    </row>
    <row r="878" spans="1:28" s="18" customFormat="1">
      <c r="A878" s="18" t="s">
        <v>626</v>
      </c>
      <c r="B878" s="18" t="s">
        <v>9</v>
      </c>
      <c r="C878" s="18" t="s">
        <v>606</v>
      </c>
      <c r="D878" s="18" t="s">
        <v>627</v>
      </c>
      <c r="E878" s="19" t="s">
        <v>22</v>
      </c>
      <c r="F878" s="18" t="s">
        <v>13</v>
      </c>
      <c r="G878" s="29">
        <v>3</v>
      </c>
      <c r="H878" s="32">
        <f>IF(Prueba[[#This Row],[Cant.]]=0,"",IF(OR(Prueba[[#This Row],[Cant.2]]="",Prueba[[#This Row],[Puesto2]]=""),"?",Prueba[[#This Row],[Puesto2]]))</f>
        <v>0</v>
      </c>
      <c r="I878" s="31">
        <v>3</v>
      </c>
      <c r="J878" s="32">
        <v>0</v>
      </c>
      <c r="K878" s="14">
        <v>1</v>
      </c>
      <c r="L878" s="14"/>
      <c r="M878" s="31">
        <v>1</v>
      </c>
      <c r="N878" s="32">
        <f>IF(Prueba[[#This Row],[Cant.4]]=0,"",IF(OR(Prueba[[#This Row],[Cant.6]]="",Prueba[[#This Row],[Puesto6]]=""),"?",Prueba[[#This Row],[Puesto6]]))</f>
        <v>5</v>
      </c>
      <c r="O878" s="31">
        <v>1</v>
      </c>
      <c r="P878" s="32">
        <f>IF(Prueba[[#This Row],[Cant.5]]=0,"",IF(OR(Prueba[[#This Row],[Cant.6]]="",Prueba[[#This Row],[Puesto6]]=""),"?",Prueba[[#This Row],[Puesto6]]))</f>
        <v>5</v>
      </c>
      <c r="Q878" s="31">
        <v>1</v>
      </c>
      <c r="R878" s="32">
        <v>5</v>
      </c>
      <c r="S878" s="14">
        <v>1</v>
      </c>
      <c r="T878" s="14">
        <v>5</v>
      </c>
      <c r="U878" s="31"/>
      <c r="V878" s="32" t="s">
        <v>1663</v>
      </c>
      <c r="W878" s="19">
        <v>8</v>
      </c>
      <c r="X878" s="19" t="s">
        <v>1664</v>
      </c>
      <c r="Y878" s="19">
        <v>3</v>
      </c>
      <c r="Z878" s="19">
        <v>0</v>
      </c>
      <c r="AA878" s="19">
        <v>4</v>
      </c>
      <c r="AB878" s="19">
        <v>0</v>
      </c>
    </row>
    <row r="879" spans="1:28" s="18" customFormat="1">
      <c r="A879" s="18" t="s">
        <v>628</v>
      </c>
      <c r="B879" s="18" t="s">
        <v>9</v>
      </c>
      <c r="C879" s="18" t="s">
        <v>606</v>
      </c>
      <c r="D879" s="18" t="s">
        <v>611</v>
      </c>
      <c r="E879" s="19" t="s">
        <v>22</v>
      </c>
      <c r="F879" s="18" t="s">
        <v>13</v>
      </c>
      <c r="G879" s="29">
        <v>6</v>
      </c>
      <c r="H879" s="32" t="str">
        <f>IF(Prueba[[#This Row],[Cant.]]=0,"",IF(OR(Prueba[[#This Row],[Cant.2]]="",Prueba[[#This Row],[Puesto2]]=""),"?",Prueba[[#This Row],[Puesto2]]))</f>
        <v>1x0 + 2x5</v>
      </c>
      <c r="I879" s="31">
        <v>6</v>
      </c>
      <c r="J879" s="32" t="s">
        <v>2272</v>
      </c>
      <c r="K879" s="14"/>
      <c r="L879" s="14"/>
      <c r="M879" s="31"/>
      <c r="N879" s="32" t="str">
        <f>IF(Prueba[[#This Row],[Cant.4]]=0,"",IF(OR(Prueba[[#This Row],[Cant.6]]="",Prueba[[#This Row],[Puesto6]]=""),"?",Prueba[[#This Row],[Puesto6]]))</f>
        <v/>
      </c>
      <c r="O879" s="31"/>
      <c r="P879" s="32" t="str">
        <f>IF(Prueba[[#This Row],[Cant.5]]=0,"",IF(OR(Prueba[[#This Row],[Cant.6]]="",Prueba[[#This Row],[Puesto6]]=""),"?",Prueba[[#This Row],[Puesto6]]))</f>
        <v/>
      </c>
      <c r="Q879" s="31"/>
      <c r="R879" s="32"/>
      <c r="S879" s="14"/>
      <c r="T879" s="14"/>
      <c r="U879" s="31"/>
      <c r="V879" s="32" t="s">
        <v>1663</v>
      </c>
      <c r="W879" s="19">
        <v>32</v>
      </c>
      <c r="X879" s="19" t="s">
        <v>1664</v>
      </c>
      <c r="Y879" s="19">
        <v>4</v>
      </c>
      <c r="Z879" s="19" t="s">
        <v>2272</v>
      </c>
      <c r="AA879" s="19">
        <v>4</v>
      </c>
      <c r="AB879" s="19" t="s">
        <v>2272</v>
      </c>
    </row>
    <row r="880" spans="1:28" s="18" customFormat="1">
      <c r="A880" s="18" t="s">
        <v>629</v>
      </c>
      <c r="B880" s="18" t="s">
        <v>9</v>
      </c>
      <c r="C880" s="18" t="s">
        <v>577</v>
      </c>
      <c r="D880" s="18" t="s">
        <v>630</v>
      </c>
      <c r="E880" s="19" t="s">
        <v>22</v>
      </c>
      <c r="F880" s="18" t="s">
        <v>13</v>
      </c>
      <c r="G880" s="29">
        <v>2</v>
      </c>
      <c r="H880" s="32">
        <f>IF(Prueba[[#This Row],[Cant.]]=0,"",IF(OR(Prueba[[#This Row],[Cant.2]]="",Prueba[[#This Row],[Puesto2]]=""),"?",Prueba[[#This Row],[Puesto2]]))</f>
        <v>4</v>
      </c>
      <c r="I880" s="31">
        <v>2</v>
      </c>
      <c r="J880" s="32">
        <v>4</v>
      </c>
      <c r="K880" s="14">
        <v>14</v>
      </c>
      <c r="L880" s="14"/>
      <c r="M880" s="31">
        <v>14</v>
      </c>
      <c r="N880" s="32" t="str">
        <f>IF(Prueba[[#This Row],[Cant.4]]=0,"",IF(OR(Prueba[[#This Row],[Cant.6]]="",Prueba[[#This Row],[Puesto6]]=""),"?",Prueba[[#This Row],[Puesto6]]))</f>
        <v>D</v>
      </c>
      <c r="O880" s="31">
        <v>14</v>
      </c>
      <c r="P880" s="32" t="str">
        <f>IF(Prueba[[#This Row],[Cant.5]]=0,"",IF(OR(Prueba[[#This Row],[Cant.6]]="",Prueba[[#This Row],[Puesto6]]=""),"?",Prueba[[#This Row],[Puesto6]]))</f>
        <v>D</v>
      </c>
      <c r="Q880" s="31">
        <v>14</v>
      </c>
      <c r="R880" s="32" t="s">
        <v>1399</v>
      </c>
      <c r="S880" s="14">
        <v>14</v>
      </c>
      <c r="T880" s="14" t="s">
        <v>1399</v>
      </c>
      <c r="U880" s="31"/>
      <c r="V880" s="32" t="s">
        <v>1663</v>
      </c>
      <c r="W880" s="19">
        <v>112</v>
      </c>
      <c r="X880" s="19" t="s">
        <v>1664</v>
      </c>
      <c r="Y880" s="19">
        <v>3</v>
      </c>
      <c r="Z880" s="19">
        <v>4</v>
      </c>
      <c r="AA880" s="19">
        <v>3</v>
      </c>
      <c r="AB880" s="19">
        <v>4</v>
      </c>
    </row>
    <row r="881" spans="1:28" s="18" customFormat="1">
      <c r="A881" s="18" t="s">
        <v>631</v>
      </c>
      <c r="B881" s="18" t="s">
        <v>9</v>
      </c>
      <c r="C881" s="18" t="s">
        <v>599</v>
      </c>
      <c r="D881" s="18" t="s">
        <v>632</v>
      </c>
      <c r="E881" s="19" t="s">
        <v>22</v>
      </c>
      <c r="F881" s="18" t="s">
        <v>13</v>
      </c>
      <c r="G881" s="29">
        <v>8</v>
      </c>
      <c r="H881" s="32">
        <f>IF(Prueba[[#This Row],[Cant.]]=0,"",IF(OR(Prueba[[#This Row],[Cant.2]]="",Prueba[[#This Row],[Puesto2]]=""),"?",Prueba[[#This Row],[Puesto2]]))</f>
        <v>3</v>
      </c>
      <c r="I881" s="31">
        <v>8</v>
      </c>
      <c r="J881" s="32">
        <v>3</v>
      </c>
      <c r="K881" s="14"/>
      <c r="L881" s="14"/>
      <c r="M881" s="31"/>
      <c r="N881" s="32" t="str">
        <f>IF(Prueba[[#This Row],[Cant.4]]=0,"",IF(OR(Prueba[[#This Row],[Cant.6]]="",Prueba[[#This Row],[Puesto6]]=""),"?",Prueba[[#This Row],[Puesto6]]))</f>
        <v/>
      </c>
      <c r="O881" s="31"/>
      <c r="P881" s="32" t="str">
        <f>IF(Prueba[[#This Row],[Cant.5]]=0,"",IF(OR(Prueba[[#This Row],[Cant.6]]="",Prueba[[#This Row],[Puesto6]]=""),"?",Prueba[[#This Row],[Puesto6]]))</f>
        <v/>
      </c>
      <c r="Q881" s="31"/>
      <c r="R881" s="32"/>
      <c r="S881" s="14"/>
      <c r="T881" s="14"/>
      <c r="U881" s="31"/>
      <c r="V881" s="32" t="s">
        <v>1663</v>
      </c>
      <c r="W881" s="19">
        <v>64</v>
      </c>
      <c r="X881" s="19" t="s">
        <v>1664</v>
      </c>
      <c r="Y881" s="19">
        <v>9</v>
      </c>
      <c r="Z881" s="19" t="s">
        <v>2273</v>
      </c>
      <c r="AA881" s="19">
        <v>9</v>
      </c>
      <c r="AB881" s="19" t="s">
        <v>2273</v>
      </c>
    </row>
    <row r="882" spans="1:28" s="18" customFormat="1">
      <c r="A882" s="18" t="s">
        <v>633</v>
      </c>
      <c r="B882" s="18" t="s">
        <v>9</v>
      </c>
      <c r="C882" s="18" t="s">
        <v>599</v>
      </c>
      <c r="D882" s="18" t="s">
        <v>634</v>
      </c>
      <c r="E882" s="19" t="s">
        <v>22</v>
      </c>
      <c r="F882" s="18" t="s">
        <v>13</v>
      </c>
      <c r="G882" s="29">
        <v>4</v>
      </c>
      <c r="H882" s="32">
        <f>IF(Prueba[[#This Row],[Cant.]]=0,"",IF(OR(Prueba[[#This Row],[Cant.2]]="",Prueba[[#This Row],[Puesto2]]=""),"?",Prueba[[#This Row],[Puesto2]]))</f>
        <v>4</v>
      </c>
      <c r="I882" s="31">
        <v>4</v>
      </c>
      <c r="J882" s="32">
        <v>4</v>
      </c>
      <c r="K882" s="14">
        <v>4</v>
      </c>
      <c r="L882" s="14"/>
      <c r="M882" s="31">
        <v>4</v>
      </c>
      <c r="N882" s="32">
        <f>IF(Prueba[[#This Row],[Cant.4]]=0,"",IF(OR(Prueba[[#This Row],[Cant.6]]="",Prueba[[#This Row],[Puesto6]]=""),"?",Prueba[[#This Row],[Puesto6]]))</f>
        <v>5</v>
      </c>
      <c r="O882" s="31">
        <v>4</v>
      </c>
      <c r="P882" s="32">
        <f>IF(Prueba[[#This Row],[Cant.5]]=0,"",IF(OR(Prueba[[#This Row],[Cant.6]]="",Prueba[[#This Row],[Puesto6]]=""),"?",Prueba[[#This Row],[Puesto6]]))</f>
        <v>5</v>
      </c>
      <c r="Q882" s="31">
        <v>4</v>
      </c>
      <c r="R882" s="32">
        <v>5</v>
      </c>
      <c r="S882" s="14">
        <v>4</v>
      </c>
      <c r="T882" s="14">
        <v>5</v>
      </c>
      <c r="U882" s="31"/>
      <c r="V882" s="32" t="s">
        <v>1663</v>
      </c>
      <c r="W882" s="19">
        <v>32</v>
      </c>
      <c r="X882" s="19" t="s">
        <v>1664</v>
      </c>
      <c r="Y882" s="19">
        <v>5</v>
      </c>
      <c r="Z882" s="19">
        <v>4</v>
      </c>
      <c r="AA882" s="19">
        <v>5</v>
      </c>
      <c r="AB882" s="19">
        <v>4</v>
      </c>
    </row>
    <row r="883" spans="1:28" s="18" customFormat="1">
      <c r="A883" s="18" t="s">
        <v>635</v>
      </c>
      <c r="B883" s="18" t="s">
        <v>9</v>
      </c>
      <c r="C883" s="18" t="s">
        <v>636</v>
      </c>
      <c r="D883" s="18" t="s">
        <v>604</v>
      </c>
      <c r="E883" s="19" t="s">
        <v>22</v>
      </c>
      <c r="F883" s="18" t="s">
        <v>13</v>
      </c>
      <c r="G883" s="29">
        <v>4</v>
      </c>
      <c r="H883" s="32">
        <f>IF(Prueba[[#This Row],[Cant.]]=0,"",IF(OR(Prueba[[#This Row],[Cant.2]]="",Prueba[[#This Row],[Puesto2]]=""),"?",Prueba[[#This Row],[Puesto2]]))</f>
        <v>3</v>
      </c>
      <c r="I883" s="31">
        <v>4</v>
      </c>
      <c r="J883" s="32">
        <v>3</v>
      </c>
      <c r="K883" s="14"/>
      <c r="L883" s="14"/>
      <c r="M883" s="31"/>
      <c r="N883" s="32" t="str">
        <f>IF(Prueba[[#This Row],[Cant.4]]=0,"",IF(OR(Prueba[[#This Row],[Cant.6]]="",Prueba[[#This Row],[Puesto6]]=""),"?",Prueba[[#This Row],[Puesto6]]))</f>
        <v/>
      </c>
      <c r="O883" s="31"/>
      <c r="P883" s="32" t="str">
        <f>IF(Prueba[[#This Row],[Cant.5]]=0,"",IF(OR(Prueba[[#This Row],[Cant.6]]="",Prueba[[#This Row],[Puesto6]]=""),"?",Prueba[[#This Row],[Puesto6]]))</f>
        <v/>
      </c>
      <c r="Q883" s="31"/>
      <c r="R883" s="32"/>
      <c r="S883" s="14"/>
      <c r="T883" s="14"/>
      <c r="U883" s="31"/>
      <c r="V883" s="32" t="s">
        <v>1663</v>
      </c>
      <c r="W883" s="19">
        <v>32</v>
      </c>
      <c r="X883" s="19" t="s">
        <v>1664</v>
      </c>
      <c r="Y883" s="19">
        <v>5</v>
      </c>
      <c r="Z883" s="19">
        <v>3</v>
      </c>
      <c r="AA883" s="19">
        <v>5</v>
      </c>
      <c r="AB883" s="19">
        <v>3</v>
      </c>
    </row>
    <row r="884" spans="1:28" s="18" customFormat="1" ht="28.9">
      <c r="A884" s="18" t="s">
        <v>637</v>
      </c>
      <c r="B884" s="18" t="s">
        <v>9</v>
      </c>
      <c r="C884" s="18" t="s">
        <v>580</v>
      </c>
      <c r="D884" s="18" t="s">
        <v>638</v>
      </c>
      <c r="E884" s="19" t="s">
        <v>22</v>
      </c>
      <c r="F884" s="18" t="s">
        <v>13</v>
      </c>
      <c r="G884" s="29"/>
      <c r="H884" s="32" t="str">
        <f>IF(Prueba[[#This Row],[Cant.]]=0,"",IF(OR(Prueba[[#This Row],[Cant.2]]="",Prueba[[#This Row],[Puesto2]]=""),"?",Prueba[[#This Row],[Puesto2]]))</f>
        <v/>
      </c>
      <c r="I884" s="31"/>
      <c r="J884" s="32"/>
      <c r="K884" s="14">
        <v>21</v>
      </c>
      <c r="L884" s="14"/>
      <c r="M884" s="31">
        <v>25</v>
      </c>
      <c r="N884" s="32" t="str">
        <f>IF(Prueba[[#This Row],[Cant.4]]=0,"",IF(OR(Prueba[[#This Row],[Cant.6]]="",Prueba[[#This Row],[Puesto6]]=""),"?",Prueba[[#This Row],[Puesto6]]))</f>
        <v>7x0 + 2x5 + 4x6 + 8xD</v>
      </c>
      <c r="O884" s="31">
        <v>23</v>
      </c>
      <c r="P884" s="32" t="str">
        <f>IF(Prueba[[#This Row],[Cant.5]]=0,"",IF(OR(Prueba[[#This Row],[Cant.6]]="",Prueba[[#This Row],[Puesto6]]=""),"?",Prueba[[#This Row],[Puesto6]]))</f>
        <v>7x0 + 2x5 + 4x6 + 8xD</v>
      </c>
      <c r="Q884" s="31">
        <v>21</v>
      </c>
      <c r="R884" s="32" t="s">
        <v>2274</v>
      </c>
      <c r="S884" s="14">
        <v>19</v>
      </c>
      <c r="T884" s="14" t="s">
        <v>2275</v>
      </c>
      <c r="U884" s="31">
        <v>30</v>
      </c>
      <c r="V884" s="26" t="s">
        <v>1584</v>
      </c>
      <c r="W884" s="19">
        <v>240</v>
      </c>
      <c r="X884" s="19" t="s">
        <v>1664</v>
      </c>
      <c r="Y884" s="19" t="s">
        <v>1663</v>
      </c>
      <c r="Z884" s="19" t="s">
        <v>1663</v>
      </c>
      <c r="AA884" s="19" t="s">
        <v>1663</v>
      </c>
      <c r="AB884" s="19" t="s">
        <v>1663</v>
      </c>
    </row>
    <row r="885" spans="1:28" s="18" customFormat="1">
      <c r="A885" s="18" t="s">
        <v>639</v>
      </c>
      <c r="B885" s="18" t="s">
        <v>9</v>
      </c>
      <c r="C885" s="18" t="s">
        <v>606</v>
      </c>
      <c r="D885" s="18" t="s">
        <v>611</v>
      </c>
      <c r="E885" s="19" t="s">
        <v>22</v>
      </c>
      <c r="F885" s="18" t="s">
        <v>13</v>
      </c>
      <c r="G885" s="29">
        <v>1</v>
      </c>
      <c r="H885" s="32">
        <f>IF(Prueba[[#This Row],[Cant.]]=0,"",IF(OR(Prueba[[#This Row],[Cant.2]]="",Prueba[[#This Row],[Puesto2]]=""),"?",Prueba[[#This Row],[Puesto2]]))</f>
        <v>5</v>
      </c>
      <c r="I885" s="31">
        <v>1</v>
      </c>
      <c r="J885" s="32">
        <v>5</v>
      </c>
      <c r="K885" s="14"/>
      <c r="L885" s="14"/>
      <c r="M885" s="31"/>
      <c r="N885" s="32" t="str">
        <f>IF(Prueba[[#This Row],[Cant.4]]=0,"",IF(OR(Prueba[[#This Row],[Cant.6]]="",Prueba[[#This Row],[Puesto6]]=""),"?",Prueba[[#This Row],[Puesto6]]))</f>
        <v/>
      </c>
      <c r="O885" s="31"/>
      <c r="P885" s="32" t="str">
        <f>IF(Prueba[[#This Row],[Cant.5]]=0,"",IF(OR(Prueba[[#This Row],[Cant.6]]="",Prueba[[#This Row],[Puesto6]]=""),"?",Prueba[[#This Row],[Puesto6]]))</f>
        <v/>
      </c>
      <c r="Q885" s="31"/>
      <c r="R885" s="32"/>
      <c r="S885" s="14"/>
      <c r="T885" s="14"/>
      <c r="U885" s="31"/>
      <c r="V885" s="32" t="s">
        <v>1663</v>
      </c>
      <c r="W885" s="19">
        <v>8</v>
      </c>
      <c r="X885" s="19" t="s">
        <v>1664</v>
      </c>
      <c r="Y885" s="19">
        <v>2</v>
      </c>
      <c r="Z885" s="19">
        <v>5</v>
      </c>
      <c r="AA885" s="19">
        <v>2</v>
      </c>
      <c r="AB885" s="19">
        <v>5</v>
      </c>
    </row>
    <row r="886" spans="1:28" s="18" customFormat="1">
      <c r="A886" s="18" t="s">
        <v>640</v>
      </c>
      <c r="B886" s="18" t="s">
        <v>9</v>
      </c>
      <c r="C886" s="18" t="s">
        <v>630</v>
      </c>
      <c r="D886" s="18" t="s">
        <v>611</v>
      </c>
      <c r="E886" s="19" t="s">
        <v>22</v>
      </c>
      <c r="F886" s="18" t="s">
        <v>13</v>
      </c>
      <c r="G886" s="29">
        <v>2</v>
      </c>
      <c r="H886" s="32">
        <f>IF(Prueba[[#This Row],[Cant.]]=0,"",IF(OR(Prueba[[#This Row],[Cant.2]]="",Prueba[[#This Row],[Puesto2]]=""),"?",Prueba[[#This Row],[Puesto2]]))</f>
        <v>1</v>
      </c>
      <c r="I886" s="31">
        <v>2</v>
      </c>
      <c r="J886" s="32">
        <v>1</v>
      </c>
      <c r="K886" s="14"/>
      <c r="L886" s="14"/>
      <c r="M886" s="31"/>
      <c r="N886" s="32" t="str">
        <f>IF(Prueba[[#This Row],[Cant.4]]=0,"",IF(OR(Prueba[[#This Row],[Cant.6]]="",Prueba[[#This Row],[Puesto6]]=""),"?",Prueba[[#This Row],[Puesto6]]))</f>
        <v/>
      </c>
      <c r="O886" s="31"/>
      <c r="P886" s="32" t="str">
        <f>IF(Prueba[[#This Row],[Cant.5]]=0,"",IF(OR(Prueba[[#This Row],[Cant.6]]="",Prueba[[#This Row],[Puesto6]]=""),"?",Prueba[[#This Row],[Puesto6]]))</f>
        <v/>
      </c>
      <c r="Q886" s="31"/>
      <c r="R886" s="32"/>
      <c r="S886" s="14"/>
      <c r="T886" s="14"/>
      <c r="U886" s="31"/>
      <c r="V886" s="32" t="s">
        <v>1663</v>
      </c>
      <c r="W886" s="19">
        <v>16</v>
      </c>
      <c r="X886" s="19" t="s">
        <v>1664</v>
      </c>
      <c r="Y886" s="19">
        <v>3</v>
      </c>
      <c r="Z886" s="19">
        <v>1</v>
      </c>
      <c r="AA886" s="19">
        <v>3</v>
      </c>
      <c r="AB886" s="19">
        <v>1</v>
      </c>
    </row>
    <row r="887" spans="1:28" s="18" customFormat="1">
      <c r="A887" s="18" t="s">
        <v>1198</v>
      </c>
      <c r="B887" s="18" t="s">
        <v>9</v>
      </c>
      <c r="C887" s="18" t="s">
        <v>630</v>
      </c>
      <c r="D887" s="18" t="s">
        <v>627</v>
      </c>
      <c r="E887" s="19" t="s">
        <v>22</v>
      </c>
      <c r="F887" s="18" t="s">
        <v>13</v>
      </c>
      <c r="G887" s="29"/>
      <c r="H887" s="32" t="str">
        <f>IF(Prueba[[#This Row],[Cant.]]=0,"",IF(OR(Prueba[[#This Row],[Cant.2]]="",Prueba[[#This Row],[Puesto2]]=""),"?",Prueba[[#This Row],[Puesto2]]))</f>
        <v/>
      </c>
      <c r="I887" s="31"/>
      <c r="J887" s="32"/>
      <c r="K887" s="14">
        <v>3</v>
      </c>
      <c r="L887" s="14"/>
      <c r="M887" s="31">
        <v>3</v>
      </c>
      <c r="N887" s="32">
        <f>IF(Prueba[[#This Row],[Cant.4]]=0,"",IF(OR(Prueba[[#This Row],[Cant.6]]="",Prueba[[#This Row],[Puesto6]]=""),"?",Prueba[[#This Row],[Puesto6]]))</f>
        <v>0</v>
      </c>
      <c r="O887" s="31">
        <v>3</v>
      </c>
      <c r="P887" s="32">
        <f>IF(Prueba[[#This Row],[Cant.5]]=0,"",IF(OR(Prueba[[#This Row],[Cant.6]]="",Prueba[[#This Row],[Puesto6]]=""),"?",Prueba[[#This Row],[Puesto6]]))</f>
        <v>0</v>
      </c>
      <c r="Q887" s="31">
        <v>3</v>
      </c>
      <c r="R887" s="32">
        <v>0</v>
      </c>
      <c r="S887" s="14">
        <v>3</v>
      </c>
      <c r="T887" s="14">
        <v>0</v>
      </c>
      <c r="U887" s="31">
        <v>2</v>
      </c>
      <c r="V887" s="32">
        <v>4</v>
      </c>
      <c r="W887" s="19">
        <v>24</v>
      </c>
      <c r="X887" s="19" t="s">
        <v>1664</v>
      </c>
      <c r="Y887" s="19" t="s">
        <v>1663</v>
      </c>
      <c r="Z887" s="19" t="s">
        <v>1663</v>
      </c>
      <c r="AA887" s="19" t="s">
        <v>1663</v>
      </c>
      <c r="AB887" s="19" t="s">
        <v>1663</v>
      </c>
    </row>
    <row r="888" spans="1:28" s="18" customFormat="1">
      <c r="A888" s="18" t="s">
        <v>641</v>
      </c>
      <c r="B888" s="18" t="s">
        <v>9</v>
      </c>
      <c r="C888" s="18" t="s">
        <v>606</v>
      </c>
      <c r="D888" s="18" t="s">
        <v>611</v>
      </c>
      <c r="E888" s="19" t="s">
        <v>22</v>
      </c>
      <c r="F888" s="18" t="s">
        <v>13</v>
      </c>
      <c r="G888" s="29">
        <v>4</v>
      </c>
      <c r="H888" s="32" t="str">
        <f>IF(Prueba[[#This Row],[Cant.]]=0,"",IF(OR(Prueba[[#This Row],[Cant.2]]="",Prueba[[#This Row],[Puesto2]]=""),"?",Prueba[[#This Row],[Puesto2]]))</f>
        <v>1x0 + 2x4</v>
      </c>
      <c r="I888" s="31">
        <v>4</v>
      </c>
      <c r="J888" s="32" t="s">
        <v>2276</v>
      </c>
      <c r="K888" s="14">
        <v>6</v>
      </c>
      <c r="L888" s="14"/>
      <c r="M888" s="31">
        <v>6</v>
      </c>
      <c r="N888" s="32">
        <f>IF(Prueba[[#This Row],[Cant.4]]=0,"",IF(OR(Prueba[[#This Row],[Cant.6]]="",Prueba[[#This Row],[Puesto6]]=""),"?",Prueba[[#This Row],[Puesto6]]))</f>
        <v>3</v>
      </c>
      <c r="O888" s="31">
        <v>6</v>
      </c>
      <c r="P888" s="32">
        <f>IF(Prueba[[#This Row],[Cant.5]]=0,"",IF(OR(Prueba[[#This Row],[Cant.6]]="",Prueba[[#This Row],[Puesto6]]=""),"?",Prueba[[#This Row],[Puesto6]]))</f>
        <v>3</v>
      </c>
      <c r="Q888" s="31">
        <v>6</v>
      </c>
      <c r="R888" s="32">
        <v>3</v>
      </c>
      <c r="S888" s="14">
        <v>6</v>
      </c>
      <c r="T888" s="14">
        <v>3</v>
      </c>
      <c r="U888" s="31"/>
      <c r="V888" s="32" t="s">
        <v>1663</v>
      </c>
      <c r="W888" s="19">
        <v>48</v>
      </c>
      <c r="X888" s="19" t="s">
        <v>1664</v>
      </c>
      <c r="Y888" s="19">
        <v>4</v>
      </c>
      <c r="Z888" s="19" t="s">
        <v>2276</v>
      </c>
      <c r="AA888" s="19">
        <v>4</v>
      </c>
      <c r="AB888" s="19" t="s">
        <v>2276</v>
      </c>
    </row>
    <row r="889" spans="1:28" s="18" customFormat="1">
      <c r="A889" s="18" t="s">
        <v>642</v>
      </c>
      <c r="B889" s="18" t="s">
        <v>9</v>
      </c>
      <c r="C889" s="18" t="s">
        <v>580</v>
      </c>
      <c r="D889" s="18" t="s">
        <v>643</v>
      </c>
      <c r="E889" s="19" t="s">
        <v>22</v>
      </c>
      <c r="F889" s="18" t="s">
        <v>13</v>
      </c>
      <c r="G889" s="29">
        <v>4</v>
      </c>
      <c r="H889" s="32" t="str">
        <f>IF(Prueba[[#This Row],[Cant.]]=0,"",IF(OR(Prueba[[#This Row],[Cant.2]]="",Prueba[[#This Row],[Puesto2]]=""),"?",Prueba[[#This Row],[Puesto2]]))</f>
        <v>2x3 + 2xA</v>
      </c>
      <c r="I889" s="31">
        <v>4</v>
      </c>
      <c r="J889" s="32" t="s">
        <v>2277</v>
      </c>
      <c r="K889" s="14"/>
      <c r="L889" s="14"/>
      <c r="M889" s="31"/>
      <c r="N889" s="32" t="str">
        <f>IF(Prueba[[#This Row],[Cant.4]]=0,"",IF(OR(Prueba[[#This Row],[Cant.6]]="",Prueba[[#This Row],[Puesto6]]=""),"?",Prueba[[#This Row],[Puesto6]]))</f>
        <v/>
      </c>
      <c r="O889" s="31"/>
      <c r="P889" s="32" t="str">
        <f>IF(Prueba[[#This Row],[Cant.5]]=0,"",IF(OR(Prueba[[#This Row],[Cant.6]]="",Prueba[[#This Row],[Puesto6]]=""),"?",Prueba[[#This Row],[Puesto6]]))</f>
        <v/>
      </c>
      <c r="Q889" s="31"/>
      <c r="R889" s="32"/>
      <c r="S889" s="14"/>
      <c r="T889" s="14"/>
      <c r="U889" s="31"/>
      <c r="V889" s="32" t="s">
        <v>1663</v>
      </c>
      <c r="W889" s="19">
        <v>16</v>
      </c>
      <c r="X889" s="19" t="s">
        <v>1664</v>
      </c>
      <c r="Y889" s="19">
        <v>5</v>
      </c>
      <c r="Z889" s="19" t="s">
        <v>2277</v>
      </c>
      <c r="AA889" s="19">
        <v>5</v>
      </c>
      <c r="AB889" s="19" t="s">
        <v>2277</v>
      </c>
    </row>
    <row r="890" spans="1:28" s="18" customFormat="1">
      <c r="A890" s="18" t="s">
        <v>644</v>
      </c>
      <c r="B890" s="18" t="s">
        <v>9</v>
      </c>
      <c r="C890" s="18" t="s">
        <v>606</v>
      </c>
      <c r="D890" s="18" t="s">
        <v>645</v>
      </c>
      <c r="E890" s="19" t="s">
        <v>22</v>
      </c>
      <c r="F890" s="18" t="s">
        <v>13</v>
      </c>
      <c r="G890" s="29">
        <v>1</v>
      </c>
      <c r="H890" s="32">
        <f>IF(Prueba[[#This Row],[Cant.]]=0,"",IF(OR(Prueba[[#This Row],[Cant.2]]="",Prueba[[#This Row],[Puesto2]]=""),"?",Prueba[[#This Row],[Puesto2]]))</f>
        <v>0</v>
      </c>
      <c r="I890" s="31">
        <v>1</v>
      </c>
      <c r="J890" s="32">
        <v>0</v>
      </c>
      <c r="K890" s="14">
        <v>3</v>
      </c>
      <c r="L890" s="14"/>
      <c r="M890" s="31">
        <v>3</v>
      </c>
      <c r="N890" s="32" t="str">
        <f>IF(Prueba[[#This Row],[Cant.4]]=0,"",IF(OR(Prueba[[#This Row],[Cant.6]]="",Prueba[[#This Row],[Puesto6]]=""),"?",Prueba[[#This Row],[Puesto6]]))</f>
        <v>1x0 + 1x6</v>
      </c>
      <c r="O890" s="31">
        <v>3</v>
      </c>
      <c r="P890" s="32" t="str">
        <f>IF(Prueba[[#This Row],[Cant.5]]=0,"",IF(OR(Prueba[[#This Row],[Cant.6]]="",Prueba[[#This Row],[Puesto6]]=""),"?",Prueba[[#This Row],[Puesto6]]))</f>
        <v>1x0 + 1x6</v>
      </c>
      <c r="Q890" s="31">
        <v>3</v>
      </c>
      <c r="R890" s="32" t="s">
        <v>2278</v>
      </c>
      <c r="S890" s="14">
        <v>2</v>
      </c>
      <c r="T890" s="14">
        <v>5</v>
      </c>
      <c r="U890" s="31">
        <v>1</v>
      </c>
      <c r="V890" s="32">
        <v>0</v>
      </c>
      <c r="W890" s="19">
        <v>8</v>
      </c>
      <c r="X890" s="19" t="s">
        <v>1664</v>
      </c>
      <c r="Y890" s="19">
        <v>2</v>
      </c>
      <c r="Z890" s="19">
        <v>0</v>
      </c>
      <c r="AA890" s="19">
        <v>2</v>
      </c>
      <c r="AB890" s="19">
        <v>0</v>
      </c>
    </row>
    <row r="891" spans="1:28" s="18" customFormat="1">
      <c r="A891" s="18" t="s">
        <v>646</v>
      </c>
      <c r="B891" s="18" t="s">
        <v>9</v>
      </c>
      <c r="C891" s="18" t="s">
        <v>606</v>
      </c>
      <c r="D891" s="18" t="s">
        <v>647</v>
      </c>
      <c r="E891" s="19" t="s">
        <v>22</v>
      </c>
      <c r="F891" s="18" t="s">
        <v>13</v>
      </c>
      <c r="G891" s="29">
        <v>3</v>
      </c>
      <c r="H891" s="32" t="str">
        <f>IF(Prueba[[#This Row],[Cant.]]=0,"",IF(OR(Prueba[[#This Row],[Cant.2]]="",Prueba[[#This Row],[Puesto2]]=""),"?",Prueba[[#This Row],[Puesto2]]))</f>
        <v>3x4 + 1x4</v>
      </c>
      <c r="I891" s="31">
        <v>3</v>
      </c>
      <c r="J891" s="32" t="s">
        <v>2279</v>
      </c>
      <c r="K891" s="14">
        <v>6</v>
      </c>
      <c r="L891" s="14"/>
      <c r="M891" s="31">
        <v>4</v>
      </c>
      <c r="N891" s="32" t="str">
        <f>IF(Prueba[[#This Row],[Cant.4]]=0,"",IF(OR(Prueba[[#This Row],[Cant.6]]="",Prueba[[#This Row],[Puesto6]]=""),"?",Prueba[[#This Row],[Puesto6]]))</f>
        <v>3x0 + 1x5</v>
      </c>
      <c r="O891" s="31">
        <v>4</v>
      </c>
      <c r="P891" s="32" t="str">
        <f>IF(Prueba[[#This Row],[Cant.5]]=0,"",IF(OR(Prueba[[#This Row],[Cant.6]]="",Prueba[[#This Row],[Puesto6]]=""),"?",Prueba[[#This Row],[Puesto6]]))</f>
        <v>3x0 + 1x5</v>
      </c>
      <c r="Q891" s="31">
        <v>4</v>
      </c>
      <c r="R891" s="32" t="s">
        <v>2280</v>
      </c>
      <c r="S891" s="14">
        <v>2</v>
      </c>
      <c r="T891" s="14" t="s">
        <v>2281</v>
      </c>
      <c r="U891" s="31">
        <v>13</v>
      </c>
      <c r="V891" s="26" t="s">
        <v>2282</v>
      </c>
      <c r="W891" s="19">
        <v>104</v>
      </c>
      <c r="X891" s="19" t="s">
        <v>1664</v>
      </c>
      <c r="Y891" s="19">
        <v>6</v>
      </c>
      <c r="Z891" s="19" t="s">
        <v>2279</v>
      </c>
      <c r="AA891" s="19">
        <v>6</v>
      </c>
      <c r="AB891" s="19" t="s">
        <v>2279</v>
      </c>
    </row>
    <row r="892" spans="1:28" s="18" customFormat="1">
      <c r="A892" s="18" t="s">
        <v>648</v>
      </c>
      <c r="B892" s="18" t="s">
        <v>9</v>
      </c>
      <c r="C892" s="18" t="s">
        <v>606</v>
      </c>
      <c r="D892" s="18" t="s">
        <v>611</v>
      </c>
      <c r="E892" s="19" t="s">
        <v>22</v>
      </c>
      <c r="F892" s="18" t="s">
        <v>13</v>
      </c>
      <c r="G892" s="29">
        <v>5</v>
      </c>
      <c r="H892" s="32" t="str">
        <f>IF(Prueba[[#This Row],[Cant.]]=0,"",IF(OR(Prueba[[#This Row],[Cant.2]]="",Prueba[[#This Row],[Puesto2]]=""),"?",Prueba[[#This Row],[Puesto2]]))</f>
        <v>3x0 + 2x1</v>
      </c>
      <c r="I892" s="31">
        <v>5</v>
      </c>
      <c r="J892" s="32" t="s">
        <v>2283</v>
      </c>
      <c r="K892" s="14"/>
      <c r="L892" s="14"/>
      <c r="M892" s="31"/>
      <c r="N892" s="32" t="str">
        <f>IF(Prueba[[#This Row],[Cant.4]]=0,"",IF(OR(Prueba[[#This Row],[Cant.6]]="",Prueba[[#This Row],[Puesto6]]=""),"?",Prueba[[#This Row],[Puesto6]]))</f>
        <v/>
      </c>
      <c r="O892" s="31"/>
      <c r="P892" s="32" t="str">
        <f>IF(Prueba[[#This Row],[Cant.5]]=0,"",IF(OR(Prueba[[#This Row],[Cant.6]]="",Prueba[[#This Row],[Puesto6]]=""),"?",Prueba[[#This Row],[Puesto6]]))</f>
        <v/>
      </c>
      <c r="Q892" s="31"/>
      <c r="R892" s="32"/>
      <c r="S892" s="14"/>
      <c r="T892" s="14"/>
      <c r="U892" s="31"/>
      <c r="V892" s="32" t="s">
        <v>1663</v>
      </c>
      <c r="W892" s="19">
        <v>24</v>
      </c>
      <c r="X892" s="19" t="s">
        <v>1664</v>
      </c>
      <c r="Y892" s="19">
        <v>4</v>
      </c>
      <c r="Z892" s="19" t="s">
        <v>2283</v>
      </c>
      <c r="AA892" s="19">
        <v>4</v>
      </c>
      <c r="AB892" s="19" t="s">
        <v>2283</v>
      </c>
    </row>
    <row r="893" spans="1:28" s="18" customFormat="1">
      <c r="A893" s="18" t="s">
        <v>2284</v>
      </c>
      <c r="B893" s="18" t="s">
        <v>9</v>
      </c>
      <c r="C893" s="18" t="s">
        <v>2285</v>
      </c>
      <c r="D893" s="18" t="s">
        <v>2286</v>
      </c>
      <c r="E893" s="19" t="s">
        <v>1733</v>
      </c>
      <c r="F893" s="18" t="s">
        <v>13</v>
      </c>
      <c r="G893" s="29"/>
      <c r="H893" s="32" t="str">
        <f>IF(Prueba[[#This Row],[Cant.]]=0,"",IF(OR(Prueba[[#This Row],[Cant.2]]="",Prueba[[#This Row],[Puesto2]]=""),"?",Prueba[[#This Row],[Puesto2]]))</f>
        <v/>
      </c>
      <c r="I893" s="31"/>
      <c r="J893" s="32"/>
      <c r="K893" s="14"/>
      <c r="L893" s="14"/>
      <c r="M893" s="31"/>
      <c r="N893" s="32" t="str">
        <f>IF(Prueba[[#This Row],[Cant.4]]=0,"",IF(OR(Prueba[[#This Row],[Cant.6]]="",Prueba[[#This Row],[Puesto6]]=""),"?",Prueba[[#This Row],[Puesto6]]))</f>
        <v/>
      </c>
      <c r="O893" s="31"/>
      <c r="P893" s="32" t="str">
        <f>IF(Prueba[[#This Row],[Cant.5]]=0,"",IF(OR(Prueba[[#This Row],[Cant.6]]="",Prueba[[#This Row],[Puesto6]]=""),"?",Prueba[[#This Row],[Puesto6]]))</f>
        <v/>
      </c>
      <c r="Q893" s="31"/>
      <c r="R893" s="32"/>
      <c r="S893" s="14">
        <v>1</v>
      </c>
      <c r="T893" s="14"/>
      <c r="U893" s="31"/>
      <c r="V893" s="32" t="s">
        <v>1663</v>
      </c>
      <c r="W893" s="19">
        <v>8</v>
      </c>
      <c r="X893" s="19" t="s">
        <v>1664</v>
      </c>
      <c r="Y893" s="19" t="s">
        <v>1663</v>
      </c>
      <c r="Z893" s="19" t="s">
        <v>1663</v>
      </c>
      <c r="AA893" s="19" t="s">
        <v>1663</v>
      </c>
      <c r="AB893" s="19" t="s">
        <v>1663</v>
      </c>
    </row>
    <row r="894" spans="1:28" s="18" customFormat="1">
      <c r="A894" s="18" t="s">
        <v>649</v>
      </c>
      <c r="B894" s="18" t="s">
        <v>9</v>
      </c>
      <c r="C894" s="18" t="s">
        <v>650</v>
      </c>
      <c r="D894" s="18" t="s">
        <v>651</v>
      </c>
      <c r="E894" s="19" t="s">
        <v>22</v>
      </c>
      <c r="F894" s="18" t="s">
        <v>13</v>
      </c>
      <c r="G894" s="29">
        <v>4</v>
      </c>
      <c r="H894" s="32" t="str">
        <f>IF(Prueba[[#This Row],[Cant.]]=0,"",IF(OR(Prueba[[#This Row],[Cant.2]]="",Prueba[[#This Row],[Puesto2]]=""),"?",Prueba[[#This Row],[Puesto2]]))</f>
        <v>2x3 + 2xC</v>
      </c>
      <c r="I894" s="31">
        <v>4</v>
      </c>
      <c r="J894" s="32" t="s">
        <v>2287</v>
      </c>
      <c r="K894" s="14"/>
      <c r="L894" s="14"/>
      <c r="M894" s="31"/>
      <c r="N894" s="32" t="str">
        <f>IF(Prueba[[#This Row],[Cant.4]]=0,"",IF(OR(Prueba[[#This Row],[Cant.6]]="",Prueba[[#This Row],[Puesto6]]=""),"?",Prueba[[#This Row],[Puesto6]]))</f>
        <v/>
      </c>
      <c r="O894" s="31"/>
      <c r="P894" s="32" t="str">
        <f>IF(Prueba[[#This Row],[Cant.5]]=0,"",IF(OR(Prueba[[#This Row],[Cant.6]]="",Prueba[[#This Row],[Puesto6]]=""),"?",Prueba[[#This Row],[Puesto6]]))</f>
        <v/>
      </c>
      <c r="Q894" s="31"/>
      <c r="R894" s="32"/>
      <c r="S894" s="14"/>
      <c r="T894" s="14"/>
      <c r="U894" s="31"/>
      <c r="V894" s="32" t="s">
        <v>1663</v>
      </c>
      <c r="W894" s="19">
        <v>16</v>
      </c>
      <c r="X894" s="19" t="s">
        <v>1664</v>
      </c>
      <c r="Y894" s="19">
        <v>5</v>
      </c>
      <c r="Z894" s="19" t="s">
        <v>2287</v>
      </c>
      <c r="AA894" s="19">
        <v>5</v>
      </c>
      <c r="AB894" s="19" t="s">
        <v>2287</v>
      </c>
    </row>
    <row r="895" spans="1:28" s="18" customFormat="1">
      <c r="A895" s="18" t="s">
        <v>1199</v>
      </c>
      <c r="B895" s="18" t="s">
        <v>9</v>
      </c>
      <c r="C895" s="18" t="s">
        <v>577</v>
      </c>
      <c r="D895" s="18" t="s">
        <v>1200</v>
      </c>
      <c r="E895" s="19" t="s">
        <v>22</v>
      </c>
      <c r="F895" s="18" t="s">
        <v>13</v>
      </c>
      <c r="G895" s="29"/>
      <c r="H895" s="32" t="str">
        <f>IF(Prueba[[#This Row],[Cant.]]=0,"",IF(OR(Prueba[[#This Row],[Cant.2]]="",Prueba[[#This Row],[Puesto2]]=""),"?",Prueba[[#This Row],[Puesto2]]))</f>
        <v/>
      </c>
      <c r="I895" s="31"/>
      <c r="J895" s="32"/>
      <c r="K895" s="14">
        <v>2</v>
      </c>
      <c r="L895" s="14"/>
      <c r="M895" s="31">
        <v>2</v>
      </c>
      <c r="N895" s="32">
        <f>IF(Prueba[[#This Row],[Cant.4]]=0,"",IF(OR(Prueba[[#This Row],[Cant.6]]="",Prueba[[#This Row],[Puesto6]]=""),"?",Prueba[[#This Row],[Puesto6]]))</f>
        <v>6</v>
      </c>
      <c r="O895" s="31">
        <v>2</v>
      </c>
      <c r="P895" s="32">
        <f>IF(Prueba[[#This Row],[Cant.5]]=0,"",IF(OR(Prueba[[#This Row],[Cant.6]]="",Prueba[[#This Row],[Puesto6]]=""),"?",Prueba[[#This Row],[Puesto6]]))</f>
        <v>6</v>
      </c>
      <c r="Q895" s="31">
        <v>2</v>
      </c>
      <c r="R895" s="32">
        <v>6</v>
      </c>
      <c r="S895" s="14">
        <v>1</v>
      </c>
      <c r="T895" s="14">
        <v>6</v>
      </c>
      <c r="U895" s="31"/>
      <c r="V895" s="32" t="s">
        <v>1663</v>
      </c>
      <c r="W895" s="19">
        <v>16</v>
      </c>
      <c r="X895" s="19" t="s">
        <v>1664</v>
      </c>
      <c r="Y895" s="19" t="s">
        <v>1663</v>
      </c>
      <c r="Z895" s="19" t="s">
        <v>1663</v>
      </c>
      <c r="AA895" s="19" t="s">
        <v>1663</v>
      </c>
      <c r="AB895" s="19" t="s">
        <v>1663</v>
      </c>
    </row>
    <row r="896" spans="1:28" s="18" customFormat="1">
      <c r="A896" s="18" t="s">
        <v>652</v>
      </c>
      <c r="B896" s="18" t="s">
        <v>9</v>
      </c>
      <c r="C896" s="18" t="s">
        <v>653</v>
      </c>
      <c r="D896" s="18" t="s">
        <v>654</v>
      </c>
      <c r="E896" s="19" t="s">
        <v>22</v>
      </c>
      <c r="F896" s="18" t="s">
        <v>13</v>
      </c>
      <c r="G896" s="29">
        <v>6</v>
      </c>
      <c r="H896" s="32">
        <f>IF(Prueba[[#This Row],[Cant.]]=0,"",IF(OR(Prueba[[#This Row],[Cant.2]]="",Prueba[[#This Row],[Puesto2]]=""),"?",Prueba[[#This Row],[Puesto2]]))</f>
        <v>3</v>
      </c>
      <c r="I896" s="31">
        <v>6</v>
      </c>
      <c r="J896" s="32">
        <v>3</v>
      </c>
      <c r="K896" s="14"/>
      <c r="L896" s="14"/>
      <c r="M896" s="31"/>
      <c r="N896" s="32" t="str">
        <f>IF(Prueba[[#This Row],[Cant.4]]=0,"",IF(OR(Prueba[[#This Row],[Cant.6]]="",Prueba[[#This Row],[Puesto6]]=""),"?",Prueba[[#This Row],[Puesto6]]))</f>
        <v/>
      </c>
      <c r="O896" s="31"/>
      <c r="P896" s="32" t="str">
        <f>IF(Prueba[[#This Row],[Cant.5]]=0,"",IF(OR(Prueba[[#This Row],[Cant.6]]="",Prueba[[#This Row],[Puesto6]]=""),"?",Prueba[[#This Row],[Puesto6]]))</f>
        <v/>
      </c>
      <c r="Q896" s="31"/>
      <c r="R896" s="32"/>
      <c r="S896" s="14"/>
      <c r="T896" s="14"/>
      <c r="U896" s="31"/>
      <c r="V896" s="32" t="s">
        <v>1663</v>
      </c>
      <c r="W896" s="19">
        <v>48</v>
      </c>
      <c r="X896" s="19" t="s">
        <v>1664</v>
      </c>
      <c r="Y896" s="19">
        <v>7</v>
      </c>
      <c r="Z896" s="19" t="s">
        <v>2273</v>
      </c>
      <c r="AA896" s="19">
        <v>7</v>
      </c>
      <c r="AB896" s="19" t="s">
        <v>2273</v>
      </c>
    </row>
    <row r="897" spans="1:28" s="18" customFormat="1">
      <c r="A897" s="18" t="s">
        <v>655</v>
      </c>
      <c r="B897" s="18" t="s">
        <v>9</v>
      </c>
      <c r="C897" s="18" t="s">
        <v>606</v>
      </c>
      <c r="D897" s="18" t="s">
        <v>656</v>
      </c>
      <c r="E897" s="19" t="s">
        <v>22</v>
      </c>
      <c r="F897" s="18" t="s">
        <v>13</v>
      </c>
      <c r="G897" s="29">
        <v>3</v>
      </c>
      <c r="H897" s="32" t="str">
        <f>IF(Prueba[[#This Row],[Cant.]]=0,"",IF(OR(Prueba[[#This Row],[Cant.2]]="",Prueba[[#This Row],[Puesto2]]=""),"?",Prueba[[#This Row],[Puesto2]]))</f>
        <v>1x0 + 2x4</v>
      </c>
      <c r="I897" s="31">
        <v>3</v>
      </c>
      <c r="J897" s="32" t="s">
        <v>2276</v>
      </c>
      <c r="K897" s="14"/>
      <c r="L897" s="14"/>
      <c r="M897" s="31"/>
      <c r="N897" s="32" t="str">
        <f>IF(Prueba[[#This Row],[Cant.4]]=0,"",IF(OR(Prueba[[#This Row],[Cant.6]]="",Prueba[[#This Row],[Puesto6]]=""),"?",Prueba[[#This Row],[Puesto6]]))</f>
        <v/>
      </c>
      <c r="O897" s="31"/>
      <c r="P897" s="32" t="str">
        <f>IF(Prueba[[#This Row],[Cant.5]]=0,"",IF(OR(Prueba[[#This Row],[Cant.6]]="",Prueba[[#This Row],[Puesto6]]=""),"?",Prueba[[#This Row],[Puesto6]]))</f>
        <v/>
      </c>
      <c r="Q897" s="31"/>
      <c r="R897" s="32"/>
      <c r="S897" s="14"/>
      <c r="T897" s="14"/>
      <c r="U897" s="31"/>
      <c r="V897" s="32" t="s">
        <v>1663</v>
      </c>
      <c r="W897" s="19">
        <v>16</v>
      </c>
      <c r="X897" s="19" t="s">
        <v>1664</v>
      </c>
      <c r="Y897" s="19">
        <v>4</v>
      </c>
      <c r="Z897" s="19" t="s">
        <v>2276</v>
      </c>
      <c r="AA897" s="19">
        <v>4</v>
      </c>
      <c r="AB897" s="19" t="s">
        <v>2276</v>
      </c>
    </row>
    <row r="898" spans="1:28" s="18" customFormat="1">
      <c r="A898" s="18" t="s">
        <v>657</v>
      </c>
      <c r="B898" s="18" t="s">
        <v>9</v>
      </c>
      <c r="C898" s="18" t="s">
        <v>606</v>
      </c>
      <c r="D898" s="18" t="s">
        <v>658</v>
      </c>
      <c r="E898" s="19" t="s">
        <v>22</v>
      </c>
      <c r="F898" s="18" t="s">
        <v>13</v>
      </c>
      <c r="G898" s="29">
        <v>45</v>
      </c>
      <c r="H898" s="32" t="str">
        <f>IF(Prueba[[#This Row],[Cant.]]=0,"",IF(OR(Prueba[[#This Row],[Cant.2]]="",Prueba[[#This Row],[Puesto2]]=""),"?",Prueba[[#This Row],[Puesto2]]))</f>
        <v>38x0 + 6x3</v>
      </c>
      <c r="I898" s="31">
        <v>45</v>
      </c>
      <c r="J898" s="32" t="s">
        <v>2288</v>
      </c>
      <c r="K898" s="14"/>
      <c r="L898" s="14"/>
      <c r="M898" s="31"/>
      <c r="N898" s="32" t="str">
        <f>IF(Prueba[[#This Row],[Cant.4]]=0,"",IF(OR(Prueba[[#This Row],[Cant.6]]="",Prueba[[#This Row],[Puesto6]]=""),"?",Prueba[[#This Row],[Puesto6]]))</f>
        <v/>
      </c>
      <c r="O898" s="31"/>
      <c r="P898" s="32" t="str">
        <f>IF(Prueba[[#This Row],[Cant.5]]=0,"",IF(OR(Prueba[[#This Row],[Cant.6]]="",Prueba[[#This Row],[Puesto6]]=""),"?",Prueba[[#This Row],[Puesto6]]))</f>
        <v/>
      </c>
      <c r="Q898" s="31"/>
      <c r="R898" s="32"/>
      <c r="S898" s="14"/>
      <c r="T898" s="14"/>
      <c r="U898" s="31"/>
      <c r="V898" s="32" t="s">
        <v>1663</v>
      </c>
      <c r="W898" s="19">
        <v>304</v>
      </c>
      <c r="X898" s="19" t="s">
        <v>1664</v>
      </c>
      <c r="Y898" s="19">
        <v>47</v>
      </c>
      <c r="Z898" s="19" t="s">
        <v>2288</v>
      </c>
      <c r="AA898" s="19">
        <v>47</v>
      </c>
      <c r="AB898" s="19" t="s">
        <v>2288</v>
      </c>
    </row>
    <row r="899" spans="1:28" s="18" customFormat="1">
      <c r="A899" s="18" t="s">
        <v>659</v>
      </c>
      <c r="B899" s="18" t="s">
        <v>9</v>
      </c>
      <c r="C899" s="18" t="s">
        <v>653</v>
      </c>
      <c r="D899" s="18" t="s">
        <v>660</v>
      </c>
      <c r="E899" s="19" t="s">
        <v>22</v>
      </c>
      <c r="F899" s="18" t="s">
        <v>13</v>
      </c>
      <c r="G899" s="29">
        <v>2</v>
      </c>
      <c r="H899" s="32" t="str">
        <f>IF(Prueba[[#This Row],[Cant.]]=0,"",IF(OR(Prueba[[#This Row],[Cant.2]]="",Prueba[[#This Row],[Puesto2]]=""),"?",Prueba[[#This Row],[Puesto2]]))</f>
        <v>C</v>
      </c>
      <c r="I899" s="31">
        <v>2</v>
      </c>
      <c r="J899" s="32" t="s">
        <v>1402</v>
      </c>
      <c r="K899" s="14"/>
      <c r="L899" s="14"/>
      <c r="M899" s="31"/>
      <c r="N899" s="32" t="str">
        <f>IF(Prueba[[#This Row],[Cant.4]]=0,"",IF(OR(Prueba[[#This Row],[Cant.6]]="",Prueba[[#This Row],[Puesto6]]=""),"?",Prueba[[#This Row],[Puesto6]]))</f>
        <v/>
      </c>
      <c r="O899" s="31"/>
      <c r="P899" s="32" t="str">
        <f>IF(Prueba[[#This Row],[Cant.5]]=0,"",IF(OR(Prueba[[#This Row],[Cant.6]]="",Prueba[[#This Row],[Puesto6]]=""),"?",Prueba[[#This Row],[Puesto6]]))</f>
        <v/>
      </c>
      <c r="Q899" s="31"/>
      <c r="R899" s="32"/>
      <c r="S899" s="14"/>
      <c r="T899" s="14"/>
      <c r="U899" s="31"/>
      <c r="V899" s="32" t="s">
        <v>1663</v>
      </c>
      <c r="W899" s="19">
        <v>16</v>
      </c>
      <c r="X899" s="19" t="s">
        <v>1664</v>
      </c>
      <c r="Y899" s="19">
        <v>3</v>
      </c>
      <c r="Z899" s="19" t="s">
        <v>1402</v>
      </c>
      <c r="AA899" s="19">
        <v>3</v>
      </c>
      <c r="AB899" s="19" t="s">
        <v>1402</v>
      </c>
    </row>
    <row r="900" spans="1:28" s="18" customFormat="1">
      <c r="A900" s="18" t="s">
        <v>1201</v>
      </c>
      <c r="B900" s="18" t="s">
        <v>9</v>
      </c>
      <c r="C900" s="18" t="s">
        <v>586</v>
      </c>
      <c r="D900" s="18" t="s">
        <v>587</v>
      </c>
      <c r="E900" s="19" t="s">
        <v>22</v>
      </c>
      <c r="F900" s="18" t="s">
        <v>13</v>
      </c>
      <c r="G900" s="29"/>
      <c r="H900" s="32" t="str">
        <f>IF(Prueba[[#This Row],[Cant.]]=0,"",IF(OR(Prueba[[#This Row],[Cant.2]]="",Prueba[[#This Row],[Puesto2]]=""),"?",Prueba[[#This Row],[Puesto2]]))</f>
        <v/>
      </c>
      <c r="I900" s="31"/>
      <c r="J900" s="32"/>
      <c r="K900" s="14">
        <v>1</v>
      </c>
      <c r="L900" s="14"/>
      <c r="M900" s="31">
        <v>1</v>
      </c>
      <c r="N900" s="32">
        <f>IF(Prueba[[#This Row],[Cant.4]]=0,"",IF(OR(Prueba[[#This Row],[Cant.6]]="",Prueba[[#This Row],[Puesto6]]=""),"?",Prueba[[#This Row],[Puesto6]]))</f>
        <v>0</v>
      </c>
      <c r="O900" s="31">
        <v>1</v>
      </c>
      <c r="P900" s="32">
        <f>IF(Prueba[[#This Row],[Cant.5]]=0,"",IF(OR(Prueba[[#This Row],[Cant.6]]="",Prueba[[#This Row],[Puesto6]]=""),"?",Prueba[[#This Row],[Puesto6]]))</f>
        <v>0</v>
      </c>
      <c r="Q900" s="31">
        <v>1</v>
      </c>
      <c r="R900" s="32">
        <v>0</v>
      </c>
      <c r="S900" s="14">
        <v>1</v>
      </c>
      <c r="T900" s="14">
        <v>0</v>
      </c>
      <c r="U900" s="31"/>
      <c r="V900" s="32" t="s">
        <v>1663</v>
      </c>
      <c r="W900" s="19">
        <v>8</v>
      </c>
      <c r="X900" s="19" t="s">
        <v>1664</v>
      </c>
      <c r="Y900" s="19" t="s">
        <v>1663</v>
      </c>
      <c r="Z900" s="19" t="s">
        <v>1663</v>
      </c>
      <c r="AA900" s="19" t="s">
        <v>1663</v>
      </c>
      <c r="AB900" s="19" t="s">
        <v>1663</v>
      </c>
    </row>
    <row r="901" spans="1:28" s="18" customFormat="1">
      <c r="A901" s="18" t="s">
        <v>1202</v>
      </c>
      <c r="B901" s="18" t="s">
        <v>9</v>
      </c>
      <c r="C901" s="18" t="s">
        <v>714</v>
      </c>
      <c r="D901" s="18" t="s">
        <v>715</v>
      </c>
      <c r="E901" s="19" t="s">
        <v>22</v>
      </c>
      <c r="F901" s="18" t="s">
        <v>13</v>
      </c>
      <c r="G901" s="29"/>
      <c r="H901" s="32" t="str">
        <f>IF(Prueba[[#This Row],[Cant.]]=0,"",IF(OR(Prueba[[#This Row],[Cant.2]]="",Prueba[[#This Row],[Puesto2]]=""),"?",Prueba[[#This Row],[Puesto2]]))</f>
        <v/>
      </c>
      <c r="I901" s="31"/>
      <c r="J901" s="32"/>
      <c r="K901" s="14">
        <v>8</v>
      </c>
      <c r="L901" s="14"/>
      <c r="M901" s="31">
        <v>8</v>
      </c>
      <c r="N901" s="32">
        <f>IF(Prueba[[#This Row],[Cant.4]]=0,"",IF(OR(Prueba[[#This Row],[Cant.6]]="",Prueba[[#This Row],[Puesto6]]=""),"?",Prueba[[#This Row],[Puesto6]]))</f>
        <v>6</v>
      </c>
      <c r="O901" s="31">
        <v>8</v>
      </c>
      <c r="P901" s="32">
        <f>IF(Prueba[[#This Row],[Cant.5]]=0,"",IF(OR(Prueba[[#This Row],[Cant.6]]="",Prueba[[#This Row],[Puesto6]]=""),"?",Prueba[[#This Row],[Puesto6]]))</f>
        <v>6</v>
      </c>
      <c r="Q901" s="31">
        <v>8</v>
      </c>
      <c r="R901" s="32">
        <v>6</v>
      </c>
      <c r="S901" s="14">
        <v>8</v>
      </c>
      <c r="T901" s="14">
        <v>6</v>
      </c>
      <c r="U901" s="31"/>
      <c r="V901" s="32" t="s">
        <v>1663</v>
      </c>
      <c r="W901" s="19">
        <v>64</v>
      </c>
      <c r="X901" s="19" t="s">
        <v>1664</v>
      </c>
      <c r="Y901" s="19" t="s">
        <v>1663</v>
      </c>
      <c r="Z901" s="19" t="s">
        <v>1663</v>
      </c>
      <c r="AA901" s="19" t="s">
        <v>1663</v>
      </c>
      <c r="AB901" s="19" t="s">
        <v>1663</v>
      </c>
    </row>
    <row r="902" spans="1:28" s="18" customFormat="1">
      <c r="A902" s="18" t="s">
        <v>2289</v>
      </c>
      <c r="B902" s="18" t="s">
        <v>9</v>
      </c>
      <c r="C902" s="18" t="s">
        <v>2290</v>
      </c>
      <c r="D902" s="18" t="s">
        <v>2290</v>
      </c>
      <c r="E902" s="19" t="s">
        <v>22</v>
      </c>
      <c r="F902" s="18" t="s">
        <v>13</v>
      </c>
      <c r="G902" s="29">
        <v>10</v>
      </c>
      <c r="H902" s="32">
        <f>IF(Prueba[[#This Row],[Cant.]]=0,"",IF(OR(Prueba[[#This Row],[Cant.2]]="",Prueba[[#This Row],[Puesto2]]=""),"?",Prueba[[#This Row],[Puesto2]]))</f>
        <v>6</v>
      </c>
      <c r="I902" s="31">
        <v>10</v>
      </c>
      <c r="J902" s="32">
        <v>6</v>
      </c>
      <c r="K902" s="14"/>
      <c r="L902" s="14"/>
      <c r="M902" s="31"/>
      <c r="N902" s="32" t="str">
        <f>IF(Prueba[[#This Row],[Cant.4]]=0,"",IF(OR(Prueba[[#This Row],[Cant.6]]="",Prueba[[#This Row],[Puesto6]]=""),"?",Prueba[[#This Row],[Puesto6]]))</f>
        <v/>
      </c>
      <c r="O902" s="31"/>
      <c r="P902" s="32" t="str">
        <f>IF(Prueba[[#This Row],[Cant.5]]=0,"",IF(OR(Prueba[[#This Row],[Cant.6]]="",Prueba[[#This Row],[Puesto6]]=""),"?",Prueba[[#This Row],[Puesto6]]))</f>
        <v/>
      </c>
      <c r="Q902" s="31"/>
      <c r="R902" s="32"/>
      <c r="S902" s="14"/>
      <c r="T902" s="14"/>
      <c r="U902" s="31"/>
      <c r="V902" s="32" t="s">
        <v>1663</v>
      </c>
      <c r="W902" s="19">
        <v>80</v>
      </c>
      <c r="X902" s="19" t="s">
        <v>1664</v>
      </c>
      <c r="Y902" s="19">
        <v>11</v>
      </c>
      <c r="Z902" s="19">
        <v>6</v>
      </c>
      <c r="AA902" s="19">
        <v>11</v>
      </c>
      <c r="AB902" s="19">
        <v>6</v>
      </c>
    </row>
    <row r="903" spans="1:28" s="18" customFormat="1">
      <c r="A903" s="18" t="s">
        <v>661</v>
      </c>
      <c r="B903" s="18" t="s">
        <v>9</v>
      </c>
      <c r="C903" s="18" t="s">
        <v>606</v>
      </c>
      <c r="D903" s="18" t="s">
        <v>662</v>
      </c>
      <c r="E903" s="19" t="s">
        <v>22</v>
      </c>
      <c r="F903" s="18" t="s">
        <v>13</v>
      </c>
      <c r="G903" s="29">
        <v>5</v>
      </c>
      <c r="H903" s="32" t="str">
        <f>IF(Prueba[[#This Row],[Cant.]]=0,"",IF(OR(Prueba[[#This Row],[Cant.2]]="",Prueba[[#This Row],[Puesto2]]=""),"?",Prueba[[#This Row],[Puesto2]]))</f>
        <v>4x5 + 1x6</v>
      </c>
      <c r="I903" s="31">
        <v>5</v>
      </c>
      <c r="J903" s="32" t="s">
        <v>2291</v>
      </c>
      <c r="K903" s="14"/>
      <c r="L903" s="14"/>
      <c r="M903" s="31"/>
      <c r="N903" s="32" t="str">
        <f>IF(Prueba[[#This Row],[Cant.4]]=0,"",IF(OR(Prueba[[#This Row],[Cant.6]]="",Prueba[[#This Row],[Puesto6]]=""),"?",Prueba[[#This Row],[Puesto6]]))</f>
        <v/>
      </c>
      <c r="O903" s="31"/>
      <c r="P903" s="32" t="str">
        <f>IF(Prueba[[#This Row],[Cant.5]]=0,"",IF(OR(Prueba[[#This Row],[Cant.6]]="",Prueba[[#This Row],[Puesto6]]=""),"?",Prueba[[#This Row],[Puesto6]]))</f>
        <v/>
      </c>
      <c r="Q903" s="31"/>
      <c r="R903" s="32"/>
      <c r="S903" s="14"/>
      <c r="T903" s="14"/>
      <c r="U903" s="31"/>
      <c r="V903" s="32" t="s">
        <v>1663</v>
      </c>
      <c r="W903" s="19">
        <v>32</v>
      </c>
      <c r="X903" s="19" t="s">
        <v>1664</v>
      </c>
      <c r="Y903" s="19">
        <v>6</v>
      </c>
      <c r="Z903" s="19" t="s">
        <v>2291</v>
      </c>
      <c r="AA903" s="19">
        <v>6</v>
      </c>
      <c r="AB903" s="19" t="s">
        <v>2291</v>
      </c>
    </row>
    <row r="904" spans="1:28" s="18" customFormat="1">
      <c r="A904" s="18" t="s">
        <v>663</v>
      </c>
      <c r="B904" s="18" t="s">
        <v>9</v>
      </c>
      <c r="C904" s="18" t="s">
        <v>664</v>
      </c>
      <c r="D904" s="18" t="s">
        <v>665</v>
      </c>
      <c r="E904" s="19" t="s">
        <v>22</v>
      </c>
      <c r="F904" s="18" t="s">
        <v>13</v>
      </c>
      <c r="G904" s="29"/>
      <c r="H904" s="32" t="str">
        <f>IF(Prueba[[#This Row],[Cant.]]=0,"",IF(OR(Prueba[[#This Row],[Cant.2]]="",Prueba[[#This Row],[Puesto2]]=""),"?",Prueba[[#This Row],[Puesto2]]))</f>
        <v/>
      </c>
      <c r="I904" s="31"/>
      <c r="J904" s="32"/>
      <c r="K904" s="14"/>
      <c r="L904" s="14"/>
      <c r="M904" s="31"/>
      <c r="N904" s="32" t="str">
        <f>IF(Prueba[[#This Row],[Cant.4]]=0,"",IF(OR(Prueba[[#This Row],[Cant.6]]="",Prueba[[#This Row],[Puesto6]]=""),"?",Prueba[[#This Row],[Puesto6]]))</f>
        <v/>
      </c>
      <c r="O904" s="31"/>
      <c r="P904" s="32" t="str">
        <f>IF(Prueba[[#This Row],[Cant.5]]=0,"",IF(OR(Prueba[[#This Row],[Cant.6]]="",Prueba[[#This Row],[Puesto6]]=""),"?",Prueba[[#This Row],[Puesto6]]))</f>
        <v/>
      </c>
      <c r="Q904" s="31"/>
      <c r="R904" s="32"/>
      <c r="S904" s="14"/>
      <c r="T904" s="14"/>
      <c r="U904" s="31"/>
      <c r="V904" s="32" t="s">
        <v>1663</v>
      </c>
      <c r="W904" s="19">
        <v>0</v>
      </c>
      <c r="X904" s="19" t="s">
        <v>1664</v>
      </c>
      <c r="Y904" s="19" t="s">
        <v>1663</v>
      </c>
      <c r="Z904" s="19" t="s">
        <v>1663</v>
      </c>
      <c r="AA904" s="19" t="s">
        <v>1663</v>
      </c>
      <c r="AB904" s="19" t="s">
        <v>1663</v>
      </c>
    </row>
    <row r="905" spans="1:28" s="18" customFormat="1">
      <c r="A905" s="18" t="s">
        <v>1203</v>
      </c>
      <c r="B905" s="18" t="s">
        <v>9</v>
      </c>
      <c r="C905" s="18" t="s">
        <v>714</v>
      </c>
      <c r="D905" s="18" t="s">
        <v>1204</v>
      </c>
      <c r="E905" s="19" t="s">
        <v>22</v>
      </c>
      <c r="F905" s="18" t="s">
        <v>13</v>
      </c>
      <c r="G905" s="29"/>
      <c r="H905" s="32" t="str">
        <f>IF(Prueba[[#This Row],[Cant.]]=0,"",IF(OR(Prueba[[#This Row],[Cant.2]]="",Prueba[[#This Row],[Puesto2]]=""),"?",Prueba[[#This Row],[Puesto2]]))</f>
        <v/>
      </c>
      <c r="I905" s="31"/>
      <c r="J905" s="32"/>
      <c r="K905" s="14">
        <v>1</v>
      </c>
      <c r="L905" s="14"/>
      <c r="M905" s="31"/>
      <c r="N905" s="32" t="str">
        <f>IF(Prueba[[#This Row],[Cant.4]]=0,"",IF(OR(Prueba[[#This Row],[Cant.6]]="",Prueba[[#This Row],[Puesto6]]=""),"?",Prueba[[#This Row],[Puesto6]]))</f>
        <v/>
      </c>
      <c r="O905" s="31"/>
      <c r="P905" s="32" t="str">
        <f>IF(Prueba[[#This Row],[Cant.5]]=0,"",IF(OR(Prueba[[#This Row],[Cant.6]]="",Prueba[[#This Row],[Puesto6]]=""),"?",Prueba[[#This Row],[Puesto6]]))</f>
        <v/>
      </c>
      <c r="Q905" s="31"/>
      <c r="R905" s="32"/>
      <c r="S905" s="14"/>
      <c r="T905" s="14"/>
      <c r="U905" s="31"/>
      <c r="V905" s="32" t="s">
        <v>1663</v>
      </c>
      <c r="W905" s="19">
        <v>8</v>
      </c>
      <c r="X905" s="19" t="s">
        <v>1664</v>
      </c>
      <c r="Y905" s="19" t="s">
        <v>1663</v>
      </c>
      <c r="Z905" s="19" t="s">
        <v>1663</v>
      </c>
      <c r="AA905" s="19" t="s">
        <v>1663</v>
      </c>
      <c r="AB905" s="19" t="s">
        <v>1663</v>
      </c>
    </row>
    <row r="906" spans="1:28" s="18" customFormat="1">
      <c r="A906" s="18" t="s">
        <v>2292</v>
      </c>
      <c r="C906" s="18" t="s">
        <v>2264</v>
      </c>
      <c r="D906" s="18" t="s">
        <v>2264</v>
      </c>
      <c r="E906" s="19" t="s">
        <v>22</v>
      </c>
      <c r="G906" s="29"/>
      <c r="H906" s="32" t="str">
        <f>IF(Prueba[[#This Row],[Cant.]]=0,"",IF(OR(Prueba[[#This Row],[Cant.2]]="",Prueba[[#This Row],[Puesto2]]=""),"?",Prueba[[#This Row],[Puesto2]]))</f>
        <v/>
      </c>
      <c r="I906" s="31"/>
      <c r="J906" s="32"/>
      <c r="K906" s="14"/>
      <c r="L906" s="14"/>
      <c r="M906" s="31"/>
      <c r="N906" s="32" t="str">
        <f>IF(Prueba[[#This Row],[Cant.4]]=0,"",IF(OR(Prueba[[#This Row],[Cant.6]]="",Prueba[[#This Row],[Puesto6]]=""),"?",Prueba[[#This Row],[Puesto6]]))</f>
        <v/>
      </c>
      <c r="O906" s="31"/>
      <c r="P906" s="32" t="str">
        <f>IF(Prueba[[#This Row],[Cant.5]]=0,"",IF(OR(Prueba[[#This Row],[Cant.6]]="",Prueba[[#This Row],[Puesto6]]=""),"?",Prueba[[#This Row],[Puesto6]]))</f>
        <v/>
      </c>
      <c r="Q906" s="31"/>
      <c r="R906" s="32"/>
      <c r="S906" s="14"/>
      <c r="T906" s="14"/>
      <c r="U906" s="31"/>
      <c r="V906" s="32" t="s">
        <v>1663</v>
      </c>
      <c r="W906" s="19">
        <v>24</v>
      </c>
      <c r="X906" s="19" t="s">
        <v>1664</v>
      </c>
      <c r="Y906" s="19">
        <v>3</v>
      </c>
      <c r="Z906" s="19" t="s">
        <v>1402</v>
      </c>
      <c r="AA906" s="19">
        <v>3</v>
      </c>
      <c r="AB906" s="19" t="s">
        <v>1402</v>
      </c>
    </row>
    <row r="907" spans="1:28" s="18" customFormat="1">
      <c r="A907" s="18" t="s">
        <v>2293</v>
      </c>
      <c r="C907" s="18" t="s">
        <v>2264</v>
      </c>
      <c r="D907" s="18" t="s">
        <v>2264</v>
      </c>
      <c r="E907" s="19" t="s">
        <v>22</v>
      </c>
      <c r="G907" s="29"/>
      <c r="H907" s="32" t="str">
        <f>IF(Prueba[[#This Row],[Cant.]]=0,"",IF(OR(Prueba[[#This Row],[Cant.2]]="",Prueba[[#This Row],[Puesto2]]=""),"?",Prueba[[#This Row],[Puesto2]]))</f>
        <v/>
      </c>
      <c r="I907" s="31"/>
      <c r="J907" s="32"/>
      <c r="K907" s="14"/>
      <c r="L907" s="14"/>
      <c r="M907" s="31"/>
      <c r="N907" s="32" t="str">
        <f>IF(Prueba[[#This Row],[Cant.4]]=0,"",IF(OR(Prueba[[#This Row],[Cant.6]]="",Prueba[[#This Row],[Puesto6]]=""),"?",Prueba[[#This Row],[Puesto6]]))</f>
        <v/>
      </c>
      <c r="O907" s="31"/>
      <c r="P907" s="32" t="str">
        <f>IF(Prueba[[#This Row],[Cant.5]]=0,"",IF(OR(Prueba[[#This Row],[Cant.6]]="",Prueba[[#This Row],[Puesto6]]=""),"?",Prueba[[#This Row],[Puesto6]]))</f>
        <v/>
      </c>
      <c r="Q907" s="31"/>
      <c r="R907" s="32"/>
      <c r="S907" s="14"/>
      <c r="T907" s="14"/>
      <c r="U907" s="31"/>
      <c r="V907" s="32" t="s">
        <v>1663</v>
      </c>
      <c r="W907" s="19">
        <v>40</v>
      </c>
      <c r="X907" s="19" t="s">
        <v>1664</v>
      </c>
      <c r="Y907" s="19">
        <v>5</v>
      </c>
      <c r="Z907" s="19">
        <v>0</v>
      </c>
      <c r="AA907" s="19">
        <v>5</v>
      </c>
      <c r="AB907" s="19">
        <v>0</v>
      </c>
    </row>
    <row r="908" spans="1:28" s="18" customFormat="1">
      <c r="A908" s="18" t="s">
        <v>666</v>
      </c>
      <c r="B908" s="18" t="s">
        <v>9</v>
      </c>
      <c r="C908" s="18" t="s">
        <v>606</v>
      </c>
      <c r="D908" s="18" t="s">
        <v>667</v>
      </c>
      <c r="E908" s="19" t="s">
        <v>22</v>
      </c>
      <c r="F908" s="18" t="s">
        <v>13</v>
      </c>
      <c r="G908" s="29">
        <v>8</v>
      </c>
      <c r="H908" s="32" t="str">
        <f>IF(Prueba[[#This Row],[Cant.]]=0,"",IF(OR(Prueba[[#This Row],[Cant.2]]="",Prueba[[#This Row],[Puesto2]]=""),"?",Prueba[[#This Row],[Puesto2]]))</f>
        <v>4x3 + 4x5</v>
      </c>
      <c r="I908" s="31">
        <v>8</v>
      </c>
      <c r="J908" s="32" t="s">
        <v>2294</v>
      </c>
      <c r="K908" s="14"/>
      <c r="L908" s="14"/>
      <c r="M908" s="31"/>
      <c r="N908" s="32" t="str">
        <f>IF(Prueba[[#This Row],[Cant.4]]=0,"",IF(OR(Prueba[[#This Row],[Cant.6]]="",Prueba[[#This Row],[Puesto6]]=""),"?",Prueba[[#This Row],[Puesto6]]))</f>
        <v/>
      </c>
      <c r="O908" s="31"/>
      <c r="P908" s="32" t="str">
        <f>IF(Prueba[[#This Row],[Cant.5]]=0,"",IF(OR(Prueba[[#This Row],[Cant.6]]="",Prueba[[#This Row],[Puesto6]]=""),"?",Prueba[[#This Row],[Puesto6]]))</f>
        <v/>
      </c>
      <c r="Q908" s="31"/>
      <c r="R908" s="32"/>
      <c r="S908" s="14"/>
      <c r="T908" s="14"/>
      <c r="U908" s="31"/>
      <c r="V908" s="32" t="s">
        <v>1663</v>
      </c>
      <c r="W908" s="19">
        <v>32</v>
      </c>
      <c r="X908" s="19" t="s">
        <v>1664</v>
      </c>
      <c r="Y908" s="19">
        <v>5</v>
      </c>
      <c r="Z908" s="19" t="s">
        <v>2295</v>
      </c>
      <c r="AA908" s="19">
        <v>5</v>
      </c>
      <c r="AB908" s="19" t="s">
        <v>2295</v>
      </c>
    </row>
    <row r="909" spans="1:28" s="18" customFormat="1">
      <c r="A909" s="18" t="s">
        <v>668</v>
      </c>
      <c r="B909" s="18" t="s">
        <v>9</v>
      </c>
      <c r="C909" s="18" t="s">
        <v>606</v>
      </c>
      <c r="D909" s="18" t="s">
        <v>669</v>
      </c>
      <c r="E909" s="19" t="s">
        <v>22</v>
      </c>
      <c r="F909" s="18" t="s">
        <v>13</v>
      </c>
      <c r="G909" s="29"/>
      <c r="H909" s="32" t="str">
        <f>IF(Prueba[[#This Row],[Cant.]]=0,"",IF(OR(Prueba[[#This Row],[Cant.2]]="",Prueba[[#This Row],[Puesto2]]=""),"?",Prueba[[#This Row],[Puesto2]]))</f>
        <v/>
      </c>
      <c r="I909" s="31"/>
      <c r="J909" s="32"/>
      <c r="K909" s="14"/>
      <c r="L909" s="14"/>
      <c r="M909" s="31"/>
      <c r="N909" s="32" t="str">
        <f>IF(Prueba[[#This Row],[Cant.4]]=0,"",IF(OR(Prueba[[#This Row],[Cant.6]]="",Prueba[[#This Row],[Puesto6]]=""),"?",Prueba[[#This Row],[Puesto6]]))</f>
        <v/>
      </c>
      <c r="O909" s="31"/>
      <c r="P909" s="32" t="str">
        <f>IF(Prueba[[#This Row],[Cant.5]]=0,"",IF(OR(Prueba[[#This Row],[Cant.6]]="",Prueba[[#This Row],[Puesto6]]=""),"?",Prueba[[#This Row],[Puesto6]]))</f>
        <v/>
      </c>
      <c r="Q909" s="31"/>
      <c r="R909" s="32"/>
      <c r="S909" s="14"/>
      <c r="T909" s="14"/>
      <c r="U909" s="31"/>
      <c r="V909" s="32" t="s">
        <v>1663</v>
      </c>
      <c r="W909" s="19">
        <v>0</v>
      </c>
      <c r="X909" s="19" t="s">
        <v>1664</v>
      </c>
      <c r="Y909" s="19" t="s">
        <v>1663</v>
      </c>
      <c r="Z909" s="19" t="s">
        <v>1663</v>
      </c>
      <c r="AA909" s="19" t="s">
        <v>1663</v>
      </c>
      <c r="AB909" s="19" t="s">
        <v>1663</v>
      </c>
    </row>
    <row r="910" spans="1:28" s="18" customFormat="1">
      <c r="A910" s="18" t="s">
        <v>670</v>
      </c>
      <c r="B910" s="18" t="s">
        <v>9</v>
      </c>
      <c r="C910" s="18" t="s">
        <v>653</v>
      </c>
      <c r="D910" s="18" t="s">
        <v>671</v>
      </c>
      <c r="E910" s="19" t="s">
        <v>22</v>
      </c>
      <c r="F910" s="18" t="s">
        <v>13</v>
      </c>
      <c r="G910" s="29">
        <v>6</v>
      </c>
      <c r="H910" s="32" t="str">
        <f>IF(Prueba[[#This Row],[Cant.]]=0,"",IF(OR(Prueba[[#This Row],[Cant.2]]="",Prueba[[#This Row],[Puesto2]]=""),"?",Prueba[[#This Row],[Puesto2]]))</f>
        <v>4x3 + 2xA</v>
      </c>
      <c r="I910" s="31">
        <v>6</v>
      </c>
      <c r="J910" s="32" t="s">
        <v>2296</v>
      </c>
      <c r="K910" s="14"/>
      <c r="L910" s="14"/>
      <c r="M910" s="31"/>
      <c r="N910" s="32" t="str">
        <f>IF(Prueba[[#This Row],[Cant.4]]=0,"",IF(OR(Prueba[[#This Row],[Cant.6]]="",Prueba[[#This Row],[Puesto6]]=""),"?",Prueba[[#This Row],[Puesto6]]))</f>
        <v/>
      </c>
      <c r="O910" s="31"/>
      <c r="P910" s="32" t="str">
        <f>IF(Prueba[[#This Row],[Cant.5]]=0,"",IF(OR(Prueba[[#This Row],[Cant.6]]="",Prueba[[#This Row],[Puesto6]]=""),"?",Prueba[[#This Row],[Puesto6]]))</f>
        <v/>
      </c>
      <c r="Q910" s="31"/>
      <c r="R910" s="32"/>
      <c r="S910" s="14"/>
      <c r="T910" s="14"/>
      <c r="U910" s="31"/>
      <c r="V910" s="32" t="s">
        <v>1663</v>
      </c>
      <c r="W910" s="19">
        <v>32</v>
      </c>
      <c r="X910" s="19" t="s">
        <v>1664</v>
      </c>
      <c r="Y910" s="19">
        <v>7</v>
      </c>
      <c r="Z910" s="19" t="s">
        <v>2296</v>
      </c>
      <c r="AA910" s="19">
        <v>7</v>
      </c>
      <c r="AB910" s="19" t="s">
        <v>2296</v>
      </c>
    </row>
    <row r="911" spans="1:28" s="18" customFormat="1">
      <c r="A911" s="18" t="s">
        <v>672</v>
      </c>
      <c r="B911" s="18" t="s">
        <v>9</v>
      </c>
      <c r="C911" s="18" t="s">
        <v>606</v>
      </c>
      <c r="D911" s="18" t="s">
        <v>673</v>
      </c>
      <c r="E911" s="19" t="s">
        <v>22</v>
      </c>
      <c r="F911" s="18" t="s">
        <v>13</v>
      </c>
      <c r="G911" s="29">
        <v>3</v>
      </c>
      <c r="H911" s="32">
        <f>IF(Prueba[[#This Row],[Cant.]]=0,"",IF(OR(Prueba[[#This Row],[Cant.2]]="",Prueba[[#This Row],[Puesto2]]=""),"?",Prueba[[#This Row],[Puesto2]]))</f>
        <v>0</v>
      </c>
      <c r="I911" s="31">
        <v>3</v>
      </c>
      <c r="J911" s="32">
        <v>0</v>
      </c>
      <c r="K911" s="14"/>
      <c r="L911" s="14"/>
      <c r="M911" s="31"/>
      <c r="N911" s="32" t="str">
        <f>IF(Prueba[[#This Row],[Cant.4]]=0,"",IF(OR(Prueba[[#This Row],[Cant.6]]="",Prueba[[#This Row],[Puesto6]]=""),"?",Prueba[[#This Row],[Puesto6]]))</f>
        <v/>
      </c>
      <c r="O911" s="31"/>
      <c r="P911" s="32" t="str">
        <f>IF(Prueba[[#This Row],[Cant.5]]=0,"",IF(OR(Prueba[[#This Row],[Cant.6]]="",Prueba[[#This Row],[Puesto6]]=""),"?",Prueba[[#This Row],[Puesto6]]))</f>
        <v/>
      </c>
      <c r="Q911" s="31"/>
      <c r="R911" s="32"/>
      <c r="S911" s="14"/>
      <c r="T911" s="14"/>
      <c r="U911" s="31"/>
      <c r="V911" s="32" t="s">
        <v>1663</v>
      </c>
      <c r="W911" s="19">
        <v>24</v>
      </c>
      <c r="X911" s="19" t="s">
        <v>1664</v>
      </c>
      <c r="Y911" s="19">
        <v>4</v>
      </c>
      <c r="Z911" s="19">
        <v>0</v>
      </c>
      <c r="AA911" s="19">
        <v>4</v>
      </c>
      <c r="AB911" s="19">
        <v>0</v>
      </c>
    </row>
    <row r="912" spans="1:28">
      <c r="A912" s="18" t="s">
        <v>674</v>
      </c>
      <c r="B912" s="18" t="s">
        <v>9</v>
      </c>
      <c r="C912" s="18" t="s">
        <v>606</v>
      </c>
      <c r="D912" s="18" t="s">
        <v>675</v>
      </c>
      <c r="E912" s="19" t="s">
        <v>22</v>
      </c>
      <c r="F912" s="18" t="s">
        <v>13</v>
      </c>
      <c r="G912" s="29">
        <v>2</v>
      </c>
      <c r="H912" s="32" t="str">
        <f>IF(Prueba[[#This Row],[Cant.]]=0,"",IF(OR(Prueba[[#This Row],[Cant.2]]="",Prueba[[#This Row],[Puesto2]]=""),"?",Prueba[[#This Row],[Puesto2]]))</f>
        <v>C</v>
      </c>
      <c r="I912" s="31">
        <v>2</v>
      </c>
      <c r="J912" s="32" t="s">
        <v>1402</v>
      </c>
      <c r="K912" s="14"/>
      <c r="L912" s="14"/>
      <c r="M912" s="31"/>
      <c r="N912" s="32" t="str">
        <f>IF(Prueba[[#This Row],[Cant.4]]=0,"",IF(OR(Prueba[[#This Row],[Cant.6]]="",Prueba[[#This Row],[Puesto6]]=""),"?",Prueba[[#This Row],[Puesto6]]))</f>
        <v/>
      </c>
      <c r="O912" s="31"/>
      <c r="P912" s="32" t="str">
        <f>IF(Prueba[[#This Row],[Cant.5]]=0,"",IF(OR(Prueba[[#This Row],[Cant.6]]="",Prueba[[#This Row],[Puesto6]]=""),"?",Prueba[[#This Row],[Puesto6]]))</f>
        <v/>
      </c>
      <c r="Q912" s="31"/>
      <c r="R912" s="32"/>
      <c r="S912" s="14"/>
      <c r="T912" s="14"/>
      <c r="U912" s="31"/>
      <c r="V912" s="32" t="s">
        <v>1663</v>
      </c>
      <c r="W912" s="19">
        <v>16</v>
      </c>
      <c r="X912" s="19" t="s">
        <v>1664</v>
      </c>
      <c r="Y912" s="19">
        <v>3</v>
      </c>
      <c r="Z912" s="19" t="s">
        <v>1402</v>
      </c>
      <c r="AA912" s="19">
        <v>3</v>
      </c>
      <c r="AB912" s="19" t="s">
        <v>1402</v>
      </c>
    </row>
    <row r="913" spans="1:28">
      <c r="A913" s="18" t="s">
        <v>676</v>
      </c>
      <c r="B913" s="18" t="s">
        <v>9</v>
      </c>
      <c r="C913" s="18" t="s">
        <v>653</v>
      </c>
      <c r="D913" s="18" t="s">
        <v>677</v>
      </c>
      <c r="E913" s="19" t="s">
        <v>22</v>
      </c>
      <c r="F913" s="18" t="s">
        <v>13</v>
      </c>
      <c r="G913" s="29">
        <v>4</v>
      </c>
      <c r="H913" s="32">
        <f>IF(Prueba[[#This Row],[Cant.]]=0,"",IF(OR(Prueba[[#This Row],[Cant.2]]="",Prueba[[#This Row],[Puesto2]]=""),"?",Prueba[[#This Row],[Puesto2]]))</f>
        <v>3</v>
      </c>
      <c r="I913" s="31">
        <v>4</v>
      </c>
      <c r="J913" s="32">
        <v>3</v>
      </c>
      <c r="K913" s="14"/>
      <c r="L913" s="14"/>
      <c r="M913" s="31"/>
      <c r="N913" s="32" t="str">
        <f>IF(Prueba[[#This Row],[Cant.4]]=0,"",IF(OR(Prueba[[#This Row],[Cant.6]]="",Prueba[[#This Row],[Puesto6]]=""),"?",Prueba[[#This Row],[Puesto6]]))</f>
        <v/>
      </c>
      <c r="O913" s="31"/>
      <c r="P913" s="32" t="str">
        <f>IF(Prueba[[#This Row],[Cant.5]]=0,"",IF(OR(Prueba[[#This Row],[Cant.6]]="",Prueba[[#This Row],[Puesto6]]=""),"?",Prueba[[#This Row],[Puesto6]]))</f>
        <v/>
      </c>
      <c r="Q913" s="31"/>
      <c r="R913" s="32"/>
      <c r="S913" s="14"/>
      <c r="T913" s="14"/>
      <c r="U913" s="31"/>
      <c r="V913" s="32" t="s">
        <v>1663</v>
      </c>
      <c r="W913" s="19">
        <v>32</v>
      </c>
      <c r="X913" s="19" t="s">
        <v>1664</v>
      </c>
      <c r="Y913" s="19">
        <v>5</v>
      </c>
      <c r="Z913" s="19">
        <v>3</v>
      </c>
      <c r="AA913" s="19">
        <v>5</v>
      </c>
      <c r="AB913" s="19">
        <v>3</v>
      </c>
    </row>
    <row r="914" spans="1:28">
      <c r="A914" s="18" t="s">
        <v>678</v>
      </c>
      <c r="B914" s="18" t="s">
        <v>9</v>
      </c>
      <c r="C914" s="18" t="s">
        <v>679</v>
      </c>
      <c r="D914" s="18" t="s">
        <v>680</v>
      </c>
      <c r="E914" s="19" t="s">
        <v>22</v>
      </c>
      <c r="F914" s="18" t="s">
        <v>13</v>
      </c>
      <c r="G914" s="29">
        <v>18</v>
      </c>
      <c r="H914" s="32">
        <f>IF(Prueba[[#This Row],[Cant.]]=0,"",IF(OR(Prueba[[#This Row],[Cant.2]]="",Prueba[[#This Row],[Puesto2]]=""),"?",Prueba[[#This Row],[Puesto2]]))</f>
        <v>3</v>
      </c>
      <c r="I914" s="31">
        <v>18</v>
      </c>
      <c r="J914" s="32">
        <v>3</v>
      </c>
      <c r="K914" s="14"/>
      <c r="L914" s="14"/>
      <c r="M914" s="31"/>
      <c r="N914" s="32" t="str">
        <f>IF(Prueba[[#This Row],[Cant.4]]=0,"",IF(OR(Prueba[[#This Row],[Cant.6]]="",Prueba[[#This Row],[Puesto6]]=""),"?",Prueba[[#This Row],[Puesto6]]))</f>
        <v/>
      </c>
      <c r="O914" s="31"/>
      <c r="P914" s="32" t="str">
        <f>IF(Prueba[[#This Row],[Cant.5]]=0,"",IF(OR(Prueba[[#This Row],[Cant.6]]="",Prueba[[#This Row],[Puesto6]]=""),"?",Prueba[[#This Row],[Puesto6]]))</f>
        <v/>
      </c>
      <c r="Q914" s="31"/>
      <c r="R914" s="32"/>
      <c r="S914" s="14"/>
      <c r="T914" s="14"/>
      <c r="U914" s="31"/>
      <c r="V914" s="32" t="s">
        <v>1663</v>
      </c>
      <c r="W914" s="19">
        <v>144</v>
      </c>
      <c r="X914" s="19" t="s">
        <v>1686</v>
      </c>
      <c r="Y914" s="19">
        <v>20</v>
      </c>
      <c r="Z914" s="19">
        <v>3</v>
      </c>
      <c r="AA914" s="19">
        <v>20</v>
      </c>
      <c r="AB914" s="19">
        <v>3</v>
      </c>
    </row>
    <row r="915" spans="1:28">
      <c r="A915" s="18" t="s">
        <v>681</v>
      </c>
      <c r="B915" s="18" t="s">
        <v>9</v>
      </c>
      <c r="C915" s="18" t="s">
        <v>682</v>
      </c>
      <c r="D915" s="18" t="s">
        <v>683</v>
      </c>
      <c r="E915" s="19" t="s">
        <v>22</v>
      </c>
      <c r="F915" s="18" t="s">
        <v>13</v>
      </c>
      <c r="G915" s="29">
        <v>4</v>
      </c>
      <c r="H915" s="32">
        <f>IF(Prueba[[#This Row],[Cant.]]=0,"",IF(OR(Prueba[[#This Row],[Cant.2]]="",Prueba[[#This Row],[Puesto2]]=""),"?",Prueba[[#This Row],[Puesto2]]))</f>
        <v>3</v>
      </c>
      <c r="I915" s="31">
        <v>4</v>
      </c>
      <c r="J915" s="32">
        <v>3</v>
      </c>
      <c r="K915" s="14"/>
      <c r="L915" s="14"/>
      <c r="M915" s="31"/>
      <c r="N915" s="32" t="str">
        <f>IF(Prueba[[#This Row],[Cant.4]]=0,"",IF(OR(Prueba[[#This Row],[Cant.6]]="",Prueba[[#This Row],[Puesto6]]=""),"?",Prueba[[#This Row],[Puesto6]]))</f>
        <v/>
      </c>
      <c r="O915" s="31"/>
      <c r="P915" s="32" t="str">
        <f>IF(Prueba[[#This Row],[Cant.5]]=0,"",IF(OR(Prueba[[#This Row],[Cant.6]]="",Prueba[[#This Row],[Puesto6]]=""),"?",Prueba[[#This Row],[Puesto6]]))</f>
        <v/>
      </c>
      <c r="Q915" s="31"/>
      <c r="R915" s="32"/>
      <c r="S915" s="14"/>
      <c r="T915" s="14"/>
      <c r="U915" s="31"/>
      <c r="V915" s="32" t="s">
        <v>1663</v>
      </c>
      <c r="W915" s="19">
        <v>32</v>
      </c>
      <c r="X915" s="19" t="s">
        <v>1664</v>
      </c>
      <c r="Y915" s="19">
        <v>5</v>
      </c>
      <c r="Z915" s="19">
        <v>3</v>
      </c>
      <c r="AA915" s="19">
        <v>5</v>
      </c>
      <c r="AB915" s="19">
        <v>3</v>
      </c>
    </row>
    <row r="916" spans="1:28">
      <c r="A916" s="18" t="s">
        <v>684</v>
      </c>
      <c r="B916" s="18" t="s">
        <v>9</v>
      </c>
      <c r="C916" s="18" t="s">
        <v>606</v>
      </c>
      <c r="D916" s="18" t="s">
        <v>685</v>
      </c>
      <c r="E916" s="19" t="s">
        <v>22</v>
      </c>
      <c r="F916" s="18" t="s">
        <v>13</v>
      </c>
      <c r="G916" s="29"/>
      <c r="H916" s="32" t="str">
        <f>IF(Prueba[[#This Row],[Cant.]]=0,"",IF(OR(Prueba[[#This Row],[Cant.2]]="",Prueba[[#This Row],[Puesto2]]=""),"?",Prueba[[#This Row],[Puesto2]]))</f>
        <v/>
      </c>
      <c r="I916" s="31"/>
      <c r="J916" s="32"/>
      <c r="K916" s="14"/>
      <c r="L916" s="14"/>
      <c r="M916" s="31"/>
      <c r="N916" s="32" t="str">
        <f>IF(Prueba[[#This Row],[Cant.4]]=0,"",IF(OR(Prueba[[#This Row],[Cant.6]]="",Prueba[[#This Row],[Puesto6]]=""),"?",Prueba[[#This Row],[Puesto6]]))</f>
        <v/>
      </c>
      <c r="O916" s="31"/>
      <c r="P916" s="32" t="str">
        <f>IF(Prueba[[#This Row],[Cant.5]]=0,"",IF(OR(Prueba[[#This Row],[Cant.6]]="",Prueba[[#This Row],[Puesto6]]=""),"?",Prueba[[#This Row],[Puesto6]]))</f>
        <v/>
      </c>
      <c r="Q916" s="31"/>
      <c r="R916" s="32"/>
      <c r="S916" s="14"/>
      <c r="T916" s="14"/>
      <c r="U916" s="31"/>
      <c r="V916" s="32" t="s">
        <v>1663</v>
      </c>
      <c r="W916" s="19">
        <v>0</v>
      </c>
      <c r="X916" s="19" t="s">
        <v>1664</v>
      </c>
      <c r="Y916" s="19" t="s">
        <v>1663</v>
      </c>
      <c r="Z916" s="19" t="s">
        <v>1663</v>
      </c>
      <c r="AA916" s="19" t="s">
        <v>1663</v>
      </c>
      <c r="AB916" s="19" t="s">
        <v>1663</v>
      </c>
    </row>
    <row r="917" spans="1:28">
      <c r="A917" s="18" t="s">
        <v>686</v>
      </c>
      <c r="B917" s="18" t="s">
        <v>9</v>
      </c>
      <c r="C917" s="18" t="s">
        <v>653</v>
      </c>
      <c r="D917" s="18" t="s">
        <v>687</v>
      </c>
      <c r="E917" s="19" t="s">
        <v>22</v>
      </c>
      <c r="F917" s="18" t="s">
        <v>13</v>
      </c>
      <c r="G917" s="29"/>
      <c r="H917" s="32" t="str">
        <f>IF(Prueba[[#This Row],[Cant.]]=0,"",IF(OR(Prueba[[#This Row],[Cant.2]]="",Prueba[[#This Row],[Puesto2]]=""),"?",Prueba[[#This Row],[Puesto2]]))</f>
        <v/>
      </c>
      <c r="I917" s="31"/>
      <c r="J917" s="32"/>
      <c r="K917" s="14"/>
      <c r="L917" s="14"/>
      <c r="M917" s="31"/>
      <c r="N917" s="32" t="str">
        <f>IF(Prueba[[#This Row],[Cant.4]]=0,"",IF(OR(Prueba[[#This Row],[Cant.6]]="",Prueba[[#This Row],[Puesto6]]=""),"?",Prueba[[#This Row],[Puesto6]]))</f>
        <v/>
      </c>
      <c r="O917" s="31"/>
      <c r="P917" s="32" t="str">
        <f>IF(Prueba[[#This Row],[Cant.5]]=0,"",IF(OR(Prueba[[#This Row],[Cant.6]]="",Prueba[[#This Row],[Puesto6]]=""),"?",Prueba[[#This Row],[Puesto6]]))</f>
        <v/>
      </c>
      <c r="Q917" s="31"/>
      <c r="R917" s="32"/>
      <c r="S917" s="14"/>
      <c r="T917" s="14"/>
      <c r="U917" s="31"/>
      <c r="V917" s="32" t="s">
        <v>1663</v>
      </c>
      <c r="W917" s="19">
        <v>0</v>
      </c>
      <c r="X917" s="19" t="s">
        <v>1664</v>
      </c>
      <c r="Y917" s="19" t="s">
        <v>1663</v>
      </c>
      <c r="Z917" s="19" t="s">
        <v>1663</v>
      </c>
      <c r="AA917" s="19" t="s">
        <v>1663</v>
      </c>
      <c r="AB917" s="19" t="s">
        <v>1663</v>
      </c>
    </row>
    <row r="918" spans="1:28" s="39" customFormat="1">
      <c r="A918" s="18" t="s">
        <v>688</v>
      </c>
      <c r="B918" s="18" t="s">
        <v>9</v>
      </c>
      <c r="C918" s="18" t="s">
        <v>606</v>
      </c>
      <c r="D918" s="18" t="s">
        <v>689</v>
      </c>
      <c r="E918" s="19" t="s">
        <v>22</v>
      </c>
      <c r="F918" s="18" t="s">
        <v>13</v>
      </c>
      <c r="G918" s="29"/>
      <c r="H918" s="32" t="str">
        <f>IF(Prueba[[#This Row],[Cant.]]=0,"",IF(OR(Prueba[[#This Row],[Cant.2]]="",Prueba[[#This Row],[Puesto2]]=""),"?",Prueba[[#This Row],[Puesto2]]))</f>
        <v/>
      </c>
      <c r="I918" s="31"/>
      <c r="J918" s="32"/>
      <c r="K918" s="14"/>
      <c r="L918" s="14"/>
      <c r="M918" s="31"/>
      <c r="N918" s="32" t="str">
        <f>IF(Prueba[[#This Row],[Cant.4]]=0,"",IF(OR(Prueba[[#This Row],[Cant.6]]="",Prueba[[#This Row],[Puesto6]]=""),"?",Prueba[[#This Row],[Puesto6]]))</f>
        <v/>
      </c>
      <c r="O918" s="31"/>
      <c r="P918" s="32" t="str">
        <f>IF(Prueba[[#This Row],[Cant.5]]=0,"",IF(OR(Prueba[[#This Row],[Cant.6]]="",Prueba[[#This Row],[Puesto6]]=""),"?",Prueba[[#This Row],[Puesto6]]))</f>
        <v/>
      </c>
      <c r="Q918" s="31"/>
      <c r="R918" s="32"/>
      <c r="S918" s="14"/>
      <c r="T918" s="14"/>
      <c r="U918" s="31"/>
      <c r="V918" s="32" t="s">
        <v>1663</v>
      </c>
      <c r="W918" s="19">
        <v>0</v>
      </c>
      <c r="X918" s="19" t="s">
        <v>1664</v>
      </c>
      <c r="Y918" s="19" t="s">
        <v>1663</v>
      </c>
      <c r="Z918" s="19" t="s">
        <v>1663</v>
      </c>
      <c r="AA918" s="19" t="s">
        <v>1663</v>
      </c>
      <c r="AB918" s="19" t="s">
        <v>1663</v>
      </c>
    </row>
    <row r="919" spans="1:28">
      <c r="A919" s="18" t="s">
        <v>690</v>
      </c>
      <c r="B919" s="18" t="s">
        <v>9</v>
      </c>
      <c r="C919" s="18" t="s">
        <v>577</v>
      </c>
      <c r="D919" s="18" t="s">
        <v>691</v>
      </c>
      <c r="E919" s="19" t="s">
        <v>22</v>
      </c>
      <c r="F919" s="18" t="s">
        <v>13</v>
      </c>
      <c r="G919" s="29"/>
      <c r="H919" s="32" t="str">
        <f>IF(Prueba[[#This Row],[Cant.]]=0,"",IF(OR(Prueba[[#This Row],[Cant.2]]="",Prueba[[#This Row],[Puesto2]]=""),"?",Prueba[[#This Row],[Puesto2]]))</f>
        <v/>
      </c>
      <c r="I919" s="31"/>
      <c r="J919" s="32"/>
      <c r="K919" s="14"/>
      <c r="L919" s="14"/>
      <c r="M919" s="31"/>
      <c r="N919" s="32" t="str">
        <f>IF(Prueba[[#This Row],[Cant.4]]=0,"",IF(OR(Prueba[[#This Row],[Cant.6]]="",Prueba[[#This Row],[Puesto6]]=""),"?",Prueba[[#This Row],[Puesto6]]))</f>
        <v/>
      </c>
      <c r="O919" s="31"/>
      <c r="P919" s="32" t="str">
        <f>IF(Prueba[[#This Row],[Cant.5]]=0,"",IF(OR(Prueba[[#This Row],[Cant.6]]="",Prueba[[#This Row],[Puesto6]]=""),"?",Prueba[[#This Row],[Puesto6]]))</f>
        <v/>
      </c>
      <c r="Q919" s="31"/>
      <c r="R919" s="32"/>
      <c r="S919" s="14"/>
      <c r="T919" s="14"/>
      <c r="U919" s="31"/>
      <c r="V919" s="32" t="s">
        <v>1663</v>
      </c>
      <c r="W919" s="19">
        <v>0</v>
      </c>
      <c r="X919" s="19" t="s">
        <v>1664</v>
      </c>
      <c r="Y919" s="19" t="s">
        <v>1663</v>
      </c>
      <c r="Z919" s="19" t="s">
        <v>1663</v>
      </c>
      <c r="AA919" s="19" t="s">
        <v>1663</v>
      </c>
      <c r="AB919" s="19" t="s">
        <v>1663</v>
      </c>
    </row>
    <row r="920" spans="1:28">
      <c r="A920" s="18" t="s">
        <v>2297</v>
      </c>
      <c r="B920" s="18" t="s">
        <v>1806</v>
      </c>
      <c r="C920" s="18" t="s">
        <v>1930</v>
      </c>
      <c r="D920" s="18" t="s">
        <v>1931</v>
      </c>
      <c r="E920" s="19" t="s">
        <v>1733</v>
      </c>
      <c r="F920" s="18" t="s">
        <v>13</v>
      </c>
      <c r="G920" s="29"/>
      <c r="H920" s="32" t="str">
        <f>IF(Prueba[[#This Row],[Cant.]]=0,"",IF(OR(Prueba[[#This Row],[Cant.2]]="",Prueba[[#This Row],[Puesto2]]=""),"?",Prueba[[#This Row],[Puesto2]]))</f>
        <v/>
      </c>
      <c r="I920" s="31"/>
      <c r="J920" s="32"/>
      <c r="K920" s="14"/>
      <c r="L920" s="14"/>
      <c r="M920" s="31">
        <v>5</v>
      </c>
      <c r="N920" s="32">
        <f>IF(Prueba[[#This Row],[Cant.4]]=0,"",IF(OR(Prueba[[#This Row],[Cant.6]]="",Prueba[[#This Row],[Puesto6]]=""),"?",Prueba[[#This Row],[Puesto6]]))</f>
        <v>6</v>
      </c>
      <c r="O920" s="31"/>
      <c r="P920" s="32"/>
      <c r="Q920" s="31">
        <v>5</v>
      </c>
      <c r="R920" s="32">
        <v>6</v>
      </c>
      <c r="S920" s="14">
        <v>5</v>
      </c>
      <c r="T920" s="14">
        <v>6</v>
      </c>
      <c r="U920" s="31"/>
      <c r="V920" s="32" t="s">
        <v>1663</v>
      </c>
      <c r="W920" s="19">
        <v>40</v>
      </c>
      <c r="X920" s="19" t="s">
        <v>1664</v>
      </c>
      <c r="Y920" s="19" t="s">
        <v>1663</v>
      </c>
      <c r="Z920" s="19" t="s">
        <v>1663</v>
      </c>
      <c r="AA920" s="19" t="s">
        <v>1663</v>
      </c>
      <c r="AB920" s="19" t="s">
        <v>1663</v>
      </c>
    </row>
    <row r="921" spans="1:28">
      <c r="A921" s="18" t="s">
        <v>1205</v>
      </c>
      <c r="B921" s="18" t="s">
        <v>9</v>
      </c>
      <c r="C921" s="18" t="s">
        <v>586</v>
      </c>
      <c r="D921" s="18" t="s">
        <v>587</v>
      </c>
      <c r="E921" s="19" t="s">
        <v>22</v>
      </c>
      <c r="F921" s="18" t="s">
        <v>13</v>
      </c>
      <c r="G921" s="29"/>
      <c r="H921" s="32" t="str">
        <f>IF(Prueba[[#This Row],[Cant.]]=0,"",IF(OR(Prueba[[#This Row],[Cant.2]]="",Prueba[[#This Row],[Puesto2]]=""),"?",Prueba[[#This Row],[Puesto2]]))</f>
        <v/>
      </c>
      <c r="I921" s="31"/>
      <c r="J921" s="32"/>
      <c r="K921" s="14">
        <v>21</v>
      </c>
      <c r="L921" s="14"/>
      <c r="M921" s="31">
        <v>21</v>
      </c>
      <c r="N921" s="32" t="str">
        <f>IF(Prueba[[#This Row],[Cant.4]]=0,"",IF(OR(Prueba[[#This Row],[Cant.6]]="",Prueba[[#This Row],[Puesto6]]=""),"?",Prueba[[#This Row],[Puesto6]]))</f>
        <v>5x6 + 16xD</v>
      </c>
      <c r="O921" s="31">
        <v>21</v>
      </c>
      <c r="P921" s="32" t="str">
        <f>IF(Prueba[[#This Row],[Cant.5]]=0,"",IF(OR(Prueba[[#This Row],[Cant.6]]="",Prueba[[#This Row],[Puesto6]]=""),"?",Prueba[[#This Row],[Puesto6]]))</f>
        <v>5x6 + 16xD</v>
      </c>
      <c r="Q921" s="31">
        <v>21</v>
      </c>
      <c r="R921" s="32" t="s">
        <v>2298</v>
      </c>
      <c r="S921" s="14">
        <v>21</v>
      </c>
      <c r="T921" s="14" t="s">
        <v>2299</v>
      </c>
      <c r="U921" s="31"/>
      <c r="V921" s="32" t="s">
        <v>1663</v>
      </c>
      <c r="W921" s="19">
        <v>40</v>
      </c>
      <c r="X921" s="19" t="s">
        <v>1664</v>
      </c>
      <c r="Y921" s="19" t="s">
        <v>1663</v>
      </c>
      <c r="Z921" s="19" t="s">
        <v>1663</v>
      </c>
      <c r="AA921" s="19" t="s">
        <v>1663</v>
      </c>
      <c r="AB921" s="19" t="s">
        <v>1663</v>
      </c>
    </row>
    <row r="922" spans="1:28" ht="28.9">
      <c r="A922" s="18" t="s">
        <v>692</v>
      </c>
      <c r="B922" s="18" t="s">
        <v>9</v>
      </c>
      <c r="C922" s="18" t="s">
        <v>580</v>
      </c>
      <c r="D922" s="18" t="s">
        <v>693</v>
      </c>
      <c r="E922" s="19" t="s">
        <v>22</v>
      </c>
      <c r="F922" s="18" t="s">
        <v>13</v>
      </c>
      <c r="G922" s="29">
        <v>11</v>
      </c>
      <c r="H922" s="32" t="str">
        <f>IF(Prueba[[#This Row],[Cant.]]=0,"",IF(OR(Prueba[[#This Row],[Cant.2]]="",Prueba[[#This Row],[Puesto2]]=""),"?",Prueba[[#This Row],[Puesto2]]))</f>
        <v>4x0 + 7x6</v>
      </c>
      <c r="I922" s="31">
        <v>11</v>
      </c>
      <c r="J922" s="32" t="s">
        <v>2300</v>
      </c>
      <c r="K922" s="14">
        <v>27</v>
      </c>
      <c r="L922" s="14"/>
      <c r="M922" s="31">
        <v>31</v>
      </c>
      <c r="N922" s="32" t="str">
        <f>IF(Prueba[[#This Row],[Cant.4]]=0,"",IF(OR(Prueba[[#This Row],[Cant.6]]="",Prueba[[#This Row],[Puesto6]]=""),"?",Prueba[[#This Row],[Puesto6]]))</f>
        <v>9x0 + 8x5 + 14xC</v>
      </c>
      <c r="O922" s="31">
        <v>21</v>
      </c>
      <c r="P922" s="32" t="str">
        <f>IF(Prueba[[#This Row],[Cant.5]]=0,"",IF(OR(Prueba[[#This Row],[Cant.6]]="",Prueba[[#This Row],[Puesto6]]=""),"?",Prueba[[#This Row],[Puesto6]]))</f>
        <v>9x0 + 8x5 + 14xC</v>
      </c>
      <c r="Q922" s="31">
        <v>29</v>
      </c>
      <c r="R922" s="32" t="s">
        <v>2301</v>
      </c>
      <c r="S922" s="14">
        <v>53</v>
      </c>
      <c r="T922" s="14" t="s">
        <v>2302</v>
      </c>
      <c r="U922" s="31">
        <v>20</v>
      </c>
      <c r="V922" s="32" t="s">
        <v>1586</v>
      </c>
      <c r="W922" s="19">
        <v>160</v>
      </c>
      <c r="X922" s="19" t="s">
        <v>1664</v>
      </c>
      <c r="Y922" s="19">
        <v>14</v>
      </c>
      <c r="Z922" s="19" t="s">
        <v>2303</v>
      </c>
      <c r="AA922" s="19">
        <v>14</v>
      </c>
      <c r="AB922" s="19" t="s">
        <v>2303</v>
      </c>
    </row>
    <row r="923" spans="1:28">
      <c r="A923" s="40" t="s">
        <v>694</v>
      </c>
      <c r="B923" s="40" t="s">
        <v>9</v>
      </c>
      <c r="C923" s="40" t="s">
        <v>580</v>
      </c>
      <c r="D923" s="40" t="s">
        <v>695</v>
      </c>
      <c r="E923" s="41" t="s">
        <v>22</v>
      </c>
      <c r="F923" s="18" t="s">
        <v>13</v>
      </c>
      <c r="G923" s="29">
        <v>2</v>
      </c>
      <c r="H923" s="32">
        <f>IF(Prueba[[#This Row],[Cant.]]=0,"",IF(OR(Prueba[[#This Row],[Cant.2]]="",Prueba[[#This Row],[Puesto2]]=""),"?",Prueba[[#This Row],[Puesto2]]))</f>
        <v>6</v>
      </c>
      <c r="I923" s="31">
        <v>2</v>
      </c>
      <c r="J923" s="32">
        <v>6</v>
      </c>
      <c r="K923" s="14">
        <v>4</v>
      </c>
      <c r="L923" s="14"/>
      <c r="M923" s="31">
        <v>4</v>
      </c>
      <c r="N923" s="32">
        <f>IF(Prueba[[#This Row],[Cant.4]]=0,"",IF(OR(Prueba[[#This Row],[Cant.6]]="",Prueba[[#This Row],[Puesto6]]=""),"?",Prueba[[#This Row],[Puesto6]]))</f>
        <v>6</v>
      </c>
      <c r="O923" s="31">
        <v>4</v>
      </c>
      <c r="P923" s="32">
        <f>IF(Prueba[[#This Row],[Cant.5]]=0,"",IF(OR(Prueba[[#This Row],[Cant.6]]="",Prueba[[#This Row],[Puesto6]]=""),"?",Prueba[[#This Row],[Puesto6]]))</f>
        <v>6</v>
      </c>
      <c r="Q923" s="44">
        <v>4</v>
      </c>
      <c r="R923" s="45">
        <v>6</v>
      </c>
      <c r="S923" s="14">
        <v>4</v>
      </c>
      <c r="T923" s="14">
        <v>6</v>
      </c>
      <c r="U923" s="31">
        <v>4</v>
      </c>
      <c r="V923" s="32">
        <v>0</v>
      </c>
      <c r="W923" s="19">
        <v>32</v>
      </c>
      <c r="X923" s="19" t="s">
        <v>1664</v>
      </c>
      <c r="Y923" s="19">
        <v>7</v>
      </c>
      <c r="Z923" s="19" t="s">
        <v>2304</v>
      </c>
      <c r="AA923" s="19">
        <v>7</v>
      </c>
      <c r="AB923" s="19" t="s">
        <v>2305</v>
      </c>
    </row>
    <row r="924" spans="1:28">
      <c r="A924" s="18" t="s">
        <v>696</v>
      </c>
      <c r="B924" s="18" t="s">
        <v>9</v>
      </c>
      <c r="C924" s="18" t="s">
        <v>606</v>
      </c>
      <c r="D924" s="18" t="s">
        <v>611</v>
      </c>
      <c r="E924" s="19" t="s">
        <v>22</v>
      </c>
      <c r="F924" s="18" t="s">
        <v>13</v>
      </c>
      <c r="G924" s="29">
        <v>1</v>
      </c>
      <c r="H924" s="32">
        <f>IF(Prueba[[#This Row],[Cant.]]=0,"",IF(OR(Prueba[[#This Row],[Cant.2]]="",Prueba[[#This Row],[Puesto2]]=""),"?",Prueba[[#This Row],[Puesto2]]))</f>
        <v>4</v>
      </c>
      <c r="I924" s="31">
        <v>1</v>
      </c>
      <c r="J924" s="32">
        <v>4</v>
      </c>
      <c r="K924" s="14">
        <v>1</v>
      </c>
      <c r="L924" s="14"/>
      <c r="M924" s="31">
        <v>3</v>
      </c>
      <c r="N924" s="32" t="str">
        <f>IF(Prueba[[#This Row],[Cant.4]]=0,"",IF(OR(Prueba[[#This Row],[Cant.6]]="",Prueba[[#This Row],[Puesto6]]=""),"?",Prueba[[#This Row],[Puesto6]]))</f>
        <v>2x0 + 1x5</v>
      </c>
      <c r="O924" s="31">
        <v>3</v>
      </c>
      <c r="P924" s="32" t="str">
        <f>IF(Prueba[[#This Row],[Cant.5]]=0,"",IF(OR(Prueba[[#This Row],[Cant.6]]="",Prueba[[#This Row],[Puesto6]]=""),"?",Prueba[[#This Row],[Puesto6]]))</f>
        <v>2x0 + 1x5</v>
      </c>
      <c r="Q924" s="31">
        <v>3</v>
      </c>
      <c r="R924" s="32" t="s">
        <v>2306</v>
      </c>
      <c r="S924" s="14">
        <v>7</v>
      </c>
      <c r="T924" s="14" t="s">
        <v>2307</v>
      </c>
      <c r="U924" s="31"/>
      <c r="V924" s="32" t="s">
        <v>1663</v>
      </c>
      <c r="W924" s="19">
        <v>16</v>
      </c>
      <c r="X924" s="19" t="s">
        <v>1664</v>
      </c>
      <c r="Y924" s="19">
        <v>2</v>
      </c>
      <c r="Z924" s="19">
        <v>4</v>
      </c>
      <c r="AA924" s="19">
        <v>2</v>
      </c>
      <c r="AB924" s="19">
        <v>4</v>
      </c>
    </row>
    <row r="925" spans="1:28">
      <c r="A925" s="18" t="s">
        <v>1375</v>
      </c>
      <c r="B925" s="18" t="s">
        <v>9</v>
      </c>
      <c r="C925" s="18" t="s">
        <v>1376</v>
      </c>
      <c r="D925" s="18" t="s">
        <v>587</v>
      </c>
      <c r="E925" s="19" t="s">
        <v>22</v>
      </c>
      <c r="F925" s="18" t="s">
        <v>13</v>
      </c>
      <c r="G925" s="29"/>
      <c r="H925" s="32" t="str">
        <f>IF(Prueba[[#This Row],[Cant.]]=0,"",IF(OR(Prueba[[#This Row],[Cant.2]]="",Prueba[[#This Row],[Puesto2]]=""),"?",Prueba[[#This Row],[Puesto2]]))</f>
        <v/>
      </c>
      <c r="I925" s="31"/>
      <c r="J925" s="32"/>
      <c r="K925" s="14">
        <v>2</v>
      </c>
      <c r="L925" s="14"/>
      <c r="M925" s="31">
        <v>2</v>
      </c>
      <c r="N925" s="32" t="str">
        <f>IF(Prueba[[#This Row],[Cant.4]]=0,"",IF(OR(Prueba[[#This Row],[Cant.6]]="",Prueba[[#This Row],[Puesto6]]=""),"?",Prueba[[#This Row],[Puesto6]]))</f>
        <v>D</v>
      </c>
      <c r="O925" s="31"/>
      <c r="P925" s="32"/>
      <c r="Q925" s="31">
        <v>2</v>
      </c>
      <c r="R925" s="32" t="s">
        <v>1399</v>
      </c>
      <c r="S925" s="14">
        <v>2</v>
      </c>
      <c r="T925" s="14" t="s">
        <v>1399</v>
      </c>
      <c r="U925" s="31"/>
      <c r="V925" s="32" t="s">
        <v>1663</v>
      </c>
      <c r="W925" s="19">
        <v>16</v>
      </c>
      <c r="X925" s="19" t="s">
        <v>1664</v>
      </c>
      <c r="Y925" s="19" t="s">
        <v>1663</v>
      </c>
      <c r="Z925" s="19" t="s">
        <v>1663</v>
      </c>
      <c r="AA925" s="19" t="s">
        <v>1663</v>
      </c>
      <c r="AB925" s="19" t="s">
        <v>1663</v>
      </c>
    </row>
    <row r="926" spans="1:28">
      <c r="A926" s="18" t="s">
        <v>2308</v>
      </c>
      <c r="B926" s="18"/>
      <c r="C926" s="18" t="s">
        <v>2309</v>
      </c>
      <c r="D926" s="18" t="s">
        <v>2309</v>
      </c>
      <c r="E926" s="19" t="s">
        <v>22</v>
      </c>
      <c r="F926" s="18"/>
      <c r="G926" s="29"/>
      <c r="H926" s="32" t="str">
        <f>IF(Prueba[[#This Row],[Cant.]]=0,"",IF(OR(Prueba[[#This Row],[Cant.2]]="",Prueba[[#This Row],[Puesto2]]=""),"?",Prueba[[#This Row],[Puesto2]]))</f>
        <v/>
      </c>
      <c r="I926" s="31"/>
      <c r="J926" s="32"/>
      <c r="K926" s="14"/>
      <c r="L926" s="14"/>
      <c r="M926" s="31"/>
      <c r="N926" s="32" t="str">
        <f>IF(Prueba[[#This Row],[Cant.4]]=0,"",IF(OR(Prueba[[#This Row],[Cant.6]]="",Prueba[[#This Row],[Puesto6]]=""),"?",Prueba[[#This Row],[Puesto6]]))</f>
        <v/>
      </c>
      <c r="O926" s="31"/>
      <c r="P926" s="32" t="str">
        <f>IF(Prueba[[#This Row],[Cant.5]]=0,"",IF(OR(Prueba[[#This Row],[Cant.6]]="",Prueba[[#This Row],[Puesto6]]=""),"?",Prueba[[#This Row],[Puesto6]]))</f>
        <v/>
      </c>
      <c r="Q926" s="31"/>
      <c r="R926" s="32"/>
      <c r="S926" s="14"/>
      <c r="T926" s="14"/>
      <c r="U926" s="31"/>
      <c r="V926" s="32" t="s">
        <v>1663</v>
      </c>
      <c r="W926" s="19">
        <v>40</v>
      </c>
      <c r="X926" s="19" t="s">
        <v>1664</v>
      </c>
      <c r="Y926" s="19">
        <v>5</v>
      </c>
      <c r="Z926" s="19">
        <v>6</v>
      </c>
      <c r="AA926" s="19">
        <v>5</v>
      </c>
      <c r="AB926" s="19">
        <v>6</v>
      </c>
    </row>
    <row r="927" spans="1:28">
      <c r="A927" s="18" t="s">
        <v>697</v>
      </c>
      <c r="B927" s="18" t="s">
        <v>9</v>
      </c>
      <c r="C927" s="18" t="s">
        <v>698</v>
      </c>
      <c r="D927" s="18" t="s">
        <v>699</v>
      </c>
      <c r="E927" s="19" t="s">
        <v>22</v>
      </c>
      <c r="F927" s="18" t="s">
        <v>13</v>
      </c>
      <c r="G927" s="29">
        <v>1</v>
      </c>
      <c r="H927" s="32">
        <f>IF(Prueba[[#This Row],[Cant.]]=0,"",IF(OR(Prueba[[#This Row],[Cant.2]]="",Prueba[[#This Row],[Puesto2]]=""),"?",Prueba[[#This Row],[Puesto2]]))</f>
        <v>5</v>
      </c>
      <c r="I927" s="31">
        <v>1</v>
      </c>
      <c r="J927" s="32">
        <v>5</v>
      </c>
      <c r="K927" s="14"/>
      <c r="L927" s="14"/>
      <c r="M927" s="31"/>
      <c r="N927" s="32" t="str">
        <f>IF(Prueba[[#This Row],[Cant.4]]=0,"",IF(OR(Prueba[[#This Row],[Cant.6]]="",Prueba[[#This Row],[Puesto6]]=""),"?",Prueba[[#This Row],[Puesto6]]))</f>
        <v/>
      </c>
      <c r="O927" s="31"/>
      <c r="P927" s="32" t="str">
        <f>IF(Prueba[[#This Row],[Cant.5]]=0,"",IF(OR(Prueba[[#This Row],[Cant.6]]="",Prueba[[#This Row],[Puesto6]]=""),"?",Prueba[[#This Row],[Puesto6]]))</f>
        <v/>
      </c>
      <c r="Q927" s="31"/>
      <c r="R927" s="32"/>
      <c r="S927" s="14"/>
      <c r="T927" s="14"/>
      <c r="U927" s="31"/>
      <c r="V927" s="32" t="s">
        <v>1663</v>
      </c>
      <c r="W927" s="19">
        <v>8</v>
      </c>
      <c r="X927" s="19" t="s">
        <v>1664</v>
      </c>
      <c r="Y927" s="19">
        <v>1</v>
      </c>
      <c r="Z927" s="19">
        <v>5</v>
      </c>
      <c r="AA927" s="19">
        <v>1</v>
      </c>
      <c r="AB927" s="19">
        <v>5</v>
      </c>
    </row>
    <row r="928" spans="1:28">
      <c r="A928" s="18" t="s">
        <v>1206</v>
      </c>
      <c r="B928" s="18" t="s">
        <v>9</v>
      </c>
      <c r="C928" s="18" t="s">
        <v>653</v>
      </c>
      <c r="D928" s="18" t="s">
        <v>627</v>
      </c>
      <c r="E928" s="19" t="s">
        <v>22</v>
      </c>
      <c r="F928" s="18" t="s">
        <v>13</v>
      </c>
      <c r="G928" s="29"/>
      <c r="H928" s="32" t="str">
        <f>IF(Prueba[[#This Row],[Cant.]]=0,"",IF(OR(Prueba[[#This Row],[Cant.2]]="",Prueba[[#This Row],[Puesto2]]=""),"?",Prueba[[#This Row],[Puesto2]]))</f>
        <v/>
      </c>
      <c r="I928" s="31"/>
      <c r="J928" s="32"/>
      <c r="K928" s="14">
        <v>4</v>
      </c>
      <c r="L928" s="14"/>
      <c r="M928" s="31">
        <v>4</v>
      </c>
      <c r="N928" s="32" t="str">
        <f>IF(Prueba[[#This Row],[Cant.4]]=0,"",IF(OR(Prueba[[#This Row],[Cant.6]]="",Prueba[[#This Row],[Puesto6]]=""),"?",Prueba[[#This Row],[Puesto6]]))</f>
        <v>D</v>
      </c>
      <c r="O928" s="31">
        <v>4</v>
      </c>
      <c r="P928" s="32" t="str">
        <f>IF(Prueba[[#This Row],[Cant.5]]=0,"",IF(OR(Prueba[[#This Row],[Cant.6]]="",Prueba[[#This Row],[Puesto6]]=""),"?",Prueba[[#This Row],[Puesto6]]))</f>
        <v>D</v>
      </c>
      <c r="Q928" s="31">
        <v>4</v>
      </c>
      <c r="R928" s="32" t="s">
        <v>1399</v>
      </c>
      <c r="S928" s="14">
        <v>4</v>
      </c>
      <c r="T928" s="14" t="s">
        <v>1399</v>
      </c>
      <c r="U928" s="31"/>
      <c r="V928" s="32" t="s">
        <v>1663</v>
      </c>
      <c r="W928" s="19">
        <v>32</v>
      </c>
      <c r="X928" s="19" t="s">
        <v>1664</v>
      </c>
      <c r="Y928" s="19" t="s">
        <v>1663</v>
      </c>
      <c r="Z928" s="19" t="s">
        <v>1663</v>
      </c>
      <c r="AA928" s="19" t="s">
        <v>1663</v>
      </c>
      <c r="AB928" s="19" t="s">
        <v>1663</v>
      </c>
    </row>
    <row r="929" spans="1:28">
      <c r="A929" s="18" t="s">
        <v>700</v>
      </c>
      <c r="B929" s="18" t="s">
        <v>9</v>
      </c>
      <c r="C929" s="18" t="s">
        <v>701</v>
      </c>
      <c r="D929" s="18" t="s">
        <v>702</v>
      </c>
      <c r="E929" s="19" t="s">
        <v>22</v>
      </c>
      <c r="F929" s="18" t="s">
        <v>13</v>
      </c>
      <c r="G929" s="29">
        <v>3</v>
      </c>
      <c r="H929" s="32" t="str">
        <f>IF(Prueba[[#This Row],[Cant.]]=0,"",IF(OR(Prueba[[#This Row],[Cant.2]]="",Prueba[[#This Row],[Puesto2]]=""),"?",Prueba[[#This Row],[Puesto2]]))</f>
        <v>D</v>
      </c>
      <c r="I929" s="31">
        <v>3</v>
      </c>
      <c r="J929" s="32" t="s">
        <v>1399</v>
      </c>
      <c r="K929" s="14"/>
      <c r="L929" s="14"/>
      <c r="M929" s="31"/>
      <c r="N929" s="32" t="str">
        <f>IF(Prueba[[#This Row],[Cant.4]]=0,"",IF(OR(Prueba[[#This Row],[Cant.6]]="",Prueba[[#This Row],[Puesto6]]=""),"?",Prueba[[#This Row],[Puesto6]]))</f>
        <v/>
      </c>
      <c r="O929" s="31"/>
      <c r="P929" s="32" t="str">
        <f>IF(Prueba[[#This Row],[Cant.5]]=0,"",IF(OR(Prueba[[#This Row],[Cant.6]]="",Prueba[[#This Row],[Puesto6]]=""),"?",Prueba[[#This Row],[Puesto6]]))</f>
        <v/>
      </c>
      <c r="Q929" s="31"/>
      <c r="R929" s="32"/>
      <c r="S929" s="14"/>
      <c r="T929" s="14"/>
      <c r="U929" s="31"/>
      <c r="V929" s="32" t="s">
        <v>1663</v>
      </c>
      <c r="W929" s="19">
        <v>24</v>
      </c>
      <c r="X929" s="19" t="s">
        <v>1664</v>
      </c>
      <c r="Y929" s="19">
        <v>4</v>
      </c>
      <c r="Z929" s="19" t="s">
        <v>1399</v>
      </c>
      <c r="AA929" s="19">
        <v>4</v>
      </c>
      <c r="AB929" s="19" t="s">
        <v>1399</v>
      </c>
    </row>
    <row r="930" spans="1:28">
      <c r="A930" s="18" t="s">
        <v>703</v>
      </c>
      <c r="B930" s="18" t="s">
        <v>9</v>
      </c>
      <c r="C930" s="18" t="s">
        <v>701</v>
      </c>
      <c r="D930" s="18" t="s">
        <v>704</v>
      </c>
      <c r="E930" s="19" t="s">
        <v>22</v>
      </c>
      <c r="F930" s="18" t="s">
        <v>13</v>
      </c>
      <c r="G930" s="29">
        <v>2</v>
      </c>
      <c r="H930" s="32">
        <f>IF(Prueba[[#This Row],[Cant.]]=0,"",IF(OR(Prueba[[#This Row],[Cant.2]]="",Prueba[[#This Row],[Puesto2]]=""),"?",Prueba[[#This Row],[Puesto2]]))</f>
        <v>6</v>
      </c>
      <c r="I930" s="31">
        <v>2</v>
      </c>
      <c r="J930" s="32">
        <v>6</v>
      </c>
      <c r="K930" s="14"/>
      <c r="L930" s="14"/>
      <c r="M930" s="31"/>
      <c r="N930" s="32" t="str">
        <f>IF(Prueba[[#This Row],[Cant.4]]=0,"",IF(OR(Prueba[[#This Row],[Cant.6]]="",Prueba[[#This Row],[Puesto6]]=""),"?",Prueba[[#This Row],[Puesto6]]))</f>
        <v/>
      </c>
      <c r="O930" s="31"/>
      <c r="P930" s="32" t="str">
        <f>IF(Prueba[[#This Row],[Cant.5]]=0,"",IF(OR(Prueba[[#This Row],[Cant.6]]="",Prueba[[#This Row],[Puesto6]]=""),"?",Prueba[[#This Row],[Puesto6]]))</f>
        <v/>
      </c>
      <c r="Q930" s="31"/>
      <c r="R930" s="32"/>
      <c r="S930" s="14"/>
      <c r="T930" s="14"/>
      <c r="U930" s="31"/>
      <c r="V930" s="32" t="s">
        <v>1663</v>
      </c>
      <c r="W930" s="19">
        <v>16</v>
      </c>
      <c r="X930" s="19" t="s">
        <v>1664</v>
      </c>
      <c r="Y930" s="19">
        <v>3</v>
      </c>
      <c r="Z930" s="19">
        <v>6</v>
      </c>
      <c r="AA930" s="19">
        <v>3</v>
      </c>
      <c r="AB930" s="19">
        <v>6</v>
      </c>
    </row>
    <row r="931" spans="1:28">
      <c r="A931" s="18" t="s">
        <v>705</v>
      </c>
      <c r="B931" s="18" t="s">
        <v>9</v>
      </c>
      <c r="C931" s="18" t="s">
        <v>606</v>
      </c>
      <c r="D931" s="18" t="s">
        <v>611</v>
      </c>
      <c r="E931" s="19" t="s">
        <v>22</v>
      </c>
      <c r="F931" s="18" t="s">
        <v>13</v>
      </c>
      <c r="G931" s="29">
        <v>4</v>
      </c>
      <c r="H931" s="32">
        <f>IF(Prueba[[#This Row],[Cant.]]=0,"",IF(OR(Prueba[[#This Row],[Cant.2]]="",Prueba[[#This Row],[Puesto2]]=""),"?",Prueba[[#This Row],[Puesto2]]))</f>
        <v>0</v>
      </c>
      <c r="I931" s="31">
        <v>4</v>
      </c>
      <c r="J931" s="32">
        <v>0</v>
      </c>
      <c r="K931" s="14"/>
      <c r="L931" s="14"/>
      <c r="M931" s="31"/>
      <c r="N931" s="32" t="str">
        <f>IF(Prueba[[#This Row],[Cant.4]]=0,"",IF(OR(Prueba[[#This Row],[Cant.6]]="",Prueba[[#This Row],[Puesto6]]=""),"?",Prueba[[#This Row],[Puesto6]]))</f>
        <v/>
      </c>
      <c r="O931" s="31"/>
      <c r="P931" s="32" t="str">
        <f>IF(Prueba[[#This Row],[Cant.5]]=0,"",IF(OR(Prueba[[#This Row],[Cant.6]]="",Prueba[[#This Row],[Puesto6]]=""),"?",Prueba[[#This Row],[Puesto6]]))</f>
        <v/>
      </c>
      <c r="Q931" s="31"/>
      <c r="R931" s="32"/>
      <c r="S931" s="14"/>
      <c r="T931" s="14"/>
      <c r="U931" s="31"/>
      <c r="V931" s="32" t="s">
        <v>1663</v>
      </c>
      <c r="W931" s="19">
        <v>32</v>
      </c>
      <c r="X931" s="19" t="s">
        <v>1664</v>
      </c>
      <c r="Y931" s="19">
        <v>5</v>
      </c>
      <c r="Z931" s="19">
        <v>0</v>
      </c>
      <c r="AA931" s="19">
        <v>5</v>
      </c>
      <c r="AB931" s="19">
        <v>0</v>
      </c>
    </row>
    <row r="932" spans="1:28">
      <c r="A932" s="18" t="s">
        <v>706</v>
      </c>
      <c r="B932" s="18" t="s">
        <v>9</v>
      </c>
      <c r="C932" s="18" t="s">
        <v>580</v>
      </c>
      <c r="D932" s="18" t="s">
        <v>695</v>
      </c>
      <c r="E932" s="19" t="s">
        <v>22</v>
      </c>
      <c r="F932" s="18" t="s">
        <v>13</v>
      </c>
      <c r="G932" s="29">
        <v>2</v>
      </c>
      <c r="H932" s="32" t="str">
        <f>IF(Prueba[[#This Row],[Cant.]]=0,"",IF(OR(Prueba[[#This Row],[Cant.2]]="",Prueba[[#This Row],[Puesto2]]=""),"?",Prueba[[#This Row],[Puesto2]]))</f>
        <v>1x0 + 1x6</v>
      </c>
      <c r="I932" s="31">
        <v>2</v>
      </c>
      <c r="J932" s="32" t="s">
        <v>2278</v>
      </c>
      <c r="K932" s="14">
        <v>5</v>
      </c>
      <c r="L932" s="14"/>
      <c r="M932" s="31">
        <v>5</v>
      </c>
      <c r="N932" s="32">
        <f>IF(Prueba[[#This Row],[Cant.4]]=0,"",IF(OR(Prueba[[#This Row],[Cant.6]]="",Prueba[[#This Row],[Puesto6]]=""),"?",Prueba[[#This Row],[Puesto6]]))</f>
        <v>2</v>
      </c>
      <c r="O932" s="31">
        <v>5</v>
      </c>
      <c r="P932" s="32">
        <f>IF(Prueba[[#This Row],[Cant.5]]=0,"",IF(OR(Prueba[[#This Row],[Cant.6]]="",Prueba[[#This Row],[Puesto6]]=""),"?",Prueba[[#This Row],[Puesto6]]))</f>
        <v>2</v>
      </c>
      <c r="Q932" s="31">
        <v>5</v>
      </c>
      <c r="R932" s="32">
        <v>2</v>
      </c>
      <c r="S932" s="14">
        <v>3</v>
      </c>
      <c r="T932" s="14">
        <v>2</v>
      </c>
      <c r="U932" s="31"/>
      <c r="V932" s="32" t="s">
        <v>1663</v>
      </c>
      <c r="W932" s="19">
        <v>40</v>
      </c>
      <c r="X932" s="19" t="s">
        <v>1664</v>
      </c>
      <c r="Y932" s="19">
        <v>3</v>
      </c>
      <c r="Z932" s="19" t="s">
        <v>2278</v>
      </c>
      <c r="AA932" s="19">
        <v>3</v>
      </c>
      <c r="AB932" s="19" t="s">
        <v>2278</v>
      </c>
    </row>
    <row r="933" spans="1:28">
      <c r="A933" s="18" t="s">
        <v>707</v>
      </c>
      <c r="B933" s="18" t="s">
        <v>9</v>
      </c>
      <c r="C933" s="18" t="s">
        <v>580</v>
      </c>
      <c r="D933" s="18" t="s">
        <v>708</v>
      </c>
      <c r="E933" s="19" t="s">
        <v>22</v>
      </c>
      <c r="F933" s="18" t="s">
        <v>13</v>
      </c>
      <c r="G933" s="29">
        <v>1</v>
      </c>
      <c r="H933" s="32">
        <f>IF(Prueba[[#This Row],[Cant.]]=0,"",IF(OR(Prueba[[#This Row],[Cant.2]]="",Prueba[[#This Row],[Puesto2]]=""),"?",Prueba[[#This Row],[Puesto2]]))</f>
        <v>0</v>
      </c>
      <c r="I933" s="31">
        <v>1</v>
      </c>
      <c r="J933" s="32">
        <v>0</v>
      </c>
      <c r="K933" s="14"/>
      <c r="L933" s="14"/>
      <c r="M933" s="31"/>
      <c r="N933" s="32" t="str">
        <f>IF(Prueba[[#This Row],[Cant.4]]=0,"",IF(OR(Prueba[[#This Row],[Cant.6]]="",Prueba[[#This Row],[Puesto6]]=""),"?",Prueba[[#This Row],[Puesto6]]))</f>
        <v/>
      </c>
      <c r="O933" s="31"/>
      <c r="P933" s="32" t="str">
        <f>IF(Prueba[[#This Row],[Cant.5]]=0,"",IF(OR(Prueba[[#This Row],[Cant.6]]="",Prueba[[#This Row],[Puesto6]]=""),"?",Prueba[[#This Row],[Puesto6]]))</f>
        <v/>
      </c>
      <c r="Q933" s="31"/>
      <c r="R933" s="32"/>
      <c r="S933" s="14"/>
      <c r="T933" s="14"/>
      <c r="U933" s="31"/>
      <c r="V933" s="32" t="s">
        <v>1663</v>
      </c>
      <c r="W933" s="19">
        <v>8</v>
      </c>
      <c r="X933" s="19" t="s">
        <v>1664</v>
      </c>
      <c r="Y933" s="19">
        <v>2</v>
      </c>
      <c r="Z933" s="19">
        <v>0</v>
      </c>
      <c r="AA933" s="19">
        <v>2</v>
      </c>
      <c r="AB933" s="19">
        <v>0</v>
      </c>
    </row>
    <row r="934" spans="1:28">
      <c r="A934" s="18" t="s">
        <v>709</v>
      </c>
      <c r="B934" s="18" t="s">
        <v>9</v>
      </c>
      <c r="C934" s="18" t="s">
        <v>586</v>
      </c>
      <c r="D934" s="18" t="s">
        <v>710</v>
      </c>
      <c r="E934" s="19" t="s">
        <v>22</v>
      </c>
      <c r="F934" s="18" t="s">
        <v>13</v>
      </c>
      <c r="G934" s="29">
        <v>2</v>
      </c>
      <c r="H934" s="32" t="str">
        <f>IF(Prueba[[#This Row],[Cant.]]=0,"",IF(OR(Prueba[[#This Row],[Cant.2]]="",Prueba[[#This Row],[Puesto2]]=""),"?",Prueba[[#This Row],[Puesto2]]))</f>
        <v>?</v>
      </c>
      <c r="I934" s="31">
        <v>2</v>
      </c>
      <c r="J934" s="88"/>
      <c r="K934" s="14"/>
      <c r="L934" s="14"/>
      <c r="M934" s="31"/>
      <c r="N934" s="32" t="str">
        <f>IF(Prueba[[#This Row],[Cant.4]]=0,"",IF(OR(Prueba[[#This Row],[Cant.6]]="",Prueba[[#This Row],[Puesto6]]=""),"?",Prueba[[#This Row],[Puesto6]]))</f>
        <v/>
      </c>
      <c r="O934" s="31"/>
      <c r="P934" s="32" t="str">
        <f>IF(Prueba[[#This Row],[Cant.5]]=0,"",IF(OR(Prueba[[#This Row],[Cant.6]]="",Prueba[[#This Row],[Puesto6]]=""),"?",Prueba[[#This Row],[Puesto6]]))</f>
        <v/>
      </c>
      <c r="Q934" s="31"/>
      <c r="R934" s="32"/>
      <c r="S934" s="14"/>
      <c r="T934" s="14"/>
      <c r="U934" s="31"/>
      <c r="V934" s="32" t="s">
        <v>1663</v>
      </c>
      <c r="W934" s="19">
        <v>16</v>
      </c>
      <c r="X934" s="19" t="s">
        <v>1664</v>
      </c>
      <c r="Y934" s="19">
        <v>3</v>
      </c>
      <c r="Z934" s="19">
        <v>0</v>
      </c>
      <c r="AA934" s="19">
        <v>3</v>
      </c>
      <c r="AB934" s="19">
        <v>0</v>
      </c>
    </row>
    <row r="935" spans="1:28">
      <c r="A935" s="18" t="s">
        <v>711</v>
      </c>
      <c r="B935" s="18" t="s">
        <v>9</v>
      </c>
      <c r="C935" s="18" t="s">
        <v>599</v>
      </c>
      <c r="D935" s="18" t="s">
        <v>712</v>
      </c>
      <c r="E935" s="19" t="s">
        <v>22</v>
      </c>
      <c r="F935" s="18" t="s">
        <v>13</v>
      </c>
      <c r="G935" s="29">
        <v>4</v>
      </c>
      <c r="H935" s="32">
        <f>IF(Prueba[[#This Row],[Cant.]]=0,"",IF(OR(Prueba[[#This Row],[Cant.2]]="",Prueba[[#This Row],[Puesto2]]=""),"?",Prueba[[#This Row],[Puesto2]]))</f>
        <v>0</v>
      </c>
      <c r="I935" s="31">
        <v>4</v>
      </c>
      <c r="J935" s="32">
        <v>0</v>
      </c>
      <c r="K935" s="14">
        <v>2</v>
      </c>
      <c r="L935" s="14"/>
      <c r="M935" s="31">
        <v>2</v>
      </c>
      <c r="N935" s="32">
        <f>IF(Prueba[[#This Row],[Cant.4]]=0,"",IF(OR(Prueba[[#This Row],[Cant.6]]="",Prueba[[#This Row],[Puesto6]]=""),"?",Prueba[[#This Row],[Puesto6]]))</f>
        <v>4</v>
      </c>
      <c r="O935" s="31">
        <v>2</v>
      </c>
      <c r="P935" s="32">
        <f>IF(Prueba[[#This Row],[Cant.5]]=0,"",IF(OR(Prueba[[#This Row],[Cant.6]]="",Prueba[[#This Row],[Puesto6]]=""),"?",Prueba[[#This Row],[Puesto6]]))</f>
        <v>4</v>
      </c>
      <c r="Q935" s="31">
        <v>2</v>
      </c>
      <c r="R935" s="32">
        <v>4</v>
      </c>
      <c r="S935" s="14">
        <v>2</v>
      </c>
      <c r="T935" s="14">
        <v>4</v>
      </c>
      <c r="U935" s="31"/>
      <c r="V935" s="32" t="s">
        <v>1663</v>
      </c>
      <c r="W935" s="19">
        <v>16</v>
      </c>
      <c r="X935" s="19" t="s">
        <v>1664</v>
      </c>
      <c r="Y935" s="19">
        <v>5</v>
      </c>
      <c r="Z935" s="19">
        <v>0</v>
      </c>
      <c r="AA935" s="19">
        <v>5</v>
      </c>
      <c r="AB935" s="19">
        <v>0</v>
      </c>
    </row>
    <row r="936" spans="1:28">
      <c r="A936" s="18" t="s">
        <v>1207</v>
      </c>
      <c r="B936" s="18" t="s">
        <v>9</v>
      </c>
      <c r="C936" s="18" t="s">
        <v>755</v>
      </c>
      <c r="D936" s="18" t="s">
        <v>1208</v>
      </c>
      <c r="E936" s="19" t="s">
        <v>22</v>
      </c>
      <c r="F936" s="18" t="s">
        <v>13</v>
      </c>
      <c r="G936" s="29"/>
      <c r="H936" s="32" t="str">
        <f>IF(Prueba[[#This Row],[Cant.]]=0,"",IF(OR(Prueba[[#This Row],[Cant.2]]="",Prueba[[#This Row],[Puesto2]]=""),"?",Prueba[[#This Row],[Puesto2]]))</f>
        <v/>
      </c>
      <c r="I936" s="31"/>
      <c r="J936" s="32"/>
      <c r="K936" s="14">
        <v>3</v>
      </c>
      <c r="L936" s="14"/>
      <c r="M936" s="31">
        <v>3</v>
      </c>
      <c r="N936" s="32">
        <f>IF(Prueba[[#This Row],[Cant.4]]=0,"",IF(OR(Prueba[[#This Row],[Cant.6]]="",Prueba[[#This Row],[Puesto6]]=""),"?",Prueba[[#This Row],[Puesto6]]))</f>
        <v>6</v>
      </c>
      <c r="O936" s="31">
        <v>3</v>
      </c>
      <c r="P936" s="32">
        <f>IF(Prueba[[#This Row],[Cant.5]]=0,"",IF(OR(Prueba[[#This Row],[Cant.6]]="",Prueba[[#This Row],[Puesto6]]=""),"?",Prueba[[#This Row],[Puesto6]]))</f>
        <v>6</v>
      </c>
      <c r="Q936" s="31">
        <v>3</v>
      </c>
      <c r="R936" s="32">
        <v>6</v>
      </c>
      <c r="S936" s="14">
        <v>3</v>
      </c>
      <c r="T936" s="14">
        <v>6</v>
      </c>
      <c r="U936" s="31"/>
      <c r="V936" s="32" t="s">
        <v>1663</v>
      </c>
      <c r="W936" s="19">
        <v>24</v>
      </c>
      <c r="X936" s="19" t="s">
        <v>1664</v>
      </c>
      <c r="Y936" s="19" t="s">
        <v>1663</v>
      </c>
      <c r="Z936" s="19" t="s">
        <v>1663</v>
      </c>
      <c r="AA936" s="19" t="s">
        <v>1663</v>
      </c>
      <c r="AB936" s="19" t="s">
        <v>1663</v>
      </c>
    </row>
    <row r="937" spans="1:28">
      <c r="A937" s="18" t="s">
        <v>1209</v>
      </c>
      <c r="B937" s="18" t="s">
        <v>9</v>
      </c>
      <c r="C937" s="18" t="s">
        <v>755</v>
      </c>
      <c r="D937" s="18" t="s">
        <v>492</v>
      </c>
      <c r="E937" s="19" t="s">
        <v>22</v>
      </c>
      <c r="F937" s="18" t="s">
        <v>13</v>
      </c>
      <c r="G937" s="29"/>
      <c r="H937" s="32" t="str">
        <f>IF(Prueba[[#This Row],[Cant.]]=0,"",IF(OR(Prueba[[#This Row],[Cant.2]]="",Prueba[[#This Row],[Puesto2]]=""),"?",Prueba[[#This Row],[Puesto2]]))</f>
        <v/>
      </c>
      <c r="I937" s="31"/>
      <c r="J937" s="32"/>
      <c r="K937" s="14">
        <v>16</v>
      </c>
      <c r="L937" s="14"/>
      <c r="M937" s="31">
        <v>16</v>
      </c>
      <c r="N937" s="32">
        <f>IF(Prueba[[#This Row],[Cant.4]]=0,"",IF(OR(Prueba[[#This Row],[Cant.6]]="",Prueba[[#This Row],[Puesto6]]=""),"?",Prueba[[#This Row],[Puesto6]]))</f>
        <v>6</v>
      </c>
      <c r="O937" s="31">
        <v>16</v>
      </c>
      <c r="P937" s="32">
        <f>IF(Prueba[[#This Row],[Cant.5]]=0,"",IF(OR(Prueba[[#This Row],[Cant.6]]="",Prueba[[#This Row],[Puesto6]]=""),"?",Prueba[[#This Row],[Puesto6]]))</f>
        <v>6</v>
      </c>
      <c r="Q937" s="31">
        <v>16</v>
      </c>
      <c r="R937" s="32">
        <v>6</v>
      </c>
      <c r="S937" s="14">
        <v>16</v>
      </c>
      <c r="T937" s="14">
        <v>6</v>
      </c>
      <c r="U937" s="31"/>
      <c r="V937" s="32" t="s">
        <v>1663</v>
      </c>
      <c r="W937" s="19">
        <v>128</v>
      </c>
      <c r="X937" s="19" t="s">
        <v>1664</v>
      </c>
      <c r="Y937" s="19" t="s">
        <v>1663</v>
      </c>
      <c r="Z937" s="19" t="s">
        <v>1663</v>
      </c>
      <c r="AA937" s="19" t="s">
        <v>1663</v>
      </c>
      <c r="AB937" s="19" t="s">
        <v>1663</v>
      </c>
    </row>
    <row r="938" spans="1:28">
      <c r="A938" s="18" t="s">
        <v>1210</v>
      </c>
      <c r="B938" s="18" t="s">
        <v>9</v>
      </c>
      <c r="C938" s="18" t="s">
        <v>653</v>
      </c>
      <c r="D938" s="18" t="s">
        <v>611</v>
      </c>
      <c r="E938" s="19" t="s">
        <v>22</v>
      </c>
      <c r="F938" s="18" t="s">
        <v>13</v>
      </c>
      <c r="G938" s="29"/>
      <c r="H938" s="32" t="str">
        <f>IF(Prueba[[#This Row],[Cant.]]=0,"",IF(OR(Prueba[[#This Row],[Cant.2]]="",Prueba[[#This Row],[Puesto2]]=""),"?",Prueba[[#This Row],[Puesto2]]))</f>
        <v/>
      </c>
      <c r="I938" s="31"/>
      <c r="J938" s="32"/>
      <c r="K938" s="14">
        <v>3</v>
      </c>
      <c r="L938" s="14"/>
      <c r="M938" s="31">
        <v>5</v>
      </c>
      <c r="N938" s="32" t="str">
        <f>IF(Prueba[[#This Row],[Cant.4]]=0,"",IF(OR(Prueba[[#This Row],[Cant.6]]="",Prueba[[#This Row],[Puesto6]]=""),"?",Prueba[[#This Row],[Puesto6]]))</f>
        <v>C</v>
      </c>
      <c r="O938" s="31">
        <v>3</v>
      </c>
      <c r="P938" s="32" t="str">
        <f>IF(Prueba[[#This Row],[Cant.5]]=0,"",IF(OR(Prueba[[#This Row],[Cant.6]]="",Prueba[[#This Row],[Puesto6]]=""),"?",Prueba[[#This Row],[Puesto6]]))</f>
        <v>C</v>
      </c>
      <c r="Q938" s="31">
        <v>3</v>
      </c>
      <c r="R938" s="32" t="s">
        <v>1402</v>
      </c>
      <c r="S938" s="14">
        <v>5</v>
      </c>
      <c r="T938" s="14" t="s">
        <v>1402</v>
      </c>
      <c r="U938" s="31">
        <v>3</v>
      </c>
      <c r="V938" s="32" t="s">
        <v>1402</v>
      </c>
      <c r="W938" s="19">
        <v>24</v>
      </c>
      <c r="X938" s="19" t="s">
        <v>1664</v>
      </c>
      <c r="Y938" s="19" t="s">
        <v>1663</v>
      </c>
      <c r="Z938" s="19" t="s">
        <v>1663</v>
      </c>
      <c r="AA938" s="19" t="s">
        <v>1663</v>
      </c>
      <c r="AB938" s="19" t="s">
        <v>1663</v>
      </c>
    </row>
    <row r="939" spans="1:28">
      <c r="A939" s="18" t="s">
        <v>713</v>
      </c>
      <c r="B939" s="18" t="s">
        <v>9</v>
      </c>
      <c r="C939" s="18" t="s">
        <v>714</v>
      </c>
      <c r="D939" s="18" t="s">
        <v>715</v>
      </c>
      <c r="E939" s="19" t="s">
        <v>22</v>
      </c>
      <c r="F939" s="18" t="s">
        <v>13</v>
      </c>
      <c r="G939" s="29">
        <v>2</v>
      </c>
      <c r="H939" s="32">
        <f>IF(Prueba[[#This Row],[Cant.]]=0,"",IF(OR(Prueba[[#This Row],[Cant.2]]="",Prueba[[#This Row],[Puesto2]]=""),"?",Prueba[[#This Row],[Puesto2]]))</f>
        <v>6</v>
      </c>
      <c r="I939" s="31">
        <v>2</v>
      </c>
      <c r="J939" s="32">
        <v>6</v>
      </c>
      <c r="K939" s="14">
        <v>1</v>
      </c>
      <c r="L939" s="14"/>
      <c r="M939" s="31">
        <v>1</v>
      </c>
      <c r="N939" s="32">
        <f>IF(Prueba[[#This Row],[Cant.4]]=0,"",IF(OR(Prueba[[#This Row],[Cant.6]]="",Prueba[[#This Row],[Puesto6]]=""),"?",Prueba[[#This Row],[Puesto6]]))</f>
        <v>6</v>
      </c>
      <c r="O939" s="31">
        <v>1</v>
      </c>
      <c r="P939" s="32">
        <f>IF(Prueba[[#This Row],[Cant.5]]=0,"",IF(OR(Prueba[[#This Row],[Cant.6]]="",Prueba[[#This Row],[Puesto6]]=""),"?",Prueba[[#This Row],[Puesto6]]))</f>
        <v>6</v>
      </c>
      <c r="Q939" s="31">
        <v>1</v>
      </c>
      <c r="R939" s="32">
        <v>6</v>
      </c>
      <c r="S939" s="14">
        <v>2</v>
      </c>
      <c r="T939" s="14">
        <v>6</v>
      </c>
      <c r="U939" s="31"/>
      <c r="V939" s="32" t="s">
        <v>1663</v>
      </c>
      <c r="W939" s="19">
        <v>8</v>
      </c>
      <c r="X939" s="19" t="s">
        <v>1664</v>
      </c>
      <c r="Y939" s="19">
        <v>3</v>
      </c>
      <c r="Z939" s="19">
        <v>6</v>
      </c>
      <c r="AA939" s="19">
        <v>3</v>
      </c>
      <c r="AB939" s="19">
        <v>6</v>
      </c>
    </row>
    <row r="940" spans="1:28">
      <c r="A940" s="18" t="s">
        <v>2310</v>
      </c>
      <c r="B940" s="18" t="s">
        <v>1806</v>
      </c>
      <c r="C940" s="18" t="s">
        <v>2311</v>
      </c>
      <c r="D940" s="18" t="s">
        <v>2265</v>
      </c>
      <c r="E940" s="19" t="s">
        <v>1733</v>
      </c>
      <c r="F940" s="18" t="s">
        <v>13</v>
      </c>
      <c r="G940" s="29"/>
      <c r="H940" s="32" t="str">
        <f>IF(Prueba[[#This Row],[Cant.]]=0,"",IF(OR(Prueba[[#This Row],[Cant.2]]="",Prueba[[#This Row],[Puesto2]]=""),"?",Prueba[[#This Row],[Puesto2]]))</f>
        <v/>
      </c>
      <c r="I940" s="31"/>
      <c r="J940" s="32"/>
      <c r="K940" s="14"/>
      <c r="L940" s="14"/>
      <c r="M940" s="31">
        <v>4</v>
      </c>
      <c r="N940" s="32">
        <f>IF(Prueba[[#This Row],[Cant.4]]=0,"",IF(OR(Prueba[[#This Row],[Cant.6]]="",Prueba[[#This Row],[Puesto6]]=""),"?",Prueba[[#This Row],[Puesto6]]))</f>
        <v>2</v>
      </c>
      <c r="O940" s="31"/>
      <c r="P940" s="32"/>
      <c r="Q940" s="31">
        <v>4</v>
      </c>
      <c r="R940" s="32">
        <v>2</v>
      </c>
      <c r="S940" s="14">
        <v>4</v>
      </c>
      <c r="T940" s="14">
        <v>5</v>
      </c>
      <c r="U940" s="31"/>
      <c r="V940" s="32" t="s">
        <v>1663</v>
      </c>
      <c r="W940" s="19">
        <v>32</v>
      </c>
      <c r="X940" s="19" t="s">
        <v>1664</v>
      </c>
      <c r="Y940" s="19" t="s">
        <v>1663</v>
      </c>
      <c r="Z940" s="19" t="s">
        <v>1663</v>
      </c>
      <c r="AA940" s="19" t="s">
        <v>1663</v>
      </c>
      <c r="AB940" s="19" t="s">
        <v>1663</v>
      </c>
    </row>
    <row r="941" spans="1:28">
      <c r="A941" s="18" t="s">
        <v>2312</v>
      </c>
      <c r="B941" s="18" t="s">
        <v>9</v>
      </c>
      <c r="C941" s="18" t="s">
        <v>2313</v>
      </c>
      <c r="D941" s="18" t="s">
        <v>2314</v>
      </c>
      <c r="E941" s="19" t="s">
        <v>22</v>
      </c>
      <c r="F941" s="18" t="s">
        <v>13</v>
      </c>
      <c r="G941" s="29">
        <v>8</v>
      </c>
      <c r="H941" s="32">
        <f>IF(Prueba[[#This Row],[Cant.]]=0,"",IF(OR(Prueba[[#This Row],[Cant.2]]="",Prueba[[#This Row],[Puesto2]]=""),"?",Prueba[[#This Row],[Puesto2]]))</f>
        <v>6</v>
      </c>
      <c r="I941" s="31">
        <v>8</v>
      </c>
      <c r="J941" s="32">
        <v>6</v>
      </c>
      <c r="K941" s="14"/>
      <c r="L941" s="14"/>
      <c r="M941" s="31"/>
      <c r="N941" s="32" t="str">
        <f>IF(Prueba[[#This Row],[Cant.4]]=0,"",IF(OR(Prueba[[#This Row],[Cant.6]]="",Prueba[[#This Row],[Puesto6]]=""),"?",Prueba[[#This Row],[Puesto6]]))</f>
        <v/>
      </c>
      <c r="O941" s="31"/>
      <c r="P941" s="32" t="str">
        <f>IF(Prueba[[#This Row],[Cant.5]]=0,"",IF(OR(Prueba[[#This Row],[Cant.6]]="",Prueba[[#This Row],[Puesto6]]=""),"?",Prueba[[#This Row],[Puesto6]]))</f>
        <v/>
      </c>
      <c r="Q941" s="31"/>
      <c r="R941" s="32"/>
      <c r="S941" s="14"/>
      <c r="T941" s="14"/>
      <c r="U941" s="31"/>
      <c r="V941" s="32" t="s">
        <v>1663</v>
      </c>
      <c r="W941" s="19">
        <v>64</v>
      </c>
      <c r="X941" s="19" t="s">
        <v>1664</v>
      </c>
      <c r="Y941" s="19">
        <v>9</v>
      </c>
      <c r="Z941" s="19">
        <v>6</v>
      </c>
      <c r="AA941" s="19">
        <v>9</v>
      </c>
      <c r="AB941" s="19">
        <v>6</v>
      </c>
    </row>
    <row r="942" spans="1:28">
      <c r="A942" s="18" t="s">
        <v>716</v>
      </c>
      <c r="B942" s="18" t="s">
        <v>9</v>
      </c>
      <c r="C942" s="18" t="s">
        <v>714</v>
      </c>
      <c r="D942" s="18" t="s">
        <v>717</v>
      </c>
      <c r="E942" s="19" t="s">
        <v>22</v>
      </c>
      <c r="F942" s="18" t="s">
        <v>13</v>
      </c>
      <c r="G942" s="29">
        <v>10</v>
      </c>
      <c r="H942" s="32">
        <f>IF(Prueba[[#This Row],[Cant.]]=0,"",IF(OR(Prueba[[#This Row],[Cant.2]]="",Prueba[[#This Row],[Puesto2]]=""),"?",Prueba[[#This Row],[Puesto2]]))</f>
        <v>6</v>
      </c>
      <c r="I942" s="31">
        <v>10</v>
      </c>
      <c r="J942" s="32">
        <v>6</v>
      </c>
      <c r="K942" s="14"/>
      <c r="L942" s="14"/>
      <c r="M942" s="31"/>
      <c r="N942" s="32" t="str">
        <f>IF(Prueba[[#This Row],[Cant.4]]=0,"",IF(OR(Prueba[[#This Row],[Cant.6]]="",Prueba[[#This Row],[Puesto6]]=""),"?",Prueba[[#This Row],[Puesto6]]))</f>
        <v/>
      </c>
      <c r="O942" s="31"/>
      <c r="P942" s="32" t="str">
        <f>IF(Prueba[[#This Row],[Cant.5]]=0,"",IF(OR(Prueba[[#This Row],[Cant.6]]="",Prueba[[#This Row],[Puesto6]]=""),"?",Prueba[[#This Row],[Puesto6]]))</f>
        <v/>
      </c>
      <c r="Q942" s="31"/>
      <c r="R942" s="32"/>
      <c r="S942" s="14"/>
      <c r="T942" s="14"/>
      <c r="U942" s="31"/>
      <c r="V942" s="32" t="s">
        <v>1663</v>
      </c>
      <c r="W942" s="19">
        <v>80</v>
      </c>
      <c r="X942" s="19" t="s">
        <v>1664</v>
      </c>
      <c r="Y942" s="19">
        <v>11</v>
      </c>
      <c r="Z942" s="19">
        <v>6</v>
      </c>
      <c r="AA942" s="19">
        <v>11</v>
      </c>
      <c r="AB942" s="19">
        <v>6</v>
      </c>
    </row>
    <row r="943" spans="1:28">
      <c r="A943" s="18" t="s">
        <v>718</v>
      </c>
      <c r="B943" s="18" t="s">
        <v>9</v>
      </c>
      <c r="C943" s="18" t="s">
        <v>606</v>
      </c>
      <c r="D943" s="18" t="s">
        <v>611</v>
      </c>
      <c r="E943" s="19" t="s">
        <v>22</v>
      </c>
      <c r="F943" s="18" t="s">
        <v>13</v>
      </c>
      <c r="G943" s="29">
        <v>2</v>
      </c>
      <c r="H943" s="32">
        <f>IF(Prueba[[#This Row],[Cant.]]=0,"",IF(OR(Prueba[[#This Row],[Cant.2]]="",Prueba[[#This Row],[Puesto2]]=""),"?",Prueba[[#This Row],[Puesto2]]))</f>
        <v>0</v>
      </c>
      <c r="I943" s="31">
        <v>2</v>
      </c>
      <c r="J943" s="32">
        <v>0</v>
      </c>
      <c r="K943" s="14">
        <v>4</v>
      </c>
      <c r="L943" s="14"/>
      <c r="M943" s="31">
        <v>4</v>
      </c>
      <c r="N943" s="32">
        <f>IF(Prueba[[#This Row],[Cant.4]]=0,"",IF(OR(Prueba[[#This Row],[Cant.6]]="",Prueba[[#This Row],[Puesto6]]=""),"?",Prueba[[#This Row],[Puesto6]]))</f>
        <v>0</v>
      </c>
      <c r="O943" s="31">
        <v>4</v>
      </c>
      <c r="P943" s="32">
        <f>IF(Prueba[[#This Row],[Cant.5]]=0,"",IF(OR(Prueba[[#This Row],[Cant.6]]="",Prueba[[#This Row],[Puesto6]]=""),"?",Prueba[[#This Row],[Puesto6]]))</f>
        <v>0</v>
      </c>
      <c r="Q943" s="31">
        <v>4</v>
      </c>
      <c r="R943" s="32">
        <v>0</v>
      </c>
      <c r="S943" s="14">
        <v>4</v>
      </c>
      <c r="T943" s="14">
        <v>0</v>
      </c>
      <c r="U943" s="31">
        <v>4</v>
      </c>
      <c r="V943" s="32">
        <v>0</v>
      </c>
      <c r="W943" s="19">
        <v>32</v>
      </c>
      <c r="X943" s="19" t="s">
        <v>1664</v>
      </c>
      <c r="Y943" s="19" t="s">
        <v>1663</v>
      </c>
      <c r="Z943" s="19" t="s">
        <v>1663</v>
      </c>
      <c r="AA943" s="19" t="s">
        <v>1663</v>
      </c>
      <c r="AB943" s="19" t="s">
        <v>1663</v>
      </c>
    </row>
    <row r="944" spans="1:28">
      <c r="A944" s="18" t="s">
        <v>719</v>
      </c>
      <c r="B944" s="18" t="s">
        <v>9</v>
      </c>
      <c r="C944" s="18" t="s">
        <v>653</v>
      </c>
      <c r="D944" s="18" t="s">
        <v>673</v>
      </c>
      <c r="E944" s="19" t="s">
        <v>22</v>
      </c>
      <c r="F944" s="18" t="s">
        <v>13</v>
      </c>
      <c r="G944" s="29">
        <v>2</v>
      </c>
      <c r="H944" s="32">
        <f>IF(Prueba[[#This Row],[Cant.]]=0,"",IF(OR(Prueba[[#This Row],[Cant.2]]="",Prueba[[#This Row],[Puesto2]]=""),"?",Prueba[[#This Row],[Puesto2]]))</f>
        <v>3</v>
      </c>
      <c r="I944" s="31">
        <v>2</v>
      </c>
      <c r="J944" s="32">
        <v>3</v>
      </c>
      <c r="K944" s="14"/>
      <c r="L944" s="14"/>
      <c r="M944" s="31"/>
      <c r="N944" s="32" t="str">
        <f>IF(Prueba[[#This Row],[Cant.4]]=0,"",IF(OR(Prueba[[#This Row],[Cant.6]]="",Prueba[[#This Row],[Puesto6]]=""),"?",Prueba[[#This Row],[Puesto6]]))</f>
        <v/>
      </c>
      <c r="O944" s="31"/>
      <c r="P944" s="32" t="str">
        <f>IF(Prueba[[#This Row],[Cant.5]]=0,"",IF(OR(Prueba[[#This Row],[Cant.6]]="",Prueba[[#This Row],[Puesto6]]=""),"?",Prueba[[#This Row],[Puesto6]]))</f>
        <v/>
      </c>
      <c r="Q944" s="31"/>
      <c r="R944" s="32"/>
      <c r="S944" s="14"/>
      <c r="T944" s="14"/>
      <c r="U944" s="31"/>
      <c r="V944" s="32" t="s">
        <v>1663</v>
      </c>
      <c r="W944" s="19">
        <v>16</v>
      </c>
      <c r="X944" s="19" t="s">
        <v>1664</v>
      </c>
      <c r="Y944" s="19">
        <v>3</v>
      </c>
      <c r="Z944" s="19">
        <v>3</v>
      </c>
      <c r="AA944" s="19">
        <v>3</v>
      </c>
      <c r="AB944" s="19">
        <v>3</v>
      </c>
    </row>
    <row r="945" spans="1:28">
      <c r="A945" s="18" t="s">
        <v>720</v>
      </c>
      <c r="B945" s="18" t="s">
        <v>9</v>
      </c>
      <c r="C945" s="18" t="s">
        <v>653</v>
      </c>
      <c r="D945" s="18" t="s">
        <v>673</v>
      </c>
      <c r="E945" s="19" t="s">
        <v>22</v>
      </c>
      <c r="F945" s="18" t="s">
        <v>13</v>
      </c>
      <c r="G945" s="29">
        <v>4</v>
      </c>
      <c r="H945" s="32">
        <f>IF(Prueba[[#This Row],[Cant.]]=0,"",IF(OR(Prueba[[#This Row],[Cant.2]]="",Prueba[[#This Row],[Puesto2]]=""),"?",Prueba[[#This Row],[Puesto2]]))</f>
        <v>3</v>
      </c>
      <c r="I945" s="31">
        <v>4</v>
      </c>
      <c r="J945" s="32">
        <v>3</v>
      </c>
      <c r="K945" s="14"/>
      <c r="L945" s="14"/>
      <c r="M945" s="31"/>
      <c r="N945" s="32" t="str">
        <f>IF(Prueba[[#This Row],[Cant.4]]=0,"",IF(OR(Prueba[[#This Row],[Cant.6]]="",Prueba[[#This Row],[Puesto6]]=""),"?",Prueba[[#This Row],[Puesto6]]))</f>
        <v/>
      </c>
      <c r="O945" s="31"/>
      <c r="P945" s="32" t="str">
        <f>IF(Prueba[[#This Row],[Cant.5]]=0,"",IF(OR(Prueba[[#This Row],[Cant.6]]="",Prueba[[#This Row],[Puesto6]]=""),"?",Prueba[[#This Row],[Puesto6]]))</f>
        <v/>
      </c>
      <c r="Q945" s="31"/>
      <c r="R945" s="32"/>
      <c r="S945" s="14"/>
      <c r="T945" s="14"/>
      <c r="U945" s="31"/>
      <c r="V945" s="32" t="s">
        <v>1663</v>
      </c>
      <c r="W945" s="19">
        <v>32</v>
      </c>
      <c r="X945" s="19" t="s">
        <v>1664</v>
      </c>
      <c r="Y945" s="19">
        <v>5</v>
      </c>
      <c r="Z945" s="19">
        <v>3</v>
      </c>
      <c r="AA945" s="19">
        <v>5</v>
      </c>
      <c r="AB945" s="19">
        <v>3</v>
      </c>
    </row>
    <row r="946" spans="1:28">
      <c r="A946" s="18" t="s">
        <v>721</v>
      </c>
      <c r="B946" s="18" t="s">
        <v>9</v>
      </c>
      <c r="C946" s="18" t="s">
        <v>653</v>
      </c>
      <c r="D946" s="18" t="s">
        <v>722</v>
      </c>
      <c r="E946" s="19" t="s">
        <v>22</v>
      </c>
      <c r="F946" s="18" t="s">
        <v>13</v>
      </c>
      <c r="G946" s="29">
        <v>4</v>
      </c>
      <c r="H946" s="32">
        <f>IF(Prueba[[#This Row],[Cant.]]=0,"",IF(OR(Prueba[[#This Row],[Cant.2]]="",Prueba[[#This Row],[Puesto2]]=""),"?",Prueba[[#This Row],[Puesto2]]))</f>
        <v>3</v>
      </c>
      <c r="I946" s="31">
        <v>4</v>
      </c>
      <c r="J946" s="32">
        <v>3</v>
      </c>
      <c r="K946" s="14"/>
      <c r="L946" s="14"/>
      <c r="M946" s="31"/>
      <c r="N946" s="32" t="str">
        <f>IF(Prueba[[#This Row],[Cant.4]]=0,"",IF(OR(Prueba[[#This Row],[Cant.6]]="",Prueba[[#This Row],[Puesto6]]=""),"?",Prueba[[#This Row],[Puesto6]]))</f>
        <v/>
      </c>
      <c r="O946" s="31"/>
      <c r="P946" s="32" t="str">
        <f>IF(Prueba[[#This Row],[Cant.5]]=0,"",IF(OR(Prueba[[#This Row],[Cant.6]]="",Prueba[[#This Row],[Puesto6]]=""),"?",Prueba[[#This Row],[Puesto6]]))</f>
        <v/>
      </c>
      <c r="Q946" s="31"/>
      <c r="R946" s="32"/>
      <c r="S946" s="14"/>
      <c r="T946" s="14"/>
      <c r="U946" s="31"/>
      <c r="V946" s="32" t="s">
        <v>1663</v>
      </c>
      <c r="W946" s="19">
        <v>32</v>
      </c>
      <c r="X946" s="19" t="s">
        <v>1664</v>
      </c>
      <c r="Y946" s="19">
        <v>5</v>
      </c>
      <c r="Z946" s="19">
        <v>3</v>
      </c>
      <c r="AA946" s="19">
        <v>5</v>
      </c>
      <c r="AB946" s="19">
        <v>3</v>
      </c>
    </row>
    <row r="947" spans="1:28">
      <c r="A947" s="18" t="s">
        <v>723</v>
      </c>
      <c r="B947" s="18" t="s">
        <v>9</v>
      </c>
      <c r="C947" s="18" t="s">
        <v>724</v>
      </c>
      <c r="D947" s="18" t="s">
        <v>725</v>
      </c>
      <c r="E947" s="19" t="s">
        <v>22</v>
      </c>
      <c r="F947" s="18" t="s">
        <v>13</v>
      </c>
      <c r="G947" s="29">
        <v>2</v>
      </c>
      <c r="H947" s="32">
        <f>IF(Prueba[[#This Row],[Cant.]]=0,"",IF(OR(Prueba[[#This Row],[Cant.2]]="",Prueba[[#This Row],[Puesto2]]=""),"?",Prueba[[#This Row],[Puesto2]]))</f>
        <v>3</v>
      </c>
      <c r="I947" s="31">
        <v>2</v>
      </c>
      <c r="J947" s="32">
        <v>3</v>
      </c>
      <c r="K947" s="14"/>
      <c r="L947" s="14"/>
      <c r="M947" s="31"/>
      <c r="N947" s="32" t="str">
        <f>IF(Prueba[[#This Row],[Cant.4]]=0,"",IF(OR(Prueba[[#This Row],[Cant.6]]="",Prueba[[#This Row],[Puesto6]]=""),"?",Prueba[[#This Row],[Puesto6]]))</f>
        <v/>
      </c>
      <c r="O947" s="31"/>
      <c r="P947" s="32" t="str">
        <f>IF(Prueba[[#This Row],[Cant.5]]=0,"",IF(OR(Prueba[[#This Row],[Cant.6]]="",Prueba[[#This Row],[Puesto6]]=""),"?",Prueba[[#This Row],[Puesto6]]))</f>
        <v/>
      </c>
      <c r="Q947" s="31"/>
      <c r="R947" s="32"/>
      <c r="S947" s="14"/>
      <c r="T947" s="14"/>
      <c r="U947" s="31"/>
      <c r="V947" s="32" t="s">
        <v>1663</v>
      </c>
      <c r="W947" s="19">
        <v>16</v>
      </c>
      <c r="X947" s="19" t="s">
        <v>1664</v>
      </c>
      <c r="Y947" s="19">
        <v>3</v>
      </c>
      <c r="Z947" s="19">
        <v>3</v>
      </c>
      <c r="AA947" s="19">
        <v>3</v>
      </c>
      <c r="AB947" s="19">
        <v>3</v>
      </c>
    </row>
    <row r="948" spans="1:28">
      <c r="A948" s="18" t="s">
        <v>726</v>
      </c>
      <c r="B948" s="18" t="s">
        <v>9</v>
      </c>
      <c r="C948" s="18" t="s">
        <v>653</v>
      </c>
      <c r="D948" s="18" t="s">
        <v>727</v>
      </c>
      <c r="E948" s="19" t="s">
        <v>22</v>
      </c>
      <c r="F948" s="18" t="s">
        <v>13</v>
      </c>
      <c r="G948" s="29"/>
      <c r="H948" s="32" t="str">
        <f>IF(Prueba[[#This Row],[Cant.]]=0,"",IF(OR(Prueba[[#This Row],[Cant.2]]="",Prueba[[#This Row],[Puesto2]]=""),"?",Prueba[[#This Row],[Puesto2]]))</f>
        <v/>
      </c>
      <c r="I948" s="31"/>
      <c r="J948" s="32"/>
      <c r="K948" s="14"/>
      <c r="L948" s="14"/>
      <c r="M948" s="31"/>
      <c r="N948" s="32" t="str">
        <f>IF(Prueba[[#This Row],[Cant.4]]=0,"",IF(OR(Prueba[[#This Row],[Cant.6]]="",Prueba[[#This Row],[Puesto6]]=""),"?",Prueba[[#This Row],[Puesto6]]))</f>
        <v/>
      </c>
      <c r="O948" s="31"/>
      <c r="P948" s="32" t="str">
        <f>IF(Prueba[[#This Row],[Cant.5]]=0,"",IF(OR(Prueba[[#This Row],[Cant.6]]="",Prueba[[#This Row],[Puesto6]]=""),"?",Prueba[[#This Row],[Puesto6]]))</f>
        <v/>
      </c>
      <c r="Q948" s="31"/>
      <c r="R948" s="32"/>
      <c r="S948" s="14"/>
      <c r="T948" s="14"/>
      <c r="U948" s="31"/>
      <c r="V948" s="32" t="s">
        <v>1663</v>
      </c>
      <c r="W948" s="19">
        <v>0</v>
      </c>
      <c r="X948" s="19" t="s">
        <v>1664</v>
      </c>
      <c r="Y948" s="19" t="s">
        <v>1663</v>
      </c>
      <c r="Z948" s="19" t="s">
        <v>1663</v>
      </c>
      <c r="AA948" s="19" t="s">
        <v>1663</v>
      </c>
      <c r="AB948" s="19" t="s">
        <v>1663</v>
      </c>
    </row>
    <row r="949" spans="1:28" ht="28.9">
      <c r="A949" s="18" t="s">
        <v>728</v>
      </c>
      <c r="B949" s="18" t="s">
        <v>9</v>
      </c>
      <c r="C949" s="18" t="s">
        <v>580</v>
      </c>
      <c r="D949" s="18" t="s">
        <v>643</v>
      </c>
      <c r="E949" s="19" t="s">
        <v>22</v>
      </c>
      <c r="F949" s="18" t="s">
        <v>13</v>
      </c>
      <c r="G949" s="29">
        <v>28</v>
      </c>
      <c r="H949" s="32" t="str">
        <f>IF(Prueba[[#This Row],[Cant.]]=0,"",IF(OR(Prueba[[#This Row],[Cant.2]]="",Prueba[[#This Row],[Puesto2]]=""),"?",Prueba[[#This Row],[Puesto2]]))</f>
        <v>10x3 + 8xA + 8xB</v>
      </c>
      <c r="I949" s="31">
        <v>28</v>
      </c>
      <c r="J949" s="32" t="s">
        <v>2315</v>
      </c>
      <c r="K949" s="14"/>
      <c r="L949" s="14"/>
      <c r="M949" s="31"/>
      <c r="N949" s="32" t="str">
        <f>IF(Prueba[[#This Row],[Cant.4]]=0,"",IF(OR(Prueba[[#This Row],[Cant.6]]="",Prueba[[#This Row],[Puesto6]]=""),"?",Prueba[[#This Row],[Puesto6]]))</f>
        <v/>
      </c>
      <c r="O949" s="31"/>
      <c r="P949" s="32" t="str">
        <f>IF(Prueba[[#This Row],[Cant.5]]=0,"",IF(OR(Prueba[[#This Row],[Cant.6]]="",Prueba[[#This Row],[Puesto6]]=""),"?",Prueba[[#This Row],[Puesto6]]))</f>
        <v/>
      </c>
      <c r="Q949" s="31"/>
      <c r="R949" s="32"/>
      <c r="S949" s="14"/>
      <c r="T949" s="14"/>
      <c r="U949" s="31"/>
      <c r="V949" s="32" t="s">
        <v>1663</v>
      </c>
      <c r="W949" s="19">
        <v>80</v>
      </c>
      <c r="X949" s="19" t="s">
        <v>1686</v>
      </c>
      <c r="Y949" s="19">
        <v>31</v>
      </c>
      <c r="Z949" s="19" t="s">
        <v>2315</v>
      </c>
      <c r="AA949" s="19">
        <v>31</v>
      </c>
      <c r="AB949" s="19" t="s">
        <v>2315</v>
      </c>
    </row>
    <row r="950" spans="1:28">
      <c r="A950" s="18" t="s">
        <v>729</v>
      </c>
      <c r="B950" s="18" t="s">
        <v>9</v>
      </c>
      <c r="C950" s="18" t="s">
        <v>653</v>
      </c>
      <c r="D950" s="18" t="s">
        <v>722</v>
      </c>
      <c r="E950" s="19" t="s">
        <v>22</v>
      </c>
      <c r="F950" s="18" t="s">
        <v>13</v>
      </c>
      <c r="G950" s="29">
        <v>6</v>
      </c>
      <c r="H950" s="32">
        <f>IF(Prueba[[#This Row],[Cant.]]=0,"",IF(OR(Prueba[[#This Row],[Cant.2]]="",Prueba[[#This Row],[Puesto2]]=""),"?",Prueba[[#This Row],[Puesto2]]))</f>
        <v>3</v>
      </c>
      <c r="I950" s="31">
        <v>6</v>
      </c>
      <c r="J950" s="32">
        <v>3</v>
      </c>
      <c r="K950" s="14"/>
      <c r="L950" s="14"/>
      <c r="M950" s="31"/>
      <c r="N950" s="32" t="str">
        <f>IF(Prueba[[#This Row],[Cant.4]]=0,"",IF(OR(Prueba[[#This Row],[Cant.6]]="",Prueba[[#This Row],[Puesto6]]=""),"?",Prueba[[#This Row],[Puesto6]]))</f>
        <v/>
      </c>
      <c r="O950" s="31"/>
      <c r="P950" s="32" t="str">
        <f>IF(Prueba[[#This Row],[Cant.5]]=0,"",IF(OR(Prueba[[#This Row],[Cant.6]]="",Prueba[[#This Row],[Puesto6]]=""),"?",Prueba[[#This Row],[Puesto6]]))</f>
        <v/>
      </c>
      <c r="Q950" s="31"/>
      <c r="R950" s="32"/>
      <c r="S950" s="14"/>
      <c r="T950" s="14"/>
      <c r="U950" s="31"/>
      <c r="V950" s="32" t="s">
        <v>1663</v>
      </c>
      <c r="W950" s="19">
        <v>24</v>
      </c>
      <c r="X950" s="19" t="s">
        <v>1664</v>
      </c>
      <c r="Y950" s="19">
        <v>7</v>
      </c>
      <c r="Z950" s="19">
        <v>3</v>
      </c>
      <c r="AA950" s="19">
        <v>7</v>
      </c>
      <c r="AB950" s="19">
        <v>3</v>
      </c>
    </row>
    <row r="951" spans="1:28">
      <c r="A951" s="18" t="s">
        <v>730</v>
      </c>
      <c r="B951" s="18" t="s">
        <v>9</v>
      </c>
      <c r="C951" s="18" t="s">
        <v>731</v>
      </c>
      <c r="D951" s="18" t="s">
        <v>732</v>
      </c>
      <c r="E951" s="19" t="s">
        <v>22</v>
      </c>
      <c r="F951" s="18" t="s">
        <v>13</v>
      </c>
      <c r="G951" s="29"/>
      <c r="H951" s="32" t="str">
        <f>IF(Prueba[[#This Row],[Cant.]]=0,"",IF(OR(Prueba[[#This Row],[Cant.2]]="",Prueba[[#This Row],[Puesto2]]=""),"?",Prueba[[#This Row],[Puesto2]]))</f>
        <v/>
      </c>
      <c r="I951" s="31"/>
      <c r="J951" s="32"/>
      <c r="K951" s="14"/>
      <c r="L951" s="14"/>
      <c r="M951" s="31"/>
      <c r="N951" s="32" t="str">
        <f>IF(Prueba[[#This Row],[Cant.4]]=0,"",IF(OR(Prueba[[#This Row],[Cant.6]]="",Prueba[[#This Row],[Puesto6]]=""),"?",Prueba[[#This Row],[Puesto6]]))</f>
        <v/>
      </c>
      <c r="O951" s="31"/>
      <c r="P951" s="32" t="str">
        <f>IF(Prueba[[#This Row],[Cant.5]]=0,"",IF(OR(Prueba[[#This Row],[Cant.6]]="",Prueba[[#This Row],[Puesto6]]=""),"?",Prueba[[#This Row],[Puesto6]]))</f>
        <v/>
      </c>
      <c r="Q951" s="31"/>
      <c r="R951" s="32"/>
      <c r="S951" s="14"/>
      <c r="T951" s="14"/>
      <c r="U951" s="31"/>
      <c r="V951" s="32" t="s">
        <v>1663</v>
      </c>
      <c r="W951" s="19">
        <v>0</v>
      </c>
      <c r="X951" s="19" t="s">
        <v>1664</v>
      </c>
      <c r="Y951" s="19" t="s">
        <v>1663</v>
      </c>
      <c r="Z951" s="19" t="s">
        <v>1663</v>
      </c>
      <c r="AA951" s="19" t="s">
        <v>1663</v>
      </c>
      <c r="AB951" s="19" t="s">
        <v>1663</v>
      </c>
    </row>
    <row r="952" spans="1:28">
      <c r="A952" s="18" t="s">
        <v>733</v>
      </c>
      <c r="B952" s="18" t="s">
        <v>9</v>
      </c>
      <c r="C952" s="18" t="s">
        <v>653</v>
      </c>
      <c r="D952" s="18" t="s">
        <v>606</v>
      </c>
      <c r="E952" s="19" t="s">
        <v>22</v>
      </c>
      <c r="F952" s="18" t="s">
        <v>13</v>
      </c>
      <c r="G952" s="29">
        <v>2</v>
      </c>
      <c r="H952" s="32">
        <f>IF(Prueba[[#This Row],[Cant.]]=0,"",IF(OR(Prueba[[#This Row],[Cant.2]]="",Prueba[[#This Row],[Puesto2]]=""),"?",Prueba[[#This Row],[Puesto2]]))</f>
        <v>3</v>
      </c>
      <c r="I952" s="31">
        <v>2</v>
      </c>
      <c r="J952" s="32">
        <v>3</v>
      </c>
      <c r="K952" s="14"/>
      <c r="L952" s="14"/>
      <c r="M952" s="31"/>
      <c r="N952" s="32" t="str">
        <f>IF(Prueba[[#This Row],[Cant.4]]=0,"",IF(OR(Prueba[[#This Row],[Cant.6]]="",Prueba[[#This Row],[Puesto6]]=""),"?",Prueba[[#This Row],[Puesto6]]))</f>
        <v/>
      </c>
      <c r="O952" s="31"/>
      <c r="P952" s="32" t="str">
        <f>IF(Prueba[[#This Row],[Cant.5]]=0,"",IF(OR(Prueba[[#This Row],[Cant.6]]="",Prueba[[#This Row],[Puesto6]]=""),"?",Prueba[[#This Row],[Puesto6]]))</f>
        <v/>
      </c>
      <c r="Q952" s="31"/>
      <c r="R952" s="32"/>
      <c r="S952" s="14"/>
      <c r="T952" s="14"/>
      <c r="U952" s="31"/>
      <c r="V952" s="32" t="s">
        <v>1663</v>
      </c>
      <c r="W952" s="19">
        <v>16</v>
      </c>
      <c r="X952" s="19" t="s">
        <v>1664</v>
      </c>
      <c r="Y952" s="19">
        <v>3</v>
      </c>
      <c r="Z952" s="19">
        <v>3</v>
      </c>
      <c r="AA952" s="19">
        <v>3</v>
      </c>
      <c r="AB952" s="19">
        <v>3</v>
      </c>
    </row>
    <row r="953" spans="1:28">
      <c r="A953" s="18" t="s">
        <v>734</v>
      </c>
      <c r="B953" s="18" t="s">
        <v>9</v>
      </c>
      <c r="C953" s="18" t="s">
        <v>586</v>
      </c>
      <c r="D953" s="18" t="s">
        <v>735</v>
      </c>
      <c r="E953" s="19" t="s">
        <v>22</v>
      </c>
      <c r="F953" s="18" t="s">
        <v>13</v>
      </c>
      <c r="G953" s="29">
        <v>4</v>
      </c>
      <c r="H953" s="32">
        <f>IF(Prueba[[#This Row],[Cant.]]=0,"",IF(OR(Prueba[[#This Row],[Cant.2]]="",Prueba[[#This Row],[Puesto2]]=""),"?",Prueba[[#This Row],[Puesto2]]))</f>
        <v>5</v>
      </c>
      <c r="I953" s="31">
        <v>4</v>
      </c>
      <c r="J953" s="32">
        <v>5</v>
      </c>
      <c r="K953" s="14"/>
      <c r="L953" s="14"/>
      <c r="M953" s="31"/>
      <c r="N953" s="32" t="str">
        <f>IF(Prueba[[#This Row],[Cant.4]]=0,"",IF(OR(Prueba[[#This Row],[Cant.6]]="",Prueba[[#This Row],[Puesto6]]=""),"?",Prueba[[#This Row],[Puesto6]]))</f>
        <v/>
      </c>
      <c r="O953" s="31"/>
      <c r="P953" s="32" t="str">
        <f>IF(Prueba[[#This Row],[Cant.5]]=0,"",IF(OR(Prueba[[#This Row],[Cant.6]]="",Prueba[[#This Row],[Puesto6]]=""),"?",Prueba[[#This Row],[Puesto6]]))</f>
        <v/>
      </c>
      <c r="Q953" s="31"/>
      <c r="R953" s="32"/>
      <c r="S953" s="14"/>
      <c r="T953" s="14"/>
      <c r="U953" s="31"/>
      <c r="V953" s="32" t="s">
        <v>1663</v>
      </c>
      <c r="W953" s="19">
        <v>32</v>
      </c>
      <c r="X953" s="19" t="s">
        <v>1664</v>
      </c>
      <c r="Y953" s="19">
        <v>5</v>
      </c>
      <c r="Z953" s="19">
        <v>5</v>
      </c>
      <c r="AA953" s="19">
        <v>5</v>
      </c>
      <c r="AB953" s="19">
        <v>5</v>
      </c>
    </row>
    <row r="954" spans="1:28">
      <c r="A954" s="18" t="s">
        <v>736</v>
      </c>
      <c r="B954" s="18" t="s">
        <v>9</v>
      </c>
      <c r="C954" s="18" t="s">
        <v>714</v>
      </c>
      <c r="D954" s="18" t="s">
        <v>737</v>
      </c>
      <c r="E954" s="19" t="s">
        <v>22</v>
      </c>
      <c r="F954" s="18" t="s">
        <v>13</v>
      </c>
      <c r="G954" s="29">
        <v>3</v>
      </c>
      <c r="H954" s="32">
        <f>IF(Prueba[[#This Row],[Cant.]]=0,"",IF(OR(Prueba[[#This Row],[Cant.2]]="",Prueba[[#This Row],[Puesto2]]=""),"?",Prueba[[#This Row],[Puesto2]]))</f>
        <v>6</v>
      </c>
      <c r="I954" s="31">
        <v>3</v>
      </c>
      <c r="J954" s="32">
        <v>6</v>
      </c>
      <c r="K954" s="14"/>
      <c r="L954" s="14"/>
      <c r="M954" s="31"/>
      <c r="N954" s="32" t="str">
        <f>IF(Prueba[[#This Row],[Cant.4]]=0,"",IF(OR(Prueba[[#This Row],[Cant.6]]="",Prueba[[#This Row],[Puesto6]]=""),"?",Prueba[[#This Row],[Puesto6]]))</f>
        <v/>
      </c>
      <c r="O954" s="31"/>
      <c r="P954" s="32" t="str">
        <f>IF(Prueba[[#This Row],[Cant.5]]=0,"",IF(OR(Prueba[[#This Row],[Cant.6]]="",Prueba[[#This Row],[Puesto6]]=""),"?",Prueba[[#This Row],[Puesto6]]))</f>
        <v/>
      </c>
      <c r="Q954" s="31"/>
      <c r="R954" s="32"/>
      <c r="S954" s="14"/>
      <c r="T954" s="14"/>
      <c r="U954" s="31"/>
      <c r="V954" s="32" t="s">
        <v>1663</v>
      </c>
      <c r="W954" s="19">
        <v>24</v>
      </c>
      <c r="X954" s="19" t="s">
        <v>1664</v>
      </c>
      <c r="Y954" s="19">
        <v>4</v>
      </c>
      <c r="Z954" s="19">
        <v>6</v>
      </c>
      <c r="AA954" s="19">
        <v>4</v>
      </c>
      <c r="AB954" s="19">
        <v>6</v>
      </c>
    </row>
    <row r="955" spans="1:28">
      <c r="A955" s="18" t="s">
        <v>738</v>
      </c>
      <c r="B955" s="18" t="s">
        <v>9</v>
      </c>
      <c r="C955" s="18" t="s">
        <v>312</v>
      </c>
      <c r="D955" s="18" t="s">
        <v>739</v>
      </c>
      <c r="E955" s="19" t="s">
        <v>22</v>
      </c>
      <c r="F955" s="18" t="s">
        <v>13</v>
      </c>
      <c r="G955" s="29">
        <v>1</v>
      </c>
      <c r="H955" s="32">
        <f>IF(Prueba[[#This Row],[Cant.]]=0,"",IF(OR(Prueba[[#This Row],[Cant.2]]="",Prueba[[#This Row],[Puesto2]]=""),"?",Prueba[[#This Row],[Puesto2]]))</f>
        <v>0</v>
      </c>
      <c r="I955" s="31">
        <v>1</v>
      </c>
      <c r="J955" s="32">
        <v>0</v>
      </c>
      <c r="K955" s="14">
        <v>4</v>
      </c>
      <c r="L955" s="14"/>
      <c r="M955" s="31">
        <v>4</v>
      </c>
      <c r="N955" s="32">
        <f>IF(Prueba[[#This Row],[Cant.4]]=0,"",IF(OR(Prueba[[#This Row],[Cant.6]]="",Prueba[[#This Row],[Puesto6]]=""),"?",Prueba[[#This Row],[Puesto6]]))</f>
        <v>0</v>
      </c>
      <c r="O955" s="31">
        <v>4</v>
      </c>
      <c r="P955" s="32">
        <f>IF(Prueba[[#This Row],[Cant.5]]=0,"",IF(OR(Prueba[[#This Row],[Cant.6]]="",Prueba[[#This Row],[Puesto6]]=""),"?",Prueba[[#This Row],[Puesto6]]))</f>
        <v>0</v>
      </c>
      <c r="Q955" s="31">
        <v>4</v>
      </c>
      <c r="R955" s="32">
        <v>0</v>
      </c>
      <c r="S955" s="14">
        <v>4</v>
      </c>
      <c r="T955" s="14">
        <v>0</v>
      </c>
      <c r="U955" s="31">
        <v>3</v>
      </c>
      <c r="V955" s="32">
        <v>0</v>
      </c>
      <c r="W955" s="19">
        <v>32</v>
      </c>
      <c r="X955" s="19" t="s">
        <v>1664</v>
      </c>
      <c r="Y955" s="19">
        <v>2</v>
      </c>
      <c r="Z955" s="19">
        <v>0</v>
      </c>
      <c r="AA955" s="19">
        <v>2</v>
      </c>
      <c r="AB955" s="19">
        <v>0</v>
      </c>
    </row>
    <row r="956" spans="1:28">
      <c r="A956" s="18" t="s">
        <v>740</v>
      </c>
      <c r="B956" s="18" t="s">
        <v>9</v>
      </c>
      <c r="C956" s="18" t="s">
        <v>84</v>
      </c>
      <c r="D956" s="18" t="s">
        <v>41</v>
      </c>
      <c r="E956" s="19" t="s">
        <v>308</v>
      </c>
      <c r="F956" s="18" t="s">
        <v>13</v>
      </c>
      <c r="G956" s="29">
        <v>1</v>
      </c>
      <c r="H956" s="32">
        <f>IF(Prueba[[#This Row],[Cant.]]=0,"",IF(OR(Prueba[[#This Row],[Cant.2]]="",Prueba[[#This Row],[Puesto2]]=""),"?",Prueba[[#This Row],[Puesto2]]))</f>
        <v>0</v>
      </c>
      <c r="I956" s="31">
        <v>1</v>
      </c>
      <c r="J956" s="32">
        <v>0</v>
      </c>
      <c r="K956" s="14">
        <v>1</v>
      </c>
      <c r="L956" s="14"/>
      <c r="M956" s="31">
        <v>1</v>
      </c>
      <c r="N956" s="32">
        <f>IF(Prueba[[#This Row],[Cant.4]]=0,"",IF(OR(Prueba[[#This Row],[Cant.6]]="",Prueba[[#This Row],[Puesto6]]=""),"?",Prueba[[#This Row],[Puesto6]]))</f>
        <v>0</v>
      </c>
      <c r="O956" s="31">
        <v>1</v>
      </c>
      <c r="P956" s="32">
        <f>IF(Prueba[[#This Row],[Cant.5]]=0,"",IF(OR(Prueba[[#This Row],[Cant.6]]="",Prueba[[#This Row],[Puesto6]]=""),"?",Prueba[[#This Row],[Puesto6]]))</f>
        <v>0</v>
      </c>
      <c r="Q956" s="31">
        <v>1</v>
      </c>
      <c r="R956" s="32">
        <v>0</v>
      </c>
      <c r="S956" s="14"/>
      <c r="T956" s="14"/>
      <c r="U956" s="31"/>
      <c r="V956" s="32" t="s">
        <v>1663</v>
      </c>
      <c r="W956" s="19"/>
      <c r="X956" s="19" t="s">
        <v>1667</v>
      </c>
      <c r="Y956" s="19" t="s">
        <v>1663</v>
      </c>
      <c r="Z956" s="19" t="s">
        <v>1663</v>
      </c>
      <c r="AA956" s="19" t="s">
        <v>1663</v>
      </c>
      <c r="AB956" s="19" t="s">
        <v>1663</v>
      </c>
    </row>
    <row r="957" spans="1:28">
      <c r="A957" s="18" t="s">
        <v>1211</v>
      </c>
      <c r="B957" s="18" t="s">
        <v>9</v>
      </c>
      <c r="C957" s="18" t="s">
        <v>139</v>
      </c>
      <c r="D957" s="18" t="s">
        <v>1144</v>
      </c>
      <c r="E957" s="19" t="s">
        <v>39</v>
      </c>
      <c r="F957" s="18" t="s">
        <v>13</v>
      </c>
      <c r="G957" s="29"/>
      <c r="H957" s="32" t="str">
        <f>IF(Prueba[[#This Row],[Cant.]]=0,"",IF(OR(Prueba[[#This Row],[Cant.2]]="",Prueba[[#This Row],[Puesto2]]=""),"?",Prueba[[#This Row],[Puesto2]]))</f>
        <v/>
      </c>
      <c r="I957" s="31"/>
      <c r="J957" s="32"/>
      <c r="K957" s="14">
        <v>4</v>
      </c>
      <c r="L957" s="14"/>
      <c r="M957" s="31">
        <v>4</v>
      </c>
      <c r="N957" s="32" t="str">
        <f>IF(Prueba[[#This Row],[Cant.4]]=0,"",IF(OR(Prueba[[#This Row],[Cant.6]]="",Prueba[[#This Row],[Puesto6]]=""),"?",Prueba[[#This Row],[Puesto6]]))</f>
        <v>A</v>
      </c>
      <c r="O957" s="31">
        <v>4</v>
      </c>
      <c r="P957" s="32" t="str">
        <f>IF(Prueba[[#This Row],[Cant.5]]=0,"",IF(OR(Prueba[[#This Row],[Cant.6]]="",Prueba[[#This Row],[Puesto6]]=""),"?",Prueba[[#This Row],[Puesto6]]))</f>
        <v>A</v>
      </c>
      <c r="Q957" s="31">
        <v>4</v>
      </c>
      <c r="R957" s="32" t="s">
        <v>1421</v>
      </c>
      <c r="S957" s="14">
        <v>4</v>
      </c>
      <c r="T957" s="14" t="s">
        <v>1421</v>
      </c>
      <c r="U957" s="31"/>
      <c r="V957" s="32" t="s">
        <v>1663</v>
      </c>
      <c r="W957" s="19"/>
      <c r="X957" s="19" t="s">
        <v>1667</v>
      </c>
      <c r="Y957" s="19" t="s">
        <v>1663</v>
      </c>
      <c r="Z957" s="19" t="s">
        <v>1663</v>
      </c>
      <c r="AA957" s="19" t="s">
        <v>1663</v>
      </c>
      <c r="AB957" s="19" t="s">
        <v>1663</v>
      </c>
    </row>
    <row r="958" spans="1:28">
      <c r="A958" s="18" t="s">
        <v>741</v>
      </c>
      <c r="B958" s="18" t="s">
        <v>9</v>
      </c>
      <c r="C958" s="18" t="s">
        <v>174</v>
      </c>
      <c r="D958" s="18" t="s">
        <v>41</v>
      </c>
      <c r="E958" s="19" t="s">
        <v>18</v>
      </c>
      <c r="F958" s="18" t="s">
        <v>13</v>
      </c>
      <c r="G958" s="29">
        <v>1</v>
      </c>
      <c r="H958" s="32">
        <f>IF(Prueba[[#This Row],[Cant.]]=0,"",IF(OR(Prueba[[#This Row],[Cant.2]]="",Prueba[[#This Row],[Puesto2]]=""),"?",Prueba[[#This Row],[Puesto2]]))</f>
        <v>4</v>
      </c>
      <c r="I958" s="31">
        <v>1</v>
      </c>
      <c r="J958" s="32">
        <v>4</v>
      </c>
      <c r="K958" s="14">
        <v>1</v>
      </c>
      <c r="L958" s="14"/>
      <c r="M958" s="31">
        <v>1</v>
      </c>
      <c r="N958" s="32">
        <f>IF(Prueba[[#This Row],[Cant.4]]=0,"",IF(OR(Prueba[[#This Row],[Cant.6]]="",Prueba[[#This Row],[Puesto6]]=""),"?",Prueba[[#This Row],[Puesto6]]))</f>
        <v>4</v>
      </c>
      <c r="O958" s="31">
        <v>1</v>
      </c>
      <c r="P958" s="32">
        <f>IF(Prueba[[#This Row],[Cant.5]]=0,"",IF(OR(Prueba[[#This Row],[Cant.6]]="",Prueba[[#This Row],[Puesto6]]=""),"?",Prueba[[#This Row],[Puesto6]]))</f>
        <v>4</v>
      </c>
      <c r="Q958" s="31">
        <v>1</v>
      </c>
      <c r="R958" s="32">
        <v>4</v>
      </c>
      <c r="S958" s="14">
        <v>1</v>
      </c>
      <c r="T958" s="14">
        <v>4</v>
      </c>
      <c r="U958" s="31">
        <v>1</v>
      </c>
      <c r="V958" s="32">
        <v>4</v>
      </c>
      <c r="W958" s="19"/>
      <c r="X958" s="19" t="s">
        <v>1667</v>
      </c>
      <c r="Y958" s="19">
        <v>1</v>
      </c>
      <c r="Z958" s="19">
        <v>4</v>
      </c>
      <c r="AA958" s="19">
        <v>1</v>
      </c>
      <c r="AB958" s="19">
        <v>4</v>
      </c>
    </row>
    <row r="959" spans="1:28">
      <c r="A959" s="18" t="s">
        <v>742</v>
      </c>
      <c r="B959" s="18" t="s">
        <v>9</v>
      </c>
      <c r="C959" s="18" t="s">
        <v>586</v>
      </c>
      <c r="D959" s="18" t="s">
        <v>587</v>
      </c>
      <c r="E959" s="19" t="s">
        <v>22</v>
      </c>
      <c r="F959" s="18" t="s">
        <v>13</v>
      </c>
      <c r="G959" s="29">
        <v>8</v>
      </c>
      <c r="H959" s="32">
        <f>IF(Prueba[[#This Row],[Cant.]]=0,"",IF(OR(Prueba[[#This Row],[Cant.2]]="",Prueba[[#This Row],[Puesto2]]=""),"?",Prueba[[#This Row],[Puesto2]]))</f>
        <v>3</v>
      </c>
      <c r="I959" s="31">
        <v>8</v>
      </c>
      <c r="J959" s="32">
        <v>3</v>
      </c>
      <c r="K959" s="14">
        <v>8</v>
      </c>
      <c r="L959" s="14"/>
      <c r="M959" s="31">
        <v>8</v>
      </c>
      <c r="N959" s="32">
        <f>IF(Prueba[[#This Row],[Cant.4]]=0,"",IF(OR(Prueba[[#This Row],[Cant.6]]="",Prueba[[#This Row],[Puesto6]]=""),"?",Prueba[[#This Row],[Puesto6]]))</f>
        <v>3</v>
      </c>
      <c r="O959" s="31">
        <v>8</v>
      </c>
      <c r="P959" s="32">
        <f>IF(Prueba[[#This Row],[Cant.5]]=0,"",IF(OR(Prueba[[#This Row],[Cant.6]]="",Prueba[[#This Row],[Puesto6]]=""),"?",Prueba[[#This Row],[Puesto6]]))</f>
        <v>3</v>
      </c>
      <c r="Q959" s="31">
        <v>8</v>
      </c>
      <c r="R959" s="32">
        <v>3</v>
      </c>
      <c r="S959" s="14">
        <v>4</v>
      </c>
      <c r="T959" s="14">
        <v>3</v>
      </c>
      <c r="U959" s="31">
        <v>8</v>
      </c>
      <c r="V959" s="32">
        <v>3</v>
      </c>
      <c r="W959" s="19">
        <v>64</v>
      </c>
      <c r="X959" s="19" t="s">
        <v>1664</v>
      </c>
      <c r="Y959" s="19">
        <v>9</v>
      </c>
      <c r="Z959" s="19">
        <v>3</v>
      </c>
      <c r="AA959" s="19">
        <v>9</v>
      </c>
      <c r="AB959" s="19">
        <v>3</v>
      </c>
    </row>
    <row r="960" spans="1:28">
      <c r="A960" s="18" t="s">
        <v>1212</v>
      </c>
      <c r="B960" s="18" t="s">
        <v>9</v>
      </c>
      <c r="C960" s="18" t="s">
        <v>174</v>
      </c>
      <c r="D960" s="18" t="s">
        <v>1213</v>
      </c>
      <c r="E960" s="19" t="s">
        <v>39</v>
      </c>
      <c r="F960" s="18" t="s">
        <v>13</v>
      </c>
      <c r="G960" s="29"/>
      <c r="H960" s="32" t="str">
        <f>IF(Prueba[[#This Row],[Cant.]]=0,"",IF(OR(Prueba[[#This Row],[Cant.2]]="",Prueba[[#This Row],[Puesto2]]=""),"?",Prueba[[#This Row],[Puesto2]]))</f>
        <v/>
      </c>
      <c r="I960" s="31"/>
      <c r="J960" s="32"/>
      <c r="K960" s="14">
        <v>2</v>
      </c>
      <c r="L960" s="14"/>
      <c r="M960" s="31">
        <v>2</v>
      </c>
      <c r="N960" s="32" t="str">
        <f>IF(Prueba[[#This Row],[Cant.4]]=0,"",IF(OR(Prueba[[#This Row],[Cant.6]]="",Prueba[[#This Row],[Puesto6]]=""),"?",Prueba[[#This Row],[Puesto6]]))</f>
        <v>A</v>
      </c>
      <c r="O960" s="31">
        <v>2</v>
      </c>
      <c r="P960" s="32" t="str">
        <f>IF(Prueba[[#This Row],[Cant.5]]=0,"",IF(OR(Prueba[[#This Row],[Cant.6]]="",Prueba[[#This Row],[Puesto6]]=""),"?",Prueba[[#This Row],[Puesto6]]))</f>
        <v>A</v>
      </c>
      <c r="Q960" s="31">
        <v>2</v>
      </c>
      <c r="R960" s="32" t="s">
        <v>1421</v>
      </c>
      <c r="S960" s="14"/>
      <c r="T960" s="14"/>
      <c r="U960" s="31">
        <v>2</v>
      </c>
      <c r="V960" s="32" t="s">
        <v>1421</v>
      </c>
      <c r="W960" s="19"/>
      <c r="X960" s="19" t="s">
        <v>1667</v>
      </c>
      <c r="Y960" s="19" t="s">
        <v>1663</v>
      </c>
      <c r="Z960" s="19" t="s">
        <v>1663</v>
      </c>
      <c r="AA960" s="19" t="s">
        <v>1663</v>
      </c>
      <c r="AB960" s="19" t="s">
        <v>1663</v>
      </c>
    </row>
    <row r="961" spans="1:28">
      <c r="A961" s="18" t="s">
        <v>1214</v>
      </c>
      <c r="B961" s="18" t="s">
        <v>9</v>
      </c>
      <c r="C961" s="18" t="s">
        <v>1215</v>
      </c>
      <c r="D961" s="18" t="s">
        <v>1216</v>
      </c>
      <c r="E961" s="19" t="s">
        <v>39</v>
      </c>
      <c r="F961" s="18" t="s">
        <v>13</v>
      </c>
      <c r="G961" s="29"/>
      <c r="H961" s="32" t="str">
        <f>IF(Prueba[[#This Row],[Cant.]]=0,"",IF(OR(Prueba[[#This Row],[Cant.2]]="",Prueba[[#This Row],[Puesto2]]=""),"?",Prueba[[#This Row],[Puesto2]]))</f>
        <v/>
      </c>
      <c r="I961" s="31"/>
      <c r="J961" s="32"/>
      <c r="K961" s="14">
        <v>2</v>
      </c>
      <c r="L961" s="14"/>
      <c r="M961" s="31">
        <v>2</v>
      </c>
      <c r="N961" s="32">
        <f>IF(Prueba[[#This Row],[Cant.4]]=0,"",IF(OR(Prueba[[#This Row],[Cant.6]]="",Prueba[[#This Row],[Puesto6]]=""),"?",Prueba[[#This Row],[Puesto6]]))</f>
        <v>3</v>
      </c>
      <c r="O961" s="31">
        <v>2</v>
      </c>
      <c r="P961" s="32">
        <f>IF(Prueba[[#This Row],[Cant.5]]=0,"",IF(OR(Prueba[[#This Row],[Cant.6]]="",Prueba[[#This Row],[Puesto6]]=""),"?",Prueba[[#This Row],[Puesto6]]))</f>
        <v>3</v>
      </c>
      <c r="Q961" s="31">
        <v>2</v>
      </c>
      <c r="R961" s="32">
        <v>3</v>
      </c>
      <c r="S961" s="14">
        <v>2</v>
      </c>
      <c r="T961" s="14">
        <v>3</v>
      </c>
      <c r="U961" s="31"/>
      <c r="V961" s="32" t="s">
        <v>1663</v>
      </c>
      <c r="W961" s="19"/>
      <c r="X961" s="19" t="s">
        <v>1667</v>
      </c>
      <c r="Y961" s="19" t="s">
        <v>1663</v>
      </c>
      <c r="Z961" s="19" t="s">
        <v>1663</v>
      </c>
      <c r="AA961" s="19" t="s">
        <v>1663</v>
      </c>
      <c r="AB961" s="19" t="s">
        <v>1663</v>
      </c>
    </row>
    <row r="962" spans="1:28">
      <c r="A962" s="18" t="s">
        <v>1217</v>
      </c>
      <c r="B962" s="18" t="s">
        <v>9</v>
      </c>
      <c r="C962" s="18" t="s">
        <v>1215</v>
      </c>
      <c r="D962" s="18" t="s">
        <v>1216</v>
      </c>
      <c r="E962" s="19" t="s">
        <v>39</v>
      </c>
      <c r="F962" s="18" t="s">
        <v>13</v>
      </c>
      <c r="G962" s="29"/>
      <c r="H962" s="32" t="str">
        <f>IF(Prueba[[#This Row],[Cant.]]=0,"",IF(OR(Prueba[[#This Row],[Cant.2]]="",Prueba[[#This Row],[Puesto2]]=""),"?",Prueba[[#This Row],[Puesto2]]))</f>
        <v/>
      </c>
      <c r="I962" s="31"/>
      <c r="J962" s="32"/>
      <c r="K962" s="14">
        <v>2</v>
      </c>
      <c r="L962" s="14"/>
      <c r="M962" s="31">
        <v>2</v>
      </c>
      <c r="N962" s="32">
        <f>IF(Prueba[[#This Row],[Cant.4]]=0,"",IF(OR(Prueba[[#This Row],[Cant.6]]="",Prueba[[#This Row],[Puesto6]]=""),"?",Prueba[[#This Row],[Puesto6]]))</f>
        <v>3</v>
      </c>
      <c r="O962" s="31">
        <v>2</v>
      </c>
      <c r="P962" s="32">
        <f>IF(Prueba[[#This Row],[Cant.5]]=0,"",IF(OR(Prueba[[#This Row],[Cant.6]]="",Prueba[[#This Row],[Puesto6]]=""),"?",Prueba[[#This Row],[Puesto6]]))</f>
        <v>3</v>
      </c>
      <c r="Q962" s="31">
        <v>2</v>
      </c>
      <c r="R962" s="32">
        <v>3</v>
      </c>
      <c r="S962" s="14"/>
      <c r="T962" s="14"/>
      <c r="U962" s="31"/>
      <c r="V962" s="32" t="s">
        <v>1663</v>
      </c>
      <c r="W962" s="19"/>
      <c r="X962" s="19" t="s">
        <v>1667</v>
      </c>
      <c r="Y962" s="19" t="s">
        <v>1663</v>
      </c>
      <c r="Z962" s="19" t="s">
        <v>1663</v>
      </c>
      <c r="AA962" s="19" t="s">
        <v>1663</v>
      </c>
      <c r="AB962" s="19" t="s">
        <v>1663</v>
      </c>
    </row>
    <row r="963" spans="1:28">
      <c r="A963" s="18" t="s">
        <v>1218</v>
      </c>
      <c r="B963" s="18" t="s">
        <v>9</v>
      </c>
      <c r="C963" s="18" t="s">
        <v>586</v>
      </c>
      <c r="D963" s="18" t="s">
        <v>587</v>
      </c>
      <c r="E963" s="19" t="s">
        <v>22</v>
      </c>
      <c r="F963" s="18" t="s">
        <v>13</v>
      </c>
      <c r="G963" s="29"/>
      <c r="H963" s="32" t="str">
        <f>IF(Prueba[[#This Row],[Cant.]]=0,"",IF(OR(Prueba[[#This Row],[Cant.2]]="",Prueba[[#This Row],[Puesto2]]=""),"?",Prueba[[#This Row],[Puesto2]]))</f>
        <v/>
      </c>
      <c r="I963" s="31"/>
      <c r="J963" s="32"/>
      <c r="K963" s="14">
        <v>2</v>
      </c>
      <c r="L963" s="14"/>
      <c r="M963" s="31">
        <v>2</v>
      </c>
      <c r="N963" s="32">
        <f>IF(Prueba[[#This Row],[Cant.4]]=0,"",IF(OR(Prueba[[#This Row],[Cant.6]]="",Prueba[[#This Row],[Puesto6]]=""),"?",Prueba[[#This Row],[Puesto6]]))</f>
        <v>3</v>
      </c>
      <c r="O963" s="31">
        <v>2</v>
      </c>
      <c r="P963" s="32">
        <f>IF(Prueba[[#This Row],[Cant.5]]=0,"",IF(OR(Prueba[[#This Row],[Cant.6]]="",Prueba[[#This Row],[Puesto6]]=""),"?",Prueba[[#This Row],[Puesto6]]))</f>
        <v>3</v>
      </c>
      <c r="Q963" s="31">
        <v>2</v>
      </c>
      <c r="R963" s="32">
        <v>3</v>
      </c>
      <c r="S963" s="14"/>
      <c r="T963" s="14"/>
      <c r="U963" s="31">
        <v>2</v>
      </c>
      <c r="V963" s="32">
        <v>3</v>
      </c>
      <c r="W963" s="19">
        <v>16</v>
      </c>
      <c r="X963" s="19" t="s">
        <v>1664</v>
      </c>
      <c r="Y963" s="19" t="s">
        <v>1663</v>
      </c>
      <c r="Z963" s="19" t="s">
        <v>1663</v>
      </c>
      <c r="AA963" s="19" t="s">
        <v>1663</v>
      </c>
      <c r="AB963" s="19" t="s">
        <v>1663</v>
      </c>
    </row>
    <row r="964" spans="1:28" ht="15.6">
      <c r="A964" s="18" t="s">
        <v>2316</v>
      </c>
      <c r="B964" s="18" t="s">
        <v>9</v>
      </c>
      <c r="C964" s="18" t="s">
        <v>2317</v>
      </c>
      <c r="D964" s="18" t="s">
        <v>2318</v>
      </c>
      <c r="E964" s="92" t="s">
        <v>39</v>
      </c>
      <c r="F964" s="18" t="s">
        <v>13</v>
      </c>
      <c r="G964" s="29"/>
      <c r="H964" s="32" t="str">
        <f>IF(Prueba[[#This Row],[Cant.]]=0,"",IF(OR(Prueba[[#This Row],[Cant.2]]="",Prueba[[#This Row],[Puesto2]]=""),"?",Prueba[[#This Row],[Puesto2]]))</f>
        <v/>
      </c>
      <c r="I964" s="31"/>
      <c r="J964" s="32"/>
      <c r="K964" s="14"/>
      <c r="L964" s="14"/>
      <c r="M964" s="31"/>
      <c r="N964" s="32" t="str">
        <f>IF(Prueba[[#This Row],[Cant.4]]=0,"",IF(OR(Prueba[[#This Row],[Cant.6]]="",Prueba[[#This Row],[Puesto6]]=""),"?",Prueba[[#This Row],[Puesto6]]))</f>
        <v/>
      </c>
      <c r="O964" s="31"/>
      <c r="P964" s="32" t="str">
        <f>IF(Prueba[[#This Row],[Cant.5]]=0,"",IF(OR(Prueba[[#This Row],[Cant.6]]="",Prueba[[#This Row],[Puesto6]]=""),"?",Prueba[[#This Row],[Puesto6]]))</f>
        <v/>
      </c>
      <c r="Q964" s="31"/>
      <c r="R964" s="32"/>
      <c r="S964" s="14">
        <v>2</v>
      </c>
      <c r="T964" s="14" t="s">
        <v>1421</v>
      </c>
      <c r="U964" s="31"/>
      <c r="V964" s="32" t="s">
        <v>1663</v>
      </c>
      <c r="W964" s="19"/>
      <c r="X964" s="19" t="s">
        <v>1667</v>
      </c>
      <c r="Y964" s="19" t="s">
        <v>1663</v>
      </c>
      <c r="Z964" s="19" t="s">
        <v>1663</v>
      </c>
      <c r="AA964" s="19" t="s">
        <v>1663</v>
      </c>
      <c r="AB964" s="19" t="s">
        <v>1663</v>
      </c>
    </row>
    <row r="965" spans="1:28">
      <c r="A965" s="18" t="s">
        <v>1219</v>
      </c>
      <c r="B965" s="18" t="s">
        <v>9</v>
      </c>
      <c r="C965" s="18" t="s">
        <v>136</v>
      </c>
      <c r="D965" s="18" t="s">
        <v>1220</v>
      </c>
      <c r="E965" s="19" t="s">
        <v>39</v>
      </c>
      <c r="F965" s="18" t="s">
        <v>13</v>
      </c>
      <c r="G965" s="29"/>
      <c r="H965" s="32" t="str">
        <f>IF(Prueba[[#This Row],[Cant.]]=0,"",IF(OR(Prueba[[#This Row],[Cant.2]]="",Prueba[[#This Row],[Puesto2]]=""),"?",Prueba[[#This Row],[Puesto2]]))</f>
        <v/>
      </c>
      <c r="I965" s="31"/>
      <c r="J965" s="32"/>
      <c r="K965" s="14">
        <v>2</v>
      </c>
      <c r="L965" s="14"/>
      <c r="M965" s="31">
        <v>2</v>
      </c>
      <c r="N965" s="32" t="str">
        <f>IF(Prueba[[#This Row],[Cant.4]]=0,"",IF(OR(Prueba[[#This Row],[Cant.6]]="",Prueba[[#This Row],[Puesto6]]=""),"?",Prueba[[#This Row],[Puesto6]]))</f>
        <v>A</v>
      </c>
      <c r="O965" s="31">
        <v>2</v>
      </c>
      <c r="P965" s="32" t="str">
        <f>IF(Prueba[[#This Row],[Cant.5]]=0,"",IF(OR(Prueba[[#This Row],[Cant.6]]="",Prueba[[#This Row],[Puesto6]]=""),"?",Prueba[[#This Row],[Puesto6]]))</f>
        <v>A</v>
      </c>
      <c r="Q965" s="31">
        <v>2</v>
      </c>
      <c r="R965" s="32" t="s">
        <v>1421</v>
      </c>
      <c r="S965" s="14">
        <v>2</v>
      </c>
      <c r="T965" s="14" t="s">
        <v>1421</v>
      </c>
      <c r="U965" s="31"/>
      <c r="V965" s="32" t="s">
        <v>1663</v>
      </c>
      <c r="W965" s="19"/>
      <c r="X965" s="19" t="s">
        <v>1667</v>
      </c>
      <c r="Y965" s="19" t="s">
        <v>1663</v>
      </c>
      <c r="Z965" s="19" t="s">
        <v>1663</v>
      </c>
      <c r="AA965" s="19" t="s">
        <v>1663</v>
      </c>
      <c r="AB965" s="19" t="s">
        <v>1663</v>
      </c>
    </row>
    <row r="966" spans="1:28">
      <c r="A966" s="18" t="s">
        <v>1221</v>
      </c>
      <c r="B966" s="18" t="s">
        <v>9</v>
      </c>
      <c r="C966" s="18" t="s">
        <v>753</v>
      </c>
      <c r="D966" s="18" t="s">
        <v>489</v>
      </c>
      <c r="E966" s="19" t="s">
        <v>22</v>
      </c>
      <c r="F966" s="18" t="s">
        <v>13</v>
      </c>
      <c r="G966" s="29"/>
      <c r="H966" s="32" t="str">
        <f>IF(Prueba[[#This Row],[Cant.]]=0,"",IF(OR(Prueba[[#This Row],[Cant.2]]="",Prueba[[#This Row],[Puesto2]]=""),"?",Prueba[[#This Row],[Puesto2]]))</f>
        <v/>
      </c>
      <c r="I966" s="31"/>
      <c r="J966" s="32"/>
      <c r="K966" s="14">
        <v>32</v>
      </c>
      <c r="L966" s="14"/>
      <c r="M966" s="31">
        <v>32</v>
      </c>
      <c r="N966" s="32">
        <f>IF(Prueba[[#This Row],[Cant.4]]=0,"",IF(OR(Prueba[[#This Row],[Cant.6]]="",Prueba[[#This Row],[Puesto6]]=""),"?",Prueba[[#This Row],[Puesto6]]))</f>
        <v>3</v>
      </c>
      <c r="O966" s="31">
        <v>32</v>
      </c>
      <c r="P966" s="32">
        <f>IF(Prueba[[#This Row],[Cant.5]]=0,"",IF(OR(Prueba[[#This Row],[Cant.6]]="",Prueba[[#This Row],[Puesto6]]=""),"?",Prueba[[#This Row],[Puesto6]]))</f>
        <v>3</v>
      </c>
      <c r="Q966" s="31">
        <v>32</v>
      </c>
      <c r="R966" s="32">
        <v>3</v>
      </c>
      <c r="S966" s="14">
        <v>32</v>
      </c>
      <c r="T966" s="14">
        <v>3</v>
      </c>
      <c r="U966" s="31">
        <v>32</v>
      </c>
      <c r="V966" s="32">
        <v>3</v>
      </c>
      <c r="W966" s="19">
        <v>256</v>
      </c>
      <c r="X966" s="19" t="s">
        <v>1664</v>
      </c>
      <c r="Y966" s="19" t="s">
        <v>1663</v>
      </c>
      <c r="Z966" s="19" t="s">
        <v>1663</v>
      </c>
      <c r="AA966" s="19" t="s">
        <v>1663</v>
      </c>
      <c r="AB966" s="19" t="s">
        <v>1663</v>
      </c>
    </row>
    <row r="967" spans="1:28">
      <c r="A967" s="18" t="s">
        <v>1222</v>
      </c>
      <c r="B967" s="18" t="s">
        <v>9</v>
      </c>
      <c r="C967" s="18" t="s">
        <v>312</v>
      </c>
      <c r="D967" s="18" t="s">
        <v>739</v>
      </c>
      <c r="E967" s="19" t="s">
        <v>22</v>
      </c>
      <c r="F967" s="18" t="s">
        <v>13</v>
      </c>
      <c r="G967" s="29"/>
      <c r="H967" s="32" t="str">
        <f>IF(Prueba[[#This Row],[Cant.]]=0,"",IF(OR(Prueba[[#This Row],[Cant.2]]="",Prueba[[#This Row],[Puesto2]]=""),"?",Prueba[[#This Row],[Puesto2]]))</f>
        <v/>
      </c>
      <c r="I967" s="31"/>
      <c r="J967" s="32"/>
      <c r="K967" s="14">
        <v>5</v>
      </c>
      <c r="L967" s="14"/>
      <c r="M967" s="31">
        <v>3</v>
      </c>
      <c r="N967" s="32">
        <f>IF(Prueba[[#This Row],[Cant.4]]=0,"",IF(OR(Prueba[[#This Row],[Cant.6]]="",Prueba[[#This Row],[Puesto6]]=""),"?",Prueba[[#This Row],[Puesto6]]))</f>
        <v>1</v>
      </c>
      <c r="O967" s="31">
        <v>3</v>
      </c>
      <c r="P967" s="32">
        <f>IF(Prueba[[#This Row],[Cant.5]]=0,"",IF(OR(Prueba[[#This Row],[Cant.6]]="",Prueba[[#This Row],[Puesto6]]=""),"?",Prueba[[#This Row],[Puesto6]]))</f>
        <v>1</v>
      </c>
      <c r="Q967" s="31">
        <v>3</v>
      </c>
      <c r="R967" s="32">
        <v>1</v>
      </c>
      <c r="S967" s="14">
        <v>3</v>
      </c>
      <c r="T967" s="14">
        <v>1</v>
      </c>
      <c r="U967" s="31"/>
      <c r="V967" s="32" t="s">
        <v>1663</v>
      </c>
      <c r="W967" s="19">
        <v>24</v>
      </c>
      <c r="X967" s="19" t="s">
        <v>1664</v>
      </c>
      <c r="Y967" s="19" t="s">
        <v>1663</v>
      </c>
      <c r="Z967" s="19" t="s">
        <v>1663</v>
      </c>
      <c r="AA967" s="19" t="s">
        <v>1663</v>
      </c>
      <c r="AB967" s="19" t="s">
        <v>1663</v>
      </c>
    </row>
    <row r="968" spans="1:28">
      <c r="A968" s="18" t="s">
        <v>1223</v>
      </c>
      <c r="B968" s="18" t="s">
        <v>9</v>
      </c>
      <c r="C968" s="18" t="s">
        <v>1224</v>
      </c>
      <c r="D968" s="18" t="s">
        <v>1225</v>
      </c>
      <c r="E968" s="19" t="s">
        <v>22</v>
      </c>
      <c r="F968" s="18" t="s">
        <v>13</v>
      </c>
      <c r="G968" s="29"/>
      <c r="H968" s="32" t="str">
        <f>IF(Prueba[[#This Row],[Cant.]]=0,"",IF(OR(Prueba[[#This Row],[Cant.2]]="",Prueba[[#This Row],[Puesto2]]=""),"?",Prueba[[#This Row],[Puesto2]]))</f>
        <v/>
      </c>
      <c r="I968" s="31"/>
      <c r="J968" s="32"/>
      <c r="K968" s="14">
        <v>2</v>
      </c>
      <c r="L968" s="14"/>
      <c r="M968" s="31">
        <v>2</v>
      </c>
      <c r="N968" s="32">
        <f>IF(Prueba[[#This Row],[Cant.4]]=0,"",IF(OR(Prueba[[#This Row],[Cant.6]]="",Prueba[[#This Row],[Puesto6]]=""),"?",Prueba[[#This Row],[Puesto6]]))</f>
        <v>5</v>
      </c>
      <c r="O968" s="31">
        <v>2</v>
      </c>
      <c r="P968" s="32">
        <f>IF(Prueba[[#This Row],[Cant.5]]=0,"",IF(OR(Prueba[[#This Row],[Cant.6]]="",Prueba[[#This Row],[Puesto6]]=""),"?",Prueba[[#This Row],[Puesto6]]))</f>
        <v>5</v>
      </c>
      <c r="Q968" s="31">
        <v>2</v>
      </c>
      <c r="R968" s="32">
        <v>5</v>
      </c>
      <c r="S968" s="14">
        <v>2</v>
      </c>
      <c r="T968" s="14">
        <v>5</v>
      </c>
      <c r="U968" s="31"/>
      <c r="V968" s="32" t="s">
        <v>1663</v>
      </c>
      <c r="W968" s="19">
        <v>16</v>
      </c>
      <c r="X968" s="19" t="s">
        <v>1664</v>
      </c>
      <c r="Y968" s="19" t="s">
        <v>1663</v>
      </c>
      <c r="Z968" s="19" t="s">
        <v>1663</v>
      </c>
      <c r="AA968" s="19" t="s">
        <v>1663</v>
      </c>
      <c r="AB968" s="19" t="s">
        <v>1663</v>
      </c>
    </row>
    <row r="969" spans="1:28">
      <c r="A969" s="18" t="s">
        <v>1226</v>
      </c>
      <c r="B969" s="18" t="s">
        <v>9</v>
      </c>
      <c r="C969" s="18" t="s">
        <v>1227</v>
      </c>
      <c r="D969" s="18" t="s">
        <v>1228</v>
      </c>
      <c r="E969" s="19" t="s">
        <v>22</v>
      </c>
      <c r="F969" s="18" t="s">
        <v>13</v>
      </c>
      <c r="G969" s="29"/>
      <c r="H969" s="32" t="str">
        <f>IF(Prueba[[#This Row],[Cant.]]=0,"",IF(OR(Prueba[[#This Row],[Cant.2]]="",Prueba[[#This Row],[Puesto2]]=""),"?",Prueba[[#This Row],[Puesto2]]))</f>
        <v/>
      </c>
      <c r="I969" s="31"/>
      <c r="J969" s="32"/>
      <c r="K969" s="14">
        <v>8</v>
      </c>
      <c r="L969" s="14"/>
      <c r="M969" s="31">
        <v>8</v>
      </c>
      <c r="N969" s="32">
        <f>IF(Prueba[[#This Row],[Cant.4]]=0,"",IF(OR(Prueba[[#This Row],[Cant.6]]="",Prueba[[#This Row],[Puesto6]]=""),"?",Prueba[[#This Row],[Puesto6]]))</f>
        <v>3</v>
      </c>
      <c r="O969" s="31">
        <v>8</v>
      </c>
      <c r="P969" s="32">
        <f>IF(Prueba[[#This Row],[Cant.5]]=0,"",IF(OR(Prueba[[#This Row],[Cant.6]]="",Prueba[[#This Row],[Puesto6]]=""),"?",Prueba[[#This Row],[Puesto6]]))</f>
        <v>3</v>
      </c>
      <c r="Q969" s="31">
        <v>8</v>
      </c>
      <c r="R969" s="32">
        <v>3</v>
      </c>
      <c r="S969" s="14">
        <v>8</v>
      </c>
      <c r="T969" s="14">
        <v>3</v>
      </c>
      <c r="U969" s="31"/>
      <c r="V969" s="32" t="s">
        <v>1663</v>
      </c>
      <c r="W969" s="19">
        <v>64</v>
      </c>
      <c r="X969" s="19" t="s">
        <v>1664</v>
      </c>
      <c r="Y969" s="19" t="s">
        <v>1663</v>
      </c>
      <c r="Z969" s="19" t="s">
        <v>1663</v>
      </c>
      <c r="AA969" s="19" t="s">
        <v>1663</v>
      </c>
      <c r="AB969" s="19" t="s">
        <v>1663</v>
      </c>
    </row>
    <row r="970" spans="1:28">
      <c r="A970" s="18" t="s">
        <v>1229</v>
      </c>
      <c r="B970" s="18" t="s">
        <v>9</v>
      </c>
      <c r="C970" s="18" t="s">
        <v>1230</v>
      </c>
      <c r="D970" s="18" t="s">
        <v>506</v>
      </c>
      <c r="E970" s="19" t="s">
        <v>22</v>
      </c>
      <c r="F970" s="18" t="s">
        <v>13</v>
      </c>
      <c r="G970" s="29"/>
      <c r="H970" s="32" t="str">
        <f>IF(Prueba[[#This Row],[Cant.]]=0,"",IF(OR(Prueba[[#This Row],[Cant.2]]="",Prueba[[#This Row],[Puesto2]]=""),"?",Prueba[[#This Row],[Puesto2]]))</f>
        <v/>
      </c>
      <c r="I970" s="31"/>
      <c r="J970" s="32"/>
      <c r="K970" s="14">
        <v>4</v>
      </c>
      <c r="L970" s="14"/>
      <c r="M970" s="31">
        <v>4</v>
      </c>
      <c r="N970" s="32">
        <f>IF(Prueba[[#This Row],[Cant.4]]=0,"",IF(OR(Prueba[[#This Row],[Cant.6]]="",Prueba[[#This Row],[Puesto6]]=""),"?",Prueba[[#This Row],[Puesto6]]))</f>
        <v>3</v>
      </c>
      <c r="O970" s="31">
        <v>4</v>
      </c>
      <c r="P970" s="32">
        <f>IF(Prueba[[#This Row],[Cant.5]]=0,"",IF(OR(Prueba[[#This Row],[Cant.6]]="",Prueba[[#This Row],[Puesto6]]=""),"?",Prueba[[#This Row],[Puesto6]]))</f>
        <v>3</v>
      </c>
      <c r="Q970" s="31">
        <v>4</v>
      </c>
      <c r="R970" s="32">
        <v>3</v>
      </c>
      <c r="S970" s="14">
        <v>4</v>
      </c>
      <c r="T970" s="14">
        <v>3</v>
      </c>
      <c r="U970" s="31">
        <v>4</v>
      </c>
      <c r="V970" s="32">
        <v>3</v>
      </c>
      <c r="W970" s="19">
        <v>32</v>
      </c>
      <c r="X970" s="19" t="s">
        <v>1664</v>
      </c>
      <c r="Y970" s="19" t="s">
        <v>1663</v>
      </c>
      <c r="Z970" s="19" t="s">
        <v>1663</v>
      </c>
      <c r="AA970" s="19" t="s">
        <v>1663</v>
      </c>
      <c r="AB970" s="19" t="s">
        <v>1663</v>
      </c>
    </row>
    <row r="971" spans="1:28">
      <c r="A971" s="18" t="s">
        <v>1231</v>
      </c>
      <c r="B971" s="18" t="s">
        <v>9</v>
      </c>
      <c r="C971" s="18" t="s">
        <v>557</v>
      </c>
      <c r="D971" s="18" t="s">
        <v>558</v>
      </c>
      <c r="E971" s="19" t="s">
        <v>22</v>
      </c>
      <c r="F971" s="18" t="s">
        <v>13</v>
      </c>
      <c r="G971" s="29"/>
      <c r="H971" s="32" t="str">
        <f>IF(Prueba[[#This Row],[Cant.]]=0,"",IF(OR(Prueba[[#This Row],[Cant.2]]="",Prueba[[#This Row],[Puesto2]]=""),"?",Prueba[[#This Row],[Puesto2]]))</f>
        <v/>
      </c>
      <c r="I971" s="31"/>
      <c r="J971" s="32"/>
      <c r="K971" s="14">
        <v>4</v>
      </c>
      <c r="L971" s="14"/>
      <c r="M971" s="31">
        <v>4</v>
      </c>
      <c r="N971" s="32">
        <f>IF(Prueba[[#This Row],[Cant.4]]=0,"",IF(OR(Prueba[[#This Row],[Cant.6]]="",Prueba[[#This Row],[Puesto6]]=""),"?",Prueba[[#This Row],[Puesto6]]))</f>
        <v>6</v>
      </c>
      <c r="O971" s="31">
        <v>4</v>
      </c>
      <c r="P971" s="32">
        <f>IF(Prueba[[#This Row],[Cant.5]]=0,"",IF(OR(Prueba[[#This Row],[Cant.6]]="",Prueba[[#This Row],[Puesto6]]=""),"?",Prueba[[#This Row],[Puesto6]]))</f>
        <v>6</v>
      </c>
      <c r="Q971" s="31">
        <v>4</v>
      </c>
      <c r="R971" s="32">
        <v>6</v>
      </c>
      <c r="S971" s="14">
        <v>4</v>
      </c>
      <c r="T971" s="14">
        <v>6</v>
      </c>
      <c r="U971" s="31"/>
      <c r="V971" s="32" t="s">
        <v>1663</v>
      </c>
      <c r="W971" s="19">
        <v>32</v>
      </c>
      <c r="X971" s="19" t="s">
        <v>1664</v>
      </c>
      <c r="Y971" s="19" t="s">
        <v>1663</v>
      </c>
      <c r="Z971" s="19" t="s">
        <v>1663</v>
      </c>
      <c r="AA971" s="19" t="s">
        <v>1663</v>
      </c>
      <c r="AB971" s="19" t="s">
        <v>1663</v>
      </c>
    </row>
    <row r="972" spans="1:28">
      <c r="A972" s="18" t="s">
        <v>1232</v>
      </c>
      <c r="B972" s="18" t="s">
        <v>9</v>
      </c>
      <c r="C972" s="18" t="s">
        <v>95</v>
      </c>
      <c r="D972" s="18" t="s">
        <v>560</v>
      </c>
      <c r="E972" s="19" t="s">
        <v>12</v>
      </c>
      <c r="F972" s="18" t="s">
        <v>13</v>
      </c>
      <c r="G972" s="29"/>
      <c r="H972" s="32" t="str">
        <f>IF(Prueba[[#This Row],[Cant.]]=0,"",IF(OR(Prueba[[#This Row],[Cant.2]]="",Prueba[[#This Row],[Puesto2]]=""),"?",Prueba[[#This Row],[Puesto2]]))</f>
        <v/>
      </c>
      <c r="I972" s="31"/>
      <c r="J972" s="32"/>
      <c r="K972" s="14">
        <v>4</v>
      </c>
      <c r="L972" s="14"/>
      <c r="M972" s="31">
        <v>4</v>
      </c>
      <c r="N972" s="32" t="str">
        <f>IF(Prueba[[#This Row],[Cant.4]]=0,"",IF(OR(Prueba[[#This Row],[Cant.6]]="",Prueba[[#This Row],[Puesto6]]=""),"?",Prueba[[#This Row],[Puesto6]]))</f>
        <v>D</v>
      </c>
      <c r="O972" s="31">
        <v>2</v>
      </c>
      <c r="P972" s="32" t="str">
        <f>IF(Prueba[[#This Row],[Cant.5]]=0,"",IF(OR(Prueba[[#This Row],[Cant.6]]="",Prueba[[#This Row],[Puesto6]]=""),"?",Prueba[[#This Row],[Puesto6]]))</f>
        <v>D</v>
      </c>
      <c r="Q972" s="31">
        <v>4</v>
      </c>
      <c r="R972" s="32" t="s">
        <v>1399</v>
      </c>
      <c r="S972" s="14">
        <v>4</v>
      </c>
      <c r="T972" s="14" t="s">
        <v>1399</v>
      </c>
      <c r="U972" s="31">
        <v>2</v>
      </c>
      <c r="V972" s="32" t="s">
        <v>1399</v>
      </c>
      <c r="W972" s="19"/>
      <c r="X972" s="19" t="s">
        <v>1667</v>
      </c>
      <c r="Y972" s="19" t="s">
        <v>1663</v>
      </c>
      <c r="Z972" s="19" t="s">
        <v>1663</v>
      </c>
      <c r="AA972" s="19" t="s">
        <v>1663</v>
      </c>
      <c r="AB972" s="19" t="s">
        <v>1663</v>
      </c>
    </row>
    <row r="973" spans="1:28">
      <c r="A973" s="18" t="s">
        <v>1233</v>
      </c>
      <c r="B973" s="18" t="s">
        <v>9</v>
      </c>
      <c r="C973" s="18" t="s">
        <v>197</v>
      </c>
      <c r="D973" s="18" t="s">
        <v>1234</v>
      </c>
      <c r="E973" s="19" t="s">
        <v>39</v>
      </c>
      <c r="F973" s="18" t="s">
        <v>13</v>
      </c>
      <c r="G973" s="29"/>
      <c r="H973" s="32" t="str">
        <f>IF(Prueba[[#This Row],[Cant.]]=0,"",IF(OR(Prueba[[#This Row],[Cant.2]]="",Prueba[[#This Row],[Puesto2]]=""),"?",Prueba[[#This Row],[Puesto2]]))</f>
        <v/>
      </c>
      <c r="I973" s="31"/>
      <c r="J973" s="32"/>
      <c r="K973" s="14">
        <v>2</v>
      </c>
      <c r="L973" s="14"/>
      <c r="M973" s="31">
        <v>2</v>
      </c>
      <c r="N973" s="32" t="str">
        <f>IF(Prueba[[#This Row],[Cant.4]]=0,"",IF(OR(Prueba[[#This Row],[Cant.6]]="",Prueba[[#This Row],[Puesto6]]=""),"?",Prueba[[#This Row],[Puesto6]]))</f>
        <v>A</v>
      </c>
      <c r="O973" s="31">
        <v>2</v>
      </c>
      <c r="P973" s="32" t="str">
        <f>IF(Prueba[[#This Row],[Cant.5]]=0,"",IF(OR(Prueba[[#This Row],[Cant.6]]="",Prueba[[#This Row],[Puesto6]]=""),"?",Prueba[[#This Row],[Puesto6]]))</f>
        <v>A</v>
      </c>
      <c r="Q973" s="31">
        <v>2</v>
      </c>
      <c r="R973" s="32" t="s">
        <v>1421</v>
      </c>
      <c r="S973" s="14"/>
      <c r="T973" s="14"/>
      <c r="U973" s="31"/>
      <c r="V973" s="32" t="s">
        <v>1663</v>
      </c>
      <c r="W973" s="19"/>
      <c r="X973" s="19" t="s">
        <v>1667</v>
      </c>
      <c r="Y973" s="19" t="s">
        <v>1663</v>
      </c>
      <c r="Z973" s="19" t="s">
        <v>1663</v>
      </c>
      <c r="AA973" s="19" t="s">
        <v>1663</v>
      </c>
      <c r="AB973" s="19" t="s">
        <v>1663</v>
      </c>
    </row>
    <row r="974" spans="1:28" ht="28.9">
      <c r="A974" s="18" t="s">
        <v>1235</v>
      </c>
      <c r="B974" s="18" t="s">
        <v>9</v>
      </c>
      <c r="C974" s="18" t="s">
        <v>492</v>
      </c>
      <c r="D974" s="18" t="s">
        <v>1236</v>
      </c>
      <c r="E974" s="19" t="s">
        <v>22</v>
      </c>
      <c r="F974" s="18" t="s">
        <v>13</v>
      </c>
      <c r="G974" s="29"/>
      <c r="H974" s="32" t="str">
        <f>IF(Prueba[[#This Row],[Cant.]]=0,"",IF(OR(Prueba[[#This Row],[Cant.2]]="",Prueba[[#This Row],[Puesto2]]=""),"?",Prueba[[#This Row],[Puesto2]]))</f>
        <v/>
      </c>
      <c r="I974" s="31"/>
      <c r="J974" s="32"/>
      <c r="K974" s="14">
        <v>12</v>
      </c>
      <c r="L974" s="14"/>
      <c r="M974" s="31">
        <v>12</v>
      </c>
      <c r="N974" s="32" t="str">
        <f>IF(Prueba[[#This Row],[Cant.4]]=0,"",IF(OR(Prueba[[#This Row],[Cant.6]]="",Prueba[[#This Row],[Puesto6]]=""),"?",Prueba[[#This Row],[Puesto6]]))</f>
        <v>4x3 + 4x5 + 4xC</v>
      </c>
      <c r="O974" s="31">
        <v>12</v>
      </c>
      <c r="P974" s="32" t="str">
        <f>IF(Prueba[[#This Row],[Cant.5]]=0,"",IF(OR(Prueba[[#This Row],[Cant.6]]="",Prueba[[#This Row],[Puesto6]]=""),"?",Prueba[[#This Row],[Puesto6]]))</f>
        <v>4x3 + 4x5 + 4xC</v>
      </c>
      <c r="Q974" s="31">
        <v>12</v>
      </c>
      <c r="R974" s="32" t="s">
        <v>2319</v>
      </c>
      <c r="S974" s="14">
        <v>8</v>
      </c>
      <c r="T974" s="14" t="s">
        <v>2320</v>
      </c>
      <c r="U974" s="31"/>
      <c r="V974" s="32" t="s">
        <v>1663</v>
      </c>
      <c r="W974" s="19">
        <v>32</v>
      </c>
      <c r="X974" s="19" t="s">
        <v>1664</v>
      </c>
      <c r="Y974" s="19" t="s">
        <v>1663</v>
      </c>
      <c r="Z974" s="19" t="s">
        <v>1663</v>
      </c>
      <c r="AA974" s="19" t="s">
        <v>1663</v>
      </c>
      <c r="AB974" s="19" t="s">
        <v>1663</v>
      </c>
    </row>
    <row r="975" spans="1:28">
      <c r="A975" s="18" t="s">
        <v>743</v>
      </c>
      <c r="B975" s="18" t="s">
        <v>9</v>
      </c>
      <c r="C975" s="18" t="s">
        <v>744</v>
      </c>
      <c r="D975" s="18" t="s">
        <v>745</v>
      </c>
      <c r="E975" s="19" t="s">
        <v>12</v>
      </c>
      <c r="F975" s="18" t="s">
        <v>13</v>
      </c>
      <c r="G975" s="29">
        <v>2</v>
      </c>
      <c r="H975" s="32">
        <f>IF(Prueba[[#This Row],[Cant.]]=0,"",IF(OR(Prueba[[#This Row],[Cant.2]]="",Prueba[[#This Row],[Puesto2]]=""),"?",Prueba[[#This Row],[Puesto2]]))</f>
        <v>0</v>
      </c>
      <c r="I975" s="31">
        <v>2</v>
      </c>
      <c r="J975" s="32">
        <v>0</v>
      </c>
      <c r="K975" s="14"/>
      <c r="L975" s="14"/>
      <c r="M975" s="31"/>
      <c r="N975" s="32" t="str">
        <f>IF(Prueba[[#This Row],[Cant.4]]=0,"",IF(OR(Prueba[[#This Row],[Cant.6]]="",Prueba[[#This Row],[Puesto6]]=""),"?",Prueba[[#This Row],[Puesto6]]))</f>
        <v/>
      </c>
      <c r="O975" s="31"/>
      <c r="P975" s="32" t="str">
        <f>IF(Prueba[[#This Row],[Cant.5]]=0,"",IF(OR(Prueba[[#This Row],[Cant.6]]="",Prueba[[#This Row],[Puesto6]]=""),"?",Prueba[[#This Row],[Puesto6]]))</f>
        <v/>
      </c>
      <c r="Q975" s="31"/>
      <c r="R975" s="32"/>
      <c r="S975" s="14"/>
      <c r="T975" s="14"/>
      <c r="U975" s="31"/>
      <c r="V975" s="32" t="s">
        <v>1663</v>
      </c>
      <c r="W975" s="19"/>
      <c r="X975" s="19" t="s">
        <v>1667</v>
      </c>
      <c r="Y975" s="19">
        <v>2</v>
      </c>
      <c r="Z975" s="19">
        <v>0</v>
      </c>
      <c r="AA975" s="19">
        <v>2</v>
      </c>
      <c r="AB975" s="19">
        <v>0</v>
      </c>
    </row>
    <row r="976" spans="1:28">
      <c r="A976" s="18" t="s">
        <v>746</v>
      </c>
      <c r="B976" s="18" t="s">
        <v>9</v>
      </c>
      <c r="C976" s="18" t="s">
        <v>84</v>
      </c>
      <c r="D976" s="18" t="s">
        <v>41</v>
      </c>
      <c r="E976" s="19" t="s">
        <v>12</v>
      </c>
      <c r="F976" s="18" t="s">
        <v>13</v>
      </c>
      <c r="G976" s="29">
        <v>1</v>
      </c>
      <c r="H976" s="32" t="str">
        <f>IF(Prueba[[#This Row],[Cant.]]=0,"",IF(OR(Prueba[[#This Row],[Cant.2]]="",Prueba[[#This Row],[Puesto2]]=""),"?",Prueba[[#This Row],[Puesto2]]))</f>
        <v>D</v>
      </c>
      <c r="I976" s="31">
        <v>1</v>
      </c>
      <c r="J976" s="32" t="s">
        <v>1399</v>
      </c>
      <c r="K976" s="14">
        <v>1</v>
      </c>
      <c r="L976" s="14"/>
      <c r="M976" s="31">
        <v>1</v>
      </c>
      <c r="N976" s="32" t="str">
        <f>IF(Prueba[[#This Row],[Cant.4]]=0,"",IF(OR(Prueba[[#This Row],[Cant.6]]="",Prueba[[#This Row],[Puesto6]]=""),"?",Prueba[[#This Row],[Puesto6]]))</f>
        <v>D</v>
      </c>
      <c r="O976" s="31">
        <v>1</v>
      </c>
      <c r="P976" s="32" t="str">
        <f>IF(Prueba[[#This Row],[Cant.5]]=0,"",IF(OR(Prueba[[#This Row],[Cant.6]]="",Prueba[[#This Row],[Puesto6]]=""),"?",Prueba[[#This Row],[Puesto6]]))</f>
        <v>D</v>
      </c>
      <c r="Q976" s="31">
        <v>1</v>
      </c>
      <c r="R976" s="32" t="s">
        <v>1399</v>
      </c>
      <c r="S976" s="14">
        <v>1</v>
      </c>
      <c r="T976" s="14" t="s">
        <v>1399</v>
      </c>
      <c r="U976" s="31"/>
      <c r="V976" s="32" t="s">
        <v>1663</v>
      </c>
      <c r="W976" s="19"/>
      <c r="X976" s="19" t="s">
        <v>1667</v>
      </c>
      <c r="Y976" s="19">
        <v>1</v>
      </c>
      <c r="Z976" s="19" t="s">
        <v>1399</v>
      </c>
      <c r="AA976" s="19">
        <v>1</v>
      </c>
      <c r="AB976" s="19" t="s">
        <v>1399</v>
      </c>
    </row>
    <row r="977" spans="1:28">
      <c r="A977" s="18" t="s">
        <v>1237</v>
      </c>
      <c r="B977" s="18" t="s">
        <v>9</v>
      </c>
      <c r="C977" s="18" t="s">
        <v>587</v>
      </c>
      <c r="D977" s="18" t="s">
        <v>587</v>
      </c>
      <c r="E977" s="19" t="s">
        <v>22</v>
      </c>
      <c r="F977" s="18" t="s">
        <v>13</v>
      </c>
      <c r="G977" s="29"/>
      <c r="H977" s="32" t="str">
        <f>IF(Prueba[[#This Row],[Cant.]]=0,"",IF(OR(Prueba[[#This Row],[Cant.2]]="",Prueba[[#This Row],[Puesto2]]=""),"?",Prueba[[#This Row],[Puesto2]]))</f>
        <v/>
      </c>
      <c r="I977" s="31"/>
      <c r="J977" s="32"/>
      <c r="K977" s="14">
        <v>8</v>
      </c>
      <c r="L977" s="14"/>
      <c r="M977" s="31">
        <v>8</v>
      </c>
      <c r="N977" s="32">
        <f>IF(Prueba[[#This Row],[Cant.4]]=0,"",IF(OR(Prueba[[#This Row],[Cant.6]]="",Prueba[[#This Row],[Puesto6]]=""),"?",Prueba[[#This Row],[Puesto6]]))</f>
        <v>0</v>
      </c>
      <c r="O977" s="31">
        <v>8</v>
      </c>
      <c r="P977" s="32">
        <f>IF(Prueba[[#This Row],[Cant.5]]=0,"",IF(OR(Prueba[[#This Row],[Cant.6]]="",Prueba[[#This Row],[Puesto6]]=""),"?",Prueba[[#This Row],[Puesto6]]))</f>
        <v>0</v>
      </c>
      <c r="Q977" s="31">
        <v>8</v>
      </c>
      <c r="R977" s="32">
        <v>0</v>
      </c>
      <c r="S977" s="14"/>
      <c r="T977" s="14"/>
      <c r="U977" s="31"/>
      <c r="V977" s="32" t="s">
        <v>1663</v>
      </c>
      <c r="W977" s="19">
        <v>64</v>
      </c>
      <c r="X977" s="19" t="s">
        <v>1664</v>
      </c>
      <c r="Y977" s="19" t="s">
        <v>1663</v>
      </c>
      <c r="Z977" s="19" t="s">
        <v>1663</v>
      </c>
      <c r="AA977" s="19" t="s">
        <v>1663</v>
      </c>
      <c r="AB977" s="19" t="s">
        <v>1663</v>
      </c>
    </row>
    <row r="978" spans="1:28">
      <c r="A978" s="18" t="s">
        <v>1587</v>
      </c>
      <c r="B978" s="18" t="s">
        <v>9</v>
      </c>
      <c r="C978" s="18" t="s">
        <v>2321</v>
      </c>
      <c r="D978" s="18" t="s">
        <v>2322</v>
      </c>
      <c r="E978" s="19" t="s">
        <v>39</v>
      </c>
      <c r="F978" s="18" t="s">
        <v>13</v>
      </c>
      <c r="G978" s="29"/>
      <c r="H978" s="32" t="str">
        <f>IF(Prueba[[#This Row],[Cant.]]=0,"",IF(OR(Prueba[[#This Row],[Cant.2]]="",Prueba[[#This Row],[Puesto2]]=""),"?",Prueba[[#This Row],[Puesto2]]))</f>
        <v/>
      </c>
      <c r="I978" s="31"/>
      <c r="J978" s="32"/>
      <c r="K978" s="14"/>
      <c r="L978" s="14"/>
      <c r="M978" s="31"/>
      <c r="N978" s="32" t="str">
        <f>IF(Prueba[[#This Row],[Cant.4]]=0,"",IF(OR(Prueba[[#This Row],[Cant.6]]="",Prueba[[#This Row],[Puesto6]]=""),"?",Prueba[[#This Row],[Puesto6]]))</f>
        <v/>
      </c>
      <c r="O978" s="31"/>
      <c r="P978" s="32" t="str">
        <f>IF(Prueba[[#This Row],[Cant.5]]=0,"",IF(OR(Prueba[[#This Row],[Cant.6]]="",Prueba[[#This Row],[Puesto6]]=""),"?",Prueba[[#This Row],[Puesto6]]))</f>
        <v/>
      </c>
      <c r="Q978" s="31"/>
      <c r="R978" s="32"/>
      <c r="S978" s="14"/>
      <c r="T978" s="14"/>
      <c r="U978" s="31">
        <v>2</v>
      </c>
      <c r="V978" s="32" t="s">
        <v>1447</v>
      </c>
      <c r="W978" s="19"/>
      <c r="X978" s="19" t="s">
        <v>1667</v>
      </c>
      <c r="Y978" s="19" t="s">
        <v>1663</v>
      </c>
      <c r="Z978" s="19" t="s">
        <v>1663</v>
      </c>
      <c r="AA978" s="19" t="s">
        <v>1663</v>
      </c>
      <c r="AB978" s="19" t="s">
        <v>1663</v>
      </c>
    </row>
    <row r="979" spans="1:28">
      <c r="A979" s="18" t="s">
        <v>1589</v>
      </c>
      <c r="B979" s="18" t="s">
        <v>9</v>
      </c>
      <c r="C979" s="18" t="s">
        <v>2323</v>
      </c>
      <c r="D979" s="18" t="s">
        <v>2324</v>
      </c>
      <c r="E979" s="19" t="s">
        <v>12</v>
      </c>
      <c r="F979" s="18" t="s">
        <v>13</v>
      </c>
      <c r="G979" s="29"/>
      <c r="H979" s="32" t="str">
        <f>IF(Prueba[[#This Row],[Cant.]]=0,"",IF(OR(Prueba[[#This Row],[Cant.2]]="",Prueba[[#This Row],[Puesto2]]=""),"?",Prueba[[#This Row],[Puesto2]]))</f>
        <v/>
      </c>
      <c r="I979" s="31"/>
      <c r="J979" s="32"/>
      <c r="K979" s="14"/>
      <c r="L979" s="14"/>
      <c r="M979" s="31"/>
      <c r="N979" s="32" t="str">
        <f>IF(Prueba[[#This Row],[Cant.4]]=0,"",IF(OR(Prueba[[#This Row],[Cant.6]]="",Prueba[[#This Row],[Puesto6]]=""),"?",Prueba[[#This Row],[Puesto6]]))</f>
        <v/>
      </c>
      <c r="O979" s="31"/>
      <c r="P979" s="32" t="str">
        <f>IF(Prueba[[#This Row],[Cant.5]]=0,"",IF(OR(Prueba[[#This Row],[Cant.6]]="",Prueba[[#This Row],[Puesto6]]=""),"?",Prueba[[#This Row],[Puesto6]]))</f>
        <v/>
      </c>
      <c r="Q979" s="31"/>
      <c r="R979" s="32"/>
      <c r="S979" s="14"/>
      <c r="T979" s="14"/>
      <c r="U979" s="31">
        <v>2</v>
      </c>
      <c r="V979" s="32">
        <v>3</v>
      </c>
      <c r="W979" s="19"/>
      <c r="X979" s="19" t="s">
        <v>1667</v>
      </c>
      <c r="Y979" s="19" t="s">
        <v>1663</v>
      </c>
      <c r="Z979" s="19" t="s">
        <v>1663</v>
      </c>
      <c r="AA979" s="19" t="s">
        <v>1663</v>
      </c>
      <c r="AB979" s="19" t="s">
        <v>1663</v>
      </c>
    </row>
    <row r="980" spans="1:28">
      <c r="A980" s="18" t="s">
        <v>1591</v>
      </c>
      <c r="B980" s="18" t="s">
        <v>9</v>
      </c>
      <c r="C980" s="18" t="s">
        <v>2061</v>
      </c>
      <c r="D980" s="18" t="s">
        <v>2177</v>
      </c>
      <c r="E980" s="19" t="s">
        <v>39</v>
      </c>
      <c r="F980" s="18" t="s">
        <v>13</v>
      </c>
      <c r="G980" s="29"/>
      <c r="H980" s="32" t="str">
        <f>IF(Prueba[[#This Row],[Cant.]]=0,"",IF(OR(Prueba[[#This Row],[Cant.2]]="",Prueba[[#This Row],[Puesto2]]=""),"?",Prueba[[#This Row],[Puesto2]]))</f>
        <v/>
      </c>
      <c r="I980" s="31"/>
      <c r="J980" s="32"/>
      <c r="K980" s="14"/>
      <c r="L980" s="14"/>
      <c r="M980" s="31"/>
      <c r="N980" s="32" t="str">
        <f>IF(Prueba[[#This Row],[Cant.4]]=0,"",IF(OR(Prueba[[#This Row],[Cant.6]]="",Prueba[[#This Row],[Puesto6]]=""),"?",Prueba[[#This Row],[Puesto6]]))</f>
        <v/>
      </c>
      <c r="O980" s="31"/>
      <c r="P980" s="32" t="str">
        <f>IF(Prueba[[#This Row],[Cant.5]]=0,"",IF(OR(Prueba[[#This Row],[Cant.6]]="",Prueba[[#This Row],[Puesto6]]=""),"?",Prueba[[#This Row],[Puesto6]]))</f>
        <v/>
      </c>
      <c r="Q980" s="31"/>
      <c r="R980" s="32"/>
      <c r="S980" s="14"/>
      <c r="T980" s="14"/>
      <c r="U980" s="31">
        <v>1</v>
      </c>
      <c r="V980" s="32" t="s">
        <v>1447</v>
      </c>
      <c r="W980" s="19"/>
      <c r="X980" s="19" t="s">
        <v>1667</v>
      </c>
      <c r="Y980" s="19" t="s">
        <v>1663</v>
      </c>
      <c r="Z980" s="19" t="s">
        <v>1663</v>
      </c>
      <c r="AA980" s="19" t="s">
        <v>1663</v>
      </c>
      <c r="AB980" s="19" t="s">
        <v>1663</v>
      </c>
    </row>
    <row r="981" spans="1:28">
      <c r="A981" s="18" t="s">
        <v>1592</v>
      </c>
      <c r="B981" s="18" t="s">
        <v>9</v>
      </c>
      <c r="C981" s="18" t="s">
        <v>2061</v>
      </c>
      <c r="D981" s="18" t="s">
        <v>2177</v>
      </c>
      <c r="E981" s="19" t="s">
        <v>39</v>
      </c>
      <c r="F981" s="18" t="s">
        <v>13</v>
      </c>
      <c r="G981" s="29"/>
      <c r="H981" s="32" t="str">
        <f>IF(Prueba[[#This Row],[Cant.]]=0,"",IF(OR(Prueba[[#This Row],[Cant.2]]="",Prueba[[#This Row],[Puesto2]]=""),"?",Prueba[[#This Row],[Puesto2]]))</f>
        <v/>
      </c>
      <c r="I981" s="31"/>
      <c r="J981" s="32"/>
      <c r="K981" s="14"/>
      <c r="L981" s="14"/>
      <c r="M981" s="31"/>
      <c r="N981" s="32" t="str">
        <f>IF(Prueba[[#This Row],[Cant.4]]=0,"",IF(OR(Prueba[[#This Row],[Cant.6]]="",Prueba[[#This Row],[Puesto6]]=""),"?",Prueba[[#This Row],[Puesto6]]))</f>
        <v/>
      </c>
      <c r="O981" s="31"/>
      <c r="P981" s="32" t="str">
        <f>IF(Prueba[[#This Row],[Cant.5]]=0,"",IF(OR(Prueba[[#This Row],[Cant.6]]="",Prueba[[#This Row],[Puesto6]]=""),"?",Prueba[[#This Row],[Puesto6]]))</f>
        <v/>
      </c>
      <c r="Q981" s="31"/>
      <c r="R981" s="32"/>
      <c r="S981" s="14"/>
      <c r="T981" s="14"/>
      <c r="U981" s="31">
        <v>1</v>
      </c>
      <c r="V981" s="32" t="s">
        <v>1447</v>
      </c>
      <c r="W981" s="19"/>
      <c r="X981" s="19" t="s">
        <v>1667</v>
      </c>
      <c r="Y981" s="19" t="s">
        <v>1663</v>
      </c>
      <c r="Z981" s="19" t="s">
        <v>1663</v>
      </c>
      <c r="AA981" s="19" t="s">
        <v>1663</v>
      </c>
      <c r="AB981" s="19" t="s">
        <v>1663</v>
      </c>
    </row>
    <row r="982" spans="1:28">
      <c r="A982" s="18" t="s">
        <v>1593</v>
      </c>
      <c r="B982" s="18" t="s">
        <v>9</v>
      </c>
      <c r="C982" s="18" t="s">
        <v>2325</v>
      </c>
      <c r="D982" s="18" t="s">
        <v>2326</v>
      </c>
      <c r="E982" s="19" t="s">
        <v>39</v>
      </c>
      <c r="F982" s="18" t="s">
        <v>13</v>
      </c>
      <c r="G982" s="29"/>
      <c r="H982" s="32" t="str">
        <f>IF(Prueba[[#This Row],[Cant.]]=0,"",IF(OR(Prueba[[#This Row],[Cant.2]]="",Prueba[[#This Row],[Puesto2]]=""),"?",Prueba[[#This Row],[Puesto2]]))</f>
        <v/>
      </c>
      <c r="I982" s="31"/>
      <c r="J982" s="32"/>
      <c r="K982" s="14"/>
      <c r="L982" s="14"/>
      <c r="M982" s="31"/>
      <c r="N982" s="32" t="str">
        <f>IF(Prueba[[#This Row],[Cant.4]]=0,"",IF(OR(Prueba[[#This Row],[Cant.6]]="",Prueba[[#This Row],[Puesto6]]=""),"?",Prueba[[#This Row],[Puesto6]]))</f>
        <v/>
      </c>
      <c r="O982" s="31"/>
      <c r="P982" s="32" t="str">
        <f>IF(Prueba[[#This Row],[Cant.5]]=0,"",IF(OR(Prueba[[#This Row],[Cant.6]]="",Prueba[[#This Row],[Puesto6]]=""),"?",Prueba[[#This Row],[Puesto6]]))</f>
        <v/>
      </c>
      <c r="Q982" s="31"/>
      <c r="R982" s="32"/>
      <c r="S982" s="14"/>
      <c r="T982" s="14"/>
      <c r="U982" s="31">
        <v>1</v>
      </c>
      <c r="V982" s="32">
        <v>1</v>
      </c>
      <c r="W982" s="19"/>
      <c r="X982" s="19" t="s">
        <v>1667</v>
      </c>
      <c r="Y982" s="19" t="s">
        <v>1663</v>
      </c>
      <c r="Z982" s="19" t="s">
        <v>1663</v>
      </c>
      <c r="AA982" s="19" t="s">
        <v>1663</v>
      </c>
      <c r="AB982" s="19" t="s">
        <v>1663</v>
      </c>
    </row>
    <row r="983" spans="1:28">
      <c r="A983" s="18" t="s">
        <v>1595</v>
      </c>
      <c r="B983" s="18" t="s">
        <v>9</v>
      </c>
      <c r="C983" s="18" t="s">
        <v>2327</v>
      </c>
      <c r="D983" s="18" t="s">
        <v>2328</v>
      </c>
      <c r="E983" s="19" t="s">
        <v>18</v>
      </c>
      <c r="F983" s="18" t="s">
        <v>13</v>
      </c>
      <c r="G983" s="29"/>
      <c r="H983" s="32" t="str">
        <f>IF(Prueba[[#This Row],[Cant.]]=0,"",IF(OR(Prueba[[#This Row],[Cant.2]]="",Prueba[[#This Row],[Puesto2]]=""),"?",Prueba[[#This Row],[Puesto2]]))</f>
        <v/>
      </c>
      <c r="I983" s="31"/>
      <c r="J983" s="32"/>
      <c r="K983" s="14"/>
      <c r="L983" s="14"/>
      <c r="M983" s="31"/>
      <c r="N983" s="32" t="str">
        <f>IF(Prueba[[#This Row],[Cant.4]]=0,"",IF(OR(Prueba[[#This Row],[Cant.6]]="",Prueba[[#This Row],[Puesto6]]=""),"?",Prueba[[#This Row],[Puesto6]]))</f>
        <v/>
      </c>
      <c r="O983" s="31"/>
      <c r="P983" s="32" t="str">
        <f>IF(Prueba[[#This Row],[Cant.5]]=0,"",IF(OR(Prueba[[#This Row],[Cant.6]]="",Prueba[[#This Row],[Puesto6]]=""),"?",Prueba[[#This Row],[Puesto6]]))</f>
        <v/>
      </c>
      <c r="Q983" s="31"/>
      <c r="R983" s="32"/>
      <c r="S983" s="14"/>
      <c r="T983" s="14"/>
      <c r="U983" s="31">
        <v>1</v>
      </c>
      <c r="V983" s="32">
        <v>0</v>
      </c>
      <c r="W983" s="19"/>
      <c r="X983" s="19" t="s">
        <v>1667</v>
      </c>
      <c r="Y983" s="19" t="s">
        <v>1663</v>
      </c>
      <c r="Z983" s="19" t="s">
        <v>1663</v>
      </c>
      <c r="AA983" s="19" t="s">
        <v>1663</v>
      </c>
      <c r="AB983" s="19" t="s">
        <v>1663</v>
      </c>
    </row>
    <row r="984" spans="1:28">
      <c r="A984" s="18" t="s">
        <v>1597</v>
      </c>
      <c r="B984" s="18" t="s">
        <v>9</v>
      </c>
      <c r="C984" s="18" t="s">
        <v>2323</v>
      </c>
      <c r="D984" s="18" t="s">
        <v>2324</v>
      </c>
      <c r="E984" s="19" t="s">
        <v>39</v>
      </c>
      <c r="F984" s="18" t="s">
        <v>13</v>
      </c>
      <c r="G984" s="29"/>
      <c r="H984" s="32" t="str">
        <f>IF(Prueba[[#This Row],[Cant.]]=0,"",IF(OR(Prueba[[#This Row],[Cant.2]]="",Prueba[[#This Row],[Puesto2]]=""),"?",Prueba[[#This Row],[Puesto2]]))</f>
        <v/>
      </c>
      <c r="I984" s="31"/>
      <c r="J984" s="32"/>
      <c r="K984" s="14"/>
      <c r="L984" s="14"/>
      <c r="M984" s="31"/>
      <c r="N984" s="32" t="str">
        <f>IF(Prueba[[#This Row],[Cant.4]]=0,"",IF(OR(Prueba[[#This Row],[Cant.6]]="",Prueba[[#This Row],[Puesto6]]=""),"?",Prueba[[#This Row],[Puesto6]]))</f>
        <v/>
      </c>
      <c r="O984" s="31"/>
      <c r="P984" s="32" t="str">
        <f>IF(Prueba[[#This Row],[Cant.5]]=0,"",IF(OR(Prueba[[#This Row],[Cant.6]]="",Prueba[[#This Row],[Puesto6]]=""),"?",Prueba[[#This Row],[Puesto6]]))</f>
        <v/>
      </c>
      <c r="Q984" s="31"/>
      <c r="R984" s="32"/>
      <c r="S984" s="14"/>
      <c r="T984" s="14"/>
      <c r="U984" s="31">
        <v>2</v>
      </c>
      <c r="V984" s="32">
        <v>3</v>
      </c>
      <c r="W984" s="19"/>
      <c r="X984" s="19" t="s">
        <v>1667</v>
      </c>
      <c r="Y984" s="19" t="s">
        <v>1663</v>
      </c>
      <c r="Z984" s="19" t="s">
        <v>1663</v>
      </c>
      <c r="AA984" s="19" t="s">
        <v>1663</v>
      </c>
      <c r="AB984" s="19" t="s">
        <v>1663</v>
      </c>
    </row>
    <row r="985" spans="1:28">
      <c r="A985" s="18" t="s">
        <v>1238</v>
      </c>
      <c r="B985" s="18" t="s">
        <v>9</v>
      </c>
      <c r="C985" s="18" t="s">
        <v>557</v>
      </c>
      <c r="D985" s="18" t="s">
        <v>558</v>
      </c>
      <c r="E985" s="19" t="s">
        <v>22</v>
      </c>
      <c r="F985" s="18" t="s">
        <v>13</v>
      </c>
      <c r="G985" s="29"/>
      <c r="H985" s="32" t="str">
        <f>IF(Prueba[[#This Row],[Cant.]]=0,"",IF(OR(Prueba[[#This Row],[Cant.2]]="",Prueba[[#This Row],[Puesto2]]=""),"?",Prueba[[#This Row],[Puesto2]]))</f>
        <v/>
      </c>
      <c r="I985" s="31"/>
      <c r="J985" s="32"/>
      <c r="K985" s="14">
        <v>2</v>
      </c>
      <c r="L985" s="14"/>
      <c r="M985" s="31">
        <v>2</v>
      </c>
      <c r="N985" s="32">
        <f>IF(Prueba[[#This Row],[Cant.4]]=0,"",IF(OR(Prueba[[#This Row],[Cant.6]]="",Prueba[[#This Row],[Puesto6]]=""),"?",Prueba[[#This Row],[Puesto6]]))</f>
        <v>3</v>
      </c>
      <c r="O985" s="31">
        <v>2</v>
      </c>
      <c r="P985" s="32">
        <f>IF(Prueba[[#This Row],[Cant.5]]=0,"",IF(OR(Prueba[[#This Row],[Cant.6]]="",Prueba[[#This Row],[Puesto6]]=""),"?",Prueba[[#This Row],[Puesto6]]))</f>
        <v>3</v>
      </c>
      <c r="Q985" s="31">
        <v>2</v>
      </c>
      <c r="R985" s="32">
        <v>3</v>
      </c>
      <c r="S985" s="14"/>
      <c r="T985" s="14"/>
      <c r="U985" s="31">
        <v>2</v>
      </c>
      <c r="V985" s="32">
        <v>3</v>
      </c>
      <c r="W985" s="19">
        <v>16</v>
      </c>
      <c r="X985" s="19" t="s">
        <v>1664</v>
      </c>
      <c r="Y985" s="19" t="s">
        <v>1663</v>
      </c>
      <c r="Z985" s="19" t="s">
        <v>1663</v>
      </c>
      <c r="AA985" s="19" t="s">
        <v>1663</v>
      </c>
      <c r="AB985" s="19" t="s">
        <v>1663</v>
      </c>
    </row>
    <row r="986" spans="1:28">
      <c r="A986" s="18" t="s">
        <v>1598</v>
      </c>
      <c r="B986" s="18" t="s">
        <v>9</v>
      </c>
      <c r="C986" s="18" t="s">
        <v>2329</v>
      </c>
      <c r="D986" s="18" t="s">
        <v>2330</v>
      </c>
      <c r="E986" s="19" t="s">
        <v>12</v>
      </c>
      <c r="F986" s="18" t="s">
        <v>13</v>
      </c>
      <c r="G986" s="29"/>
      <c r="H986" s="32" t="str">
        <f>IF(Prueba[[#This Row],[Cant.]]=0,"",IF(OR(Prueba[[#This Row],[Cant.2]]="",Prueba[[#This Row],[Puesto2]]=""),"?",Prueba[[#This Row],[Puesto2]]))</f>
        <v/>
      </c>
      <c r="I986" s="31"/>
      <c r="J986" s="32"/>
      <c r="K986" s="14"/>
      <c r="L986" s="14"/>
      <c r="M986" s="31"/>
      <c r="N986" s="32" t="str">
        <f>IF(Prueba[[#This Row],[Cant.4]]=0,"",IF(OR(Prueba[[#This Row],[Cant.6]]="",Prueba[[#This Row],[Puesto6]]=""),"?",Prueba[[#This Row],[Puesto6]]))</f>
        <v/>
      </c>
      <c r="O986" s="31"/>
      <c r="P986" s="32" t="str">
        <f>IF(Prueba[[#This Row],[Cant.5]]=0,"",IF(OR(Prueba[[#This Row],[Cant.6]]="",Prueba[[#This Row],[Puesto6]]=""),"?",Prueba[[#This Row],[Puesto6]]))</f>
        <v/>
      </c>
      <c r="Q986" s="31"/>
      <c r="R986" s="32"/>
      <c r="S986" s="14"/>
      <c r="T986" s="14"/>
      <c r="U986" s="31">
        <v>4</v>
      </c>
      <c r="V986" s="32" t="s">
        <v>1421</v>
      </c>
      <c r="W986" s="19"/>
      <c r="X986" s="19" t="s">
        <v>1667</v>
      </c>
      <c r="Y986" s="19" t="s">
        <v>1663</v>
      </c>
      <c r="Z986" s="19" t="s">
        <v>1663</v>
      </c>
      <c r="AA986" s="19" t="s">
        <v>1663</v>
      </c>
      <c r="AB986" s="19" t="s">
        <v>1663</v>
      </c>
    </row>
    <row r="987" spans="1:28">
      <c r="A987" s="18" t="s">
        <v>1600</v>
      </c>
      <c r="B987" s="18" t="s">
        <v>9</v>
      </c>
      <c r="C987" s="18" t="s">
        <v>2331</v>
      </c>
      <c r="D987" s="18" t="s">
        <v>2085</v>
      </c>
      <c r="E987" s="19" t="s">
        <v>39</v>
      </c>
      <c r="F987" s="18" t="s">
        <v>13</v>
      </c>
      <c r="G987" s="29"/>
      <c r="H987" s="32" t="str">
        <f>IF(Prueba[[#This Row],[Cant.]]=0,"",IF(OR(Prueba[[#This Row],[Cant.2]]="",Prueba[[#This Row],[Puesto2]]=""),"?",Prueba[[#This Row],[Puesto2]]))</f>
        <v/>
      </c>
      <c r="I987" s="31"/>
      <c r="J987" s="32"/>
      <c r="K987" s="14"/>
      <c r="L987" s="14"/>
      <c r="M987" s="31"/>
      <c r="N987" s="32" t="str">
        <f>IF(Prueba[[#This Row],[Cant.4]]=0,"",IF(OR(Prueba[[#This Row],[Cant.6]]="",Prueba[[#This Row],[Puesto6]]=""),"?",Prueba[[#This Row],[Puesto6]]))</f>
        <v/>
      </c>
      <c r="O987" s="31"/>
      <c r="P987" s="32" t="str">
        <f>IF(Prueba[[#This Row],[Cant.5]]=0,"",IF(OR(Prueba[[#This Row],[Cant.6]]="",Prueba[[#This Row],[Puesto6]]=""),"?",Prueba[[#This Row],[Puesto6]]))</f>
        <v/>
      </c>
      <c r="Q987" s="31"/>
      <c r="R987" s="32"/>
      <c r="S987" s="14"/>
      <c r="T987" s="14"/>
      <c r="U987" s="31">
        <v>2</v>
      </c>
      <c r="V987" s="32" t="s">
        <v>1421</v>
      </c>
      <c r="W987" s="19"/>
      <c r="X987" s="19" t="s">
        <v>1667</v>
      </c>
      <c r="Y987" s="19" t="s">
        <v>1663</v>
      </c>
      <c r="Z987" s="19" t="s">
        <v>1663</v>
      </c>
      <c r="AA987" s="19" t="s">
        <v>1663</v>
      </c>
      <c r="AB987" s="19" t="s">
        <v>1663</v>
      </c>
    </row>
    <row r="988" spans="1:28">
      <c r="A988" s="18" t="s">
        <v>1602</v>
      </c>
      <c r="B988" s="18" t="s">
        <v>9</v>
      </c>
      <c r="C988" s="18" t="s">
        <v>2332</v>
      </c>
      <c r="D988" s="18" t="s">
        <v>2333</v>
      </c>
      <c r="E988" s="19" t="s">
        <v>39</v>
      </c>
      <c r="F988" s="18" t="s">
        <v>13</v>
      </c>
      <c r="G988" s="29"/>
      <c r="H988" s="32" t="str">
        <f>IF(Prueba[[#This Row],[Cant.]]=0,"",IF(OR(Prueba[[#This Row],[Cant.2]]="",Prueba[[#This Row],[Puesto2]]=""),"?",Prueba[[#This Row],[Puesto2]]))</f>
        <v/>
      </c>
      <c r="I988" s="31"/>
      <c r="J988" s="32"/>
      <c r="K988" s="14"/>
      <c r="L988" s="14"/>
      <c r="M988" s="31"/>
      <c r="N988" s="32" t="str">
        <f>IF(Prueba[[#This Row],[Cant.4]]=0,"",IF(OR(Prueba[[#This Row],[Cant.6]]="",Prueba[[#This Row],[Puesto6]]=""),"?",Prueba[[#This Row],[Puesto6]]))</f>
        <v/>
      </c>
      <c r="O988" s="31"/>
      <c r="P988" s="32" t="str">
        <f>IF(Prueba[[#This Row],[Cant.5]]=0,"",IF(OR(Prueba[[#This Row],[Cant.6]]="",Prueba[[#This Row],[Puesto6]]=""),"?",Prueba[[#This Row],[Puesto6]]))</f>
        <v/>
      </c>
      <c r="Q988" s="31"/>
      <c r="R988" s="32"/>
      <c r="S988" s="14"/>
      <c r="T988" s="14"/>
      <c r="U988" s="31">
        <v>1</v>
      </c>
      <c r="V988" s="32" t="s">
        <v>1421</v>
      </c>
      <c r="W988" s="19"/>
      <c r="X988" s="19" t="s">
        <v>1667</v>
      </c>
      <c r="Y988" s="19" t="s">
        <v>1663</v>
      </c>
      <c r="Z988" s="19" t="s">
        <v>1663</v>
      </c>
      <c r="AA988" s="19" t="s">
        <v>1663</v>
      </c>
      <c r="AB988" s="19" t="s">
        <v>1663</v>
      </c>
    </row>
    <row r="989" spans="1:28">
      <c r="A989" s="18" t="s">
        <v>1604</v>
      </c>
      <c r="B989" s="18" t="s">
        <v>9</v>
      </c>
      <c r="C989" s="18" t="s">
        <v>2332</v>
      </c>
      <c r="D989" s="18" t="s">
        <v>2333</v>
      </c>
      <c r="E989" s="19" t="s">
        <v>39</v>
      </c>
      <c r="F989" s="18" t="s">
        <v>13</v>
      </c>
      <c r="G989" s="29"/>
      <c r="H989" s="32" t="str">
        <f>IF(Prueba[[#This Row],[Cant.]]=0,"",IF(OR(Prueba[[#This Row],[Cant.2]]="",Prueba[[#This Row],[Puesto2]]=""),"?",Prueba[[#This Row],[Puesto2]]))</f>
        <v/>
      </c>
      <c r="I989" s="31"/>
      <c r="J989" s="32"/>
      <c r="K989" s="14"/>
      <c r="L989" s="14"/>
      <c r="M989" s="31"/>
      <c r="N989" s="32" t="str">
        <f>IF(Prueba[[#This Row],[Cant.4]]=0,"",IF(OR(Prueba[[#This Row],[Cant.6]]="",Prueba[[#This Row],[Puesto6]]=""),"?",Prueba[[#This Row],[Puesto6]]))</f>
        <v/>
      </c>
      <c r="O989" s="31"/>
      <c r="P989" s="32" t="str">
        <f>IF(Prueba[[#This Row],[Cant.5]]=0,"",IF(OR(Prueba[[#This Row],[Cant.6]]="",Prueba[[#This Row],[Puesto6]]=""),"?",Prueba[[#This Row],[Puesto6]]))</f>
        <v/>
      </c>
      <c r="Q989" s="31"/>
      <c r="R989" s="32"/>
      <c r="S989" s="14"/>
      <c r="T989" s="14"/>
      <c r="U989" s="31">
        <v>1</v>
      </c>
      <c r="V989" s="32" t="s">
        <v>1421</v>
      </c>
      <c r="W989" s="19"/>
      <c r="X989" s="19" t="s">
        <v>1667</v>
      </c>
      <c r="Y989" s="19" t="s">
        <v>1663</v>
      </c>
      <c r="Z989" s="19" t="s">
        <v>1663</v>
      </c>
      <c r="AA989" s="19" t="s">
        <v>1663</v>
      </c>
      <c r="AB989" s="19" t="s">
        <v>1663</v>
      </c>
    </row>
    <row r="990" spans="1:28">
      <c r="A990" s="18" t="s">
        <v>1605</v>
      </c>
      <c r="B990" s="18" t="s">
        <v>9</v>
      </c>
      <c r="C990" s="18" t="s">
        <v>2331</v>
      </c>
      <c r="D990" s="18" t="s">
        <v>2085</v>
      </c>
      <c r="E990" s="19" t="s">
        <v>12</v>
      </c>
      <c r="F990" s="18" t="s">
        <v>13</v>
      </c>
      <c r="G990" s="29"/>
      <c r="H990" s="32" t="str">
        <f>IF(Prueba[[#This Row],[Cant.]]=0,"",IF(OR(Prueba[[#This Row],[Cant.2]]="",Prueba[[#This Row],[Puesto2]]=""),"?",Prueba[[#This Row],[Puesto2]]))</f>
        <v/>
      </c>
      <c r="I990" s="31"/>
      <c r="J990" s="32"/>
      <c r="K990" s="14"/>
      <c r="L990" s="14"/>
      <c r="M990" s="31"/>
      <c r="N990" s="32" t="str">
        <f>IF(Prueba[[#This Row],[Cant.4]]=0,"",IF(OR(Prueba[[#This Row],[Cant.6]]="",Prueba[[#This Row],[Puesto6]]=""),"?",Prueba[[#This Row],[Puesto6]]))</f>
        <v/>
      </c>
      <c r="O990" s="31"/>
      <c r="P990" s="32" t="str">
        <f>IF(Prueba[[#This Row],[Cant.5]]=0,"",IF(OR(Prueba[[#This Row],[Cant.6]]="",Prueba[[#This Row],[Puesto6]]=""),"?",Prueba[[#This Row],[Puesto6]]))</f>
        <v/>
      </c>
      <c r="Q990" s="31"/>
      <c r="R990" s="32"/>
      <c r="S990" s="14"/>
      <c r="T990" s="14"/>
      <c r="U990" s="31">
        <v>4</v>
      </c>
      <c r="V990" s="32">
        <v>6</v>
      </c>
      <c r="W990" s="19"/>
      <c r="X990" s="19" t="s">
        <v>1667</v>
      </c>
      <c r="Y990" s="19" t="s">
        <v>1663</v>
      </c>
      <c r="Z990" s="19" t="s">
        <v>1663</v>
      </c>
      <c r="AA990" s="19" t="s">
        <v>1663</v>
      </c>
      <c r="AB990" s="19" t="s">
        <v>1663</v>
      </c>
    </row>
    <row r="991" spans="1:28">
      <c r="A991" s="18" t="s">
        <v>1239</v>
      </c>
      <c r="B991" s="18" t="s">
        <v>9</v>
      </c>
      <c r="C991" s="18" t="s">
        <v>116</v>
      </c>
      <c r="D991" s="18" t="s">
        <v>116</v>
      </c>
      <c r="E991" s="19" t="s">
        <v>12</v>
      </c>
      <c r="F991" s="18" t="s">
        <v>13</v>
      </c>
      <c r="G991" s="29"/>
      <c r="H991" s="32" t="str">
        <f>IF(Prueba[[#This Row],[Cant.]]=0,"",IF(OR(Prueba[[#This Row],[Cant.2]]="",Prueba[[#This Row],[Puesto2]]=""),"?",Prueba[[#This Row],[Puesto2]]))</f>
        <v/>
      </c>
      <c r="I991" s="31"/>
      <c r="J991" s="32"/>
      <c r="K991" s="14">
        <v>1</v>
      </c>
      <c r="L991" s="14"/>
      <c r="M991" s="31">
        <v>1</v>
      </c>
      <c r="N991" s="32" t="str">
        <f>IF(Prueba[[#This Row],[Cant.4]]=0,"",IF(OR(Prueba[[#This Row],[Cant.6]]="",Prueba[[#This Row],[Puesto6]]=""),"?",Prueba[[#This Row],[Puesto6]]))</f>
        <v>C</v>
      </c>
      <c r="O991" s="31">
        <v>1</v>
      </c>
      <c r="P991" s="32" t="str">
        <f>IF(Prueba[[#This Row],[Cant.5]]=0,"",IF(OR(Prueba[[#This Row],[Cant.6]]="",Prueba[[#This Row],[Puesto6]]=""),"?",Prueba[[#This Row],[Puesto6]]))</f>
        <v>C</v>
      </c>
      <c r="Q991" s="31">
        <v>1</v>
      </c>
      <c r="R991" s="32" t="s">
        <v>1402</v>
      </c>
      <c r="S991" s="14">
        <v>1</v>
      </c>
      <c r="T991" s="14" t="s">
        <v>1402</v>
      </c>
      <c r="U991" s="31"/>
      <c r="V991" s="32" t="s">
        <v>1663</v>
      </c>
      <c r="W991" s="19"/>
      <c r="X991" s="19" t="s">
        <v>1667</v>
      </c>
      <c r="Y991" s="19" t="s">
        <v>1663</v>
      </c>
      <c r="Z991" s="19" t="s">
        <v>1663</v>
      </c>
      <c r="AA991" s="19" t="s">
        <v>1663</v>
      </c>
      <c r="AB991" s="19" t="s">
        <v>1663</v>
      </c>
    </row>
    <row r="992" spans="1:28" ht="15" thickBot="1">
      <c r="A992" s="18" t="s">
        <v>1240</v>
      </c>
      <c r="B992" s="18" t="s">
        <v>9</v>
      </c>
      <c r="C992" s="18" t="s">
        <v>187</v>
      </c>
      <c r="D992" s="18" t="s">
        <v>265</v>
      </c>
      <c r="E992" s="19" t="s">
        <v>22</v>
      </c>
      <c r="F992" s="18" t="s">
        <v>13</v>
      </c>
      <c r="G992" s="86"/>
      <c r="H992" s="87" t="str">
        <f>IF(Prueba[[#This Row],[Cant.]]=0,"",IF(OR(Prueba[[#This Row],[Cant.2]]="",Prueba[[#This Row],[Puesto2]]=""),"?",Prueba[[#This Row],[Puesto2]]))</f>
        <v/>
      </c>
      <c r="I992" s="31"/>
      <c r="J992" s="32"/>
      <c r="K992" s="14">
        <v>2</v>
      </c>
      <c r="L992" s="14"/>
      <c r="M992" s="89">
        <v>2</v>
      </c>
      <c r="N992" s="87" t="str">
        <f>IF(Prueba[[#This Row],[Cant.4]]=0,"",IF(OR(Prueba[[#This Row],[Cant.6]]="",Prueba[[#This Row],[Puesto6]]=""),"?",Prueba[[#This Row],[Puesto6]]))</f>
        <v>C</v>
      </c>
      <c r="O992" s="89"/>
      <c r="P992" s="87"/>
      <c r="Q992" s="89">
        <v>2</v>
      </c>
      <c r="R992" s="87" t="s">
        <v>1402</v>
      </c>
      <c r="S992" s="14"/>
      <c r="T992" s="14"/>
      <c r="U992" s="31"/>
      <c r="V992" s="32" t="s">
        <v>1663</v>
      </c>
      <c r="W992" s="19">
        <v>16</v>
      </c>
      <c r="X992" s="19" t="s">
        <v>1664</v>
      </c>
      <c r="Y992" s="19" t="s">
        <v>1663</v>
      </c>
      <c r="Z992" s="19" t="s">
        <v>1663</v>
      </c>
      <c r="AA992" s="19" t="s">
        <v>1663</v>
      </c>
      <c r="AB992" s="19" t="s">
        <v>1663</v>
      </c>
    </row>
    <row r="993" spans="1:28">
      <c r="A993" s="18" t="s">
        <v>1378</v>
      </c>
      <c r="B993" s="18" t="s">
        <v>9</v>
      </c>
      <c r="C993" s="18" t="s">
        <v>1379</v>
      </c>
      <c r="D993" s="18" t="s">
        <v>1379</v>
      </c>
      <c r="E993" s="19" t="s">
        <v>22</v>
      </c>
      <c r="F993" s="18" t="s">
        <v>13</v>
      </c>
      <c r="G993" s="29"/>
      <c r="H993" s="14" t="str">
        <f>IF(Prueba[[#This Row],[Cant.]]=0,"",IF(OR(Prueba[[#This Row],[Cant.2]]="",Prueba[[#This Row],[Puesto2]]=""),"?",Prueba[[#This Row],[Puesto2]]))</f>
        <v/>
      </c>
      <c r="I993" s="31"/>
      <c r="J993" s="32"/>
      <c r="K993" s="14">
        <v>1</v>
      </c>
      <c r="L993" s="14"/>
      <c r="M993" s="14">
        <v>1</v>
      </c>
      <c r="N993" s="14" t="str">
        <f>IF(Prueba[[#This Row],[Cant.4]]=0,"",IF(OR(Prueba[[#This Row],[Cant.6]]="",Prueba[[#This Row],[Puesto6]]=""),"?",Prueba[[#This Row],[Puesto6]]))</f>
        <v>C</v>
      </c>
      <c r="O993" s="14"/>
      <c r="P993" s="14" t="str">
        <f>IF(Prueba[[#This Row],[Cant.5]]=0,"",IF(OR(Prueba[[#This Row],[Cant.6]]="",Prueba[[#This Row],[Puesto6]]=""),"?",Prueba[[#This Row],[Puesto6]]))</f>
        <v/>
      </c>
      <c r="Q993" s="14">
        <v>1</v>
      </c>
      <c r="R993" s="14" t="s">
        <v>1402</v>
      </c>
      <c r="S993" s="14">
        <v>1</v>
      </c>
      <c r="T993" s="14" t="s">
        <v>1402</v>
      </c>
      <c r="U993" s="31"/>
      <c r="V993" s="32" t="s">
        <v>1663</v>
      </c>
      <c r="W993" s="19">
        <v>8</v>
      </c>
      <c r="X993" s="19" t="s">
        <v>1664</v>
      </c>
      <c r="Y993" s="19" t="s">
        <v>1663</v>
      </c>
      <c r="Z993" s="19" t="s">
        <v>1663</v>
      </c>
      <c r="AA993" s="19" t="s">
        <v>1663</v>
      </c>
      <c r="AB993" s="19" t="s">
        <v>1663</v>
      </c>
    </row>
    <row r="994" spans="1:28" ht="15" thickBot="1">
      <c r="A994" s="18" t="s">
        <v>1380</v>
      </c>
      <c r="B994" s="18" t="s">
        <v>9</v>
      </c>
      <c r="C994" s="18" t="s">
        <v>1379</v>
      </c>
      <c r="D994" s="18" t="s">
        <v>1379</v>
      </c>
      <c r="E994" s="19" t="s">
        <v>22</v>
      </c>
      <c r="F994" s="18" t="s">
        <v>13</v>
      </c>
      <c r="G994" s="29"/>
      <c r="H994" s="14" t="str">
        <f>IF(Prueba[[#This Row],[Cant.]]=0,"",IF(OR(Prueba[[#This Row],[Cant.2]]="",Prueba[[#This Row],[Puesto2]]=""),"?",Prueba[[#This Row],[Puesto2]]))</f>
        <v/>
      </c>
      <c r="I994" s="89"/>
      <c r="J994" s="87"/>
      <c r="K994" s="14">
        <v>1</v>
      </c>
      <c r="L994" s="14"/>
      <c r="M994" s="14">
        <v>1</v>
      </c>
      <c r="N994" s="14" t="str">
        <f>IF(Prueba[[#This Row],[Cant.4]]=0,"",IF(OR(Prueba[[#This Row],[Cant.6]]="",Prueba[[#This Row],[Puesto6]]=""),"?",Prueba[[#This Row],[Puesto6]]))</f>
        <v>C</v>
      </c>
      <c r="O994" s="14"/>
      <c r="P994" s="14" t="str">
        <f>IF(Prueba[[#This Row],[Cant.5]]=0,"",IF(OR(Prueba[[#This Row],[Cant.6]]="",Prueba[[#This Row],[Puesto6]]=""),"?",Prueba[[#This Row],[Puesto6]]))</f>
        <v/>
      </c>
      <c r="Q994" s="14">
        <v>1</v>
      </c>
      <c r="R994" s="14" t="s">
        <v>1402</v>
      </c>
      <c r="S994" s="14">
        <v>1</v>
      </c>
      <c r="T994" s="14" t="s">
        <v>1402</v>
      </c>
      <c r="U994" s="31"/>
      <c r="V994" s="32" t="s">
        <v>1663</v>
      </c>
      <c r="W994" s="19">
        <v>8</v>
      </c>
      <c r="X994" s="19" t="s">
        <v>1664</v>
      </c>
      <c r="Y994" s="19" t="s">
        <v>1663</v>
      </c>
      <c r="Z994" s="19" t="s">
        <v>1663</v>
      </c>
      <c r="AA994" s="19" t="s">
        <v>1663</v>
      </c>
      <c r="AB994" s="19" t="s">
        <v>1663</v>
      </c>
    </row>
    <row r="995" spans="1:28" ht="15" thickBot="1">
      <c r="A995" s="18" t="s">
        <v>2334</v>
      </c>
      <c r="B995" s="18" t="s">
        <v>9</v>
      </c>
      <c r="C995" s="18" t="s">
        <v>342</v>
      </c>
      <c r="D995" s="18" t="s">
        <v>232</v>
      </c>
      <c r="E995" s="19" t="s">
        <v>22</v>
      </c>
      <c r="F995" s="18" t="s">
        <v>13</v>
      </c>
      <c r="G995" s="29">
        <v>3</v>
      </c>
      <c r="H995" s="14">
        <f>IF(Prueba[[#This Row],[Cant.]]=0,"",IF(OR(Prueba[[#This Row],[Cant.2]]="",Prueba[[#This Row],[Puesto2]]=""),"?",Prueba[[#This Row],[Puesto2]]))</f>
        <v>7</v>
      </c>
      <c r="I995" s="89">
        <v>3</v>
      </c>
      <c r="J995" s="87">
        <v>7</v>
      </c>
      <c r="K995" s="14"/>
      <c r="L995" s="14"/>
      <c r="M995" s="14">
        <v>3</v>
      </c>
      <c r="N995" s="14">
        <f>IF(Prueba[[#This Row],[Cant.4]]=0,"",IF(OR(Prueba[[#This Row],[Cant.6]]="",Prueba[[#This Row],[Puesto6]]=""),"?",Prueba[[#This Row],[Puesto6]]))</f>
        <v>7</v>
      </c>
      <c r="O995" s="14">
        <v>3</v>
      </c>
      <c r="P995" s="14">
        <f>IF(Prueba[[#This Row],[Cant.5]]=0,"",IF(OR(Prueba[[#This Row],[Cant.6]]="",Prueba[[#This Row],[Puesto6]]=""),"?",Prueba[[#This Row],[Puesto6]]))</f>
        <v>7</v>
      </c>
      <c r="Q995" s="14">
        <v>3</v>
      </c>
      <c r="R995" s="14">
        <v>7</v>
      </c>
      <c r="S995" s="14">
        <v>3</v>
      </c>
      <c r="T995" s="14">
        <v>7</v>
      </c>
      <c r="U995" s="31"/>
      <c r="V995" s="32" t="s">
        <v>1663</v>
      </c>
      <c r="W995" s="19">
        <v>24</v>
      </c>
      <c r="X995" s="19" t="s">
        <v>1664</v>
      </c>
      <c r="Y995" s="19">
        <v>4</v>
      </c>
      <c r="Z995" s="19">
        <v>7</v>
      </c>
      <c r="AA995" s="19">
        <v>4</v>
      </c>
      <c r="AB995" s="19">
        <v>7</v>
      </c>
    </row>
    <row r="996" spans="1:28" ht="15" thickBot="1">
      <c r="A996" s="18" t="s">
        <v>1241</v>
      </c>
      <c r="B996" s="18" t="s">
        <v>9</v>
      </c>
      <c r="C996" s="18" t="s">
        <v>1242</v>
      </c>
      <c r="D996" s="18" t="s">
        <v>1243</v>
      </c>
      <c r="E996" s="19" t="s">
        <v>22</v>
      </c>
      <c r="F996" s="18" t="s">
        <v>13</v>
      </c>
      <c r="G996" s="29"/>
      <c r="H996" s="14" t="str">
        <f>IF(Prueba[[#This Row],[Cant.]]=0,"",IF(OR(Prueba[[#This Row],[Cant.2]]="",Prueba[[#This Row],[Puesto2]]=""),"?",Prueba[[#This Row],[Puesto2]]))</f>
        <v/>
      </c>
      <c r="I996" s="89"/>
      <c r="J996" s="87"/>
      <c r="K996" s="14">
        <v>3</v>
      </c>
      <c r="L996" s="14"/>
      <c r="M996" s="14">
        <v>3</v>
      </c>
      <c r="N996" s="14">
        <f>IF(Prueba[[#This Row],[Cant.4]]=0,"",IF(OR(Prueba[[#This Row],[Cant.6]]="",Prueba[[#This Row],[Puesto6]]=""),"?",Prueba[[#This Row],[Puesto6]]))</f>
        <v>2</v>
      </c>
      <c r="O996" s="14">
        <v>3</v>
      </c>
      <c r="P996" s="14">
        <f>IF(Prueba[[#This Row],[Cant.5]]=0,"",IF(OR(Prueba[[#This Row],[Cant.6]]="",Prueba[[#This Row],[Puesto6]]=""),"?",Prueba[[#This Row],[Puesto6]]))</f>
        <v>2</v>
      </c>
      <c r="Q996" s="14">
        <v>3</v>
      </c>
      <c r="R996" s="14">
        <v>2</v>
      </c>
      <c r="S996" s="14">
        <v>1</v>
      </c>
      <c r="T996" s="14">
        <v>2</v>
      </c>
      <c r="U996" s="31">
        <v>1</v>
      </c>
      <c r="V996" s="32">
        <v>6</v>
      </c>
      <c r="W996" s="19">
        <v>24</v>
      </c>
      <c r="X996" s="19" t="s">
        <v>1664</v>
      </c>
      <c r="Y996" s="19" t="s">
        <v>1663</v>
      </c>
      <c r="Z996" s="19" t="s">
        <v>1663</v>
      </c>
      <c r="AA996" s="19" t="s">
        <v>1663</v>
      </c>
      <c r="AB996" s="19" t="s">
        <v>1663</v>
      </c>
    </row>
    <row r="997" spans="1:28" ht="15" thickBot="1">
      <c r="A997" s="18" t="s">
        <v>1381</v>
      </c>
      <c r="B997" s="18" t="s">
        <v>9</v>
      </c>
      <c r="C997" s="18" t="s">
        <v>41</v>
      </c>
      <c r="D997" s="18" t="s">
        <v>41</v>
      </c>
      <c r="E997" s="19" t="s">
        <v>308</v>
      </c>
      <c r="F997" s="18" t="s">
        <v>13</v>
      </c>
      <c r="G997" s="29"/>
      <c r="H997" s="14" t="str">
        <f>IF(Prueba[[#This Row],[Cant.]]=0,"",IF(OR(Prueba[[#This Row],[Cant.2]]="",Prueba[[#This Row],[Puesto2]]=""),"?",Prueba[[#This Row],[Puesto2]]))</f>
        <v/>
      </c>
      <c r="I997" s="89"/>
      <c r="J997" s="87"/>
      <c r="K997" s="14">
        <v>2</v>
      </c>
      <c r="L997" s="14"/>
      <c r="M997" s="14">
        <v>2</v>
      </c>
      <c r="N997" s="14" t="str">
        <f>IF(Prueba[[#This Row],[Cant.4]]=0,"",IF(OR(Prueba[[#This Row],[Cant.6]]="",Prueba[[#This Row],[Puesto6]]=""),"?",Prueba[[#This Row],[Puesto6]]))</f>
        <v>D</v>
      </c>
      <c r="O997" s="14"/>
      <c r="P997" s="14" t="str">
        <f>IF(Prueba[[#This Row],[Cant.5]]=0,"",IF(OR(Prueba[[#This Row],[Cant.6]]="",Prueba[[#This Row],[Puesto6]]=""),"?",Prueba[[#This Row],[Puesto6]]))</f>
        <v/>
      </c>
      <c r="Q997" s="14">
        <v>2</v>
      </c>
      <c r="R997" s="14" t="s">
        <v>1399</v>
      </c>
      <c r="S997" s="14">
        <v>2</v>
      </c>
      <c r="T997" s="14" t="s">
        <v>1399</v>
      </c>
      <c r="U997" s="31"/>
      <c r="V997" s="32" t="s">
        <v>1663</v>
      </c>
      <c r="W997" s="19"/>
      <c r="X997" s="19" t="s">
        <v>1667</v>
      </c>
      <c r="Y997" s="19" t="s">
        <v>1663</v>
      </c>
      <c r="Z997" s="19" t="s">
        <v>1663</v>
      </c>
      <c r="AA997" s="19" t="s">
        <v>1663</v>
      </c>
      <c r="AB997" s="19" t="s">
        <v>1663</v>
      </c>
    </row>
    <row r="998" spans="1:28">
      <c r="A998" s="18" t="s">
        <v>1606</v>
      </c>
      <c r="B998" s="18" t="s">
        <v>9</v>
      </c>
      <c r="C998" s="18" t="s">
        <v>2065</v>
      </c>
      <c r="D998" s="18" t="s">
        <v>2066</v>
      </c>
      <c r="E998" s="19" t="s">
        <v>1733</v>
      </c>
      <c r="F998" s="18" t="s">
        <v>13</v>
      </c>
      <c r="G998" s="29"/>
      <c r="H998" s="14" t="str">
        <f>IF(Prueba[[#This Row],[Cant.]]=0,"",IF(OR(Prueba[[#This Row],[Cant.2]]="",Prueba[[#This Row],[Puesto2]]=""),"?",Prueba[[#This Row],[Puesto2]]))</f>
        <v/>
      </c>
      <c r="I998" s="31"/>
      <c r="J998" s="32"/>
      <c r="K998" s="31"/>
      <c r="L998" s="14"/>
      <c r="M998" s="14"/>
      <c r="N998" s="14" t="str">
        <f>IF(Prueba[[#This Row],[Cant.4]]=0,"",IF(OR(Prueba[[#This Row],[Cant.6]]="",Prueba[[#This Row],[Puesto6]]=""),"?",Prueba[[#This Row],[Puesto6]]))</f>
        <v/>
      </c>
      <c r="O998" s="14"/>
      <c r="P998" s="14" t="str">
        <f>IF(Prueba[[#This Row],[Cant.5]]=0,"",IF(OR(Prueba[[#This Row],[Cant.6]]="",Prueba[[#This Row],[Puesto6]]=""),"?",Prueba[[#This Row],[Puesto6]]))</f>
        <v/>
      </c>
      <c r="Q998" s="14"/>
      <c r="R998" s="14"/>
      <c r="S998" s="14"/>
      <c r="T998" s="14"/>
      <c r="U998" s="31">
        <v>4</v>
      </c>
      <c r="V998" s="32" t="s">
        <v>1607</v>
      </c>
      <c r="W998" s="19">
        <v>32</v>
      </c>
      <c r="X998" s="19" t="s">
        <v>1664</v>
      </c>
      <c r="Y998" s="19" t="s">
        <v>1663</v>
      </c>
      <c r="Z998" s="19" t="s">
        <v>1663</v>
      </c>
      <c r="AA998" s="19" t="s">
        <v>1663</v>
      </c>
      <c r="AB998" s="19" t="s">
        <v>1663</v>
      </c>
    </row>
    <row r="999" spans="1:28">
      <c r="A999" s="18" t="s">
        <v>1608</v>
      </c>
      <c r="B999" s="18" t="s">
        <v>9</v>
      </c>
      <c r="C999" s="18" t="s">
        <v>2061</v>
      </c>
      <c r="D999" s="18" t="s">
        <v>2177</v>
      </c>
      <c r="E999" s="19" t="s">
        <v>1815</v>
      </c>
      <c r="F999" s="18" t="s">
        <v>13</v>
      </c>
      <c r="G999" s="29"/>
      <c r="H999" s="14" t="str">
        <f>IF(Prueba[[#This Row],[Cant.]]=0,"",IF(OR(Prueba[[#This Row],[Cant.2]]="",Prueba[[#This Row],[Puesto2]]=""),"?",Prueba[[#This Row],[Puesto2]]))</f>
        <v/>
      </c>
      <c r="I999" s="31"/>
      <c r="J999" s="32"/>
      <c r="K999" s="31"/>
      <c r="L999" s="14"/>
      <c r="M999" s="14"/>
      <c r="N999" s="14" t="str">
        <f>IF(Prueba[[#This Row],[Cant.4]]=0,"",IF(OR(Prueba[[#This Row],[Cant.6]]="",Prueba[[#This Row],[Puesto6]]=""),"?",Prueba[[#This Row],[Puesto6]]))</f>
        <v/>
      </c>
      <c r="O999" s="14"/>
      <c r="P999" s="32" t="str">
        <f>IF(Prueba[[#This Row],[Cant.5]]=0,"",IF(OR(Prueba[[#This Row],[Cant.6]]="",Prueba[[#This Row],[Puesto6]]=""),"?",Prueba[[#This Row],[Puesto6]]))</f>
        <v/>
      </c>
      <c r="Q999" s="14"/>
      <c r="R999" s="14"/>
      <c r="S999" s="14"/>
      <c r="T999" s="14"/>
      <c r="U999" s="31">
        <v>2</v>
      </c>
      <c r="V999" s="32" t="s">
        <v>1609</v>
      </c>
      <c r="W999" s="19"/>
      <c r="X999" s="19" t="s">
        <v>1667</v>
      </c>
      <c r="Y999" s="19" t="s">
        <v>1663</v>
      </c>
      <c r="Z999" s="19" t="s">
        <v>1663</v>
      </c>
      <c r="AA999" s="19" t="s">
        <v>1663</v>
      </c>
      <c r="AB999" s="19" t="s">
        <v>1663</v>
      </c>
    </row>
    <row r="1000" spans="1:28">
      <c r="A1000" s="18" t="s">
        <v>1244</v>
      </c>
      <c r="B1000" s="18" t="s">
        <v>9</v>
      </c>
      <c r="C1000" s="18" t="s">
        <v>136</v>
      </c>
      <c r="D1000" s="18" t="s">
        <v>1220</v>
      </c>
      <c r="E1000" s="19" t="s">
        <v>39</v>
      </c>
      <c r="F1000" s="18" t="s">
        <v>13</v>
      </c>
      <c r="G1000" s="29"/>
      <c r="H1000" s="14" t="str">
        <f>IF(Prueba[[#This Row],[Cant.]]=0,"",IF(OR(Prueba[[#This Row],[Cant.2]]="",Prueba[[#This Row],[Puesto2]]=""),"?",Prueba[[#This Row],[Puesto2]]))</f>
        <v/>
      </c>
      <c r="I1000" s="31"/>
      <c r="J1000" s="32"/>
      <c r="K1000" s="31">
        <v>2</v>
      </c>
      <c r="L1000" s="14"/>
      <c r="M1000" s="14">
        <v>2</v>
      </c>
      <c r="N1000" s="14" t="str">
        <f>IF(Prueba[[#This Row],[Cant.4]]=0,"",IF(OR(Prueba[[#This Row],[Cant.6]]="",Prueba[[#This Row],[Puesto6]]=""),"?",Prueba[[#This Row],[Puesto6]]))</f>
        <v>B</v>
      </c>
      <c r="O1000" s="14">
        <v>2</v>
      </c>
      <c r="P1000" s="32" t="str">
        <f>IF(Prueba[[#This Row],[Cant.5]]=0,"",IF(OR(Prueba[[#This Row],[Cant.6]]="",Prueba[[#This Row],[Puesto6]]=""),"?",Prueba[[#This Row],[Puesto6]]))</f>
        <v>B</v>
      </c>
      <c r="Q1000" s="14">
        <v>2</v>
      </c>
      <c r="R1000" s="14" t="s">
        <v>1447</v>
      </c>
      <c r="S1000" s="14">
        <v>2</v>
      </c>
      <c r="T1000" s="14" t="s">
        <v>1447</v>
      </c>
      <c r="U1000" s="31">
        <v>2</v>
      </c>
      <c r="V1000" s="32" t="s">
        <v>1447</v>
      </c>
      <c r="W1000" s="19"/>
      <c r="X1000" s="19" t="s">
        <v>1667</v>
      </c>
      <c r="Y1000" s="19" t="s">
        <v>1663</v>
      </c>
      <c r="Z1000" s="19" t="s">
        <v>1663</v>
      </c>
      <c r="AA1000" s="19" t="s">
        <v>1663</v>
      </c>
      <c r="AB1000" s="19" t="s">
        <v>1663</v>
      </c>
    </row>
    <row r="1001" spans="1:28">
      <c r="A1001" s="18" t="s">
        <v>1245</v>
      </c>
      <c r="B1001" s="18" t="s">
        <v>9</v>
      </c>
      <c r="C1001" s="18" t="s">
        <v>1230</v>
      </c>
      <c r="D1001" s="18" t="s">
        <v>506</v>
      </c>
      <c r="E1001" s="19" t="s">
        <v>22</v>
      </c>
      <c r="F1001" s="18" t="s">
        <v>13</v>
      </c>
      <c r="G1001" s="29"/>
      <c r="H1001" s="14" t="str">
        <f>IF(Prueba[[#This Row],[Cant.]]=0,"",IF(OR(Prueba[[#This Row],[Cant.2]]="",Prueba[[#This Row],[Puesto2]]=""),"?",Prueba[[#This Row],[Puesto2]]))</f>
        <v/>
      </c>
      <c r="I1001" s="31"/>
      <c r="J1001" s="32"/>
      <c r="K1001" s="31">
        <v>4</v>
      </c>
      <c r="L1001" s="14"/>
      <c r="M1001" s="14">
        <v>4</v>
      </c>
      <c r="N1001" s="14" t="str">
        <f>IF(Prueba[[#This Row],[Cant.4]]=0,"",IF(OR(Prueba[[#This Row],[Cant.6]]="",Prueba[[#This Row],[Puesto6]]=""),"?",Prueba[[#This Row],[Puesto6]]))</f>
        <v>2x3 + 2xB</v>
      </c>
      <c r="O1001" s="14">
        <v>4</v>
      </c>
      <c r="P1001" s="32" t="str">
        <f>IF(Prueba[[#This Row],[Cant.5]]=0,"",IF(OR(Prueba[[#This Row],[Cant.6]]="",Prueba[[#This Row],[Puesto6]]=""),"?",Prueba[[#This Row],[Puesto6]]))</f>
        <v>2x3 + 2xB</v>
      </c>
      <c r="Q1001" s="14">
        <v>4</v>
      </c>
      <c r="R1001" s="14" t="s">
        <v>1610</v>
      </c>
      <c r="S1001" s="14">
        <v>4</v>
      </c>
      <c r="T1001" s="14" t="s">
        <v>1610</v>
      </c>
      <c r="U1001" s="31">
        <v>4</v>
      </c>
      <c r="V1001" s="32" t="s">
        <v>1610</v>
      </c>
      <c r="W1001" s="19">
        <v>16</v>
      </c>
      <c r="X1001" s="19" t="s">
        <v>1664</v>
      </c>
      <c r="Y1001" s="19" t="s">
        <v>1663</v>
      </c>
      <c r="Z1001" s="19" t="s">
        <v>1663</v>
      </c>
      <c r="AA1001" s="19" t="s">
        <v>1663</v>
      </c>
      <c r="AB1001" s="19" t="s">
        <v>1663</v>
      </c>
    </row>
    <row r="1002" spans="1:28">
      <c r="A1002" s="18" t="s">
        <v>1246</v>
      </c>
      <c r="B1002" s="18" t="s">
        <v>9</v>
      </c>
      <c r="C1002" s="18" t="s">
        <v>1230</v>
      </c>
      <c r="D1002" s="18" t="s">
        <v>506</v>
      </c>
      <c r="E1002" s="19" t="s">
        <v>22</v>
      </c>
      <c r="F1002" s="18" t="s">
        <v>13</v>
      </c>
      <c r="G1002" s="29"/>
      <c r="H1002" s="14" t="str">
        <f>IF(Prueba[[#This Row],[Cant.]]=0,"",IF(OR(Prueba[[#This Row],[Cant.2]]="",Prueba[[#This Row],[Puesto2]]=""),"?",Prueba[[#This Row],[Puesto2]]))</f>
        <v/>
      </c>
      <c r="I1002" s="31"/>
      <c r="J1002" s="32"/>
      <c r="K1002" s="31">
        <v>2</v>
      </c>
      <c r="L1002" s="14"/>
      <c r="M1002" s="14">
        <v>2</v>
      </c>
      <c r="N1002" s="14">
        <f>IF(Prueba[[#This Row],[Cant.4]]=0,"",IF(OR(Prueba[[#This Row],[Cant.6]]="",Prueba[[#This Row],[Puesto6]]=""),"?",Prueba[[#This Row],[Puesto6]]))</f>
        <v>3</v>
      </c>
      <c r="O1002" s="14">
        <v>2</v>
      </c>
      <c r="P1002" s="32">
        <f>IF(Prueba[[#This Row],[Cant.5]]=0,"",IF(OR(Prueba[[#This Row],[Cant.6]]="",Prueba[[#This Row],[Puesto6]]=""),"?",Prueba[[#This Row],[Puesto6]]))</f>
        <v>3</v>
      </c>
      <c r="Q1002" s="14">
        <v>2</v>
      </c>
      <c r="R1002" s="14">
        <v>3</v>
      </c>
      <c r="S1002" s="14">
        <v>2</v>
      </c>
      <c r="T1002" s="14">
        <v>3</v>
      </c>
      <c r="U1002" s="31">
        <v>2</v>
      </c>
      <c r="V1002" s="32">
        <v>3</v>
      </c>
      <c r="W1002" s="19">
        <v>16</v>
      </c>
      <c r="X1002" s="19" t="s">
        <v>1664</v>
      </c>
      <c r="Y1002" s="19" t="s">
        <v>1663</v>
      </c>
      <c r="Z1002" s="19" t="s">
        <v>1663</v>
      </c>
      <c r="AA1002" s="19" t="s">
        <v>1663</v>
      </c>
      <c r="AB1002" s="19" t="s">
        <v>1663</v>
      </c>
    </row>
    <row r="1003" spans="1:28">
      <c r="A1003" s="18" t="s">
        <v>1247</v>
      </c>
      <c r="B1003" s="18" t="s">
        <v>9</v>
      </c>
      <c r="C1003" s="18" t="s">
        <v>144</v>
      </c>
      <c r="D1003" s="18" t="s">
        <v>1248</v>
      </c>
      <c r="E1003" s="19" t="s">
        <v>18</v>
      </c>
      <c r="F1003" s="18" t="s">
        <v>13</v>
      </c>
      <c r="G1003" s="29"/>
      <c r="H1003" s="14" t="str">
        <f>IF(Prueba[[#This Row],[Cant.]]=0,"",IF(OR(Prueba[[#This Row],[Cant.2]]="",Prueba[[#This Row],[Puesto2]]=""),"?",Prueba[[#This Row],[Puesto2]]))</f>
        <v/>
      </c>
      <c r="I1003" s="31"/>
      <c r="J1003" s="32"/>
      <c r="K1003" s="31">
        <v>2</v>
      </c>
      <c r="L1003" s="14"/>
      <c r="M1003" s="14">
        <v>2</v>
      </c>
      <c r="N1003" s="14" t="str">
        <f>IF(Prueba[[#This Row],[Cant.4]]=0,"",IF(OR(Prueba[[#This Row],[Cant.6]]="",Prueba[[#This Row],[Puesto6]]=""),"?",Prueba[[#This Row],[Puesto6]]))</f>
        <v>B</v>
      </c>
      <c r="O1003" s="14">
        <v>2</v>
      </c>
      <c r="P1003" s="32" t="str">
        <f>IF(Prueba[[#This Row],[Cant.5]]=0,"",IF(OR(Prueba[[#This Row],[Cant.6]]="",Prueba[[#This Row],[Puesto6]]=""),"?",Prueba[[#This Row],[Puesto6]]))</f>
        <v>B</v>
      </c>
      <c r="Q1003" s="14">
        <v>2</v>
      </c>
      <c r="R1003" s="14" t="s">
        <v>1447</v>
      </c>
      <c r="S1003" s="14">
        <v>2</v>
      </c>
      <c r="T1003" s="14" t="s">
        <v>1447</v>
      </c>
      <c r="U1003" s="31">
        <v>2</v>
      </c>
      <c r="V1003" s="32" t="s">
        <v>1447</v>
      </c>
      <c r="W1003" s="19"/>
      <c r="X1003" s="19" t="s">
        <v>1667</v>
      </c>
      <c r="Y1003" s="19" t="s">
        <v>1663</v>
      </c>
      <c r="Z1003" s="19" t="s">
        <v>1663</v>
      </c>
      <c r="AA1003" s="19" t="s">
        <v>1663</v>
      </c>
      <c r="AB1003" s="19" t="s">
        <v>1663</v>
      </c>
    </row>
    <row r="1004" spans="1:28">
      <c r="A1004" s="18" t="s">
        <v>1249</v>
      </c>
      <c r="B1004" s="18" t="s">
        <v>9</v>
      </c>
      <c r="C1004" s="18" t="s">
        <v>161</v>
      </c>
      <c r="D1004" s="18" t="s">
        <v>1250</v>
      </c>
      <c r="E1004" s="19" t="s">
        <v>39</v>
      </c>
      <c r="F1004" s="18" t="s">
        <v>13</v>
      </c>
      <c r="G1004" s="29"/>
      <c r="H1004" s="14" t="str">
        <f>IF(Prueba[[#This Row],[Cant.]]=0,"",IF(OR(Prueba[[#This Row],[Cant.2]]="",Prueba[[#This Row],[Puesto2]]=""),"?",Prueba[[#This Row],[Puesto2]]))</f>
        <v/>
      </c>
      <c r="I1004" s="31"/>
      <c r="J1004" s="32"/>
      <c r="K1004" s="31">
        <v>1</v>
      </c>
      <c r="L1004" s="14"/>
      <c r="M1004" s="14">
        <v>1</v>
      </c>
      <c r="N1004" s="14" t="str">
        <f>IF(Prueba[[#This Row],[Cant.4]]=0,"",IF(OR(Prueba[[#This Row],[Cant.6]]="",Prueba[[#This Row],[Puesto6]]=""),"?",Prueba[[#This Row],[Puesto6]]))</f>
        <v>B</v>
      </c>
      <c r="O1004" s="14">
        <v>1</v>
      </c>
      <c r="P1004" s="32" t="str">
        <f>IF(Prueba[[#This Row],[Cant.5]]=0,"",IF(OR(Prueba[[#This Row],[Cant.6]]="",Prueba[[#This Row],[Puesto6]]=""),"?",Prueba[[#This Row],[Puesto6]]))</f>
        <v>B</v>
      </c>
      <c r="Q1004" s="14">
        <v>1</v>
      </c>
      <c r="R1004" s="14" t="s">
        <v>1447</v>
      </c>
      <c r="S1004" s="14">
        <v>1</v>
      </c>
      <c r="T1004" s="14" t="s">
        <v>1447</v>
      </c>
      <c r="U1004" s="31"/>
      <c r="V1004" s="32" t="s">
        <v>1663</v>
      </c>
      <c r="W1004" s="19"/>
      <c r="X1004" s="19" t="s">
        <v>1667</v>
      </c>
      <c r="Y1004" s="19" t="s">
        <v>1663</v>
      </c>
      <c r="Z1004" s="19" t="s">
        <v>1663</v>
      </c>
      <c r="AA1004" s="19" t="s">
        <v>1663</v>
      </c>
      <c r="AB1004" s="19" t="s">
        <v>1663</v>
      </c>
    </row>
    <row r="1005" spans="1:28">
      <c r="A1005" s="18" t="s">
        <v>1251</v>
      </c>
      <c r="B1005" s="18" t="s">
        <v>9</v>
      </c>
      <c r="C1005" s="18" t="s">
        <v>161</v>
      </c>
      <c r="D1005" s="18" t="s">
        <v>1250</v>
      </c>
      <c r="E1005" s="19" t="s">
        <v>39</v>
      </c>
      <c r="F1005" s="18" t="s">
        <v>13</v>
      </c>
      <c r="G1005" s="29"/>
      <c r="H1005" s="14" t="str">
        <f>IF(Prueba[[#This Row],[Cant.]]=0,"",IF(OR(Prueba[[#This Row],[Cant.2]]="",Prueba[[#This Row],[Puesto2]]=""),"?",Prueba[[#This Row],[Puesto2]]))</f>
        <v/>
      </c>
      <c r="I1005" s="31"/>
      <c r="J1005" s="32"/>
      <c r="K1005" s="31">
        <v>1</v>
      </c>
      <c r="L1005" s="14"/>
      <c r="M1005" s="14">
        <v>1</v>
      </c>
      <c r="N1005" s="14" t="str">
        <f>IF(Prueba[[#This Row],[Cant.4]]=0,"",IF(OR(Prueba[[#This Row],[Cant.6]]="",Prueba[[#This Row],[Puesto6]]=""),"?",Prueba[[#This Row],[Puesto6]]))</f>
        <v>B</v>
      </c>
      <c r="O1005" s="14">
        <v>1</v>
      </c>
      <c r="P1005" s="32" t="str">
        <f>IF(Prueba[[#This Row],[Cant.5]]=0,"",IF(OR(Prueba[[#This Row],[Cant.6]]="",Prueba[[#This Row],[Puesto6]]=""),"?",Prueba[[#This Row],[Puesto6]]))</f>
        <v>B</v>
      </c>
      <c r="Q1005" s="14">
        <v>1</v>
      </c>
      <c r="R1005" s="14" t="s">
        <v>1447</v>
      </c>
      <c r="S1005" s="14">
        <v>1</v>
      </c>
      <c r="T1005" s="14" t="s">
        <v>1447</v>
      </c>
      <c r="U1005" s="31"/>
      <c r="V1005" s="32" t="s">
        <v>1663</v>
      </c>
      <c r="W1005" s="19"/>
      <c r="X1005" s="19" t="s">
        <v>1667</v>
      </c>
      <c r="Y1005" s="19" t="s">
        <v>1663</v>
      </c>
      <c r="Z1005" s="19" t="s">
        <v>1663</v>
      </c>
      <c r="AA1005" s="19" t="s">
        <v>1663</v>
      </c>
      <c r="AB1005" s="19" t="s">
        <v>1663</v>
      </c>
    </row>
    <row r="1006" spans="1:28">
      <c r="A1006" s="18" t="s">
        <v>1252</v>
      </c>
      <c r="B1006" s="18" t="s">
        <v>9</v>
      </c>
      <c r="C1006" s="18" t="s">
        <v>1230</v>
      </c>
      <c r="D1006" s="18" t="s">
        <v>506</v>
      </c>
      <c r="E1006" s="19" t="s">
        <v>18</v>
      </c>
      <c r="F1006" s="18" t="s">
        <v>13</v>
      </c>
      <c r="G1006" s="29"/>
      <c r="H1006" s="14" t="str">
        <f>IF(Prueba[[#This Row],[Cant.]]=0,"",IF(OR(Prueba[[#This Row],[Cant.2]]="",Prueba[[#This Row],[Puesto2]]=""),"?",Prueba[[#This Row],[Puesto2]]))</f>
        <v/>
      </c>
      <c r="I1006" s="31"/>
      <c r="J1006" s="32"/>
      <c r="K1006" s="31">
        <v>2</v>
      </c>
      <c r="L1006" s="14"/>
      <c r="M1006" s="14">
        <v>2</v>
      </c>
      <c r="N1006" s="14">
        <f>IF(Prueba[[#This Row],[Cant.4]]=0,"",IF(OR(Prueba[[#This Row],[Cant.6]]="",Prueba[[#This Row],[Puesto6]]=""),"?",Prueba[[#This Row],[Puesto6]]))</f>
        <v>3</v>
      </c>
      <c r="O1006" s="14">
        <v>2</v>
      </c>
      <c r="P1006" s="32">
        <f>IF(Prueba[[#This Row],[Cant.5]]=0,"",IF(OR(Prueba[[#This Row],[Cant.6]]="",Prueba[[#This Row],[Puesto6]]=""),"?",Prueba[[#This Row],[Puesto6]]))</f>
        <v>3</v>
      </c>
      <c r="Q1006" s="14">
        <v>2</v>
      </c>
      <c r="R1006" s="14">
        <v>3</v>
      </c>
      <c r="S1006" s="14">
        <v>2</v>
      </c>
      <c r="T1006" s="14">
        <v>3</v>
      </c>
      <c r="U1006" s="31">
        <v>2</v>
      </c>
      <c r="V1006" s="32">
        <v>3</v>
      </c>
      <c r="W1006" s="19"/>
      <c r="X1006" s="19" t="s">
        <v>1667</v>
      </c>
      <c r="Y1006" s="19" t="s">
        <v>1663</v>
      </c>
      <c r="Z1006" s="19" t="s">
        <v>1663</v>
      </c>
      <c r="AA1006" s="19" t="s">
        <v>1663</v>
      </c>
      <c r="AB1006" s="19" t="s">
        <v>1663</v>
      </c>
    </row>
    <row r="1007" spans="1:28">
      <c r="A1007" s="18" t="s">
        <v>1611</v>
      </c>
      <c r="B1007" s="18" t="s">
        <v>9</v>
      </c>
      <c r="C1007" s="18" t="s">
        <v>2331</v>
      </c>
      <c r="D1007" s="18" t="s">
        <v>2085</v>
      </c>
      <c r="E1007" s="19" t="s">
        <v>39</v>
      </c>
      <c r="F1007" s="18" t="s">
        <v>13</v>
      </c>
      <c r="G1007" s="29"/>
      <c r="H1007" s="14" t="str">
        <f>IF(Prueba[[#This Row],[Cant.]]=0,"",IF(OR(Prueba[[#This Row],[Cant.2]]="",Prueba[[#This Row],[Puesto2]]=""),"?",Prueba[[#This Row],[Puesto2]]))</f>
        <v/>
      </c>
      <c r="I1007" s="31"/>
      <c r="J1007" s="32"/>
      <c r="K1007" s="31"/>
      <c r="L1007" s="14"/>
      <c r="M1007" s="14"/>
      <c r="N1007" s="14" t="str">
        <f>IF(Prueba[[#This Row],[Cant.4]]=0,"",IF(OR(Prueba[[#This Row],[Cant.6]]="",Prueba[[#This Row],[Puesto6]]=""),"?",Prueba[[#This Row],[Puesto6]]))</f>
        <v/>
      </c>
      <c r="O1007" s="14"/>
      <c r="P1007" s="32" t="str">
        <f>IF(Prueba[[#This Row],[Cant.5]]=0,"",IF(OR(Prueba[[#This Row],[Cant.6]]="",Prueba[[#This Row],[Puesto6]]=""),"?",Prueba[[#This Row],[Puesto6]]))</f>
        <v/>
      </c>
      <c r="Q1007" s="14"/>
      <c r="R1007" s="14"/>
      <c r="S1007" s="14"/>
      <c r="T1007" s="14"/>
      <c r="U1007" s="31">
        <v>4</v>
      </c>
      <c r="V1007" s="32">
        <v>3</v>
      </c>
      <c r="W1007" s="19"/>
      <c r="X1007" s="19" t="s">
        <v>1667</v>
      </c>
      <c r="Y1007" s="19" t="s">
        <v>1663</v>
      </c>
      <c r="Z1007" s="19" t="s">
        <v>1663</v>
      </c>
      <c r="AA1007" s="19" t="s">
        <v>1663</v>
      </c>
      <c r="AB1007" s="19" t="s">
        <v>1663</v>
      </c>
    </row>
    <row r="1008" spans="1:28">
      <c r="A1008" s="18" t="s">
        <v>1253</v>
      </c>
      <c r="B1008" s="18" t="s">
        <v>9</v>
      </c>
      <c r="C1008" s="18" t="s">
        <v>1254</v>
      </c>
      <c r="D1008" s="18" t="s">
        <v>1255</v>
      </c>
      <c r="E1008" s="19" t="s">
        <v>39</v>
      </c>
      <c r="F1008" s="18" t="s">
        <v>13</v>
      </c>
      <c r="G1008" s="29"/>
      <c r="H1008" s="14" t="str">
        <f>IF(Prueba[[#This Row],[Cant.]]=0,"",IF(OR(Prueba[[#This Row],[Cant.2]]="",Prueba[[#This Row],[Puesto2]]=""),"?",Prueba[[#This Row],[Puesto2]]))</f>
        <v/>
      </c>
      <c r="I1008" s="31"/>
      <c r="J1008" s="32"/>
      <c r="K1008" s="31">
        <v>2</v>
      </c>
      <c r="L1008" s="14"/>
      <c r="M1008" s="14">
        <v>2</v>
      </c>
      <c r="N1008" s="14">
        <f>IF(Prueba[[#This Row],[Cant.4]]=0,"",IF(OR(Prueba[[#This Row],[Cant.6]]="",Prueba[[#This Row],[Puesto6]]=""),"?",Prueba[[#This Row],[Puesto6]]))</f>
        <v>3</v>
      </c>
      <c r="O1008" s="14">
        <v>2</v>
      </c>
      <c r="P1008" s="32">
        <f>IF(Prueba[[#This Row],[Cant.5]]=0,"",IF(OR(Prueba[[#This Row],[Cant.6]]="",Prueba[[#This Row],[Puesto6]]=""),"?",Prueba[[#This Row],[Puesto6]]))</f>
        <v>3</v>
      </c>
      <c r="Q1008" s="14">
        <v>2</v>
      </c>
      <c r="R1008" s="14">
        <v>3</v>
      </c>
      <c r="S1008" s="14">
        <v>2</v>
      </c>
      <c r="T1008" s="14">
        <v>3</v>
      </c>
      <c r="U1008" s="31">
        <v>2</v>
      </c>
      <c r="V1008" s="32">
        <v>3</v>
      </c>
      <c r="W1008" s="19"/>
      <c r="X1008" s="19" t="s">
        <v>1667</v>
      </c>
      <c r="Y1008" s="19" t="s">
        <v>1663</v>
      </c>
      <c r="Z1008" s="19" t="s">
        <v>1663</v>
      </c>
      <c r="AA1008" s="19" t="s">
        <v>1663</v>
      </c>
      <c r="AB1008" s="19" t="s">
        <v>1663</v>
      </c>
    </row>
    <row r="1009" spans="1:28">
      <c r="A1009" s="18" t="s">
        <v>1256</v>
      </c>
      <c r="B1009" s="18" t="s">
        <v>9</v>
      </c>
      <c r="C1009" s="18" t="s">
        <v>153</v>
      </c>
      <c r="D1009" s="18" t="s">
        <v>1257</v>
      </c>
      <c r="E1009" s="19" t="s">
        <v>39</v>
      </c>
      <c r="F1009" s="18" t="s">
        <v>13</v>
      </c>
      <c r="G1009" s="29"/>
      <c r="H1009" s="14" t="str">
        <f>IF(Prueba[[#This Row],[Cant.]]=0,"",IF(OR(Prueba[[#This Row],[Cant.2]]="",Prueba[[#This Row],[Puesto2]]=""),"?",Prueba[[#This Row],[Puesto2]]))</f>
        <v/>
      </c>
      <c r="I1009" s="31"/>
      <c r="J1009" s="32"/>
      <c r="K1009" s="31">
        <v>2</v>
      </c>
      <c r="L1009" s="14"/>
      <c r="M1009" s="14">
        <v>2</v>
      </c>
      <c r="N1009" s="14" t="str">
        <f>IF(Prueba[[#This Row],[Cant.4]]=0,"",IF(OR(Prueba[[#This Row],[Cant.6]]="",Prueba[[#This Row],[Puesto6]]=""),"?",Prueba[[#This Row],[Puesto6]]))</f>
        <v>B</v>
      </c>
      <c r="O1009" s="14">
        <v>2</v>
      </c>
      <c r="P1009" s="32" t="str">
        <f>IF(Prueba[[#This Row],[Cant.5]]=0,"",IF(OR(Prueba[[#This Row],[Cant.6]]="",Prueba[[#This Row],[Puesto6]]=""),"?",Prueba[[#This Row],[Puesto6]]))</f>
        <v>B</v>
      </c>
      <c r="Q1009" s="14">
        <v>2</v>
      </c>
      <c r="R1009" s="14" t="s">
        <v>1447</v>
      </c>
      <c r="S1009" s="14"/>
      <c r="T1009" s="14"/>
      <c r="U1009" s="31">
        <v>2</v>
      </c>
      <c r="V1009" s="32" t="s">
        <v>1421</v>
      </c>
      <c r="W1009" s="19"/>
      <c r="X1009" s="19" t="s">
        <v>1667</v>
      </c>
      <c r="Y1009" s="19" t="s">
        <v>1663</v>
      </c>
      <c r="Z1009" s="19" t="s">
        <v>1663</v>
      </c>
      <c r="AA1009" s="19" t="s">
        <v>1663</v>
      </c>
      <c r="AB1009" s="19" t="s">
        <v>1663</v>
      </c>
    </row>
    <row r="1010" spans="1:28">
      <c r="A1010" s="18" t="s">
        <v>1382</v>
      </c>
      <c r="B1010" s="18" t="s">
        <v>9</v>
      </c>
      <c r="C1010" s="18" t="s">
        <v>1383</v>
      </c>
      <c r="D1010" s="18" t="s">
        <v>1384</v>
      </c>
      <c r="E1010" s="19" t="s">
        <v>39</v>
      </c>
      <c r="F1010" s="18" t="s">
        <v>13</v>
      </c>
      <c r="G1010" s="29"/>
      <c r="H1010" s="14" t="str">
        <f>IF(Prueba[[#This Row],[Cant.]]=0,"",IF(OR(Prueba[[#This Row],[Cant.2]]="",Prueba[[#This Row],[Puesto2]]=""),"?",Prueba[[#This Row],[Puesto2]]))</f>
        <v/>
      </c>
      <c r="I1010" s="31"/>
      <c r="J1010" s="32"/>
      <c r="K1010" s="31">
        <v>2</v>
      </c>
      <c r="L1010" s="14"/>
      <c r="M1010" s="14">
        <v>2</v>
      </c>
      <c r="N1010" s="14">
        <f>IF(Prueba[[#This Row],[Cant.4]]=0,"",IF(OR(Prueba[[#This Row],[Cant.6]]="",Prueba[[#This Row],[Puesto6]]=""),"?",Prueba[[#This Row],[Puesto6]]))</f>
        <v>3</v>
      </c>
      <c r="O1010" s="14">
        <v>2</v>
      </c>
      <c r="P1010" s="32">
        <f>IF(Prueba[[#This Row],[Cant.5]]=0,"",IF(OR(Prueba[[#This Row],[Cant.6]]="",Prueba[[#This Row],[Puesto6]]=""),"?",Prueba[[#This Row],[Puesto6]]))</f>
        <v>3</v>
      </c>
      <c r="Q1010" s="14">
        <v>2</v>
      </c>
      <c r="R1010" s="14">
        <v>3</v>
      </c>
      <c r="S1010" s="14"/>
      <c r="T1010" s="14"/>
      <c r="U1010" s="31"/>
      <c r="V1010" s="32" t="s">
        <v>1663</v>
      </c>
      <c r="W1010" s="19"/>
      <c r="X1010" s="19" t="s">
        <v>1667</v>
      </c>
      <c r="Y1010" s="19" t="s">
        <v>1663</v>
      </c>
      <c r="Z1010" s="19" t="s">
        <v>1663</v>
      </c>
      <c r="AA1010" s="19" t="s">
        <v>1663</v>
      </c>
      <c r="AB1010" s="19" t="s">
        <v>1663</v>
      </c>
    </row>
    <row r="1011" spans="1:28">
      <c r="A1011" s="18" t="s">
        <v>747</v>
      </c>
      <c r="B1011" s="18" t="s">
        <v>9</v>
      </c>
      <c r="C1011" s="18" t="s">
        <v>748</v>
      </c>
      <c r="D1011" s="18" t="s">
        <v>748</v>
      </c>
      <c r="E1011" s="19" t="s">
        <v>22</v>
      </c>
      <c r="F1011" s="18" t="s">
        <v>13</v>
      </c>
      <c r="G1011" s="29">
        <v>8</v>
      </c>
      <c r="H1011" s="14" t="str">
        <f>IF(Prueba[[#This Row],[Cant.]]=0,"",IF(OR(Prueba[[#This Row],[Cant.2]]="",Prueba[[#This Row],[Puesto2]]=""),"?",Prueba[[#This Row],[Puesto2]]))</f>
        <v>2x3 + 2x5</v>
      </c>
      <c r="I1011" s="31">
        <v>8</v>
      </c>
      <c r="J1011" s="32" t="s">
        <v>2335</v>
      </c>
      <c r="K1011" s="31"/>
      <c r="L1011" s="14"/>
      <c r="M1011" s="14"/>
      <c r="N1011" s="14" t="str">
        <f>IF(Prueba[[#This Row],[Cant.4]]=0,"",IF(OR(Prueba[[#This Row],[Cant.6]]="",Prueba[[#This Row],[Puesto6]]=""),"?",Prueba[[#This Row],[Puesto6]]))</f>
        <v/>
      </c>
      <c r="O1011" s="14"/>
      <c r="P1011" s="32" t="str">
        <f>IF(Prueba[[#This Row],[Cant.5]]=0,"",IF(OR(Prueba[[#This Row],[Cant.6]]="",Prueba[[#This Row],[Puesto6]]=""),"?",Prueba[[#This Row],[Puesto6]]))</f>
        <v/>
      </c>
      <c r="Q1011" s="14"/>
      <c r="R1011" s="14"/>
      <c r="S1011" s="14"/>
      <c r="T1011" s="14"/>
      <c r="U1011" s="31"/>
      <c r="V1011" s="32" t="s">
        <v>1663</v>
      </c>
      <c r="W1011" s="19">
        <v>32</v>
      </c>
      <c r="X1011" s="19" t="s">
        <v>1664</v>
      </c>
      <c r="Y1011" s="19">
        <v>9</v>
      </c>
      <c r="Z1011" s="19" t="s">
        <v>2335</v>
      </c>
      <c r="AA1011" s="19">
        <v>5</v>
      </c>
      <c r="AB1011" s="19" t="s">
        <v>2335</v>
      </c>
    </row>
    <row r="1012" spans="1:28">
      <c r="A1012" s="18" t="s">
        <v>1258</v>
      </c>
      <c r="B1012" s="18" t="s">
        <v>9</v>
      </c>
      <c r="C1012" s="18" t="s">
        <v>144</v>
      </c>
      <c r="D1012" s="18" t="s">
        <v>1248</v>
      </c>
      <c r="E1012" s="19" t="s">
        <v>39</v>
      </c>
      <c r="F1012" s="18" t="s">
        <v>13</v>
      </c>
      <c r="G1012" s="29"/>
      <c r="H1012" s="14" t="str">
        <f>IF(Prueba[[#This Row],[Cant.]]=0,"",IF(OR(Prueba[[#This Row],[Cant.2]]="",Prueba[[#This Row],[Puesto2]]=""),"?",Prueba[[#This Row],[Puesto2]]))</f>
        <v/>
      </c>
      <c r="I1012" s="31"/>
      <c r="J1012" s="32"/>
      <c r="K1012" s="31">
        <v>2</v>
      </c>
      <c r="L1012" s="14"/>
      <c r="M1012" s="14">
        <v>2</v>
      </c>
      <c r="N1012" s="14" t="str">
        <f>IF(Prueba[[#This Row],[Cant.4]]=0,"",IF(OR(Prueba[[#This Row],[Cant.6]]="",Prueba[[#This Row],[Puesto6]]=""),"?",Prueba[[#This Row],[Puesto6]]))</f>
        <v>A</v>
      </c>
      <c r="O1012" s="14">
        <v>2</v>
      </c>
      <c r="P1012" s="32" t="str">
        <f>IF(Prueba[[#This Row],[Cant.5]]=0,"",IF(OR(Prueba[[#This Row],[Cant.6]]="",Prueba[[#This Row],[Puesto6]]=""),"?",Prueba[[#This Row],[Puesto6]]))</f>
        <v>A</v>
      </c>
      <c r="Q1012" s="14">
        <v>2</v>
      </c>
      <c r="R1012" s="14" t="s">
        <v>1421</v>
      </c>
      <c r="S1012" s="14">
        <v>2</v>
      </c>
      <c r="T1012" s="14" t="s">
        <v>1421</v>
      </c>
      <c r="U1012" s="31"/>
      <c r="V1012" s="32" t="s">
        <v>1663</v>
      </c>
      <c r="W1012" s="19"/>
      <c r="X1012" s="19" t="s">
        <v>1667</v>
      </c>
      <c r="Y1012" s="19" t="s">
        <v>1663</v>
      </c>
      <c r="Z1012" s="19" t="s">
        <v>1663</v>
      </c>
      <c r="AA1012" s="19" t="s">
        <v>1663</v>
      </c>
      <c r="AB1012" s="19" t="s">
        <v>1663</v>
      </c>
    </row>
    <row r="1013" spans="1:28">
      <c r="A1013" s="18" t="s">
        <v>749</v>
      </c>
      <c r="B1013" s="18" t="s">
        <v>9</v>
      </c>
      <c r="C1013" s="18" t="s">
        <v>473</v>
      </c>
      <c r="D1013" s="18" t="s">
        <v>474</v>
      </c>
      <c r="E1013" s="19" t="s">
        <v>22</v>
      </c>
      <c r="F1013" s="18" t="s">
        <v>13</v>
      </c>
      <c r="G1013" s="29">
        <v>1</v>
      </c>
      <c r="H1013" s="14">
        <f>IF(Prueba[[#This Row],[Cant.]]=0,"",IF(OR(Prueba[[#This Row],[Cant.2]]="",Prueba[[#This Row],[Puesto2]]=""),"?",Prueba[[#This Row],[Puesto2]]))</f>
        <v>4</v>
      </c>
      <c r="I1013" s="31">
        <v>1</v>
      </c>
      <c r="J1013" s="32">
        <v>4</v>
      </c>
      <c r="K1013" s="31"/>
      <c r="L1013" s="14"/>
      <c r="M1013" s="14"/>
      <c r="N1013" s="14" t="str">
        <f>IF(Prueba[[#This Row],[Cant.4]]=0,"",IF(OR(Prueba[[#This Row],[Cant.6]]="",Prueba[[#This Row],[Puesto6]]=""),"?",Prueba[[#This Row],[Puesto6]]))</f>
        <v/>
      </c>
      <c r="O1013" s="14"/>
      <c r="P1013" s="32" t="str">
        <f>IF(Prueba[[#This Row],[Cant.5]]=0,"",IF(OR(Prueba[[#This Row],[Cant.6]]="",Prueba[[#This Row],[Puesto6]]=""),"?",Prueba[[#This Row],[Puesto6]]))</f>
        <v/>
      </c>
      <c r="Q1013" s="14"/>
      <c r="R1013" s="14"/>
      <c r="S1013" s="14"/>
      <c r="T1013" s="14"/>
      <c r="U1013" s="31"/>
      <c r="V1013" s="32" t="s">
        <v>1663</v>
      </c>
      <c r="W1013" s="19">
        <v>8</v>
      </c>
      <c r="X1013" s="19" t="s">
        <v>1664</v>
      </c>
      <c r="Y1013" s="19">
        <v>2</v>
      </c>
      <c r="Z1013" s="19">
        <v>4</v>
      </c>
      <c r="AA1013" s="19">
        <v>2</v>
      </c>
      <c r="AB1013" s="19">
        <v>4</v>
      </c>
    </row>
    <row r="1014" spans="1:28" ht="28.9">
      <c r="A1014" s="18" t="s">
        <v>750</v>
      </c>
      <c r="B1014" s="18" t="s">
        <v>9</v>
      </c>
      <c r="C1014" s="18" t="s">
        <v>751</v>
      </c>
      <c r="D1014" s="18" t="s">
        <v>492</v>
      </c>
      <c r="E1014" s="19" t="s">
        <v>22</v>
      </c>
      <c r="F1014" s="18" t="s">
        <v>13</v>
      </c>
      <c r="G1014" s="29">
        <v>8</v>
      </c>
      <c r="H1014" s="14" t="str">
        <f>IF(Prueba[[#This Row],[Cant.]]=0,"",IF(OR(Prueba[[#This Row],[Cant.2]]="",Prueba[[#This Row],[Puesto2]]=""),"?",Prueba[[#This Row],[Puesto2]]))</f>
        <v>4x3 + 4x5</v>
      </c>
      <c r="I1014" s="31">
        <v>8</v>
      </c>
      <c r="J1014" s="32" t="s">
        <v>2294</v>
      </c>
      <c r="K1014" s="31"/>
      <c r="L1014" s="14"/>
      <c r="M1014" s="14"/>
      <c r="N1014" s="14" t="str">
        <f>IF(Prueba[[#This Row],[Cant.4]]=0,"",IF(OR(Prueba[[#This Row],[Cant.6]]="",Prueba[[#This Row],[Puesto6]]=""),"?",Prueba[[#This Row],[Puesto6]]))</f>
        <v/>
      </c>
      <c r="O1014" s="14"/>
      <c r="P1014" s="32" t="str">
        <f>IF(Prueba[[#This Row],[Cant.5]]=0,"",IF(OR(Prueba[[#This Row],[Cant.6]]="",Prueba[[#This Row],[Puesto6]]=""),"?",Prueba[[#This Row],[Puesto6]]))</f>
        <v/>
      </c>
      <c r="Q1014" s="14"/>
      <c r="R1014" s="14"/>
      <c r="S1014" s="14"/>
      <c r="T1014" s="14"/>
      <c r="U1014" s="31">
        <v>16</v>
      </c>
      <c r="V1014" s="32" t="s">
        <v>1612</v>
      </c>
      <c r="W1014" s="19">
        <v>128</v>
      </c>
      <c r="X1014" s="19" t="s">
        <v>1664</v>
      </c>
      <c r="Y1014" s="19">
        <v>9</v>
      </c>
      <c r="Z1014" s="19" t="s">
        <v>2294</v>
      </c>
      <c r="AA1014" s="19">
        <v>9</v>
      </c>
      <c r="AB1014" s="19" t="s">
        <v>2294</v>
      </c>
    </row>
    <row r="1015" spans="1:28" ht="28.9">
      <c r="A1015" s="18" t="s">
        <v>1259</v>
      </c>
      <c r="B1015" s="18" t="s">
        <v>9</v>
      </c>
      <c r="C1015" s="18" t="s">
        <v>1260</v>
      </c>
      <c r="D1015" s="18" t="s">
        <v>1260</v>
      </c>
      <c r="E1015" s="19" t="s">
        <v>22</v>
      </c>
      <c r="F1015" s="18" t="s">
        <v>13</v>
      </c>
      <c r="G1015" s="29"/>
      <c r="H1015" s="14" t="str">
        <f>IF(Prueba[[#This Row],[Cant.]]=0,"",IF(OR(Prueba[[#This Row],[Cant.2]]="",Prueba[[#This Row],[Puesto2]]=""),"?",Prueba[[#This Row],[Puesto2]]))</f>
        <v/>
      </c>
      <c r="I1015" s="31"/>
      <c r="J1015" s="32"/>
      <c r="K1015" s="31">
        <v>6</v>
      </c>
      <c r="L1015" s="14"/>
      <c r="M1015" s="14">
        <v>6</v>
      </c>
      <c r="N1015" s="14" t="str">
        <f>IF(Prueba[[#This Row],[Cant.4]]=0,"",IF(OR(Prueba[[#This Row],[Cant.6]]="",Prueba[[#This Row],[Puesto6]]=""),"?",Prueba[[#This Row],[Puesto6]]))</f>
        <v>2x3 + 2x5 + 2xC</v>
      </c>
      <c r="O1015" s="14">
        <v>6</v>
      </c>
      <c r="P1015" s="32" t="str">
        <f>IF(Prueba[[#This Row],[Cant.5]]=0,"",IF(OR(Prueba[[#This Row],[Cant.6]]="",Prueba[[#This Row],[Puesto6]]=""),"?",Prueba[[#This Row],[Puesto6]]))</f>
        <v>2x3 + 2x5 + 2xC</v>
      </c>
      <c r="Q1015" s="14">
        <v>6</v>
      </c>
      <c r="R1015" s="14" t="s">
        <v>2336</v>
      </c>
      <c r="S1015" s="14">
        <v>4</v>
      </c>
      <c r="T1015" s="14" t="s">
        <v>2336</v>
      </c>
      <c r="U1015" s="31"/>
      <c r="V1015" s="32" t="s">
        <v>1663</v>
      </c>
      <c r="W1015" s="19">
        <v>16</v>
      </c>
      <c r="X1015" s="19" t="s">
        <v>1664</v>
      </c>
      <c r="Y1015" s="19" t="s">
        <v>1663</v>
      </c>
      <c r="Z1015" s="19" t="s">
        <v>1663</v>
      </c>
      <c r="AA1015" s="19" t="s">
        <v>1663</v>
      </c>
      <c r="AB1015" s="19" t="s">
        <v>1663</v>
      </c>
    </row>
    <row r="1016" spans="1:28">
      <c r="A1016" s="18" t="s">
        <v>1261</v>
      </c>
      <c r="B1016" s="18" t="s">
        <v>9</v>
      </c>
      <c r="C1016" s="18" t="s">
        <v>95</v>
      </c>
      <c r="D1016" s="18" t="s">
        <v>1262</v>
      </c>
      <c r="E1016" s="19" t="s">
        <v>12</v>
      </c>
      <c r="F1016" s="18" t="s">
        <v>13</v>
      </c>
      <c r="G1016" s="29"/>
      <c r="H1016" s="14" t="str">
        <f>IF(Prueba[[#This Row],[Cant.]]=0,"",IF(OR(Prueba[[#This Row],[Cant.2]]="",Prueba[[#This Row],[Puesto2]]=""),"?",Prueba[[#This Row],[Puesto2]]))</f>
        <v/>
      </c>
      <c r="I1016" s="31"/>
      <c r="J1016" s="32"/>
      <c r="K1016" s="31">
        <v>1</v>
      </c>
      <c r="L1016" s="14"/>
      <c r="M1016" s="14">
        <v>1</v>
      </c>
      <c r="N1016" s="14">
        <f>IF(Prueba[[#This Row],[Cant.4]]=0,"",IF(OR(Prueba[[#This Row],[Cant.6]]="",Prueba[[#This Row],[Puesto6]]=""),"?",Prueba[[#This Row],[Puesto6]]))</f>
        <v>3</v>
      </c>
      <c r="O1016" s="14">
        <v>1</v>
      </c>
      <c r="P1016" s="32">
        <f>IF(Prueba[[#This Row],[Cant.5]]=0,"",IF(OR(Prueba[[#This Row],[Cant.6]]="",Prueba[[#This Row],[Puesto6]]=""),"?",Prueba[[#This Row],[Puesto6]]))</f>
        <v>3</v>
      </c>
      <c r="Q1016" s="14">
        <v>1</v>
      </c>
      <c r="R1016" s="14">
        <v>3</v>
      </c>
      <c r="S1016" s="14">
        <v>1</v>
      </c>
      <c r="T1016" s="14">
        <v>3</v>
      </c>
      <c r="U1016" s="31">
        <v>1</v>
      </c>
      <c r="V1016" s="32">
        <v>3</v>
      </c>
      <c r="W1016" s="19"/>
      <c r="X1016" s="19" t="s">
        <v>1667</v>
      </c>
      <c r="Y1016" s="19" t="s">
        <v>1663</v>
      </c>
      <c r="Z1016" s="19" t="s">
        <v>1663</v>
      </c>
      <c r="AA1016" s="19" t="s">
        <v>1663</v>
      </c>
      <c r="AB1016" s="19" t="s">
        <v>1663</v>
      </c>
    </row>
    <row r="1017" spans="1:28">
      <c r="A1017" s="18" t="s">
        <v>1385</v>
      </c>
      <c r="B1017" s="18" t="s">
        <v>9</v>
      </c>
      <c r="C1017" s="18" t="s">
        <v>1386</v>
      </c>
      <c r="D1017" s="18" t="s">
        <v>1387</v>
      </c>
      <c r="E1017" s="19" t="s">
        <v>39</v>
      </c>
      <c r="F1017" s="18" t="s">
        <v>13</v>
      </c>
      <c r="G1017" s="29"/>
      <c r="H1017" s="14" t="str">
        <f>IF(Prueba[[#This Row],[Cant.]]=0,"",IF(OR(Prueba[[#This Row],[Cant.2]]="",Prueba[[#This Row],[Puesto2]]=""),"?",Prueba[[#This Row],[Puesto2]]))</f>
        <v/>
      </c>
      <c r="I1017" s="31"/>
      <c r="J1017" s="32"/>
      <c r="K1017" s="31">
        <v>1</v>
      </c>
      <c r="L1017" s="14"/>
      <c r="M1017" s="14">
        <v>1</v>
      </c>
      <c r="N1017" s="14" t="str">
        <f>IF(Prueba[[#This Row],[Cant.4]]=0,"",IF(OR(Prueba[[#This Row],[Cant.6]]="",Prueba[[#This Row],[Puesto6]]=""),"?",Prueba[[#This Row],[Puesto6]]))</f>
        <v>A</v>
      </c>
      <c r="O1017" s="14">
        <v>1</v>
      </c>
      <c r="P1017" s="32" t="str">
        <f>IF(Prueba[[#This Row],[Cant.5]]=0,"",IF(OR(Prueba[[#This Row],[Cant.6]]="",Prueba[[#This Row],[Puesto6]]=""),"?",Prueba[[#This Row],[Puesto6]]))</f>
        <v>A</v>
      </c>
      <c r="Q1017" s="14">
        <v>1</v>
      </c>
      <c r="R1017" s="14" t="s">
        <v>1421</v>
      </c>
      <c r="S1017" s="14"/>
      <c r="T1017" s="14"/>
      <c r="U1017" s="31"/>
      <c r="V1017" s="32" t="s">
        <v>1663</v>
      </c>
      <c r="W1017" s="19"/>
      <c r="X1017" s="19" t="s">
        <v>1667</v>
      </c>
      <c r="Y1017" s="19" t="s">
        <v>1663</v>
      </c>
      <c r="Z1017" s="19" t="s">
        <v>1663</v>
      </c>
      <c r="AA1017" s="19" t="s">
        <v>1663</v>
      </c>
      <c r="AB1017" s="19" t="s">
        <v>1663</v>
      </c>
    </row>
    <row r="1018" spans="1:28">
      <c r="A1018" s="18" t="s">
        <v>1263</v>
      </c>
      <c r="B1018" s="18" t="s">
        <v>9</v>
      </c>
      <c r="C1018" s="18" t="s">
        <v>1264</v>
      </c>
      <c r="D1018" s="18" t="s">
        <v>1265</v>
      </c>
      <c r="E1018" s="19" t="s">
        <v>39</v>
      </c>
      <c r="F1018" s="18" t="s">
        <v>13</v>
      </c>
      <c r="G1018" s="29"/>
      <c r="H1018" s="14" t="str">
        <f>IF(Prueba[[#This Row],[Cant.]]=0,"",IF(OR(Prueba[[#This Row],[Cant.2]]="",Prueba[[#This Row],[Puesto2]]=""),"?",Prueba[[#This Row],[Puesto2]]))</f>
        <v/>
      </c>
      <c r="I1018" s="31"/>
      <c r="J1018" s="32"/>
      <c r="K1018" s="31">
        <v>2</v>
      </c>
      <c r="L1018" s="14"/>
      <c r="M1018" s="14">
        <v>2</v>
      </c>
      <c r="N1018" s="14">
        <f>IF(Prueba[[#This Row],[Cant.4]]=0,"",IF(OR(Prueba[[#This Row],[Cant.6]]="",Prueba[[#This Row],[Puesto6]]=""),"?",Prueba[[#This Row],[Puesto6]]))</f>
        <v>3</v>
      </c>
      <c r="O1018" s="14">
        <v>2</v>
      </c>
      <c r="P1018" s="32">
        <f>IF(Prueba[[#This Row],[Cant.5]]=0,"",IF(OR(Prueba[[#This Row],[Cant.6]]="",Prueba[[#This Row],[Puesto6]]=""),"?",Prueba[[#This Row],[Puesto6]]))</f>
        <v>3</v>
      </c>
      <c r="Q1018" s="14">
        <v>2</v>
      </c>
      <c r="R1018" s="14">
        <v>3</v>
      </c>
      <c r="S1018" s="14"/>
      <c r="T1018" s="14"/>
      <c r="U1018" s="31">
        <v>2</v>
      </c>
      <c r="V1018" s="32">
        <v>3</v>
      </c>
      <c r="W1018" s="19"/>
      <c r="X1018" s="19" t="s">
        <v>1667</v>
      </c>
      <c r="Y1018" s="19" t="s">
        <v>1663</v>
      </c>
      <c r="Z1018" s="19" t="s">
        <v>1663</v>
      </c>
      <c r="AA1018" s="19" t="s">
        <v>1663</v>
      </c>
      <c r="AB1018" s="19" t="s">
        <v>1663</v>
      </c>
    </row>
    <row r="1019" spans="1:28">
      <c r="A1019" s="18" t="s">
        <v>1266</v>
      </c>
      <c r="B1019" s="18" t="s">
        <v>9</v>
      </c>
      <c r="C1019" s="18" t="s">
        <v>174</v>
      </c>
      <c r="D1019" s="18" t="s">
        <v>1267</v>
      </c>
      <c r="E1019" s="19" t="s">
        <v>18</v>
      </c>
      <c r="F1019" s="18" t="s">
        <v>13</v>
      </c>
      <c r="G1019" s="29"/>
      <c r="H1019" s="14" t="str">
        <f>IF(Prueba[[#This Row],[Cant.]]=0,"",IF(OR(Prueba[[#This Row],[Cant.2]]="",Prueba[[#This Row],[Puesto2]]=""),"?",Prueba[[#This Row],[Puesto2]]))</f>
        <v/>
      </c>
      <c r="I1019" s="31"/>
      <c r="J1019" s="32"/>
      <c r="K1019" s="31">
        <v>1</v>
      </c>
      <c r="L1019" s="14"/>
      <c r="M1019" s="14">
        <v>1</v>
      </c>
      <c r="N1019" s="14">
        <f>IF(Prueba[[#This Row],[Cant.4]]=0,"",IF(OR(Prueba[[#This Row],[Cant.6]]="",Prueba[[#This Row],[Puesto6]]=""),"?",Prueba[[#This Row],[Puesto6]]))</f>
        <v>3</v>
      </c>
      <c r="O1019" s="14">
        <v>1</v>
      </c>
      <c r="P1019" s="32">
        <f>IF(Prueba[[#This Row],[Cant.5]]=0,"",IF(OR(Prueba[[#This Row],[Cant.6]]="",Prueba[[#This Row],[Puesto6]]=""),"?",Prueba[[#This Row],[Puesto6]]))</f>
        <v>3</v>
      </c>
      <c r="Q1019" s="14">
        <v>1</v>
      </c>
      <c r="R1019" s="14">
        <v>3</v>
      </c>
      <c r="S1019" s="14"/>
      <c r="T1019" s="14"/>
      <c r="U1019" s="31">
        <v>1</v>
      </c>
      <c r="V1019" s="32">
        <v>3</v>
      </c>
      <c r="W1019" s="19"/>
      <c r="X1019" s="19" t="s">
        <v>1667</v>
      </c>
      <c r="Y1019" s="19" t="s">
        <v>1663</v>
      </c>
      <c r="Z1019" s="19" t="s">
        <v>1663</v>
      </c>
      <c r="AA1019" s="19" t="s">
        <v>1663</v>
      </c>
      <c r="AB1019" s="19" t="s">
        <v>1663</v>
      </c>
    </row>
    <row r="1020" spans="1:28">
      <c r="A1020" s="18" t="s">
        <v>1268</v>
      </c>
      <c r="B1020" s="18" t="s">
        <v>9</v>
      </c>
      <c r="C1020" s="18" t="s">
        <v>174</v>
      </c>
      <c r="D1020" s="18" t="s">
        <v>1267</v>
      </c>
      <c r="E1020" s="19" t="s">
        <v>18</v>
      </c>
      <c r="F1020" s="18" t="s">
        <v>13</v>
      </c>
      <c r="G1020" s="29"/>
      <c r="H1020" s="14" t="str">
        <f>IF(Prueba[[#This Row],[Cant.]]=0,"",IF(OR(Prueba[[#This Row],[Cant.2]]="",Prueba[[#This Row],[Puesto2]]=""),"?",Prueba[[#This Row],[Puesto2]]))</f>
        <v/>
      </c>
      <c r="I1020" s="31"/>
      <c r="J1020" s="32"/>
      <c r="K1020" s="31">
        <v>1</v>
      </c>
      <c r="L1020" s="14"/>
      <c r="M1020" s="14">
        <v>1</v>
      </c>
      <c r="N1020" s="14">
        <f>IF(Prueba[[#This Row],[Cant.4]]=0,"",IF(OR(Prueba[[#This Row],[Cant.6]]="",Prueba[[#This Row],[Puesto6]]=""),"?",Prueba[[#This Row],[Puesto6]]))</f>
        <v>3</v>
      </c>
      <c r="O1020" s="14">
        <v>1</v>
      </c>
      <c r="P1020" s="32">
        <f>IF(Prueba[[#This Row],[Cant.5]]=0,"",IF(OR(Prueba[[#This Row],[Cant.6]]="",Prueba[[#This Row],[Puesto6]]=""),"?",Prueba[[#This Row],[Puesto6]]))</f>
        <v>3</v>
      </c>
      <c r="Q1020" s="14">
        <v>1</v>
      </c>
      <c r="R1020" s="14">
        <v>3</v>
      </c>
      <c r="S1020" s="14"/>
      <c r="T1020" s="14"/>
      <c r="U1020" s="31">
        <v>1</v>
      </c>
      <c r="V1020" s="32">
        <v>3</v>
      </c>
      <c r="W1020" s="19"/>
      <c r="X1020" s="19" t="s">
        <v>1667</v>
      </c>
      <c r="Y1020" s="19" t="s">
        <v>1663</v>
      </c>
      <c r="Z1020" s="19" t="s">
        <v>1663</v>
      </c>
      <c r="AA1020" s="19" t="s">
        <v>1663</v>
      </c>
      <c r="AB1020" s="19" t="s">
        <v>1663</v>
      </c>
    </row>
    <row r="1021" spans="1:28">
      <c r="A1021" s="18" t="s">
        <v>1269</v>
      </c>
      <c r="B1021" s="18" t="s">
        <v>9</v>
      </c>
      <c r="C1021" s="18" t="s">
        <v>557</v>
      </c>
      <c r="D1021" s="18" t="s">
        <v>558</v>
      </c>
      <c r="E1021" s="19" t="s">
        <v>39</v>
      </c>
      <c r="F1021" s="18" t="s">
        <v>13</v>
      </c>
      <c r="G1021" s="29"/>
      <c r="H1021" s="14" t="str">
        <f>IF(Prueba[[#This Row],[Cant.]]=0,"",IF(OR(Prueba[[#This Row],[Cant.2]]="",Prueba[[#This Row],[Puesto2]]=""),"?",Prueba[[#This Row],[Puesto2]]))</f>
        <v/>
      </c>
      <c r="I1021" s="31"/>
      <c r="J1021" s="32"/>
      <c r="K1021" s="31">
        <v>2</v>
      </c>
      <c r="L1021" s="14"/>
      <c r="M1021" s="14">
        <v>2</v>
      </c>
      <c r="N1021" s="14" t="str">
        <f>IF(Prueba[[#This Row],[Cant.4]]=0,"",IF(OR(Prueba[[#This Row],[Cant.6]]="",Prueba[[#This Row],[Puesto6]]=""),"?",Prueba[[#This Row],[Puesto6]]))</f>
        <v>B</v>
      </c>
      <c r="O1021" s="14">
        <v>2</v>
      </c>
      <c r="P1021" s="32" t="str">
        <f>IF(Prueba[[#This Row],[Cant.5]]=0,"",IF(OR(Prueba[[#This Row],[Cant.6]]="",Prueba[[#This Row],[Puesto6]]=""),"?",Prueba[[#This Row],[Puesto6]]))</f>
        <v>B</v>
      </c>
      <c r="Q1021" s="14">
        <v>2</v>
      </c>
      <c r="R1021" s="14" t="s">
        <v>1447</v>
      </c>
      <c r="S1021" s="14">
        <v>2</v>
      </c>
      <c r="T1021" s="14" t="s">
        <v>1447</v>
      </c>
      <c r="U1021" s="31"/>
      <c r="V1021" s="32" t="s">
        <v>1663</v>
      </c>
      <c r="W1021" s="19"/>
      <c r="X1021" s="19" t="s">
        <v>1667</v>
      </c>
      <c r="Y1021" s="19" t="s">
        <v>1663</v>
      </c>
      <c r="Z1021" s="19" t="s">
        <v>1663</v>
      </c>
      <c r="AA1021" s="19" t="s">
        <v>1663</v>
      </c>
      <c r="AB1021" s="19" t="s">
        <v>1663</v>
      </c>
    </row>
    <row r="1022" spans="1:28">
      <c r="A1022" s="18" t="s">
        <v>1270</v>
      </c>
      <c r="B1022" s="18" t="s">
        <v>9</v>
      </c>
      <c r="C1022" s="18" t="s">
        <v>545</v>
      </c>
      <c r="D1022" s="18" t="s">
        <v>116</v>
      </c>
      <c r="E1022" s="19" t="s">
        <v>12</v>
      </c>
      <c r="F1022" s="18" t="s">
        <v>13</v>
      </c>
      <c r="G1022" s="29"/>
      <c r="H1022" s="14" t="str">
        <f>IF(Prueba[[#This Row],[Cant.]]=0,"",IF(OR(Prueba[[#This Row],[Cant.2]]="",Prueba[[#This Row],[Puesto2]]=""),"?",Prueba[[#This Row],[Puesto2]]))</f>
        <v/>
      </c>
      <c r="I1022" s="31"/>
      <c r="J1022" s="32"/>
      <c r="K1022" s="31">
        <v>1</v>
      </c>
      <c r="L1022" s="14"/>
      <c r="M1022" s="14">
        <v>1</v>
      </c>
      <c r="N1022" s="14" t="str">
        <f>IF(Prueba[[#This Row],[Cant.4]]=0,"",IF(OR(Prueba[[#This Row],[Cant.6]]="",Prueba[[#This Row],[Puesto6]]=""),"?",Prueba[[#This Row],[Puesto6]]))</f>
        <v>D</v>
      </c>
      <c r="O1022" s="14">
        <v>1</v>
      </c>
      <c r="P1022" s="32" t="str">
        <f>IF(Prueba[[#This Row],[Cant.5]]=0,"",IF(OR(Prueba[[#This Row],[Cant.6]]="",Prueba[[#This Row],[Puesto6]]=""),"?",Prueba[[#This Row],[Puesto6]]))</f>
        <v>D</v>
      </c>
      <c r="Q1022" s="14">
        <v>1</v>
      </c>
      <c r="R1022" s="14" t="s">
        <v>1399</v>
      </c>
      <c r="S1022" s="14">
        <v>1</v>
      </c>
      <c r="T1022" s="14" t="s">
        <v>1399</v>
      </c>
      <c r="U1022" s="31"/>
      <c r="V1022" s="32" t="s">
        <v>1663</v>
      </c>
      <c r="W1022" s="19"/>
      <c r="X1022" s="19" t="s">
        <v>1667</v>
      </c>
      <c r="Y1022" s="19" t="s">
        <v>1663</v>
      </c>
      <c r="Z1022" s="19" t="s">
        <v>1663</v>
      </c>
      <c r="AA1022" s="19" t="s">
        <v>1663</v>
      </c>
      <c r="AB1022" s="19" t="s">
        <v>1663</v>
      </c>
    </row>
    <row r="1023" spans="1:28">
      <c r="A1023" s="18" t="s">
        <v>1388</v>
      </c>
      <c r="B1023" s="18" t="s">
        <v>9</v>
      </c>
      <c r="C1023" s="18" t="s">
        <v>1389</v>
      </c>
      <c r="D1023" s="18" t="s">
        <v>1389</v>
      </c>
      <c r="E1023" s="19" t="s">
        <v>308</v>
      </c>
      <c r="F1023" s="18" t="s">
        <v>13</v>
      </c>
      <c r="G1023" s="29"/>
      <c r="H1023" s="14" t="str">
        <f>IF(Prueba[[#This Row],[Cant.]]=0,"",IF(OR(Prueba[[#This Row],[Cant.2]]="",Prueba[[#This Row],[Puesto2]]=""),"?",Prueba[[#This Row],[Puesto2]]))</f>
        <v/>
      </c>
      <c r="I1023" s="31"/>
      <c r="J1023" s="32"/>
      <c r="K1023" s="31">
        <v>1</v>
      </c>
      <c r="L1023" s="14"/>
      <c r="M1023" s="14">
        <v>1</v>
      </c>
      <c r="N1023" s="14" t="str">
        <f>IF(Prueba[[#This Row],[Cant.4]]=0,"",IF(OR(Prueba[[#This Row],[Cant.6]]="",Prueba[[#This Row],[Puesto6]]=""),"?",Prueba[[#This Row],[Puesto6]]))</f>
        <v>D</v>
      </c>
      <c r="O1023" s="14"/>
      <c r="P1023" s="32" t="str">
        <f>IF(Prueba[[#This Row],[Cant.5]]=0,"",IF(OR(Prueba[[#This Row],[Cant.6]]="",Prueba[[#This Row],[Puesto6]]=""),"?",Prueba[[#This Row],[Puesto6]]))</f>
        <v/>
      </c>
      <c r="Q1023" s="14">
        <v>1</v>
      </c>
      <c r="R1023" s="14" t="s">
        <v>1399</v>
      </c>
      <c r="S1023" s="14">
        <v>1</v>
      </c>
      <c r="T1023" s="14" t="s">
        <v>1399</v>
      </c>
      <c r="U1023" s="31"/>
      <c r="V1023" s="32" t="s">
        <v>1663</v>
      </c>
      <c r="W1023" s="19"/>
      <c r="X1023" s="19" t="s">
        <v>1667</v>
      </c>
      <c r="Y1023" s="19" t="s">
        <v>1663</v>
      </c>
      <c r="Z1023" s="19" t="s">
        <v>1663</v>
      </c>
      <c r="AA1023" s="19" t="s">
        <v>1663</v>
      </c>
      <c r="AB1023" s="19" t="s">
        <v>1663</v>
      </c>
    </row>
    <row r="1024" spans="1:28">
      <c r="A1024" s="18" t="s">
        <v>1390</v>
      </c>
      <c r="B1024" s="18" t="s">
        <v>9</v>
      </c>
      <c r="C1024" s="18" t="s">
        <v>1391</v>
      </c>
      <c r="D1024" s="18" t="s">
        <v>1392</v>
      </c>
      <c r="E1024" s="19" t="s">
        <v>22</v>
      </c>
      <c r="F1024" s="18" t="s">
        <v>13</v>
      </c>
      <c r="G1024" s="29"/>
      <c r="H1024" s="14" t="str">
        <f>IF(Prueba[[#This Row],[Cant.]]=0,"",IF(OR(Prueba[[#This Row],[Cant.2]]="",Prueba[[#This Row],[Puesto2]]=""),"?",Prueba[[#This Row],[Puesto2]]))</f>
        <v/>
      </c>
      <c r="I1024" s="31"/>
      <c r="J1024" s="32"/>
      <c r="K1024" s="31">
        <v>2</v>
      </c>
      <c r="L1024" s="14"/>
      <c r="M1024" s="14">
        <v>2</v>
      </c>
      <c r="N1024" s="14" t="str">
        <f>IF(Prueba[[#This Row],[Cant.4]]=0,"",IF(OR(Prueba[[#This Row],[Cant.6]]="",Prueba[[#This Row],[Puesto6]]=""),"?",Prueba[[#This Row],[Puesto6]]))</f>
        <v>C</v>
      </c>
      <c r="O1024" s="14"/>
      <c r="P1024" s="32" t="str">
        <f>IF(Prueba[[#This Row],[Cant.5]]=0,"",IF(OR(Prueba[[#This Row],[Cant.6]]="",Prueba[[#This Row],[Puesto6]]=""),"?",Prueba[[#This Row],[Puesto6]]))</f>
        <v/>
      </c>
      <c r="Q1024" s="14">
        <v>2</v>
      </c>
      <c r="R1024" s="14" t="s">
        <v>1402</v>
      </c>
      <c r="S1024" s="14"/>
      <c r="T1024" s="14"/>
      <c r="U1024" s="31"/>
      <c r="V1024" s="32" t="s">
        <v>1663</v>
      </c>
      <c r="W1024" s="19">
        <v>16</v>
      </c>
      <c r="X1024" s="19" t="s">
        <v>1664</v>
      </c>
      <c r="Y1024" s="19" t="s">
        <v>1663</v>
      </c>
      <c r="Z1024" s="19" t="s">
        <v>1663</v>
      </c>
      <c r="AA1024" s="19" t="s">
        <v>1663</v>
      </c>
      <c r="AB1024" s="19" t="s">
        <v>1663</v>
      </c>
    </row>
    <row r="1025" spans="1:28" ht="28.9">
      <c r="A1025" s="18" t="s">
        <v>1271</v>
      </c>
      <c r="B1025" s="18" t="s">
        <v>9</v>
      </c>
      <c r="C1025" s="18" t="s">
        <v>577</v>
      </c>
      <c r="D1025" s="18" t="s">
        <v>630</v>
      </c>
      <c r="E1025" s="19" t="s">
        <v>22</v>
      </c>
      <c r="F1025" s="18" t="s">
        <v>13</v>
      </c>
      <c r="G1025" s="29"/>
      <c r="H1025" s="14" t="str">
        <f>IF(Prueba[[#This Row],[Cant.]]=0,"",IF(OR(Prueba[[#This Row],[Cant.2]]="",Prueba[[#This Row],[Puesto2]]=""),"?",Prueba[[#This Row],[Puesto2]]))</f>
        <v/>
      </c>
      <c r="I1025" s="31"/>
      <c r="J1025" s="32"/>
      <c r="K1025" s="31">
        <v>20</v>
      </c>
      <c r="L1025" s="14"/>
      <c r="M1025" s="14">
        <v>22</v>
      </c>
      <c r="N1025" s="14" t="str">
        <f>IF(Prueba[[#This Row],[Cant.4]]=0,"",IF(OR(Prueba[[#This Row],[Cant.6]]="",Prueba[[#This Row],[Puesto6]]=""),"?",Prueba[[#This Row],[Puesto6]]))</f>
        <v>2x0 + 7x4 + 4x5 + 7x6</v>
      </c>
      <c r="O1025" s="14">
        <v>20</v>
      </c>
      <c r="P1025" s="32" t="str">
        <f>IF(Prueba[[#This Row],[Cant.5]]=0,"",IF(OR(Prueba[[#This Row],[Cant.6]]="",Prueba[[#This Row],[Puesto6]]=""),"?",Prueba[[#This Row],[Puesto6]]))</f>
        <v>2x0 + 7x4 + 4x5 + 7x6</v>
      </c>
      <c r="Q1025" s="14">
        <v>22</v>
      </c>
      <c r="R1025" s="14" t="s">
        <v>2337</v>
      </c>
      <c r="S1025" s="14">
        <v>20</v>
      </c>
      <c r="T1025" s="14" t="s">
        <v>2338</v>
      </c>
      <c r="U1025" s="31"/>
      <c r="V1025" s="32" t="s">
        <v>1663</v>
      </c>
      <c r="W1025" s="19">
        <v>72</v>
      </c>
      <c r="X1025" s="19" t="s">
        <v>1664</v>
      </c>
      <c r="Y1025" s="19" t="s">
        <v>1663</v>
      </c>
      <c r="Z1025" s="19" t="s">
        <v>1663</v>
      </c>
      <c r="AA1025" s="19" t="s">
        <v>1663</v>
      </c>
      <c r="AB1025" s="19" t="s">
        <v>1663</v>
      </c>
    </row>
    <row r="1026" spans="1:28">
      <c r="A1026" s="18" t="s">
        <v>1272</v>
      </c>
      <c r="B1026" s="18" t="s">
        <v>9</v>
      </c>
      <c r="C1026" s="18" t="s">
        <v>492</v>
      </c>
      <c r="D1026" s="18" t="s">
        <v>492</v>
      </c>
      <c r="E1026" s="19" t="s">
        <v>22</v>
      </c>
      <c r="F1026" s="18" t="s">
        <v>13</v>
      </c>
      <c r="G1026" s="29"/>
      <c r="H1026" s="14" t="str">
        <f>IF(Prueba[[#This Row],[Cant.]]=0,"",IF(OR(Prueba[[#This Row],[Cant.2]]="",Prueba[[#This Row],[Puesto2]]=""),"?",Prueba[[#This Row],[Puesto2]]))</f>
        <v/>
      </c>
      <c r="I1026" s="31"/>
      <c r="J1026" s="32"/>
      <c r="K1026" s="31">
        <v>2</v>
      </c>
      <c r="L1026" s="14"/>
      <c r="M1026" s="14">
        <v>2</v>
      </c>
      <c r="N1026" s="14">
        <f>IF(Prueba[[#This Row],[Cant.4]]=0,"",IF(OR(Prueba[[#This Row],[Cant.6]]="",Prueba[[#This Row],[Puesto6]]=""),"?",Prueba[[#This Row],[Puesto6]]))</f>
        <v>0</v>
      </c>
      <c r="O1026" s="14">
        <v>2</v>
      </c>
      <c r="P1026" s="32">
        <f>IF(Prueba[[#This Row],[Cant.5]]=0,"",IF(OR(Prueba[[#This Row],[Cant.6]]="",Prueba[[#This Row],[Puesto6]]=""),"?",Prueba[[#This Row],[Puesto6]]))</f>
        <v>0</v>
      </c>
      <c r="Q1026" s="14">
        <v>2</v>
      </c>
      <c r="R1026" s="14">
        <v>0</v>
      </c>
      <c r="S1026" s="14">
        <v>2</v>
      </c>
      <c r="T1026" s="14">
        <v>0</v>
      </c>
      <c r="U1026" s="31"/>
      <c r="V1026" s="32" t="s">
        <v>1663</v>
      </c>
      <c r="W1026" s="19">
        <v>16</v>
      </c>
      <c r="X1026" s="19" t="s">
        <v>1664</v>
      </c>
      <c r="Y1026" s="19" t="s">
        <v>1663</v>
      </c>
      <c r="Z1026" s="19" t="s">
        <v>1663</v>
      </c>
      <c r="AA1026" s="19" t="s">
        <v>1663</v>
      </c>
      <c r="AB1026" s="19" t="s">
        <v>1663</v>
      </c>
    </row>
    <row r="1027" spans="1:28">
      <c r="A1027" s="18" t="s">
        <v>1613</v>
      </c>
      <c r="B1027" s="18" t="s">
        <v>9</v>
      </c>
      <c r="C1027" s="18" t="s">
        <v>1959</v>
      </c>
      <c r="D1027" s="18" t="s">
        <v>1960</v>
      </c>
      <c r="E1027" s="19" t="s">
        <v>1733</v>
      </c>
      <c r="F1027" s="18" t="s">
        <v>13</v>
      </c>
      <c r="G1027" s="29"/>
      <c r="H1027" s="14" t="str">
        <f>IF(Prueba[[#This Row],[Cant.]]=0,"",IF(OR(Prueba[[#This Row],[Cant.2]]="",Prueba[[#This Row],[Puesto2]]=""),"?",Prueba[[#This Row],[Puesto2]]))</f>
        <v/>
      </c>
      <c r="I1027" s="31"/>
      <c r="J1027" s="32"/>
      <c r="K1027" s="31"/>
      <c r="L1027" s="14"/>
      <c r="M1027" s="14"/>
      <c r="N1027" s="14" t="str">
        <f>IF(Prueba[[#This Row],[Cant.4]]=0,"",IF(OR(Prueba[[#This Row],[Cant.6]]="",Prueba[[#This Row],[Puesto6]]=""),"?",Prueba[[#This Row],[Puesto6]]))</f>
        <v/>
      </c>
      <c r="O1027" s="14"/>
      <c r="P1027" s="32" t="str">
        <f>IF(Prueba[[#This Row],[Cant.5]]=0,"",IF(OR(Prueba[[#This Row],[Cant.6]]="",Prueba[[#This Row],[Puesto6]]=""),"?",Prueba[[#This Row],[Puesto6]]))</f>
        <v/>
      </c>
      <c r="Q1027" s="14"/>
      <c r="R1027" s="14"/>
      <c r="S1027" s="14"/>
      <c r="T1027" s="14"/>
      <c r="U1027" s="31">
        <v>1</v>
      </c>
      <c r="V1027" s="32">
        <v>6</v>
      </c>
      <c r="W1027" s="19">
        <v>8</v>
      </c>
      <c r="X1027" s="19" t="s">
        <v>1664</v>
      </c>
      <c r="Y1027" s="19" t="s">
        <v>1663</v>
      </c>
      <c r="Z1027" s="19" t="s">
        <v>1663</v>
      </c>
      <c r="AA1027" s="19" t="s">
        <v>1663</v>
      </c>
      <c r="AB1027" s="19" t="s">
        <v>1663</v>
      </c>
    </row>
    <row r="1028" spans="1:28" ht="43.15">
      <c r="A1028" s="18" t="s">
        <v>752</v>
      </c>
      <c r="B1028" s="18" t="s">
        <v>9</v>
      </c>
      <c r="C1028" s="18" t="s">
        <v>753</v>
      </c>
      <c r="D1028" s="18" t="s">
        <v>489</v>
      </c>
      <c r="E1028" s="19" t="s">
        <v>22</v>
      </c>
      <c r="F1028" s="18" t="s">
        <v>13</v>
      </c>
      <c r="G1028" s="29">
        <v>1</v>
      </c>
      <c r="H1028" s="14">
        <f>IF(Prueba[[#This Row],[Cant.]]=0,"",IF(OR(Prueba[[#This Row],[Cant.2]]="",Prueba[[#This Row],[Puesto2]]=""),"?",Prueba[[#This Row],[Puesto2]]))</f>
        <v>6</v>
      </c>
      <c r="I1028" s="31">
        <v>1</v>
      </c>
      <c r="J1028" s="32">
        <v>6</v>
      </c>
      <c r="K1028" s="31">
        <v>18</v>
      </c>
      <c r="L1028" s="14"/>
      <c r="M1028" s="14">
        <v>18</v>
      </c>
      <c r="N1028" s="14" t="str">
        <f>IF(Prueba[[#This Row],[Cant.4]]=0,"",IF(OR(Prueba[[#This Row],[Cant.6]]="",Prueba[[#This Row],[Puesto6]]=""),"?",Prueba[[#This Row],[Puesto6]]))</f>
        <v>4x0 + 4x3 + 1x4 + 1x6 + 4xB + 4xD</v>
      </c>
      <c r="O1028" s="14">
        <v>18</v>
      </c>
      <c r="P1028" s="32" t="str">
        <f>IF(Prueba[[#This Row],[Cant.5]]=0,"",IF(OR(Prueba[[#This Row],[Cant.6]]="",Prueba[[#This Row],[Puesto6]]=""),"?",Prueba[[#This Row],[Puesto6]]))</f>
        <v>4x0 + 4x3 + 1x4 + 1x6 + 4xB + 4xD</v>
      </c>
      <c r="Q1028" s="14">
        <v>18</v>
      </c>
      <c r="R1028" s="14" t="s">
        <v>2339</v>
      </c>
      <c r="S1028" s="14">
        <v>10</v>
      </c>
      <c r="T1028" s="14" t="s">
        <v>2340</v>
      </c>
      <c r="U1028" s="31">
        <v>14</v>
      </c>
      <c r="V1028" s="32" t="s">
        <v>1615</v>
      </c>
      <c r="W1028" s="19">
        <v>112</v>
      </c>
      <c r="X1028" s="19" t="s">
        <v>1664</v>
      </c>
      <c r="Y1028" s="19">
        <v>2</v>
      </c>
      <c r="Z1028" s="19">
        <v>6</v>
      </c>
      <c r="AA1028" s="19">
        <v>2</v>
      </c>
      <c r="AB1028" s="19">
        <v>6</v>
      </c>
    </row>
    <row r="1029" spans="1:28">
      <c r="A1029" s="18" t="s">
        <v>1273</v>
      </c>
      <c r="B1029" s="18" t="s">
        <v>9</v>
      </c>
      <c r="C1029" s="18" t="s">
        <v>753</v>
      </c>
      <c r="D1029" s="18" t="s">
        <v>489</v>
      </c>
      <c r="E1029" s="19" t="s">
        <v>22</v>
      </c>
      <c r="F1029" s="18" t="s">
        <v>13</v>
      </c>
      <c r="G1029" s="29"/>
      <c r="H1029" s="14" t="str">
        <f>IF(Prueba[[#This Row],[Cant.]]=0,"",IF(OR(Prueba[[#This Row],[Cant.2]]="",Prueba[[#This Row],[Puesto2]]=""),"?",Prueba[[#This Row],[Puesto2]]))</f>
        <v/>
      </c>
      <c r="I1029" s="31"/>
      <c r="J1029" s="32"/>
      <c r="K1029" s="31">
        <v>4</v>
      </c>
      <c r="L1029" s="14"/>
      <c r="M1029" s="14">
        <v>4</v>
      </c>
      <c r="N1029" s="14">
        <f>IF(Prueba[[#This Row],[Cant.4]]=0,"",IF(OR(Prueba[[#This Row],[Cant.6]]="",Prueba[[#This Row],[Puesto6]]=""),"?",Prueba[[#This Row],[Puesto6]]))</f>
        <v>3</v>
      </c>
      <c r="O1029" s="14">
        <v>4</v>
      </c>
      <c r="P1029" s="32">
        <f>IF(Prueba[[#This Row],[Cant.5]]=0,"",IF(OR(Prueba[[#This Row],[Cant.6]]="",Prueba[[#This Row],[Puesto6]]=""),"?",Prueba[[#This Row],[Puesto6]]))</f>
        <v>3</v>
      </c>
      <c r="Q1029" s="14">
        <v>4</v>
      </c>
      <c r="R1029" s="14">
        <v>3</v>
      </c>
      <c r="S1029" s="14">
        <v>4</v>
      </c>
      <c r="T1029" s="14">
        <v>3</v>
      </c>
      <c r="U1029" s="31">
        <v>4</v>
      </c>
      <c r="V1029" s="32">
        <v>3</v>
      </c>
      <c r="W1029" s="19">
        <v>32</v>
      </c>
      <c r="X1029" s="19" t="s">
        <v>1664</v>
      </c>
      <c r="Y1029" s="19" t="s">
        <v>1663</v>
      </c>
      <c r="Z1029" s="19" t="s">
        <v>1663</v>
      </c>
      <c r="AA1029" s="19" t="s">
        <v>1663</v>
      </c>
      <c r="AB1029" s="19" t="s">
        <v>1663</v>
      </c>
    </row>
    <row r="1030" spans="1:28" ht="28.9">
      <c r="A1030" s="18" t="s">
        <v>1274</v>
      </c>
      <c r="B1030" s="18" t="s">
        <v>9</v>
      </c>
      <c r="C1030" s="18" t="s">
        <v>753</v>
      </c>
      <c r="D1030" s="18" t="s">
        <v>489</v>
      </c>
      <c r="E1030" s="19" t="s">
        <v>22</v>
      </c>
      <c r="F1030" s="18" t="s">
        <v>13</v>
      </c>
      <c r="G1030" s="29"/>
      <c r="H1030" s="14" t="str">
        <f>IF(Prueba[[#This Row],[Cant.]]=0,"",IF(OR(Prueba[[#This Row],[Cant.2]]="",Prueba[[#This Row],[Puesto2]]=""),"?",Prueba[[#This Row],[Puesto2]]))</f>
        <v/>
      </c>
      <c r="I1030" s="31"/>
      <c r="J1030" s="32"/>
      <c r="K1030" s="31">
        <v>28</v>
      </c>
      <c r="L1030" s="14"/>
      <c r="M1030" s="14">
        <v>28</v>
      </c>
      <c r="N1030" s="14" t="str">
        <f>IF(Prueba[[#This Row],[Cant.4]]=0,"",IF(OR(Prueba[[#This Row],[Cant.6]]="",Prueba[[#This Row],[Puesto6]]=""),"?",Prueba[[#This Row],[Puesto6]]))</f>
        <v>12x0 + 6x3 + 8xA</v>
      </c>
      <c r="O1030" s="14">
        <v>28</v>
      </c>
      <c r="P1030" s="32" t="str">
        <f>IF(Prueba[[#This Row],[Cant.5]]=0,"",IF(OR(Prueba[[#This Row],[Cant.6]]="",Prueba[[#This Row],[Puesto6]]=""),"?",Prueba[[#This Row],[Puesto6]]))</f>
        <v>12x0 + 6x3 + 8xA</v>
      </c>
      <c r="Q1030" s="14">
        <v>28</v>
      </c>
      <c r="R1030" s="14" t="s">
        <v>2341</v>
      </c>
      <c r="S1030" s="14">
        <v>6</v>
      </c>
      <c r="T1030" s="14" t="s">
        <v>2342</v>
      </c>
      <c r="U1030" s="31">
        <v>18</v>
      </c>
      <c r="V1030" s="32" t="s">
        <v>1616</v>
      </c>
      <c r="W1030" s="19">
        <v>144</v>
      </c>
      <c r="X1030" s="19" t="s">
        <v>1664</v>
      </c>
      <c r="Y1030" s="19" t="s">
        <v>1663</v>
      </c>
      <c r="Z1030" s="19" t="s">
        <v>1663</v>
      </c>
      <c r="AA1030" s="19" t="s">
        <v>1663</v>
      </c>
      <c r="AB1030" s="19" t="s">
        <v>1663</v>
      </c>
    </row>
    <row r="1031" spans="1:28">
      <c r="A1031" s="18" t="s">
        <v>1617</v>
      </c>
      <c r="B1031" s="18" t="s">
        <v>9</v>
      </c>
      <c r="C1031" s="18" t="s">
        <v>1959</v>
      </c>
      <c r="D1031" s="18" t="s">
        <v>1960</v>
      </c>
      <c r="E1031" s="19" t="s">
        <v>1733</v>
      </c>
      <c r="F1031" s="18" t="s">
        <v>13</v>
      </c>
      <c r="G1031" s="29"/>
      <c r="H1031" s="14" t="str">
        <f>IF(Prueba[[#This Row],[Cant.]]=0,"",IF(OR(Prueba[[#This Row],[Cant.2]]="",Prueba[[#This Row],[Puesto2]]=""),"?",Prueba[[#This Row],[Puesto2]]))</f>
        <v/>
      </c>
      <c r="I1031" s="31"/>
      <c r="J1031" s="32"/>
      <c r="K1031" s="31"/>
      <c r="L1031" s="14"/>
      <c r="M1031" s="14"/>
      <c r="N1031" s="14" t="str">
        <f>IF(Prueba[[#This Row],[Cant.4]]=0,"",IF(OR(Prueba[[#This Row],[Cant.6]]="",Prueba[[#This Row],[Puesto6]]=""),"?",Prueba[[#This Row],[Puesto6]]))</f>
        <v/>
      </c>
      <c r="O1031" s="14"/>
      <c r="P1031" s="32" t="str">
        <f>IF(Prueba[[#This Row],[Cant.5]]=0,"",IF(OR(Prueba[[#This Row],[Cant.6]]="",Prueba[[#This Row],[Puesto6]]=""),"?",Prueba[[#This Row],[Puesto6]]))</f>
        <v/>
      </c>
      <c r="Q1031" s="14"/>
      <c r="R1031" s="14"/>
      <c r="S1031" s="14"/>
      <c r="T1031" s="14"/>
      <c r="U1031" s="31">
        <v>2</v>
      </c>
      <c r="V1031" s="32">
        <v>3</v>
      </c>
      <c r="W1031" s="19">
        <v>16</v>
      </c>
      <c r="X1031" s="19" t="s">
        <v>1664</v>
      </c>
      <c r="Y1031" s="19" t="s">
        <v>1663</v>
      </c>
      <c r="Z1031" s="19" t="s">
        <v>1663</v>
      </c>
      <c r="AA1031" s="19" t="s">
        <v>1663</v>
      </c>
      <c r="AB1031" s="19" t="s">
        <v>1663</v>
      </c>
    </row>
    <row r="1032" spans="1:28">
      <c r="A1032" s="18" t="s">
        <v>1275</v>
      </c>
      <c r="B1032" s="18" t="s">
        <v>9</v>
      </c>
      <c r="C1032" s="18" t="s">
        <v>753</v>
      </c>
      <c r="D1032" s="18" t="s">
        <v>489</v>
      </c>
      <c r="E1032" s="19" t="s">
        <v>22</v>
      </c>
      <c r="F1032" s="18" t="s">
        <v>13</v>
      </c>
      <c r="G1032" s="29"/>
      <c r="H1032" s="14" t="str">
        <f>IF(Prueba[[#This Row],[Cant.]]=0,"",IF(OR(Prueba[[#This Row],[Cant.2]]="",Prueba[[#This Row],[Puesto2]]=""),"?",Prueba[[#This Row],[Puesto2]]))</f>
        <v/>
      </c>
      <c r="I1032" s="31"/>
      <c r="J1032" s="32"/>
      <c r="K1032" s="31">
        <v>8</v>
      </c>
      <c r="L1032" s="14"/>
      <c r="M1032" s="14">
        <v>8</v>
      </c>
      <c r="N1032" s="14">
        <f>IF(Prueba[[#This Row],[Cant.4]]=0,"",IF(OR(Prueba[[#This Row],[Cant.6]]="",Prueba[[#This Row],[Puesto6]]=""),"?",Prueba[[#This Row],[Puesto6]]))</f>
        <v>3</v>
      </c>
      <c r="O1032" s="14">
        <v>8</v>
      </c>
      <c r="P1032" s="32">
        <f>IF(Prueba[[#This Row],[Cant.5]]=0,"",IF(OR(Prueba[[#This Row],[Cant.6]]="",Prueba[[#This Row],[Puesto6]]=""),"?",Prueba[[#This Row],[Puesto6]]))</f>
        <v>3</v>
      </c>
      <c r="Q1032" s="14">
        <v>8</v>
      </c>
      <c r="R1032" s="14">
        <v>3</v>
      </c>
      <c r="S1032" s="14">
        <v>4</v>
      </c>
      <c r="T1032" s="14">
        <v>3</v>
      </c>
      <c r="U1032" s="31">
        <v>8</v>
      </c>
      <c r="V1032" s="32">
        <v>3</v>
      </c>
      <c r="W1032" s="19">
        <v>64</v>
      </c>
      <c r="X1032" s="19" t="s">
        <v>1664</v>
      </c>
      <c r="Y1032" s="19" t="s">
        <v>1663</v>
      </c>
      <c r="Z1032" s="19" t="s">
        <v>1663</v>
      </c>
      <c r="AA1032" s="19" t="s">
        <v>1663</v>
      </c>
      <c r="AB1032" s="19" t="s">
        <v>1663</v>
      </c>
    </row>
    <row r="1033" spans="1:28">
      <c r="A1033" s="18" t="s">
        <v>754</v>
      </c>
      <c r="B1033" s="18" t="s">
        <v>9</v>
      </c>
      <c r="C1033" s="18" t="s">
        <v>755</v>
      </c>
      <c r="D1033" s="18" t="s">
        <v>492</v>
      </c>
      <c r="E1033" s="19" t="s">
        <v>22</v>
      </c>
      <c r="F1033" s="18" t="s">
        <v>13</v>
      </c>
      <c r="G1033" s="29">
        <v>2</v>
      </c>
      <c r="H1033" s="14" t="str">
        <f>IF(Prueba[[#This Row],[Cant.]]=0,"",IF(OR(Prueba[[#This Row],[Cant.2]]="",Prueba[[#This Row],[Puesto2]]=""),"?",Prueba[[#This Row],[Puesto2]]))</f>
        <v>D</v>
      </c>
      <c r="I1033" s="31">
        <v>2</v>
      </c>
      <c r="J1033" s="32" t="s">
        <v>1399</v>
      </c>
      <c r="K1033" s="31">
        <v>2</v>
      </c>
      <c r="L1033" s="14"/>
      <c r="M1033" s="14">
        <v>2</v>
      </c>
      <c r="N1033" s="14" t="str">
        <f>IF(Prueba[[#This Row],[Cant.4]]=0,"",IF(OR(Prueba[[#This Row],[Cant.6]]="",Prueba[[#This Row],[Puesto6]]=""),"?",Prueba[[#This Row],[Puesto6]]))</f>
        <v>D</v>
      </c>
      <c r="O1033" s="14">
        <v>2</v>
      </c>
      <c r="P1033" s="32" t="str">
        <f>IF(Prueba[[#This Row],[Cant.5]]=0,"",IF(OR(Prueba[[#This Row],[Cant.6]]="",Prueba[[#This Row],[Puesto6]]=""),"?",Prueba[[#This Row],[Puesto6]]))</f>
        <v>D</v>
      </c>
      <c r="Q1033" s="14">
        <v>2</v>
      </c>
      <c r="R1033" s="14" t="s">
        <v>1399</v>
      </c>
      <c r="S1033" s="14">
        <v>2</v>
      </c>
      <c r="T1033" s="14" t="s">
        <v>1399</v>
      </c>
      <c r="U1033" s="31"/>
      <c r="V1033" s="32" t="s">
        <v>1663</v>
      </c>
      <c r="W1033" s="19">
        <v>16</v>
      </c>
      <c r="X1033" s="19" t="s">
        <v>1664</v>
      </c>
      <c r="Y1033" s="19">
        <v>3</v>
      </c>
      <c r="Z1033" s="19" t="s">
        <v>1399</v>
      </c>
      <c r="AA1033" s="19">
        <v>3</v>
      </c>
      <c r="AB1033" s="19" t="s">
        <v>1399</v>
      </c>
    </row>
    <row r="1034" spans="1:28">
      <c r="A1034" s="18" t="s">
        <v>1618</v>
      </c>
      <c r="B1034" s="18" t="s">
        <v>9</v>
      </c>
      <c r="C1034" s="18" t="s">
        <v>1853</v>
      </c>
      <c r="D1034" s="18" t="s">
        <v>1854</v>
      </c>
      <c r="E1034" s="19" t="s">
        <v>1733</v>
      </c>
      <c r="F1034" s="18" t="s">
        <v>13</v>
      </c>
      <c r="G1034" s="29"/>
      <c r="H1034" s="14" t="str">
        <f>IF(Prueba[[#This Row],[Cant.]]=0,"",IF(OR(Prueba[[#This Row],[Cant.2]]="",Prueba[[#This Row],[Puesto2]]=""),"?",Prueba[[#This Row],[Puesto2]]))</f>
        <v/>
      </c>
      <c r="I1034" s="31"/>
      <c r="J1034" s="32"/>
      <c r="K1034" s="31"/>
      <c r="L1034" s="14"/>
      <c r="M1034" s="14"/>
      <c r="N1034" s="14" t="str">
        <f>IF(Prueba[[#This Row],[Cant.4]]=0,"",IF(OR(Prueba[[#This Row],[Cant.6]]="",Prueba[[#This Row],[Puesto6]]=""),"?",Prueba[[#This Row],[Puesto6]]))</f>
        <v/>
      </c>
      <c r="O1034" s="14"/>
      <c r="P1034" s="32" t="str">
        <f>IF(Prueba[[#This Row],[Cant.5]]=0,"",IF(OR(Prueba[[#This Row],[Cant.6]]="",Prueba[[#This Row],[Puesto6]]=""),"?",Prueba[[#This Row],[Puesto6]]))</f>
        <v/>
      </c>
      <c r="Q1034" s="14"/>
      <c r="R1034" s="14"/>
      <c r="S1034" s="14"/>
      <c r="T1034" s="14"/>
      <c r="U1034" s="31">
        <v>2</v>
      </c>
      <c r="V1034" s="32">
        <v>0</v>
      </c>
      <c r="W1034" s="19">
        <v>16</v>
      </c>
      <c r="X1034" s="19" t="s">
        <v>1664</v>
      </c>
      <c r="Y1034" s="19" t="s">
        <v>1663</v>
      </c>
      <c r="Z1034" s="19" t="s">
        <v>1663</v>
      </c>
      <c r="AA1034" s="19" t="s">
        <v>1663</v>
      </c>
      <c r="AB1034" s="19" t="s">
        <v>1663</v>
      </c>
    </row>
    <row r="1035" spans="1:28" ht="28.9">
      <c r="A1035" s="18" t="s">
        <v>1276</v>
      </c>
      <c r="B1035" s="18" t="s">
        <v>9</v>
      </c>
      <c r="C1035" s="18" t="s">
        <v>755</v>
      </c>
      <c r="D1035" s="18" t="s">
        <v>492</v>
      </c>
      <c r="E1035" s="19" t="s">
        <v>22</v>
      </c>
      <c r="F1035" s="18" t="s">
        <v>13</v>
      </c>
      <c r="G1035" s="29"/>
      <c r="H1035" s="14" t="str">
        <f>IF(Prueba[[#This Row],[Cant.]]=0,"",IF(OR(Prueba[[#This Row],[Cant.2]]="",Prueba[[#This Row],[Puesto2]]=""),"?",Prueba[[#This Row],[Puesto2]]))</f>
        <v/>
      </c>
      <c r="I1035" s="31"/>
      <c r="J1035" s="32"/>
      <c r="K1035" s="31">
        <v>9</v>
      </c>
      <c r="L1035" s="14"/>
      <c r="M1035" s="14">
        <v>9</v>
      </c>
      <c r="N1035" s="14" t="str">
        <f>IF(Prueba[[#This Row],[Cant.4]]=0,"",IF(OR(Prueba[[#This Row],[Cant.6]]="",Prueba[[#This Row],[Puesto6]]=""),"?",Prueba[[#This Row],[Puesto6]]))</f>
        <v>4xD + 4x0 + 1x4</v>
      </c>
      <c r="O1035" s="14">
        <v>9</v>
      </c>
      <c r="P1035" s="32" t="str">
        <f>IF(Prueba[[#This Row],[Cant.5]]=0,"",IF(OR(Prueba[[#This Row],[Cant.6]]="",Prueba[[#This Row],[Puesto6]]=""),"?",Prueba[[#This Row],[Puesto6]]))</f>
        <v>4xD + 4x0 + 1x4</v>
      </c>
      <c r="Q1035" s="14">
        <v>9</v>
      </c>
      <c r="R1035" s="14" t="s">
        <v>2343</v>
      </c>
      <c r="S1035" s="14">
        <v>1</v>
      </c>
      <c r="T1035" s="14">
        <v>4</v>
      </c>
      <c r="U1035" s="31">
        <v>1</v>
      </c>
      <c r="V1035" s="32">
        <v>4</v>
      </c>
      <c r="W1035" s="19">
        <v>32</v>
      </c>
      <c r="X1035" s="19" t="s">
        <v>1664</v>
      </c>
      <c r="Y1035" s="19" t="s">
        <v>1663</v>
      </c>
      <c r="Z1035" s="19" t="s">
        <v>1663</v>
      </c>
      <c r="AA1035" s="19" t="s">
        <v>1663</v>
      </c>
      <c r="AB1035" s="19" t="s">
        <v>1663</v>
      </c>
    </row>
    <row r="1036" spans="1:28">
      <c r="A1036" s="18" t="s">
        <v>1277</v>
      </c>
      <c r="B1036" s="18" t="s">
        <v>9</v>
      </c>
      <c r="C1036" s="18" t="s">
        <v>755</v>
      </c>
      <c r="D1036" s="18" t="s">
        <v>492</v>
      </c>
      <c r="E1036" s="19" t="s">
        <v>22</v>
      </c>
      <c r="F1036" s="18" t="s">
        <v>13</v>
      </c>
      <c r="G1036" s="29"/>
      <c r="H1036" s="14" t="str">
        <f>IF(Prueba[[#This Row],[Cant.]]=0,"",IF(OR(Prueba[[#This Row],[Cant.2]]="",Prueba[[#This Row],[Puesto2]]=""),"?",Prueba[[#This Row],[Puesto2]]))</f>
        <v/>
      </c>
      <c r="I1036" s="31"/>
      <c r="J1036" s="32"/>
      <c r="K1036" s="31">
        <v>8</v>
      </c>
      <c r="L1036" s="14"/>
      <c r="M1036" s="14">
        <v>8</v>
      </c>
      <c r="N1036" s="14" t="str">
        <f>IF(Prueba[[#This Row],[Cant.4]]=0,"",IF(OR(Prueba[[#This Row],[Cant.6]]="",Prueba[[#This Row],[Puesto6]]=""),"?",Prueba[[#This Row],[Puesto6]]))</f>
        <v>4x3 + 4xB</v>
      </c>
      <c r="O1036" s="14">
        <v>8</v>
      </c>
      <c r="P1036" s="32" t="str">
        <f>IF(Prueba[[#This Row],[Cant.5]]=0,"",IF(OR(Prueba[[#This Row],[Cant.6]]="",Prueba[[#This Row],[Puesto6]]=""),"?",Prueba[[#This Row],[Puesto6]]))</f>
        <v>4x3 + 4xB</v>
      </c>
      <c r="Q1036" s="14">
        <v>8</v>
      </c>
      <c r="R1036" s="14" t="s">
        <v>1619</v>
      </c>
      <c r="S1036" s="14">
        <v>8</v>
      </c>
      <c r="T1036" s="14" t="s">
        <v>1619</v>
      </c>
      <c r="U1036" s="31">
        <v>8</v>
      </c>
      <c r="V1036" s="32" t="s">
        <v>1619</v>
      </c>
      <c r="W1036" s="19">
        <v>32</v>
      </c>
      <c r="X1036" s="19" t="s">
        <v>1664</v>
      </c>
      <c r="Y1036" s="19" t="s">
        <v>1663</v>
      </c>
      <c r="Z1036" s="19" t="s">
        <v>1663</v>
      </c>
      <c r="AA1036" s="19" t="s">
        <v>1663</v>
      </c>
      <c r="AB1036" s="19" t="s">
        <v>1663</v>
      </c>
    </row>
    <row r="1037" spans="1:28">
      <c r="A1037" s="18" t="s">
        <v>1278</v>
      </c>
      <c r="B1037" s="18" t="s">
        <v>9</v>
      </c>
      <c r="C1037" s="18" t="s">
        <v>755</v>
      </c>
      <c r="D1037" s="18" t="s">
        <v>492</v>
      </c>
      <c r="E1037" s="19" t="s">
        <v>22</v>
      </c>
      <c r="F1037" s="18" t="s">
        <v>13</v>
      </c>
      <c r="G1037" s="29"/>
      <c r="H1037" s="14" t="str">
        <f>IF(Prueba[[#This Row],[Cant.]]=0,"",IF(OR(Prueba[[#This Row],[Cant.2]]="",Prueba[[#This Row],[Puesto2]]=""),"?",Prueba[[#This Row],[Puesto2]]))</f>
        <v/>
      </c>
      <c r="I1037" s="31"/>
      <c r="J1037" s="32"/>
      <c r="K1037" s="31">
        <v>4</v>
      </c>
      <c r="L1037" s="14"/>
      <c r="M1037" s="14">
        <v>4</v>
      </c>
      <c r="N1037" s="14">
        <f>IF(Prueba[[#This Row],[Cant.4]]=0,"",IF(OR(Prueba[[#This Row],[Cant.6]]="",Prueba[[#This Row],[Puesto6]]=""),"?",Prueba[[#This Row],[Puesto6]]))</f>
        <v>3</v>
      </c>
      <c r="O1037" s="14">
        <v>4</v>
      </c>
      <c r="P1037" s="32">
        <f>IF(Prueba[[#This Row],[Cant.5]]=0,"",IF(OR(Prueba[[#This Row],[Cant.6]]="",Prueba[[#This Row],[Puesto6]]=""),"?",Prueba[[#This Row],[Puesto6]]))</f>
        <v>3</v>
      </c>
      <c r="Q1037" s="14">
        <v>4</v>
      </c>
      <c r="R1037" s="14">
        <v>3</v>
      </c>
      <c r="S1037" s="14">
        <v>4</v>
      </c>
      <c r="T1037" s="14">
        <v>3</v>
      </c>
      <c r="U1037" s="31">
        <v>4</v>
      </c>
      <c r="V1037" s="32">
        <v>3</v>
      </c>
      <c r="W1037" s="19">
        <v>32</v>
      </c>
      <c r="X1037" s="19" t="s">
        <v>1664</v>
      </c>
      <c r="Y1037" s="19" t="s">
        <v>1663</v>
      </c>
      <c r="Z1037" s="19" t="s">
        <v>1663</v>
      </c>
      <c r="AA1037" s="19" t="s">
        <v>1663</v>
      </c>
      <c r="AB1037" s="19" t="s">
        <v>1663</v>
      </c>
    </row>
    <row r="1038" spans="1:28">
      <c r="A1038" s="18" t="s">
        <v>1279</v>
      </c>
      <c r="B1038" s="18" t="s">
        <v>9</v>
      </c>
      <c r="C1038" s="18" t="s">
        <v>755</v>
      </c>
      <c r="D1038" s="18" t="s">
        <v>492</v>
      </c>
      <c r="E1038" s="19" t="s">
        <v>22</v>
      </c>
      <c r="F1038" s="18" t="s">
        <v>13</v>
      </c>
      <c r="G1038" s="29"/>
      <c r="H1038" s="14" t="str">
        <f>IF(Prueba[[#This Row],[Cant.]]=0,"",IF(OR(Prueba[[#This Row],[Cant.2]]="",Prueba[[#This Row],[Puesto2]]=""),"?",Prueba[[#This Row],[Puesto2]]))</f>
        <v/>
      </c>
      <c r="I1038" s="31"/>
      <c r="J1038" s="32"/>
      <c r="K1038" s="31">
        <v>2</v>
      </c>
      <c r="L1038" s="14"/>
      <c r="M1038" s="14">
        <v>2</v>
      </c>
      <c r="N1038" s="14">
        <f>IF(Prueba[[#This Row],[Cant.4]]=0,"",IF(OR(Prueba[[#This Row],[Cant.6]]="",Prueba[[#This Row],[Puesto6]]=""),"?",Prueba[[#This Row],[Puesto6]]))</f>
        <v>3</v>
      </c>
      <c r="O1038" s="14">
        <v>2</v>
      </c>
      <c r="P1038" s="32">
        <f>IF(Prueba[[#This Row],[Cant.5]]=0,"",IF(OR(Prueba[[#This Row],[Cant.6]]="",Prueba[[#This Row],[Puesto6]]=""),"?",Prueba[[#This Row],[Puesto6]]))</f>
        <v>3</v>
      </c>
      <c r="Q1038" s="14">
        <v>2</v>
      </c>
      <c r="R1038" s="14">
        <v>3</v>
      </c>
      <c r="S1038" s="14"/>
      <c r="T1038" s="14"/>
      <c r="U1038" s="31">
        <v>4</v>
      </c>
      <c r="V1038" s="32" t="s">
        <v>1620</v>
      </c>
      <c r="W1038" s="19">
        <v>32</v>
      </c>
      <c r="X1038" s="19" t="s">
        <v>1664</v>
      </c>
      <c r="Y1038" s="19" t="s">
        <v>1663</v>
      </c>
      <c r="Z1038" s="19" t="s">
        <v>1663</v>
      </c>
      <c r="AA1038" s="19" t="s">
        <v>1663</v>
      </c>
      <c r="AB1038" s="19" t="s">
        <v>1663</v>
      </c>
    </row>
    <row r="1039" spans="1:28">
      <c r="A1039" s="18" t="s">
        <v>1280</v>
      </c>
      <c r="B1039" s="18" t="s">
        <v>9</v>
      </c>
      <c r="C1039" s="18" t="s">
        <v>755</v>
      </c>
      <c r="D1039" s="18" t="s">
        <v>492</v>
      </c>
      <c r="E1039" s="19" t="s">
        <v>22</v>
      </c>
      <c r="F1039" s="18" t="s">
        <v>13</v>
      </c>
      <c r="G1039" s="29"/>
      <c r="H1039" s="14" t="str">
        <f>IF(Prueba[[#This Row],[Cant.]]=0,"",IF(OR(Prueba[[#This Row],[Cant.2]]="",Prueba[[#This Row],[Puesto2]]=""),"?",Prueba[[#This Row],[Puesto2]]))</f>
        <v/>
      </c>
      <c r="I1039" s="31"/>
      <c r="J1039" s="32"/>
      <c r="K1039" s="31">
        <v>14</v>
      </c>
      <c r="L1039" s="14"/>
      <c r="M1039" s="14">
        <v>14</v>
      </c>
      <c r="N1039" s="14" t="str">
        <f>IF(Prueba[[#This Row],[Cant.4]]=0,"",IF(OR(Prueba[[#This Row],[Cant.6]]="",Prueba[[#This Row],[Puesto6]]=""),"?",Prueba[[#This Row],[Puesto6]]))</f>
        <v>12x0 + 2x3</v>
      </c>
      <c r="O1039" s="14">
        <v>14</v>
      </c>
      <c r="P1039" s="32" t="str">
        <f>IF(Prueba[[#This Row],[Cant.5]]=0,"",IF(OR(Prueba[[#This Row],[Cant.6]]="",Prueba[[#This Row],[Puesto6]]=""),"?",Prueba[[#This Row],[Puesto6]]))</f>
        <v>12x0 + 2x3</v>
      </c>
      <c r="Q1039" s="14">
        <v>14</v>
      </c>
      <c r="R1039" s="14" t="s">
        <v>2344</v>
      </c>
      <c r="S1039" s="14">
        <v>2</v>
      </c>
      <c r="T1039" s="14">
        <v>3</v>
      </c>
      <c r="U1039" s="31">
        <v>2</v>
      </c>
      <c r="V1039" s="32">
        <v>3</v>
      </c>
      <c r="W1039" s="19">
        <v>96</v>
      </c>
      <c r="X1039" s="19" t="s">
        <v>1664</v>
      </c>
      <c r="Y1039" s="19" t="s">
        <v>1663</v>
      </c>
      <c r="Z1039" s="19" t="s">
        <v>1663</v>
      </c>
      <c r="AA1039" s="19" t="s">
        <v>1663</v>
      </c>
      <c r="AB1039" s="19" t="s">
        <v>1663</v>
      </c>
    </row>
    <row r="1040" spans="1:28">
      <c r="A1040" s="18" t="s">
        <v>1281</v>
      </c>
      <c r="B1040" s="18" t="s">
        <v>9</v>
      </c>
      <c r="C1040" s="18" t="s">
        <v>755</v>
      </c>
      <c r="D1040" s="18" t="s">
        <v>492</v>
      </c>
      <c r="E1040" s="19" t="s">
        <v>22</v>
      </c>
      <c r="F1040" s="18" t="s">
        <v>13</v>
      </c>
      <c r="G1040" s="29"/>
      <c r="H1040" s="14" t="str">
        <f>IF(Prueba[[#This Row],[Cant.]]=0,"",IF(OR(Prueba[[#This Row],[Cant.2]]="",Prueba[[#This Row],[Puesto2]]=""),"?",Prueba[[#This Row],[Puesto2]]))</f>
        <v/>
      </c>
      <c r="I1040" s="31"/>
      <c r="J1040" s="32"/>
      <c r="K1040" s="31">
        <v>8</v>
      </c>
      <c r="L1040" s="14"/>
      <c r="M1040" s="14">
        <v>8</v>
      </c>
      <c r="N1040" s="14" t="str">
        <f>IF(Prueba[[#This Row],[Cant.4]]=0,"",IF(OR(Prueba[[#This Row],[Cant.6]]="",Prueba[[#This Row],[Puesto6]]=""),"?",Prueba[[#This Row],[Puesto6]]))</f>
        <v>A</v>
      </c>
      <c r="O1040" s="14">
        <v>8</v>
      </c>
      <c r="P1040" s="32" t="str">
        <f>IF(Prueba[[#This Row],[Cant.5]]=0,"",IF(OR(Prueba[[#This Row],[Cant.6]]="",Prueba[[#This Row],[Puesto6]]=""),"?",Prueba[[#This Row],[Puesto6]]))</f>
        <v>A</v>
      </c>
      <c r="Q1040" s="14">
        <v>8</v>
      </c>
      <c r="R1040" s="14" t="s">
        <v>1421</v>
      </c>
      <c r="S1040" s="14"/>
      <c r="T1040" s="14"/>
      <c r="U1040" s="31">
        <v>8</v>
      </c>
      <c r="V1040" s="32" t="s">
        <v>1421</v>
      </c>
      <c r="W1040" s="19">
        <v>64</v>
      </c>
      <c r="X1040" s="19" t="s">
        <v>1664</v>
      </c>
      <c r="Y1040" s="19" t="s">
        <v>1663</v>
      </c>
      <c r="Z1040" s="19" t="s">
        <v>1663</v>
      </c>
      <c r="AA1040" s="19" t="s">
        <v>1663</v>
      </c>
      <c r="AB1040" s="19" t="s">
        <v>1663</v>
      </c>
    </row>
    <row r="1041" spans="1:28">
      <c r="A1041" s="18" t="s">
        <v>1282</v>
      </c>
      <c r="B1041" s="18" t="s">
        <v>9</v>
      </c>
      <c r="C1041" s="18" t="s">
        <v>492</v>
      </c>
      <c r="D1041" s="18" t="s">
        <v>492</v>
      </c>
      <c r="E1041" s="19" t="s">
        <v>22</v>
      </c>
      <c r="F1041" s="18" t="s">
        <v>13</v>
      </c>
      <c r="G1041" s="29"/>
      <c r="H1041" s="14" t="str">
        <f>IF(Prueba[[#This Row],[Cant.]]=0,"",IF(OR(Prueba[[#This Row],[Cant.2]]="",Prueba[[#This Row],[Puesto2]]=""),"?",Prueba[[#This Row],[Puesto2]]))</f>
        <v/>
      </c>
      <c r="I1041" s="31"/>
      <c r="J1041" s="32"/>
      <c r="K1041" s="31">
        <v>4</v>
      </c>
      <c r="L1041" s="14"/>
      <c r="M1041" s="14">
        <v>4</v>
      </c>
      <c r="N1041" s="14">
        <f>IF(Prueba[[#This Row],[Cant.4]]=0,"",IF(OR(Prueba[[#This Row],[Cant.6]]="",Prueba[[#This Row],[Puesto6]]=""),"?",Prueba[[#This Row],[Puesto6]]))</f>
        <v>3</v>
      </c>
      <c r="O1041" s="14">
        <v>4</v>
      </c>
      <c r="P1041" s="32">
        <f>IF(Prueba[[#This Row],[Cant.5]]=0,"",IF(OR(Prueba[[#This Row],[Cant.6]]="",Prueba[[#This Row],[Puesto6]]=""),"?",Prueba[[#This Row],[Puesto6]]))</f>
        <v>3</v>
      </c>
      <c r="Q1041" s="14">
        <v>4</v>
      </c>
      <c r="R1041" s="14">
        <v>3</v>
      </c>
      <c r="S1041" s="14">
        <v>4</v>
      </c>
      <c r="T1041" s="14">
        <v>3</v>
      </c>
      <c r="U1041" s="31">
        <v>4</v>
      </c>
      <c r="V1041" s="32">
        <v>3</v>
      </c>
      <c r="W1041" s="19">
        <v>32</v>
      </c>
      <c r="X1041" s="19" t="s">
        <v>1664</v>
      </c>
      <c r="Y1041" s="19" t="s">
        <v>1663</v>
      </c>
      <c r="Z1041" s="19" t="s">
        <v>1663</v>
      </c>
      <c r="AA1041" s="19" t="s">
        <v>1663</v>
      </c>
      <c r="AB1041" s="19" t="s">
        <v>1663</v>
      </c>
    </row>
    <row r="1042" spans="1:28">
      <c r="A1042" s="18" t="s">
        <v>1621</v>
      </c>
      <c r="B1042" s="18" t="s">
        <v>9</v>
      </c>
      <c r="C1042" s="18" t="s">
        <v>1853</v>
      </c>
      <c r="D1042" s="18" t="s">
        <v>1854</v>
      </c>
      <c r="E1042" s="19" t="s">
        <v>1733</v>
      </c>
      <c r="F1042" s="18" t="s">
        <v>13</v>
      </c>
      <c r="G1042" s="29"/>
      <c r="H1042" s="14" t="str">
        <f>IF(Prueba[[#This Row],[Cant.]]=0,"",IF(OR(Prueba[[#This Row],[Cant.2]]="",Prueba[[#This Row],[Puesto2]]=""),"?",Prueba[[#This Row],[Puesto2]]))</f>
        <v/>
      </c>
      <c r="I1042" s="31"/>
      <c r="J1042" s="32"/>
      <c r="K1042" s="31"/>
      <c r="L1042" s="14"/>
      <c r="M1042" s="14"/>
      <c r="N1042" s="14" t="str">
        <f>IF(Prueba[[#This Row],[Cant.4]]=0,"",IF(OR(Prueba[[#This Row],[Cant.6]]="",Prueba[[#This Row],[Puesto6]]=""),"?",Prueba[[#This Row],[Puesto6]]))</f>
        <v/>
      </c>
      <c r="O1042" s="14"/>
      <c r="P1042" s="32" t="str">
        <f>IF(Prueba[[#This Row],[Cant.5]]=0,"",IF(OR(Prueba[[#This Row],[Cant.6]]="",Prueba[[#This Row],[Puesto6]]=""),"?",Prueba[[#This Row],[Puesto6]]))</f>
        <v/>
      </c>
      <c r="Q1042" s="14"/>
      <c r="R1042" s="14"/>
      <c r="S1042" s="14"/>
      <c r="T1042" s="14"/>
      <c r="U1042" s="31">
        <v>2</v>
      </c>
      <c r="V1042" s="32">
        <v>3</v>
      </c>
      <c r="W1042" s="19">
        <v>16</v>
      </c>
      <c r="X1042" s="19" t="s">
        <v>1664</v>
      </c>
      <c r="Y1042" s="19" t="s">
        <v>1663</v>
      </c>
      <c r="Z1042" s="19" t="s">
        <v>1663</v>
      </c>
      <c r="AA1042" s="19" t="s">
        <v>1663</v>
      </c>
      <c r="AB1042" s="19" t="s">
        <v>1663</v>
      </c>
    </row>
    <row r="1043" spans="1:28">
      <c r="A1043" s="18" t="s">
        <v>1283</v>
      </c>
      <c r="B1043" s="18" t="s">
        <v>9</v>
      </c>
      <c r="C1043" s="18" t="s">
        <v>1284</v>
      </c>
      <c r="D1043" s="18" t="s">
        <v>1285</v>
      </c>
      <c r="E1043" s="19" t="s">
        <v>22</v>
      </c>
      <c r="F1043" s="18" t="s">
        <v>13</v>
      </c>
      <c r="G1043" s="29"/>
      <c r="H1043" s="14" t="str">
        <f>IF(Prueba[[#This Row],[Cant.]]=0,"",IF(OR(Prueba[[#This Row],[Cant.2]]="",Prueba[[#This Row],[Puesto2]]=""),"?",Prueba[[#This Row],[Puesto2]]))</f>
        <v/>
      </c>
      <c r="I1043" s="31"/>
      <c r="J1043" s="32"/>
      <c r="K1043" s="31">
        <v>6</v>
      </c>
      <c r="L1043" s="14"/>
      <c r="M1043" s="14">
        <v>6</v>
      </c>
      <c r="N1043" s="14">
        <f>IF(Prueba[[#This Row],[Cant.4]]=0,"",IF(OR(Prueba[[#This Row],[Cant.6]]="",Prueba[[#This Row],[Puesto6]]=""),"?",Prueba[[#This Row],[Puesto6]]))</f>
        <v>3</v>
      </c>
      <c r="O1043" s="14">
        <v>6</v>
      </c>
      <c r="P1043" s="32">
        <f>IF(Prueba[[#This Row],[Cant.5]]=0,"",IF(OR(Prueba[[#This Row],[Cant.6]]="",Prueba[[#This Row],[Puesto6]]=""),"?",Prueba[[#This Row],[Puesto6]]))</f>
        <v>3</v>
      </c>
      <c r="Q1043" s="14">
        <v>6</v>
      </c>
      <c r="R1043" s="14">
        <v>3</v>
      </c>
      <c r="S1043" s="14">
        <v>2</v>
      </c>
      <c r="T1043" s="14">
        <v>3</v>
      </c>
      <c r="U1043" s="31">
        <v>8</v>
      </c>
      <c r="V1043" s="32">
        <v>3</v>
      </c>
      <c r="W1043" s="19">
        <v>64</v>
      </c>
      <c r="X1043" s="19" t="s">
        <v>1664</v>
      </c>
      <c r="Y1043" s="19">
        <v>3</v>
      </c>
      <c r="Z1043" s="19">
        <v>3</v>
      </c>
      <c r="AA1043" s="19">
        <v>3</v>
      </c>
      <c r="AB1043" s="19">
        <v>3</v>
      </c>
    </row>
    <row r="1044" spans="1:28">
      <c r="A1044" s="18" t="s">
        <v>1286</v>
      </c>
      <c r="B1044" s="18" t="s">
        <v>9</v>
      </c>
      <c r="C1044" s="18" t="s">
        <v>1284</v>
      </c>
      <c r="D1044" s="18" t="s">
        <v>1285</v>
      </c>
      <c r="E1044" s="19" t="s">
        <v>22</v>
      </c>
      <c r="F1044" s="18" t="s">
        <v>13</v>
      </c>
      <c r="G1044" s="29"/>
      <c r="H1044" s="14" t="str">
        <f>IF(Prueba[[#This Row],[Cant.]]=0,"",IF(OR(Prueba[[#This Row],[Cant.2]]="",Prueba[[#This Row],[Puesto2]]=""),"?",Prueba[[#This Row],[Puesto2]]))</f>
        <v/>
      </c>
      <c r="I1044" s="31"/>
      <c r="J1044" s="32"/>
      <c r="K1044" s="31">
        <v>4</v>
      </c>
      <c r="L1044" s="14"/>
      <c r="M1044" s="14">
        <v>4</v>
      </c>
      <c r="N1044" s="14">
        <f>IF(Prueba[[#This Row],[Cant.4]]=0,"",IF(OR(Prueba[[#This Row],[Cant.6]]="",Prueba[[#This Row],[Puesto6]]=""),"?",Prueba[[#This Row],[Puesto6]]))</f>
        <v>3</v>
      </c>
      <c r="O1044" s="14">
        <v>4</v>
      </c>
      <c r="P1044" s="32">
        <f>IF(Prueba[[#This Row],[Cant.5]]=0,"",IF(OR(Prueba[[#This Row],[Cant.6]]="",Prueba[[#This Row],[Puesto6]]=""),"?",Prueba[[#This Row],[Puesto6]]))</f>
        <v>3</v>
      </c>
      <c r="Q1044" s="14">
        <v>4</v>
      </c>
      <c r="R1044" s="14">
        <v>3</v>
      </c>
      <c r="S1044" s="14">
        <v>4</v>
      </c>
      <c r="T1044" s="14">
        <v>3</v>
      </c>
      <c r="U1044" s="31">
        <v>4</v>
      </c>
      <c r="V1044" s="32">
        <v>3</v>
      </c>
      <c r="W1044" s="19">
        <v>32</v>
      </c>
      <c r="X1044" s="19" t="s">
        <v>1664</v>
      </c>
      <c r="Y1044" s="19" t="s">
        <v>1663</v>
      </c>
      <c r="Z1044" s="19" t="s">
        <v>1663</v>
      </c>
      <c r="AA1044" s="19" t="s">
        <v>1663</v>
      </c>
      <c r="AB1044" s="19" t="s">
        <v>1663</v>
      </c>
    </row>
    <row r="1045" spans="1:28">
      <c r="A1045" s="18" t="s">
        <v>1622</v>
      </c>
      <c r="B1045" s="18" t="s">
        <v>9</v>
      </c>
      <c r="C1045" s="18" t="s">
        <v>1853</v>
      </c>
      <c r="D1045" s="18" t="s">
        <v>1854</v>
      </c>
      <c r="E1045" s="19" t="s">
        <v>1733</v>
      </c>
      <c r="F1045" s="18" t="s">
        <v>13</v>
      </c>
      <c r="G1045" s="29"/>
      <c r="H1045" s="14" t="str">
        <f>IF(Prueba[[#This Row],[Cant.]]=0,"",IF(OR(Prueba[[#This Row],[Cant.2]]="",Prueba[[#This Row],[Puesto2]]=""),"?",Prueba[[#This Row],[Puesto2]]))</f>
        <v/>
      </c>
      <c r="I1045" s="31"/>
      <c r="J1045" s="32"/>
      <c r="K1045" s="31"/>
      <c r="L1045" s="14"/>
      <c r="M1045" s="14"/>
      <c r="N1045" s="14" t="str">
        <f>IF(Prueba[[#This Row],[Cant.4]]=0,"",IF(OR(Prueba[[#This Row],[Cant.6]]="",Prueba[[#This Row],[Puesto6]]=""),"?",Prueba[[#This Row],[Puesto6]]))</f>
        <v/>
      </c>
      <c r="O1045" s="14"/>
      <c r="P1045" s="32" t="str">
        <f>IF(Prueba[[#This Row],[Cant.5]]=0,"",IF(OR(Prueba[[#This Row],[Cant.6]]="",Prueba[[#This Row],[Puesto6]]=""),"?",Prueba[[#This Row],[Puesto6]]))</f>
        <v/>
      </c>
      <c r="Q1045" s="14"/>
      <c r="R1045" s="14"/>
      <c r="S1045" s="14"/>
      <c r="T1045" s="14"/>
      <c r="U1045" s="31">
        <v>4</v>
      </c>
      <c r="V1045" s="32" t="s">
        <v>1607</v>
      </c>
      <c r="W1045" s="19">
        <v>32</v>
      </c>
      <c r="X1045" s="19" t="s">
        <v>1664</v>
      </c>
      <c r="Y1045" s="19" t="s">
        <v>1663</v>
      </c>
      <c r="Z1045" s="19" t="s">
        <v>1663</v>
      </c>
      <c r="AA1045" s="19" t="s">
        <v>1663</v>
      </c>
      <c r="AB1045" s="19" t="s">
        <v>1663</v>
      </c>
    </row>
    <row r="1046" spans="1:28">
      <c r="A1046" s="18" t="s">
        <v>1287</v>
      </c>
      <c r="B1046" s="18" t="s">
        <v>9</v>
      </c>
      <c r="C1046" s="18" t="s">
        <v>753</v>
      </c>
      <c r="D1046" s="18" t="s">
        <v>489</v>
      </c>
      <c r="E1046" s="19" t="s">
        <v>22</v>
      </c>
      <c r="F1046" s="18" t="s">
        <v>13</v>
      </c>
      <c r="G1046" s="29"/>
      <c r="H1046" s="14" t="str">
        <f>IF(Prueba[[#This Row],[Cant.]]=0,"",IF(OR(Prueba[[#This Row],[Cant.2]]="",Prueba[[#This Row],[Puesto2]]=""),"?",Prueba[[#This Row],[Puesto2]]))</f>
        <v/>
      </c>
      <c r="I1046" s="31"/>
      <c r="J1046" s="32"/>
      <c r="K1046" s="31">
        <v>2</v>
      </c>
      <c r="L1046" s="14"/>
      <c r="M1046" s="14">
        <v>2</v>
      </c>
      <c r="N1046" s="14">
        <f>IF(Prueba[[#This Row],[Cant.4]]=0,"",IF(OR(Prueba[[#This Row],[Cant.6]]="",Prueba[[#This Row],[Puesto6]]=""),"?",Prueba[[#This Row],[Puesto6]]))</f>
        <v>3</v>
      </c>
      <c r="O1046" s="14">
        <v>2</v>
      </c>
      <c r="P1046" s="32">
        <f>IF(Prueba[[#This Row],[Cant.5]]=0,"",IF(OR(Prueba[[#This Row],[Cant.6]]="",Prueba[[#This Row],[Puesto6]]=""),"?",Prueba[[#This Row],[Puesto6]]))</f>
        <v>3</v>
      </c>
      <c r="Q1046" s="14">
        <v>2</v>
      </c>
      <c r="R1046" s="14">
        <v>3</v>
      </c>
      <c r="S1046" s="14">
        <v>2</v>
      </c>
      <c r="T1046" s="14">
        <v>3</v>
      </c>
      <c r="U1046" s="31">
        <v>4</v>
      </c>
      <c r="V1046" s="32">
        <v>3</v>
      </c>
      <c r="W1046" s="19">
        <v>32</v>
      </c>
      <c r="X1046" s="19" t="s">
        <v>1664</v>
      </c>
      <c r="Y1046" s="19" t="s">
        <v>1663</v>
      </c>
      <c r="Z1046" s="19" t="s">
        <v>1663</v>
      </c>
      <c r="AA1046" s="19" t="s">
        <v>1663</v>
      </c>
      <c r="AB1046" s="19" t="s">
        <v>1663</v>
      </c>
    </row>
    <row r="1047" spans="1:28">
      <c r="A1047" s="18" t="s">
        <v>1288</v>
      </c>
      <c r="B1047" s="18" t="s">
        <v>9</v>
      </c>
      <c r="C1047" s="18" t="s">
        <v>753</v>
      </c>
      <c r="D1047" s="18" t="s">
        <v>489</v>
      </c>
      <c r="E1047" s="19" t="s">
        <v>22</v>
      </c>
      <c r="F1047" s="18" t="s">
        <v>13</v>
      </c>
      <c r="G1047" s="29"/>
      <c r="H1047" s="14" t="str">
        <f>IF(Prueba[[#This Row],[Cant.]]=0,"",IF(OR(Prueba[[#This Row],[Cant.2]]="",Prueba[[#This Row],[Puesto2]]=""),"?",Prueba[[#This Row],[Puesto2]]))</f>
        <v/>
      </c>
      <c r="I1047" s="31"/>
      <c r="J1047" s="32"/>
      <c r="K1047" s="31">
        <v>8</v>
      </c>
      <c r="L1047" s="14"/>
      <c r="M1047" s="14">
        <v>8</v>
      </c>
      <c r="N1047" s="14" t="str">
        <f>IF(Prueba[[#This Row],[Cant.4]]=0,"",IF(OR(Prueba[[#This Row],[Cant.6]]="",Prueba[[#This Row],[Puesto6]]=""),"?",Prueba[[#This Row],[Puesto6]]))</f>
        <v>B</v>
      </c>
      <c r="O1047" s="14">
        <v>8</v>
      </c>
      <c r="P1047" s="32" t="str">
        <f>IF(Prueba[[#This Row],[Cant.5]]=0,"",IF(OR(Prueba[[#This Row],[Cant.6]]="",Prueba[[#This Row],[Puesto6]]=""),"?",Prueba[[#This Row],[Puesto6]]))</f>
        <v>B</v>
      </c>
      <c r="Q1047" s="14">
        <v>8</v>
      </c>
      <c r="R1047" s="14" t="s">
        <v>1447</v>
      </c>
      <c r="S1047" s="14">
        <v>8</v>
      </c>
      <c r="T1047" s="14" t="s">
        <v>1447</v>
      </c>
      <c r="U1047" s="31">
        <v>8</v>
      </c>
      <c r="V1047" s="32" t="s">
        <v>1447</v>
      </c>
      <c r="W1047" s="19">
        <v>64</v>
      </c>
      <c r="X1047" s="19" t="s">
        <v>1664</v>
      </c>
      <c r="Y1047" s="19" t="s">
        <v>1663</v>
      </c>
      <c r="Z1047" s="19" t="s">
        <v>1663</v>
      </c>
      <c r="AA1047" s="19" t="s">
        <v>1663</v>
      </c>
      <c r="AB1047" s="19" t="s">
        <v>1663</v>
      </c>
    </row>
    <row r="1048" spans="1:28">
      <c r="A1048" s="18" t="s">
        <v>1289</v>
      </c>
      <c r="B1048" s="18" t="s">
        <v>9</v>
      </c>
      <c r="C1048" s="18" t="s">
        <v>753</v>
      </c>
      <c r="D1048" s="18" t="s">
        <v>489</v>
      </c>
      <c r="E1048" s="19" t="s">
        <v>22</v>
      </c>
      <c r="F1048" s="18" t="s">
        <v>13</v>
      </c>
      <c r="G1048" s="29"/>
      <c r="H1048" s="14" t="str">
        <f>IF(Prueba[[#This Row],[Cant.]]=0,"",IF(OR(Prueba[[#This Row],[Cant.2]]="",Prueba[[#This Row],[Puesto2]]=""),"?",Prueba[[#This Row],[Puesto2]]))</f>
        <v/>
      </c>
      <c r="I1048" s="31"/>
      <c r="J1048" s="32"/>
      <c r="K1048" s="31">
        <v>8</v>
      </c>
      <c r="L1048" s="14"/>
      <c r="M1048" s="14">
        <v>8</v>
      </c>
      <c r="N1048" s="14" t="str">
        <f>IF(Prueba[[#This Row],[Cant.4]]=0,"",IF(OR(Prueba[[#This Row],[Cant.6]]="",Prueba[[#This Row],[Puesto6]]=""),"?",Prueba[[#This Row],[Puesto6]]))</f>
        <v>A</v>
      </c>
      <c r="O1048" s="14">
        <v>8</v>
      </c>
      <c r="P1048" s="32" t="str">
        <f>IF(Prueba[[#This Row],[Cant.5]]=0,"",IF(OR(Prueba[[#This Row],[Cant.6]]="",Prueba[[#This Row],[Puesto6]]=""),"?",Prueba[[#This Row],[Puesto6]]))</f>
        <v>A</v>
      </c>
      <c r="Q1048" s="14">
        <v>8</v>
      </c>
      <c r="R1048" s="14" t="s">
        <v>1421</v>
      </c>
      <c r="S1048" s="14">
        <v>8</v>
      </c>
      <c r="T1048" s="14" t="s">
        <v>1421</v>
      </c>
      <c r="U1048" s="31">
        <v>8</v>
      </c>
      <c r="V1048" s="32" t="s">
        <v>1421</v>
      </c>
      <c r="W1048" s="19">
        <v>64</v>
      </c>
      <c r="X1048" s="19" t="s">
        <v>1664</v>
      </c>
      <c r="Y1048" s="19" t="s">
        <v>1663</v>
      </c>
      <c r="Z1048" s="19" t="s">
        <v>1663</v>
      </c>
      <c r="AA1048" s="19" t="s">
        <v>1663</v>
      </c>
      <c r="AB1048" s="19" t="s">
        <v>1663</v>
      </c>
    </row>
    <row r="1049" spans="1:28">
      <c r="A1049" s="18" t="s">
        <v>1290</v>
      </c>
      <c r="B1049" s="18" t="s">
        <v>9</v>
      </c>
      <c r="C1049" s="18" t="s">
        <v>1291</v>
      </c>
      <c r="D1049" s="18" t="s">
        <v>489</v>
      </c>
      <c r="E1049" s="19" t="s">
        <v>22</v>
      </c>
      <c r="F1049" s="18" t="s">
        <v>13</v>
      </c>
      <c r="G1049" s="29"/>
      <c r="H1049" s="14" t="str">
        <f>IF(Prueba[[#This Row],[Cant.]]=0,"",IF(OR(Prueba[[#This Row],[Cant.2]]="",Prueba[[#This Row],[Puesto2]]=""),"?",Prueba[[#This Row],[Puesto2]]))</f>
        <v/>
      </c>
      <c r="I1049" s="31"/>
      <c r="J1049" s="32"/>
      <c r="K1049" s="31">
        <v>2</v>
      </c>
      <c r="L1049" s="14"/>
      <c r="M1049" s="14">
        <v>2</v>
      </c>
      <c r="N1049" s="14" t="str">
        <f>IF(Prueba[[#This Row],[Cant.4]]=0,"",IF(OR(Prueba[[#This Row],[Cant.6]]="",Prueba[[#This Row],[Puesto6]]=""),"?",Prueba[[#This Row],[Puesto6]]))</f>
        <v>C</v>
      </c>
      <c r="O1049" s="14">
        <v>2</v>
      </c>
      <c r="P1049" s="32" t="str">
        <f>IF(Prueba[[#This Row],[Cant.5]]=0,"",IF(OR(Prueba[[#This Row],[Cant.6]]="",Prueba[[#This Row],[Puesto6]]=""),"?",Prueba[[#This Row],[Puesto6]]))</f>
        <v>C</v>
      </c>
      <c r="Q1049" s="14">
        <v>2</v>
      </c>
      <c r="R1049" s="14" t="s">
        <v>1402</v>
      </c>
      <c r="S1049" s="14">
        <v>2</v>
      </c>
      <c r="T1049" s="14" t="s">
        <v>1402</v>
      </c>
      <c r="U1049" s="31">
        <v>2</v>
      </c>
      <c r="V1049" s="32" t="s">
        <v>1402</v>
      </c>
      <c r="W1049" s="19">
        <v>16</v>
      </c>
      <c r="X1049" s="19" t="s">
        <v>1664</v>
      </c>
      <c r="Y1049" s="19" t="s">
        <v>1663</v>
      </c>
      <c r="Z1049" s="19" t="s">
        <v>1663</v>
      </c>
      <c r="AA1049" s="19" t="s">
        <v>1663</v>
      </c>
      <c r="AB1049" s="19" t="s">
        <v>1663</v>
      </c>
    </row>
    <row r="1050" spans="1:28">
      <c r="A1050" s="18" t="s">
        <v>2345</v>
      </c>
      <c r="B1050" s="18" t="s">
        <v>9</v>
      </c>
      <c r="C1050" s="18" t="s">
        <v>1959</v>
      </c>
      <c r="D1050" s="18" t="s">
        <v>1960</v>
      </c>
      <c r="E1050" s="19" t="s">
        <v>1733</v>
      </c>
      <c r="F1050" s="18" t="s">
        <v>13</v>
      </c>
      <c r="G1050" s="29"/>
      <c r="H1050" s="14" t="str">
        <f>IF(Prueba[[#This Row],[Cant.]]=0,"",IF(OR(Prueba[[#This Row],[Cant.2]]="",Prueba[[#This Row],[Puesto2]]=""),"?",Prueba[[#This Row],[Puesto2]]))</f>
        <v/>
      </c>
      <c r="I1050" s="31"/>
      <c r="J1050" s="32"/>
      <c r="K1050" s="31"/>
      <c r="L1050" s="14"/>
      <c r="M1050" s="14"/>
      <c r="N1050" s="14" t="str">
        <f>IF(Prueba[[#This Row],[Cant.4]]=0,"",IF(OR(Prueba[[#This Row],[Cant.6]]="",Prueba[[#This Row],[Puesto6]]=""),"?",Prueba[[#This Row],[Puesto6]]))</f>
        <v/>
      </c>
      <c r="O1050" s="14"/>
      <c r="P1050" s="32" t="str">
        <f>IF(Prueba[[#This Row],[Cant.5]]=0,"",IF(OR(Prueba[[#This Row],[Cant.6]]="",Prueba[[#This Row],[Puesto6]]=""),"?",Prueba[[#This Row],[Puesto6]]))</f>
        <v/>
      </c>
      <c r="Q1050" s="14"/>
      <c r="R1050" s="14"/>
      <c r="S1050" s="14">
        <v>2</v>
      </c>
      <c r="T1050" s="14"/>
      <c r="U1050" s="31"/>
      <c r="V1050" s="32" t="s">
        <v>1663</v>
      </c>
      <c r="W1050" s="19">
        <v>16</v>
      </c>
      <c r="X1050" s="19" t="s">
        <v>1664</v>
      </c>
      <c r="Y1050" s="19" t="s">
        <v>1663</v>
      </c>
      <c r="Z1050" s="19" t="s">
        <v>1663</v>
      </c>
      <c r="AA1050" s="19" t="s">
        <v>1663</v>
      </c>
      <c r="AB1050" s="19" t="s">
        <v>1663</v>
      </c>
    </row>
    <row r="1051" spans="1:28">
      <c r="A1051" s="18" t="s">
        <v>756</v>
      </c>
      <c r="B1051" s="18" t="s">
        <v>9</v>
      </c>
      <c r="C1051" s="18" t="s">
        <v>755</v>
      </c>
      <c r="D1051" s="18" t="s">
        <v>492</v>
      </c>
      <c r="E1051" s="19" t="s">
        <v>22</v>
      </c>
      <c r="F1051" s="18" t="s">
        <v>13</v>
      </c>
      <c r="G1051" s="29">
        <v>1</v>
      </c>
      <c r="H1051" s="14">
        <f>IF(Prueba[[#This Row],[Cant.]]=0,"",IF(OR(Prueba[[#This Row],[Cant.2]]="",Prueba[[#This Row],[Puesto2]]=""),"?",Prueba[[#This Row],[Puesto2]]))</f>
        <v>5</v>
      </c>
      <c r="I1051" s="31">
        <v>1</v>
      </c>
      <c r="J1051" s="32">
        <v>5</v>
      </c>
      <c r="K1051" s="31"/>
      <c r="L1051" s="14"/>
      <c r="M1051" s="14"/>
      <c r="N1051" s="14" t="str">
        <f>IF(Prueba[[#This Row],[Cant.4]]=0,"",IF(OR(Prueba[[#This Row],[Cant.6]]="",Prueba[[#This Row],[Puesto6]]=""),"?",Prueba[[#This Row],[Puesto6]]))</f>
        <v/>
      </c>
      <c r="O1051" s="14"/>
      <c r="P1051" s="32" t="str">
        <f>IF(Prueba[[#This Row],[Cant.5]]=0,"",IF(OR(Prueba[[#This Row],[Cant.6]]="",Prueba[[#This Row],[Puesto6]]=""),"?",Prueba[[#This Row],[Puesto6]]))</f>
        <v/>
      </c>
      <c r="Q1051" s="14"/>
      <c r="R1051" s="14"/>
      <c r="S1051" s="14"/>
      <c r="T1051" s="14"/>
      <c r="U1051" s="31"/>
      <c r="V1051" s="32" t="s">
        <v>1663</v>
      </c>
      <c r="W1051" s="19">
        <v>8</v>
      </c>
      <c r="X1051" s="19" t="s">
        <v>1664</v>
      </c>
      <c r="Y1051" s="19">
        <v>2</v>
      </c>
      <c r="Z1051" s="19">
        <v>5</v>
      </c>
      <c r="AA1051" s="19">
        <v>2</v>
      </c>
      <c r="AB1051" s="19">
        <v>5</v>
      </c>
    </row>
    <row r="1052" spans="1:28">
      <c r="A1052" s="18" t="s">
        <v>1292</v>
      </c>
      <c r="B1052" s="18" t="s">
        <v>9</v>
      </c>
      <c r="C1052" s="18" t="s">
        <v>755</v>
      </c>
      <c r="D1052" s="18" t="s">
        <v>492</v>
      </c>
      <c r="E1052" s="19" t="s">
        <v>22</v>
      </c>
      <c r="F1052" s="18" t="s">
        <v>13</v>
      </c>
      <c r="G1052" s="29"/>
      <c r="H1052" s="14" t="str">
        <f>IF(Prueba[[#This Row],[Cant.]]=0,"",IF(OR(Prueba[[#This Row],[Cant.2]]="",Prueba[[#This Row],[Puesto2]]=""),"?",Prueba[[#This Row],[Puesto2]]))</f>
        <v/>
      </c>
      <c r="I1052" s="31"/>
      <c r="J1052" s="32"/>
      <c r="K1052" s="31">
        <v>2</v>
      </c>
      <c r="L1052" s="14"/>
      <c r="M1052" s="14">
        <v>2</v>
      </c>
      <c r="N1052" s="14">
        <f>IF(Prueba[[#This Row],[Cant.4]]=0,"",IF(OR(Prueba[[#This Row],[Cant.6]]="",Prueba[[#This Row],[Puesto6]]=""),"?",Prueba[[#This Row],[Puesto6]]))</f>
        <v>0</v>
      </c>
      <c r="O1052" s="14">
        <v>2</v>
      </c>
      <c r="P1052" s="32">
        <f>IF(Prueba[[#This Row],[Cant.5]]=0,"",IF(OR(Prueba[[#This Row],[Cant.6]]="",Prueba[[#This Row],[Puesto6]]=""),"?",Prueba[[#This Row],[Puesto6]]))</f>
        <v>0</v>
      </c>
      <c r="Q1052" s="14">
        <v>2</v>
      </c>
      <c r="R1052" s="14">
        <v>0</v>
      </c>
      <c r="S1052" s="14">
        <v>2</v>
      </c>
      <c r="T1052" s="14">
        <v>0</v>
      </c>
      <c r="U1052" s="31">
        <v>1</v>
      </c>
      <c r="V1052" s="32">
        <v>1</v>
      </c>
      <c r="W1052" s="19">
        <v>16</v>
      </c>
      <c r="X1052" s="19" t="s">
        <v>1664</v>
      </c>
      <c r="Y1052" s="19" t="s">
        <v>1663</v>
      </c>
      <c r="Z1052" s="19" t="s">
        <v>1663</v>
      </c>
      <c r="AA1052" s="19" t="s">
        <v>1663</v>
      </c>
      <c r="AB1052" s="19" t="s">
        <v>1663</v>
      </c>
    </row>
    <row r="1053" spans="1:28">
      <c r="A1053" s="18" t="s">
        <v>757</v>
      </c>
      <c r="B1053" s="18" t="s">
        <v>9</v>
      </c>
      <c r="C1053" s="18" t="s">
        <v>753</v>
      </c>
      <c r="D1053" s="18" t="s">
        <v>489</v>
      </c>
      <c r="E1053" s="19" t="s">
        <v>22</v>
      </c>
      <c r="F1053" s="18" t="s">
        <v>13</v>
      </c>
      <c r="G1053" s="29"/>
      <c r="H1053" s="14" t="str">
        <f>IF(Prueba[[#This Row],[Cant.]]=0,"",IF(OR(Prueba[[#This Row],[Cant.2]]="",Prueba[[#This Row],[Puesto2]]=""),"?",Prueba[[#This Row],[Puesto2]]))</f>
        <v/>
      </c>
      <c r="I1053" s="31"/>
      <c r="J1053" s="32"/>
      <c r="K1053" s="31">
        <v>1</v>
      </c>
      <c r="L1053" s="14"/>
      <c r="M1053" s="14"/>
      <c r="N1053" s="14" t="str">
        <f>IF(Prueba[[#This Row],[Cant.4]]=0,"",IF(OR(Prueba[[#This Row],[Cant.6]]="",Prueba[[#This Row],[Puesto6]]=""),"?",Prueba[[#This Row],[Puesto6]]))</f>
        <v/>
      </c>
      <c r="O1053" s="14"/>
      <c r="P1053" s="32" t="str">
        <f>IF(Prueba[[#This Row],[Cant.5]]=0,"",IF(OR(Prueba[[#This Row],[Cant.6]]="",Prueba[[#This Row],[Puesto6]]=""),"?",Prueba[[#This Row],[Puesto6]]))</f>
        <v/>
      </c>
      <c r="Q1053" s="14"/>
      <c r="R1053" s="14"/>
      <c r="S1053" s="14"/>
      <c r="T1053" s="14"/>
      <c r="U1053" s="31"/>
      <c r="V1053" s="32" t="s">
        <v>1663</v>
      </c>
      <c r="W1053" s="19">
        <v>8</v>
      </c>
      <c r="X1053" s="19" t="s">
        <v>1664</v>
      </c>
      <c r="Y1053" s="19" t="s">
        <v>1663</v>
      </c>
      <c r="Z1053" s="19" t="s">
        <v>1663</v>
      </c>
      <c r="AA1053" s="19" t="s">
        <v>1663</v>
      </c>
      <c r="AB1053" s="19" t="s">
        <v>1663</v>
      </c>
    </row>
    <row r="1054" spans="1:28">
      <c r="A1054" s="18" t="s">
        <v>1293</v>
      </c>
      <c r="B1054" s="18" t="s">
        <v>9</v>
      </c>
      <c r="C1054" s="18" t="s">
        <v>1291</v>
      </c>
      <c r="D1054" s="18" t="s">
        <v>489</v>
      </c>
      <c r="E1054" s="19" t="s">
        <v>22</v>
      </c>
      <c r="F1054" s="18" t="s">
        <v>13</v>
      </c>
      <c r="G1054" s="29"/>
      <c r="H1054" s="14" t="str">
        <f>IF(Prueba[[#This Row],[Cant.]]=0,"",IF(OR(Prueba[[#This Row],[Cant.2]]="",Prueba[[#This Row],[Puesto2]]=""),"?",Prueba[[#This Row],[Puesto2]]))</f>
        <v/>
      </c>
      <c r="I1054" s="31"/>
      <c r="J1054" s="32"/>
      <c r="K1054" s="31">
        <v>3</v>
      </c>
      <c r="L1054" s="14"/>
      <c r="M1054" s="14">
        <v>3</v>
      </c>
      <c r="N1054" s="14">
        <f>IF(Prueba[[#This Row],[Cant.4]]=0,"",IF(OR(Prueba[[#This Row],[Cant.6]]="",Prueba[[#This Row],[Puesto6]]=""),"?",Prueba[[#This Row],[Puesto6]]))</f>
        <v>0</v>
      </c>
      <c r="O1054" s="14">
        <v>3</v>
      </c>
      <c r="P1054" s="32">
        <f>IF(Prueba[[#This Row],[Cant.5]]=0,"",IF(OR(Prueba[[#This Row],[Cant.6]]="",Prueba[[#This Row],[Puesto6]]=""),"?",Prueba[[#This Row],[Puesto6]]))</f>
        <v>0</v>
      </c>
      <c r="Q1054" s="14">
        <v>3</v>
      </c>
      <c r="R1054" s="14">
        <v>0</v>
      </c>
      <c r="S1054" s="14">
        <v>3</v>
      </c>
      <c r="T1054" s="14">
        <v>0</v>
      </c>
      <c r="U1054" s="31">
        <v>2</v>
      </c>
      <c r="V1054" s="32">
        <v>1</v>
      </c>
      <c r="W1054" s="19">
        <v>24</v>
      </c>
      <c r="X1054" s="19" t="s">
        <v>1664</v>
      </c>
      <c r="Y1054" s="19" t="s">
        <v>1663</v>
      </c>
      <c r="Z1054" s="19" t="s">
        <v>1663</v>
      </c>
      <c r="AA1054" s="19" t="s">
        <v>1663</v>
      </c>
      <c r="AB1054" s="19" t="s">
        <v>1663</v>
      </c>
    </row>
    <row r="1055" spans="1:28">
      <c r="A1055" s="18" t="s">
        <v>1623</v>
      </c>
      <c r="B1055" s="18" t="s">
        <v>9</v>
      </c>
      <c r="C1055" s="18" t="s">
        <v>1853</v>
      </c>
      <c r="D1055" s="18" t="s">
        <v>1854</v>
      </c>
      <c r="E1055" s="19" t="s">
        <v>1733</v>
      </c>
      <c r="F1055" s="18" t="s">
        <v>13</v>
      </c>
      <c r="G1055" s="29"/>
      <c r="H1055" s="14" t="str">
        <f>IF(Prueba[[#This Row],[Cant.]]=0,"",IF(OR(Prueba[[#This Row],[Cant.2]]="",Prueba[[#This Row],[Puesto2]]=""),"?",Prueba[[#This Row],[Puesto2]]))</f>
        <v/>
      </c>
      <c r="I1055" s="31"/>
      <c r="J1055" s="32"/>
      <c r="K1055" s="31"/>
      <c r="L1055" s="14"/>
      <c r="M1055" s="14"/>
      <c r="N1055" s="14" t="str">
        <f>IF(Prueba[[#This Row],[Cant.4]]=0,"",IF(OR(Prueba[[#This Row],[Cant.6]]="",Prueba[[#This Row],[Puesto6]]=""),"?",Prueba[[#This Row],[Puesto6]]))</f>
        <v/>
      </c>
      <c r="O1055" s="14"/>
      <c r="P1055" s="32" t="str">
        <f>IF(Prueba[[#This Row],[Cant.5]]=0,"",IF(OR(Prueba[[#This Row],[Cant.6]]="",Prueba[[#This Row],[Puesto6]]=""),"?",Prueba[[#This Row],[Puesto6]]))</f>
        <v/>
      </c>
      <c r="Q1055" s="14"/>
      <c r="R1055" s="14"/>
      <c r="S1055" s="14"/>
      <c r="T1055" s="14"/>
      <c r="U1055" s="31">
        <v>3</v>
      </c>
      <c r="V1055" s="32">
        <v>0</v>
      </c>
      <c r="W1055" s="19">
        <v>24</v>
      </c>
      <c r="X1055" s="19" t="s">
        <v>1664</v>
      </c>
      <c r="Y1055" s="19" t="s">
        <v>1663</v>
      </c>
      <c r="Z1055" s="19" t="s">
        <v>1663</v>
      </c>
      <c r="AA1055" s="19" t="s">
        <v>1663</v>
      </c>
      <c r="AB1055" s="19" t="s">
        <v>1663</v>
      </c>
    </row>
    <row r="1056" spans="1:28">
      <c r="A1056" s="18" t="s">
        <v>1294</v>
      </c>
      <c r="B1056" s="18" t="s">
        <v>9</v>
      </c>
      <c r="C1056" s="18" t="s">
        <v>755</v>
      </c>
      <c r="D1056" s="18" t="s">
        <v>492</v>
      </c>
      <c r="E1056" s="19" t="s">
        <v>22</v>
      </c>
      <c r="F1056" s="18" t="s">
        <v>13</v>
      </c>
      <c r="G1056" s="29"/>
      <c r="H1056" s="14" t="str">
        <f>IF(Prueba[[#This Row],[Cant.]]=0,"",IF(OR(Prueba[[#This Row],[Cant.2]]="",Prueba[[#This Row],[Puesto2]]=""),"?",Prueba[[#This Row],[Puesto2]]))</f>
        <v/>
      </c>
      <c r="I1056" s="31"/>
      <c r="J1056" s="32"/>
      <c r="K1056" s="31">
        <v>3</v>
      </c>
      <c r="L1056" s="14"/>
      <c r="M1056" s="14">
        <v>2</v>
      </c>
      <c r="N1056" s="14">
        <f>IF(Prueba[[#This Row],[Cant.4]]=0,"",IF(OR(Prueba[[#This Row],[Cant.6]]="",Prueba[[#This Row],[Puesto6]]=""),"?",Prueba[[#This Row],[Puesto6]]))</f>
        <v>1</v>
      </c>
      <c r="O1056" s="14">
        <v>2</v>
      </c>
      <c r="P1056" s="32">
        <f>IF(Prueba[[#This Row],[Cant.5]]=0,"",IF(OR(Prueba[[#This Row],[Cant.6]]="",Prueba[[#This Row],[Puesto6]]=""),"?",Prueba[[#This Row],[Puesto6]]))</f>
        <v>1</v>
      </c>
      <c r="Q1056" s="14">
        <v>2</v>
      </c>
      <c r="R1056" s="14">
        <v>1</v>
      </c>
      <c r="S1056" s="14">
        <v>2</v>
      </c>
      <c r="T1056" s="14">
        <v>1</v>
      </c>
      <c r="U1056" s="31"/>
      <c r="V1056" s="32" t="s">
        <v>1663</v>
      </c>
      <c r="W1056" s="19">
        <v>16</v>
      </c>
      <c r="X1056" s="19" t="s">
        <v>1664</v>
      </c>
      <c r="Y1056" s="19" t="s">
        <v>1663</v>
      </c>
      <c r="Z1056" s="19" t="s">
        <v>1663</v>
      </c>
      <c r="AA1056" s="19" t="s">
        <v>1663</v>
      </c>
      <c r="AB1056" s="19" t="s">
        <v>1663</v>
      </c>
    </row>
    <row r="1057" spans="1:28">
      <c r="A1057" s="18" t="s">
        <v>1624</v>
      </c>
      <c r="B1057" s="18" t="s">
        <v>9</v>
      </c>
      <c r="C1057" s="18" t="s">
        <v>1959</v>
      </c>
      <c r="D1057" s="18" t="s">
        <v>1960</v>
      </c>
      <c r="E1057" s="19" t="s">
        <v>1733</v>
      </c>
      <c r="F1057" s="18" t="s">
        <v>13</v>
      </c>
      <c r="G1057" s="29"/>
      <c r="H1057" s="14" t="str">
        <f>IF(Prueba[[#This Row],[Cant.]]=0,"",IF(OR(Prueba[[#This Row],[Cant.2]]="",Prueba[[#This Row],[Puesto2]]=""),"?",Prueba[[#This Row],[Puesto2]]))</f>
        <v/>
      </c>
      <c r="I1057" s="31"/>
      <c r="J1057" s="32"/>
      <c r="K1057" s="31"/>
      <c r="L1057" s="14"/>
      <c r="M1057" s="14"/>
      <c r="N1057" s="14" t="str">
        <f>IF(Prueba[[#This Row],[Cant.4]]=0,"",IF(OR(Prueba[[#This Row],[Cant.6]]="",Prueba[[#This Row],[Puesto6]]=""),"?",Prueba[[#This Row],[Puesto6]]))</f>
        <v/>
      </c>
      <c r="O1057" s="14"/>
      <c r="P1057" s="32" t="str">
        <f>IF(Prueba[[#This Row],[Cant.5]]=0,"",IF(OR(Prueba[[#This Row],[Cant.6]]="",Prueba[[#This Row],[Puesto6]]=""),"?",Prueba[[#This Row],[Puesto6]]))</f>
        <v/>
      </c>
      <c r="Q1057" s="14"/>
      <c r="R1057" s="14"/>
      <c r="S1057" s="14"/>
      <c r="T1057" s="14"/>
      <c r="U1057" s="31">
        <v>3</v>
      </c>
      <c r="V1057" s="32" t="s">
        <v>1625</v>
      </c>
      <c r="W1057" s="19">
        <v>24</v>
      </c>
      <c r="X1057" s="19" t="s">
        <v>1664</v>
      </c>
      <c r="Y1057" s="19" t="s">
        <v>1663</v>
      </c>
      <c r="Z1057" s="19" t="s">
        <v>1663</v>
      </c>
      <c r="AA1057" s="19" t="s">
        <v>1663</v>
      </c>
      <c r="AB1057" s="19" t="s">
        <v>1663</v>
      </c>
    </row>
    <row r="1058" spans="1:28">
      <c r="A1058" s="18" t="s">
        <v>2346</v>
      </c>
      <c r="B1058" s="18"/>
      <c r="C1058" s="18" t="s">
        <v>2347</v>
      </c>
      <c r="D1058" s="18" t="s">
        <v>2347</v>
      </c>
      <c r="E1058" s="19" t="s">
        <v>22</v>
      </c>
      <c r="F1058" s="18"/>
      <c r="G1058" s="29"/>
      <c r="H1058" s="14" t="str">
        <f>IF(Prueba[[#This Row],[Cant.]]=0,"",IF(OR(Prueba[[#This Row],[Cant.2]]="",Prueba[[#This Row],[Puesto2]]=""),"?",Prueba[[#This Row],[Puesto2]]))</f>
        <v/>
      </c>
      <c r="I1058" s="31"/>
      <c r="J1058" s="32"/>
      <c r="K1058" s="31"/>
      <c r="L1058" s="14"/>
      <c r="M1058" s="14"/>
      <c r="N1058" s="14" t="str">
        <f>IF(Prueba[[#This Row],[Cant.4]]=0,"",IF(OR(Prueba[[#This Row],[Cant.6]]="",Prueba[[#This Row],[Puesto6]]=""),"?",Prueba[[#This Row],[Puesto6]]))</f>
        <v/>
      </c>
      <c r="O1058" s="14"/>
      <c r="P1058" s="32" t="str">
        <f>IF(Prueba[[#This Row],[Cant.5]]=0,"",IF(OR(Prueba[[#This Row],[Cant.6]]="",Prueba[[#This Row],[Puesto6]]=""),"?",Prueba[[#This Row],[Puesto6]]))</f>
        <v/>
      </c>
      <c r="Q1058" s="14"/>
      <c r="R1058" s="14"/>
      <c r="S1058" s="14"/>
      <c r="T1058" s="14"/>
      <c r="U1058" s="31"/>
      <c r="V1058" s="32" t="s">
        <v>1663</v>
      </c>
      <c r="W1058" s="19">
        <v>16</v>
      </c>
      <c r="X1058" s="19" t="s">
        <v>1664</v>
      </c>
      <c r="Y1058" s="19">
        <v>2</v>
      </c>
      <c r="Z1058" s="19">
        <v>0</v>
      </c>
      <c r="AA1058" s="19">
        <v>2</v>
      </c>
      <c r="AB1058" s="19">
        <v>0</v>
      </c>
    </row>
    <row r="1059" spans="1:28">
      <c r="A1059" s="35" t="s">
        <v>2348</v>
      </c>
      <c r="B1059" s="35" t="s">
        <v>1806</v>
      </c>
      <c r="C1059" s="35" t="s">
        <v>2224</v>
      </c>
      <c r="D1059" s="35" t="s">
        <v>2148</v>
      </c>
      <c r="E1059" s="36" t="s">
        <v>1733</v>
      </c>
      <c r="F1059" s="18" t="s">
        <v>13</v>
      </c>
      <c r="G1059" s="29"/>
      <c r="H1059" s="14" t="str">
        <f>IF(Prueba[[#This Row],[Cant.]]=0,"",IF(OR(Prueba[[#This Row],[Cant.2]]="",Prueba[[#This Row],[Puesto2]]=""),"?",Prueba[[#This Row],[Puesto2]]))</f>
        <v/>
      </c>
      <c r="I1059" s="31"/>
      <c r="J1059" s="32"/>
      <c r="K1059" s="31"/>
      <c r="L1059" s="14"/>
      <c r="M1059" s="14">
        <v>2</v>
      </c>
      <c r="N1059" s="14" t="str">
        <f>IF(Prueba[[#This Row],[Cant.4]]=0,"",IF(OR(Prueba[[#This Row],[Cant.6]]="",Prueba[[#This Row],[Puesto6]]=""),"?",Prueba[[#This Row],[Puesto6]]))</f>
        <v>C</v>
      </c>
      <c r="O1059" s="14">
        <v>2</v>
      </c>
      <c r="P1059" s="32" t="str">
        <f>IF(Prueba[[#This Row],[Cant.5]]=0,"",IF(OR(Prueba[[#This Row],[Cant.6]]="",Prueba[[#This Row],[Puesto6]]=""),"?",Prueba[[#This Row],[Puesto6]]))</f>
        <v>C</v>
      </c>
      <c r="Q1059" s="42">
        <v>2</v>
      </c>
      <c r="R1059" s="42" t="s">
        <v>1402</v>
      </c>
      <c r="S1059" s="14">
        <v>2</v>
      </c>
      <c r="T1059" s="14" t="s">
        <v>1402</v>
      </c>
      <c r="U1059" s="31"/>
      <c r="V1059" s="32" t="s">
        <v>1663</v>
      </c>
      <c r="W1059" s="19">
        <v>16</v>
      </c>
      <c r="X1059" s="19" t="s">
        <v>1664</v>
      </c>
      <c r="Y1059" s="19" t="s">
        <v>1663</v>
      </c>
      <c r="Z1059" s="19" t="s">
        <v>1663</v>
      </c>
      <c r="AA1059" s="19" t="s">
        <v>1663</v>
      </c>
      <c r="AB1059" s="19" t="s">
        <v>1663</v>
      </c>
    </row>
    <row r="1060" spans="1:28">
      <c r="A1060" s="35" t="s">
        <v>1295</v>
      </c>
      <c r="B1060" s="35" t="s">
        <v>9</v>
      </c>
      <c r="C1060" s="35" t="s">
        <v>1296</v>
      </c>
      <c r="D1060" s="35" t="s">
        <v>1297</v>
      </c>
      <c r="E1060" s="36" t="s">
        <v>22</v>
      </c>
      <c r="F1060" s="18" t="s">
        <v>13</v>
      </c>
      <c r="G1060" s="29"/>
      <c r="H1060" s="14" t="str">
        <f>IF(Prueba[[#This Row],[Cant.]]=0,"",IF(OR(Prueba[[#This Row],[Cant.2]]="",Prueba[[#This Row],[Puesto2]]=""),"?",Prueba[[#This Row],[Puesto2]]))</f>
        <v/>
      </c>
      <c r="I1060" s="31"/>
      <c r="J1060" s="32"/>
      <c r="K1060" s="31">
        <v>4</v>
      </c>
      <c r="L1060" s="14"/>
      <c r="M1060" s="14">
        <v>2</v>
      </c>
      <c r="N1060" s="14" t="str">
        <f>IF(Prueba[[#This Row],[Cant.4]]=0,"",IF(OR(Prueba[[#This Row],[Cant.6]]="",Prueba[[#This Row],[Puesto6]]=""),"?",Prueba[[#This Row],[Puesto6]]))</f>
        <v>C</v>
      </c>
      <c r="O1060" s="14">
        <v>4</v>
      </c>
      <c r="P1060" s="32" t="str">
        <f>IF(Prueba[[#This Row],[Cant.5]]=0,"",IF(OR(Prueba[[#This Row],[Cant.6]]="",Prueba[[#This Row],[Puesto6]]=""),"?",Prueba[[#This Row],[Puesto6]]))</f>
        <v>C</v>
      </c>
      <c r="Q1060" s="42">
        <v>4</v>
      </c>
      <c r="R1060" s="42" t="s">
        <v>1402</v>
      </c>
      <c r="S1060" s="14">
        <v>6</v>
      </c>
      <c r="T1060" s="14" t="s">
        <v>1402</v>
      </c>
      <c r="U1060" s="31"/>
      <c r="V1060" s="32" t="s">
        <v>1663</v>
      </c>
      <c r="W1060" s="19">
        <v>32</v>
      </c>
      <c r="X1060" s="19" t="s">
        <v>1664</v>
      </c>
      <c r="Y1060" s="19">
        <v>2</v>
      </c>
      <c r="Z1060" s="19" t="s">
        <v>1402</v>
      </c>
      <c r="AA1060" s="19">
        <v>2</v>
      </c>
      <c r="AB1060" s="19" t="s">
        <v>1402</v>
      </c>
    </row>
    <row r="1061" spans="1:28" s="18" customFormat="1">
      <c r="A1061" s="35" t="s">
        <v>1298</v>
      </c>
      <c r="B1061" s="35" t="s">
        <v>9</v>
      </c>
      <c r="C1061" s="35" t="s">
        <v>1134</v>
      </c>
      <c r="D1061" s="35" t="s">
        <v>1134</v>
      </c>
      <c r="E1061" s="36" t="s">
        <v>22</v>
      </c>
      <c r="F1061" s="18" t="s">
        <v>13</v>
      </c>
      <c r="G1061" s="29"/>
      <c r="H1061" s="32" t="str">
        <f>IF(Prueba[[#This Row],[Cant.]]=0,"",IF(OR(Prueba[[#This Row],[Cant.2]]="",Prueba[[#This Row],[Puesto2]]=""),"?",Prueba[[#This Row],[Puesto2]]))</f>
        <v/>
      </c>
      <c r="I1061" s="31"/>
      <c r="J1061" s="32"/>
      <c r="K1061" s="14">
        <v>4</v>
      </c>
      <c r="L1061" s="14"/>
      <c r="M1061" s="31">
        <v>2</v>
      </c>
      <c r="N1061" s="32" t="str">
        <f>IF(Prueba[[#This Row],[Cant.4]]=0,"",IF(OR(Prueba[[#This Row],[Cant.6]]="",Prueba[[#This Row],[Puesto6]]=""),"?",Prueba[[#This Row],[Puesto6]]))</f>
        <v>C</v>
      </c>
      <c r="O1061" s="31">
        <v>4</v>
      </c>
      <c r="P1061" s="32" t="str">
        <f>IF(Prueba[[#This Row],[Cant.5]]=0,"",IF(OR(Prueba[[#This Row],[Cant.6]]="",Prueba[[#This Row],[Puesto6]]=""),"?",Prueba[[#This Row],[Puesto6]]))</f>
        <v>C</v>
      </c>
      <c r="Q1061" s="44">
        <v>4</v>
      </c>
      <c r="R1061" s="45" t="s">
        <v>1402</v>
      </c>
      <c r="S1061" s="14">
        <v>6</v>
      </c>
      <c r="T1061" s="14" t="s">
        <v>1402</v>
      </c>
      <c r="U1061" s="31"/>
      <c r="V1061" s="32" t="s">
        <v>1663</v>
      </c>
      <c r="W1061" s="19">
        <v>32</v>
      </c>
      <c r="X1061" s="19" t="s">
        <v>1664</v>
      </c>
      <c r="Y1061" s="19">
        <v>2</v>
      </c>
      <c r="Z1061" s="19" t="s">
        <v>1402</v>
      </c>
      <c r="AA1061" s="19">
        <v>2</v>
      </c>
      <c r="AB1061" s="19" t="s">
        <v>1402</v>
      </c>
    </row>
    <row r="1062" spans="1:28">
      <c r="A1062" s="35" t="s">
        <v>758</v>
      </c>
      <c r="B1062" s="35" t="s">
        <v>9</v>
      </c>
      <c r="C1062" s="35" t="s">
        <v>577</v>
      </c>
      <c r="D1062" s="35" t="s">
        <v>759</v>
      </c>
      <c r="E1062" s="36" t="s">
        <v>22</v>
      </c>
      <c r="F1062" s="18" t="s">
        <v>13</v>
      </c>
      <c r="G1062" s="29">
        <v>2</v>
      </c>
      <c r="H1062" s="14" t="str">
        <f>IF(Prueba[[#This Row],[Cant.]]=0,"",IF(OR(Prueba[[#This Row],[Cant.2]]="",Prueba[[#This Row],[Puesto2]]=""),"?",Prueba[[#This Row],[Puesto2]]))</f>
        <v>C</v>
      </c>
      <c r="I1062" s="31">
        <v>2</v>
      </c>
      <c r="J1062" s="32" t="s">
        <v>1402</v>
      </c>
      <c r="K1062" s="31"/>
      <c r="L1062" s="14"/>
      <c r="M1062" s="14"/>
      <c r="N1062" s="14" t="str">
        <f>IF(Prueba[[#This Row],[Cant.4]]=0,"",IF(OR(Prueba[[#This Row],[Cant.6]]="",Prueba[[#This Row],[Puesto6]]=""),"?",Prueba[[#This Row],[Puesto6]]))</f>
        <v/>
      </c>
      <c r="O1062" s="14"/>
      <c r="P1062" s="32" t="str">
        <f>IF(Prueba[[#This Row],[Cant.5]]=0,"",IF(OR(Prueba[[#This Row],[Cant.6]]="",Prueba[[#This Row],[Puesto6]]=""),"?",Prueba[[#This Row],[Puesto6]]))</f>
        <v/>
      </c>
      <c r="Q1062" s="14"/>
      <c r="R1062" s="14"/>
      <c r="S1062" s="14"/>
      <c r="T1062" s="14"/>
      <c r="U1062" s="31"/>
      <c r="V1062" s="32" t="s">
        <v>1663</v>
      </c>
      <c r="W1062" s="19">
        <v>16</v>
      </c>
      <c r="X1062" s="19" t="s">
        <v>1664</v>
      </c>
      <c r="Y1062" s="19">
        <v>3</v>
      </c>
      <c r="Z1062" s="19" t="s">
        <v>1402</v>
      </c>
      <c r="AA1062" s="19">
        <v>3</v>
      </c>
      <c r="AB1062" s="19" t="s">
        <v>1402</v>
      </c>
    </row>
    <row r="1063" spans="1:28">
      <c r="A1063" s="18" t="s">
        <v>1316</v>
      </c>
      <c r="B1063" s="18" t="s">
        <v>9</v>
      </c>
      <c r="C1063" s="18" t="s">
        <v>1317</v>
      </c>
      <c r="D1063" s="18" t="s">
        <v>1318</v>
      </c>
      <c r="E1063" s="19" t="s">
        <v>22</v>
      </c>
      <c r="F1063" s="18" t="s">
        <v>13</v>
      </c>
      <c r="G1063" s="29"/>
      <c r="H1063" s="14" t="str">
        <f>IF(Prueba[[#This Row],[Cant.]]=0,"",IF(OR(Prueba[[#This Row],[Cant.2]]="",Prueba[[#This Row],[Puesto2]]=""),"?",Prueba[[#This Row],[Puesto2]]))</f>
        <v/>
      </c>
      <c r="I1063" s="31"/>
      <c r="J1063" s="32"/>
      <c r="K1063" s="31">
        <v>1</v>
      </c>
      <c r="L1063" s="14"/>
      <c r="M1063" s="14">
        <v>1</v>
      </c>
      <c r="N1063" s="14">
        <f>IF(Prueba[[#This Row],[Cant.4]]=0,"",IF(OR(Prueba[[#This Row],[Cant.6]]="",Prueba[[#This Row],[Puesto6]]=""),"?",Prueba[[#This Row],[Puesto6]]))</f>
        <v>0</v>
      </c>
      <c r="O1063" s="14">
        <v>1</v>
      </c>
      <c r="P1063" s="32">
        <f>IF(Prueba[[#This Row],[Cant.5]]=0,"",IF(OR(Prueba[[#This Row],[Cant.6]]="",Prueba[[#This Row],[Puesto6]]=""),"?",Prueba[[#This Row],[Puesto6]]))</f>
        <v>0</v>
      </c>
      <c r="Q1063" s="14">
        <v>1</v>
      </c>
      <c r="R1063" s="14">
        <v>0</v>
      </c>
      <c r="S1063" s="14">
        <v>1</v>
      </c>
      <c r="T1063" s="14">
        <v>0</v>
      </c>
      <c r="U1063" s="31"/>
      <c r="V1063" s="32" t="s">
        <v>1663</v>
      </c>
      <c r="W1063" s="19">
        <v>8</v>
      </c>
      <c r="X1063" s="19" t="s">
        <v>1664</v>
      </c>
      <c r="Y1063" s="19" t="s">
        <v>1663</v>
      </c>
      <c r="Z1063" s="19" t="s">
        <v>1663</v>
      </c>
      <c r="AA1063" s="19" t="s">
        <v>1663</v>
      </c>
      <c r="AB1063" s="19" t="s">
        <v>1663</v>
      </c>
    </row>
    <row r="1064" spans="1:28">
      <c r="A1064" s="18" t="s">
        <v>760</v>
      </c>
      <c r="B1064" s="18" t="s">
        <v>9</v>
      </c>
      <c r="C1064" s="18" t="s">
        <v>761</v>
      </c>
      <c r="D1064" s="18" t="s">
        <v>762</v>
      </c>
      <c r="E1064" s="19" t="s">
        <v>22</v>
      </c>
      <c r="F1064" s="18" t="s">
        <v>13</v>
      </c>
      <c r="G1064" s="29">
        <v>1</v>
      </c>
      <c r="H1064" s="14">
        <f>IF(Prueba[[#This Row],[Cant.]]=0,"",IF(OR(Prueba[[#This Row],[Cant.2]]="",Prueba[[#This Row],[Puesto2]]=""),"?",Prueba[[#This Row],[Puesto2]]))</f>
        <v>5</v>
      </c>
      <c r="I1064" s="31">
        <v>1</v>
      </c>
      <c r="J1064" s="32">
        <v>5</v>
      </c>
      <c r="K1064" s="31"/>
      <c r="L1064" s="14"/>
      <c r="M1064" s="14"/>
      <c r="N1064" s="14" t="str">
        <f>IF(Prueba[[#This Row],[Cant.4]]=0,"",IF(OR(Prueba[[#This Row],[Cant.6]]="",Prueba[[#This Row],[Puesto6]]=""),"?",Prueba[[#This Row],[Puesto6]]))</f>
        <v/>
      </c>
      <c r="O1064" s="14"/>
      <c r="P1064" s="32" t="str">
        <f>IF(Prueba[[#This Row],[Cant.5]]=0,"",IF(OR(Prueba[[#This Row],[Cant.6]]="",Prueba[[#This Row],[Puesto6]]=""),"?",Prueba[[#This Row],[Puesto6]]))</f>
        <v/>
      </c>
      <c r="Q1064" s="14"/>
      <c r="R1064" s="14"/>
      <c r="S1064" s="14"/>
      <c r="T1064" s="14"/>
      <c r="U1064" s="31"/>
      <c r="V1064" s="32" t="s">
        <v>1663</v>
      </c>
      <c r="W1064" s="19">
        <v>8</v>
      </c>
      <c r="X1064" s="19" t="s">
        <v>1664</v>
      </c>
      <c r="Y1064" s="19">
        <v>2</v>
      </c>
      <c r="Z1064" s="19">
        <v>5</v>
      </c>
      <c r="AA1064" s="19">
        <v>2</v>
      </c>
      <c r="AB1064" s="19">
        <v>5</v>
      </c>
    </row>
    <row r="1065" spans="1:28">
      <c r="A1065" t="s">
        <v>2349</v>
      </c>
      <c r="B1065" s="18" t="s">
        <v>9</v>
      </c>
      <c r="C1065" s="18" t="s">
        <v>2350</v>
      </c>
      <c r="D1065" s="18" t="s">
        <v>2351</v>
      </c>
      <c r="E1065" s="19" t="s">
        <v>2352</v>
      </c>
      <c r="F1065" s="18" t="s">
        <v>13</v>
      </c>
      <c r="G1065" s="29"/>
      <c r="H1065" s="14" t="str">
        <f>IF(Prueba[[#This Row],[Cant.]]=0,"",IF(OR(Prueba[[#This Row],[Cant.2]]="",Prueba[[#This Row],[Puesto2]]=""),"?",Prueba[[#This Row],[Puesto2]]))</f>
        <v/>
      </c>
      <c r="I1065" s="31"/>
      <c r="J1065" s="32"/>
      <c r="K1065" s="31"/>
      <c r="L1065" s="14"/>
      <c r="M1065" s="14"/>
      <c r="N1065" s="14" t="str">
        <f>IF(Prueba[[#This Row],[Cant.4]]=0,"",IF(OR(Prueba[[#This Row],[Cant.6]]="",Prueba[[#This Row],[Puesto6]]=""),"?",Prueba[[#This Row],[Puesto6]]))</f>
        <v/>
      </c>
      <c r="O1065" s="14"/>
      <c r="P1065" s="32" t="str">
        <f>IF(Prueba[[#This Row],[Cant.5]]=0,"",IF(OR(Prueba[[#This Row],[Cant.6]]="",Prueba[[#This Row],[Puesto6]]=""),"?",Prueba[[#This Row],[Puesto6]]))</f>
        <v/>
      </c>
      <c r="Q1065" s="14"/>
      <c r="R1065" s="14"/>
      <c r="S1065" s="14"/>
      <c r="T1065" s="14"/>
      <c r="U1065" s="31"/>
      <c r="V1065" s="32" t="s">
        <v>1663</v>
      </c>
      <c r="W1065" s="18"/>
      <c r="X1065" s="19" t="s">
        <v>1667</v>
      </c>
      <c r="Y1065" s="19">
        <v>1</v>
      </c>
      <c r="Z1065" s="19" t="s">
        <v>1402</v>
      </c>
      <c r="AA1065" s="19">
        <v>1</v>
      </c>
      <c r="AB1065" s="19" t="s">
        <v>1402</v>
      </c>
    </row>
    <row r="1066" spans="1:28">
      <c r="A1066" t="s">
        <v>2353</v>
      </c>
      <c r="B1066" s="18"/>
      <c r="C1066" s="18" t="s">
        <v>1881</v>
      </c>
      <c r="D1066" s="18" t="s">
        <v>2354</v>
      </c>
      <c r="E1066" s="19" t="s">
        <v>22</v>
      </c>
      <c r="F1066" s="18"/>
      <c r="G1066" s="29"/>
      <c r="H1066" s="14" t="str">
        <f>IF(Prueba[[#This Row],[Cant.]]=0,"",IF(OR(Prueba[[#This Row],[Cant.2]]="",Prueba[[#This Row],[Puesto2]]=""),"?",Prueba[[#This Row],[Puesto2]]))</f>
        <v/>
      </c>
      <c r="I1066" s="31"/>
      <c r="J1066" s="32"/>
      <c r="K1066" s="31"/>
      <c r="L1066" s="14"/>
      <c r="M1066" s="14"/>
      <c r="N1066" s="14" t="str">
        <f>IF(Prueba[[#This Row],[Cant.4]]=0,"",IF(OR(Prueba[[#This Row],[Cant.6]]="",Prueba[[#This Row],[Puesto6]]=""),"?",Prueba[[#This Row],[Puesto6]]))</f>
        <v/>
      </c>
      <c r="O1066" s="14"/>
      <c r="P1066" s="32" t="str">
        <f>IF(Prueba[[#This Row],[Cant.5]]=0,"",IF(OR(Prueba[[#This Row],[Cant.6]]="",Prueba[[#This Row],[Puesto6]]=""),"?",Prueba[[#This Row],[Puesto6]]))</f>
        <v/>
      </c>
      <c r="Q1066" s="14"/>
      <c r="R1066" s="14"/>
      <c r="S1066" s="14"/>
      <c r="T1066" s="14"/>
      <c r="U1066" s="31"/>
      <c r="V1066" s="32" t="s">
        <v>1663</v>
      </c>
      <c r="W1066" s="19">
        <v>8</v>
      </c>
      <c r="X1066" s="19" t="s">
        <v>1664</v>
      </c>
      <c r="Y1066" s="19">
        <v>1</v>
      </c>
      <c r="Z1066" s="19" t="s">
        <v>1402</v>
      </c>
      <c r="AA1066" s="19">
        <v>1</v>
      </c>
      <c r="AB1066" s="19" t="s">
        <v>1402</v>
      </c>
    </row>
    <row r="1067" spans="1:28">
      <c r="A1067" t="s">
        <v>2355</v>
      </c>
      <c r="B1067" s="18"/>
      <c r="C1067" s="18" t="s">
        <v>2356</v>
      </c>
      <c r="D1067" s="18" t="s">
        <v>2357</v>
      </c>
      <c r="E1067" s="19" t="s">
        <v>22</v>
      </c>
      <c r="F1067" s="18"/>
      <c r="G1067" s="29"/>
      <c r="H1067" s="14" t="str">
        <f>IF(Prueba[[#This Row],[Cant.]]=0,"",IF(OR(Prueba[[#This Row],[Cant.2]]="",Prueba[[#This Row],[Puesto2]]=""),"?",Prueba[[#This Row],[Puesto2]]))</f>
        <v/>
      </c>
      <c r="I1067" s="31"/>
      <c r="J1067" s="32"/>
      <c r="K1067" s="31"/>
      <c r="L1067" s="14"/>
      <c r="M1067" s="14"/>
      <c r="N1067" s="14" t="str">
        <f>IF(Prueba[[#This Row],[Cant.4]]=0,"",IF(OR(Prueba[[#This Row],[Cant.6]]="",Prueba[[#This Row],[Puesto6]]=""),"?",Prueba[[#This Row],[Puesto6]]))</f>
        <v/>
      </c>
      <c r="O1067" s="14"/>
      <c r="P1067" s="32" t="str">
        <f>IF(Prueba[[#This Row],[Cant.5]]=0,"",IF(OR(Prueba[[#This Row],[Cant.6]]="",Prueba[[#This Row],[Puesto6]]=""),"?",Prueba[[#This Row],[Puesto6]]))</f>
        <v/>
      </c>
      <c r="Q1067" s="14"/>
      <c r="R1067" s="14"/>
      <c r="S1067" s="14"/>
      <c r="T1067" s="14"/>
      <c r="U1067" s="31"/>
      <c r="V1067" s="32" t="s">
        <v>1663</v>
      </c>
      <c r="W1067" s="19">
        <v>8</v>
      </c>
      <c r="X1067" s="19" t="s">
        <v>1664</v>
      </c>
      <c r="Y1067" s="19">
        <v>1</v>
      </c>
      <c r="Z1067" s="19" t="s">
        <v>1402</v>
      </c>
      <c r="AA1067" s="19">
        <v>1</v>
      </c>
      <c r="AB1067" s="19" t="s">
        <v>1402</v>
      </c>
    </row>
    <row r="1068" spans="1:28">
      <c r="A1068" t="s">
        <v>2358</v>
      </c>
      <c r="B1068" s="18"/>
      <c r="C1068" s="18" t="s">
        <v>2359</v>
      </c>
      <c r="D1068" s="18" t="s">
        <v>2360</v>
      </c>
      <c r="E1068" s="19" t="s">
        <v>2352</v>
      </c>
      <c r="F1068" s="18"/>
      <c r="G1068" s="29"/>
      <c r="H1068" s="14" t="str">
        <f>IF(Prueba[[#This Row],[Cant.]]=0,"",IF(OR(Prueba[[#This Row],[Cant.2]]="",Prueba[[#This Row],[Puesto2]]=""),"?",Prueba[[#This Row],[Puesto2]]))</f>
        <v/>
      </c>
      <c r="I1068" s="31"/>
      <c r="J1068" s="32"/>
      <c r="K1068" s="31"/>
      <c r="L1068" s="14"/>
      <c r="M1068" s="14">
        <v>1</v>
      </c>
      <c r="N1068" s="14" t="s">
        <v>1402</v>
      </c>
      <c r="O1068" s="14"/>
      <c r="P1068" s="32" t="str">
        <f>IF(Prueba[[#This Row],[Cant.5]]=0,"",IF(OR(Prueba[[#This Row],[Cant.6]]="",Prueba[[#This Row],[Puesto6]]=""),"?",Prueba[[#This Row],[Puesto6]]))</f>
        <v/>
      </c>
      <c r="Q1068" s="14">
        <v>1</v>
      </c>
      <c r="R1068" s="14" t="s">
        <v>1402</v>
      </c>
      <c r="S1068" s="14">
        <v>1</v>
      </c>
      <c r="T1068" s="14" t="s">
        <v>1402</v>
      </c>
      <c r="U1068" s="31"/>
      <c r="V1068" s="32" t="s">
        <v>1663</v>
      </c>
      <c r="W1068" s="18"/>
      <c r="X1068" s="19" t="s">
        <v>1667</v>
      </c>
      <c r="Y1068" s="19"/>
      <c r="Z1068" s="19"/>
      <c r="AA1068" s="19"/>
      <c r="AB1068" s="19"/>
    </row>
    <row r="1069" spans="1:28">
      <c r="A1069" s="18" t="s">
        <v>2361</v>
      </c>
      <c r="B1069" s="18" t="s">
        <v>9</v>
      </c>
      <c r="C1069" s="151" t="s">
        <v>2362</v>
      </c>
      <c r="D1069" s="151" t="s">
        <v>2362</v>
      </c>
      <c r="E1069" s="19" t="s">
        <v>22</v>
      </c>
      <c r="F1069" s="18"/>
      <c r="G1069" s="29"/>
      <c r="H1069" s="14" t="str">
        <f>IF(Prueba[[#This Row],[Cant.]]=0,"",IF(OR(Prueba[[#This Row],[Cant.2]]="",Prueba[[#This Row],[Puesto2]]=""),"?",Prueba[[#This Row],[Puesto2]]))</f>
        <v/>
      </c>
      <c r="I1069" s="31"/>
      <c r="J1069" s="32"/>
      <c r="K1069" s="31">
        <v>1</v>
      </c>
      <c r="L1069" s="14">
        <v>0</v>
      </c>
      <c r="M1069" s="14">
        <v>1</v>
      </c>
      <c r="N1069" s="14">
        <v>0</v>
      </c>
      <c r="O1069" s="14">
        <v>1</v>
      </c>
      <c r="P1069" s="32">
        <v>0</v>
      </c>
      <c r="Q1069" s="14">
        <v>1</v>
      </c>
      <c r="R1069" s="14">
        <v>0</v>
      </c>
      <c r="S1069" s="14">
        <v>1</v>
      </c>
      <c r="T1069" s="14">
        <v>0</v>
      </c>
      <c r="U1069" s="31"/>
      <c r="V1069" s="32" t="s">
        <v>1663</v>
      </c>
      <c r="W1069" s="18"/>
      <c r="X1069" s="19" t="s">
        <v>1667</v>
      </c>
      <c r="Y1069" s="19" t="s">
        <v>1663</v>
      </c>
      <c r="Z1069" s="19" t="s">
        <v>1663</v>
      </c>
      <c r="AA1069" s="19" t="s">
        <v>1663</v>
      </c>
      <c r="AB1069" s="19" t="s">
        <v>1663</v>
      </c>
    </row>
    <row r="1070" spans="1:28">
      <c r="A1070" t="s">
        <v>2363</v>
      </c>
      <c r="B1070" s="18"/>
      <c r="C1070" s="18" t="s">
        <v>2364</v>
      </c>
      <c r="D1070" s="18" t="s">
        <v>2365</v>
      </c>
      <c r="E1070" s="19" t="s">
        <v>2352</v>
      </c>
      <c r="F1070" s="18"/>
      <c r="G1070" s="29"/>
      <c r="H1070" s="14" t="str">
        <f>IF(Prueba[[#This Row],[Cant.]]=0,"",IF(OR(Prueba[[#This Row],[Cant.2]]="",Prueba[[#This Row],[Puesto2]]=""),"?",Prueba[[#This Row],[Puesto2]]))</f>
        <v/>
      </c>
      <c r="I1070" s="31"/>
      <c r="J1070" s="32"/>
      <c r="K1070" s="31"/>
      <c r="L1070" s="14"/>
      <c r="M1070" s="14"/>
      <c r="N1070" s="14" t="str">
        <f>IF(Prueba[[#This Row],[Cant.4]]=0,"",IF(OR(Prueba[[#This Row],[Cant.6]]="",Prueba[[#This Row],[Puesto6]]=""),"?",Prueba[[#This Row],[Puesto6]]))</f>
        <v/>
      </c>
      <c r="O1070" s="14"/>
      <c r="P1070" s="32" t="str">
        <f>IF(Prueba[[#This Row],[Cant.5]]=0,"",IF(OR(Prueba[[#This Row],[Cant.6]]="",Prueba[[#This Row],[Puesto6]]=""),"?",Prueba[[#This Row],[Puesto6]]))</f>
        <v/>
      </c>
      <c r="Q1070" s="14"/>
      <c r="R1070" s="14"/>
      <c r="S1070" s="14"/>
      <c r="T1070" s="14"/>
      <c r="U1070" s="31"/>
      <c r="V1070" s="32" t="s">
        <v>1663</v>
      </c>
      <c r="W1070" s="18"/>
      <c r="X1070" s="19" t="s">
        <v>1667</v>
      </c>
      <c r="Y1070" s="19">
        <v>1</v>
      </c>
      <c r="Z1070" s="19" t="s">
        <v>1402</v>
      </c>
      <c r="AA1070" s="19">
        <v>1</v>
      </c>
      <c r="AB1070" s="19" t="s">
        <v>1402</v>
      </c>
    </row>
    <row r="1071" spans="1:28">
      <c r="A1071" t="s">
        <v>2366</v>
      </c>
      <c r="B1071" s="18"/>
      <c r="C1071" s="18" t="s">
        <v>2367</v>
      </c>
      <c r="D1071" s="18" t="s">
        <v>2367</v>
      </c>
      <c r="E1071" s="19" t="s">
        <v>22</v>
      </c>
      <c r="F1071" s="18"/>
      <c r="G1071" s="29"/>
      <c r="H1071" s="14" t="str">
        <f>IF(Prueba[[#This Row],[Cant.]]=0,"",IF(OR(Prueba[[#This Row],[Cant.2]]="",Prueba[[#This Row],[Puesto2]]=""),"?",Prueba[[#This Row],[Puesto2]]))</f>
        <v/>
      </c>
      <c r="I1071" s="31"/>
      <c r="J1071" s="32"/>
      <c r="K1071" s="31"/>
      <c r="L1071" s="14"/>
      <c r="M1071" s="14"/>
      <c r="N1071" s="14" t="str">
        <f>IF(Prueba[[#This Row],[Cant.4]]=0,"",IF(OR(Prueba[[#This Row],[Cant.6]]="",Prueba[[#This Row],[Puesto6]]=""),"?",Prueba[[#This Row],[Puesto6]]))</f>
        <v/>
      </c>
      <c r="O1071" s="14"/>
      <c r="P1071" s="32" t="str">
        <f>IF(Prueba[[#This Row],[Cant.5]]=0,"",IF(OR(Prueba[[#This Row],[Cant.6]]="",Prueba[[#This Row],[Puesto6]]=""),"?",Prueba[[#This Row],[Puesto6]]))</f>
        <v/>
      </c>
      <c r="Q1071" s="14"/>
      <c r="R1071" s="14"/>
      <c r="S1071" s="14"/>
      <c r="T1071" s="14"/>
      <c r="U1071" s="31"/>
      <c r="V1071" s="32" t="s">
        <v>1663</v>
      </c>
      <c r="W1071" s="18"/>
      <c r="X1071" s="19" t="s">
        <v>1667</v>
      </c>
      <c r="Y1071" s="19">
        <v>2</v>
      </c>
      <c r="Z1071" s="19">
        <v>0</v>
      </c>
      <c r="AA1071" s="19">
        <v>2</v>
      </c>
      <c r="AB1071" s="19">
        <v>0</v>
      </c>
    </row>
    <row r="1072" spans="1:28">
      <c r="A1072" s="18" t="s">
        <v>2368</v>
      </c>
      <c r="B1072" s="18"/>
      <c r="C1072" s="18" t="s">
        <v>1736</v>
      </c>
      <c r="D1072" s="18" t="s">
        <v>2369</v>
      </c>
      <c r="E1072" s="19" t="s">
        <v>22</v>
      </c>
      <c r="F1072" s="18"/>
      <c r="G1072" s="29"/>
      <c r="H1072" s="14" t="str">
        <f>IF(Prueba[[#This Row],[Cant.]]=0,"",IF(OR(Prueba[[#This Row],[Cant.2]]="",Prueba[[#This Row],[Puesto2]]=""),"?",Prueba[[#This Row],[Puesto2]]))</f>
        <v/>
      </c>
      <c r="I1072" s="31"/>
      <c r="J1072" s="32"/>
      <c r="K1072" s="31">
        <v>1</v>
      </c>
      <c r="L1072" s="14" t="s">
        <v>1402</v>
      </c>
      <c r="M1072" s="14">
        <v>1</v>
      </c>
      <c r="N1072" s="14" t="s">
        <v>1402</v>
      </c>
      <c r="O1072" s="14">
        <v>1</v>
      </c>
      <c r="P1072" s="32" t="s">
        <v>1402</v>
      </c>
      <c r="Q1072" s="14">
        <v>1</v>
      </c>
      <c r="R1072" s="14" t="s">
        <v>1402</v>
      </c>
      <c r="S1072" s="14">
        <v>1</v>
      </c>
      <c r="T1072" s="14" t="s">
        <v>1402</v>
      </c>
      <c r="U1072" s="31"/>
      <c r="V1072" s="32" t="s">
        <v>1663</v>
      </c>
      <c r="W1072" s="19">
        <v>8</v>
      </c>
      <c r="X1072" s="19" t="s">
        <v>1664</v>
      </c>
      <c r="Y1072" s="19" t="s">
        <v>1663</v>
      </c>
      <c r="Z1072" s="19" t="s">
        <v>1663</v>
      </c>
      <c r="AA1072" s="19" t="s">
        <v>1663</v>
      </c>
      <c r="AB1072" s="19" t="s">
        <v>1663</v>
      </c>
    </row>
    <row r="1073" spans="1:28">
      <c r="A1073" s="18"/>
      <c r="B1073" s="18"/>
      <c r="C1073" s="18"/>
      <c r="D1073" s="18"/>
      <c r="E1073" s="19"/>
      <c r="F1073" s="18"/>
      <c r="G1073" s="29"/>
      <c r="H1073" s="14" t="str">
        <f>IF(Prueba[[#This Row],[Cant.]]=0,"",IF(OR(Prueba[[#This Row],[Cant.2]]="",Prueba[[#This Row],[Puesto2]]=""),"?",Prueba[[#This Row],[Puesto2]]))</f>
        <v/>
      </c>
      <c r="I1073" s="31"/>
      <c r="J1073" s="32"/>
      <c r="K1073" s="31"/>
      <c r="L1073" s="14"/>
      <c r="M1073" s="14"/>
      <c r="N1073" s="14" t="str">
        <f>IF(Prueba[[#This Row],[Cant.4]]=0,"",IF(OR(Prueba[[#This Row],[Cant.6]]="",Prueba[[#This Row],[Puesto6]]=""),"?",Prueba[[#This Row],[Puesto6]]))</f>
        <v/>
      </c>
      <c r="O1073" s="14"/>
      <c r="P1073" s="32" t="str">
        <f>IF(Prueba[[#This Row],[Cant.5]]=0,"",IF(OR(Prueba[[#This Row],[Cant.6]]="",Prueba[[#This Row],[Puesto6]]=""),"?",Prueba[[#This Row],[Puesto6]]))</f>
        <v/>
      </c>
      <c r="Q1073" s="14"/>
      <c r="R1073" s="14"/>
      <c r="S1073" s="14"/>
      <c r="T1073" s="14"/>
      <c r="U1073" s="31"/>
      <c r="V1073" s="32" t="s">
        <v>1663</v>
      </c>
      <c r="W1073" s="18"/>
      <c r="X1073" s="19" t="s">
        <v>1667</v>
      </c>
      <c r="Y1073" s="19" t="s">
        <v>1663</v>
      </c>
      <c r="Z1073" s="19" t="s">
        <v>1663</v>
      </c>
      <c r="AA1073" s="19" t="s">
        <v>1663</v>
      </c>
      <c r="AB1073" s="19" t="s">
        <v>1663</v>
      </c>
    </row>
    <row r="1074" spans="1:28">
      <c r="A1074" s="18"/>
      <c r="B1074" s="18"/>
      <c r="C1074" s="18"/>
      <c r="D1074" s="18"/>
      <c r="E1074" s="19"/>
      <c r="F1074" s="18"/>
      <c r="G1074" s="29"/>
      <c r="H1074" s="14" t="str">
        <f>IF(Prueba[[#This Row],[Cant.]]=0,"",IF(OR(Prueba[[#This Row],[Cant.2]]="",Prueba[[#This Row],[Puesto2]]=""),"?",Prueba[[#This Row],[Puesto2]]))</f>
        <v/>
      </c>
      <c r="I1074" s="31"/>
      <c r="J1074" s="32"/>
      <c r="K1074" s="31"/>
      <c r="L1074" s="14"/>
      <c r="M1074" s="14"/>
      <c r="N1074" s="14" t="str">
        <f>IF(Prueba[[#This Row],[Cant.4]]=0,"",IF(OR(Prueba[[#This Row],[Cant.6]]="",Prueba[[#This Row],[Puesto6]]=""),"?",Prueba[[#This Row],[Puesto6]]))</f>
        <v/>
      </c>
      <c r="O1074" s="14"/>
      <c r="P1074" s="32" t="str">
        <f>IF(Prueba[[#This Row],[Cant.5]]=0,"",IF(OR(Prueba[[#This Row],[Cant.6]]="",Prueba[[#This Row],[Puesto6]]=""),"?",Prueba[[#This Row],[Puesto6]]))</f>
        <v/>
      </c>
      <c r="Q1074" s="14"/>
      <c r="R1074" s="14"/>
      <c r="S1074" s="14"/>
      <c r="T1074" s="14"/>
      <c r="U1074" s="31"/>
      <c r="V1074" s="32" t="s">
        <v>1663</v>
      </c>
      <c r="W1074" s="18"/>
      <c r="X1074" s="19" t="s">
        <v>1667</v>
      </c>
      <c r="Y1074" s="19" t="s">
        <v>1663</v>
      </c>
      <c r="Z1074" s="19" t="s">
        <v>1663</v>
      </c>
      <c r="AA1074" s="19" t="s">
        <v>1663</v>
      </c>
      <c r="AB1074" s="19" t="s">
        <v>1663</v>
      </c>
    </row>
    <row r="1075" spans="1:28">
      <c r="A1075" s="18"/>
      <c r="B1075" s="18"/>
      <c r="C1075" s="18"/>
      <c r="D1075" s="18"/>
      <c r="E1075" s="19"/>
      <c r="F1075" s="18"/>
      <c r="G1075" s="29"/>
      <c r="H1075" s="14" t="str">
        <f>IF(Prueba[[#This Row],[Cant.]]=0,"",IF(OR(Prueba[[#This Row],[Cant.2]]="",Prueba[[#This Row],[Puesto2]]=""),"?",Prueba[[#This Row],[Puesto2]]))</f>
        <v/>
      </c>
      <c r="I1075" s="31"/>
      <c r="J1075" s="32"/>
      <c r="K1075" s="31"/>
      <c r="L1075" s="14"/>
      <c r="M1075" s="14"/>
      <c r="N1075" s="14" t="str">
        <f>IF(Prueba[[#This Row],[Cant.4]]=0,"",IF(OR(Prueba[[#This Row],[Cant.6]]="",Prueba[[#This Row],[Puesto6]]=""),"?",Prueba[[#This Row],[Puesto6]]))</f>
        <v/>
      </c>
      <c r="O1075" s="14"/>
      <c r="P1075" s="32" t="str">
        <f>IF(Prueba[[#This Row],[Cant.5]]=0,"",IF(OR(Prueba[[#This Row],[Cant.6]]="",Prueba[[#This Row],[Puesto6]]=""),"?",Prueba[[#This Row],[Puesto6]]))</f>
        <v/>
      </c>
      <c r="Q1075" s="14"/>
      <c r="R1075" s="14"/>
      <c r="S1075" s="14"/>
      <c r="T1075" s="14"/>
      <c r="U1075" s="31"/>
      <c r="V1075" s="32" t="s">
        <v>1663</v>
      </c>
      <c r="W1075" s="18"/>
      <c r="X1075" s="19" t="s">
        <v>1667</v>
      </c>
      <c r="Y1075" s="19" t="s">
        <v>1663</v>
      </c>
      <c r="Z1075" s="19" t="s">
        <v>1663</v>
      </c>
      <c r="AA1075" s="19" t="s">
        <v>1663</v>
      </c>
      <c r="AB1075" s="19" t="s">
        <v>1663</v>
      </c>
    </row>
    <row r="1076" spans="1:28">
      <c r="A1076" s="18"/>
      <c r="B1076" s="18"/>
      <c r="C1076" s="18"/>
      <c r="D1076" s="18"/>
      <c r="E1076" s="19"/>
      <c r="F1076" s="18"/>
      <c r="G1076" s="29"/>
      <c r="H1076" s="14" t="str">
        <f>IF(Prueba[[#This Row],[Cant.]]=0,"",IF(OR(Prueba[[#This Row],[Cant.2]]="",Prueba[[#This Row],[Puesto2]]=""),"?",Prueba[[#This Row],[Puesto2]]))</f>
        <v/>
      </c>
      <c r="I1076" s="31"/>
      <c r="J1076" s="32"/>
      <c r="K1076" s="31"/>
      <c r="L1076" s="14"/>
      <c r="M1076" s="14"/>
      <c r="N1076" s="14" t="str">
        <f>IF(Prueba[[#This Row],[Cant.4]]=0,"",IF(OR(Prueba[[#This Row],[Cant.6]]="",Prueba[[#This Row],[Puesto6]]=""),"?",Prueba[[#This Row],[Puesto6]]))</f>
        <v/>
      </c>
      <c r="O1076" s="14"/>
      <c r="P1076" s="32" t="str">
        <f>IF(Prueba[[#This Row],[Cant.5]]=0,"",IF(OR(Prueba[[#This Row],[Cant.6]]="",Prueba[[#This Row],[Puesto6]]=""),"?",Prueba[[#This Row],[Puesto6]]))</f>
        <v/>
      </c>
      <c r="Q1076" s="14"/>
      <c r="R1076" s="14"/>
      <c r="S1076" s="14"/>
      <c r="T1076" s="14"/>
      <c r="U1076" s="31"/>
      <c r="V1076" s="32" t="s">
        <v>1663</v>
      </c>
      <c r="W1076" s="18"/>
      <c r="X1076" s="19" t="s">
        <v>1667</v>
      </c>
      <c r="Y1076" s="19" t="s">
        <v>1663</v>
      </c>
      <c r="Z1076" s="19" t="s">
        <v>1663</v>
      </c>
      <c r="AA1076" s="19" t="s">
        <v>1663</v>
      </c>
      <c r="AB1076" s="19" t="s">
        <v>1663</v>
      </c>
    </row>
    <row r="1077" spans="1:28">
      <c r="A1077" s="18"/>
      <c r="B1077" s="18"/>
      <c r="C1077" s="18"/>
      <c r="D1077" s="18"/>
      <c r="E1077" s="19"/>
      <c r="F1077" s="18"/>
      <c r="G1077" s="29"/>
      <c r="H1077" s="14" t="str">
        <f>IF(Prueba[[#This Row],[Cant.]]=0,"",IF(OR(Prueba[[#This Row],[Cant.2]]="",Prueba[[#This Row],[Puesto2]]=""),"?",Prueba[[#This Row],[Puesto2]]))</f>
        <v/>
      </c>
      <c r="I1077" s="31"/>
      <c r="J1077" s="32"/>
      <c r="K1077" s="31"/>
      <c r="L1077" s="14"/>
      <c r="M1077" s="14"/>
      <c r="N1077" s="14" t="str">
        <f>IF(Prueba[[#This Row],[Cant.4]]=0,"",IF(OR(Prueba[[#This Row],[Cant.6]]="",Prueba[[#This Row],[Puesto6]]=""),"?",Prueba[[#This Row],[Puesto6]]))</f>
        <v/>
      </c>
      <c r="O1077" s="14"/>
      <c r="P1077" s="32" t="str">
        <f>IF(Prueba[[#This Row],[Cant.5]]=0,"",IF(OR(Prueba[[#This Row],[Cant.6]]="",Prueba[[#This Row],[Puesto6]]=""),"?",Prueba[[#This Row],[Puesto6]]))</f>
        <v/>
      </c>
      <c r="Q1077" s="14"/>
      <c r="R1077" s="14"/>
      <c r="S1077" s="14"/>
      <c r="T1077" s="14"/>
      <c r="U1077" s="31"/>
      <c r="V1077" s="32" t="s">
        <v>1663</v>
      </c>
      <c r="W1077" s="18"/>
      <c r="X1077" s="19" t="s">
        <v>1667</v>
      </c>
      <c r="Y1077" s="19" t="s">
        <v>1663</v>
      </c>
      <c r="Z1077" s="19" t="s">
        <v>1663</v>
      </c>
      <c r="AA1077" s="19" t="s">
        <v>1663</v>
      </c>
      <c r="AB1077" s="19" t="s">
        <v>1663</v>
      </c>
    </row>
    <row r="1078" spans="1:28">
      <c r="A1078" s="18"/>
      <c r="B1078" s="18"/>
      <c r="C1078" s="18"/>
      <c r="D1078" s="18"/>
      <c r="E1078" s="19"/>
      <c r="F1078" s="18"/>
      <c r="G1078" s="29"/>
      <c r="H1078" s="14" t="str">
        <f>IF(Prueba[[#This Row],[Cant.]]=0,"",IF(OR(Prueba[[#This Row],[Cant.2]]="",Prueba[[#This Row],[Puesto2]]=""),"?",Prueba[[#This Row],[Puesto2]]))</f>
        <v/>
      </c>
      <c r="I1078" s="31"/>
      <c r="J1078" s="32"/>
      <c r="K1078" s="31"/>
      <c r="L1078" s="14"/>
      <c r="M1078" s="32"/>
      <c r="N1078" s="32" t="str">
        <f>IF(Prueba[[#This Row],[Cant.4]]=0,"",IF(OR(Prueba[[#This Row],[Cant.6]]="",Prueba[[#This Row],[Puesto6]]=""),"?",Prueba[[#This Row],[Puesto6]]))</f>
        <v/>
      </c>
      <c r="O1078" s="31"/>
      <c r="P1078" s="32" t="str">
        <f>IF(Prueba[[#This Row],[Cant.5]]=0,"",IF(OR(Prueba[[#This Row],[Cant.6]]="",Prueba[[#This Row],[Puesto6]]=""),"?",Prueba[[#This Row],[Puesto6]]))</f>
        <v/>
      </c>
      <c r="Q1078" s="14"/>
      <c r="R1078" s="14"/>
      <c r="S1078" s="31"/>
      <c r="T1078" s="14"/>
      <c r="U1078" s="31"/>
      <c r="V1078" s="32" t="s">
        <v>1663</v>
      </c>
      <c r="W1078" s="125"/>
      <c r="X1078" s="19" t="s">
        <v>1667</v>
      </c>
      <c r="Y1078" s="19" t="s">
        <v>1663</v>
      </c>
      <c r="Z1078" s="19" t="s">
        <v>1663</v>
      </c>
      <c r="AA1078" s="19" t="s">
        <v>1663</v>
      </c>
      <c r="AB1078" s="19" t="s">
        <v>1663</v>
      </c>
    </row>
    <row r="1079" spans="1:28">
      <c r="C1079" s="18"/>
      <c r="D1079" s="18"/>
    </row>
  </sheetData>
  <mergeCells count="11">
    <mergeCell ref="W6:X6"/>
    <mergeCell ref="Y6:Z6"/>
    <mergeCell ref="AA6:AB6"/>
    <mergeCell ref="S6:T6"/>
    <mergeCell ref="U6:V6"/>
    <mergeCell ref="Q6:R6"/>
    <mergeCell ref="G6:H6"/>
    <mergeCell ref="I6:J6"/>
    <mergeCell ref="K6:L6"/>
    <mergeCell ref="M6:N6"/>
    <mergeCell ref="O6:P6"/>
  </mergeCells>
  <phoneticPr fontId="21" type="noConversion"/>
  <conditionalFormatting sqref="U8">
    <cfRule type="cellIs" dxfId="811" priority="147" operator="equal">
      <formula>#REF!</formula>
    </cfRule>
  </conditionalFormatting>
  <pageMargins left="0.7" right="0.7" top="0.75" bottom="0.75" header="0.3" footer="0.3"/>
  <pageSetup paperSize="9" orientation="portrait" r:id="rId1"/>
  <headerFooter>
    <oddHeader>&amp;L&amp;"Arial"&amp;8&amp;K000000INTERNAL&amp;1#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">
    <pageSetUpPr fitToPage="1"/>
  </sheetPr>
  <dimension ref="A1:P450"/>
  <sheetViews>
    <sheetView zoomScale="87" zoomScaleNormal="85" workbookViewId="0">
      <pane xSplit="2" ySplit="2" topLeftCell="C124" activePane="bottomRight" state="frozen"/>
      <selection pane="bottomRight" activeCell="I136" sqref="I136"/>
      <selection pane="bottomLeft" activeCell="I69" sqref="I69"/>
      <selection pane="topRight" activeCell="I69" sqref="I69"/>
    </sheetView>
  </sheetViews>
  <sheetFormatPr defaultColWidth="9.140625" defaultRowHeight="14.45"/>
  <cols>
    <col min="1" max="1" width="4.28515625" style="65" customWidth="1"/>
    <col min="2" max="2" width="20.140625" style="66" customWidth="1"/>
    <col min="3" max="3" width="52.140625" style="10" bestFit="1" customWidth="1"/>
    <col min="4" max="4" width="14.85546875" style="65" customWidth="1"/>
    <col min="5" max="5" width="15.140625" style="10" customWidth="1"/>
    <col min="6" max="6" width="16.28515625" style="10" customWidth="1"/>
    <col min="7" max="7" width="15.7109375" style="10" customWidth="1"/>
    <col min="8" max="8" width="19.7109375" style="65" customWidth="1"/>
    <col min="9" max="9" width="27.7109375" style="10" customWidth="1"/>
    <col min="10" max="10" width="8.5703125" style="65" customWidth="1"/>
    <col min="11" max="11" width="22.85546875" style="10" customWidth="1"/>
    <col min="12" max="12" width="25.5703125" style="75" hidden="1" customWidth="1"/>
    <col min="13" max="13" width="7.7109375" style="10" hidden="1" customWidth="1"/>
    <col min="14" max="14" width="30.42578125" style="10" hidden="1" customWidth="1"/>
    <col min="15" max="15" width="16.5703125" style="10" hidden="1" customWidth="1"/>
    <col min="16" max="16384" width="9.140625" style="10"/>
  </cols>
  <sheetData>
    <row r="1" spans="1:16">
      <c r="A1" s="70" t="s">
        <v>2370</v>
      </c>
      <c r="B1" s="71"/>
      <c r="C1" s="71"/>
      <c r="D1" s="72"/>
      <c r="E1" s="71"/>
      <c r="F1" s="71"/>
      <c r="G1" s="71"/>
      <c r="H1" s="71"/>
      <c r="I1" s="71"/>
      <c r="J1" s="73" t="s">
        <v>2371</v>
      </c>
      <c r="K1" s="74">
        <f>+BOM!D2</f>
        <v>45953</v>
      </c>
    </row>
    <row r="2" spans="1:16" ht="39.75" customHeight="1">
      <c r="A2" s="152" t="s">
        <v>2372</v>
      </c>
      <c r="B2" s="154" t="s">
        <v>2373</v>
      </c>
      <c r="C2" s="155" t="s">
        <v>2374</v>
      </c>
      <c r="D2" s="156" t="s">
        <v>2375</v>
      </c>
      <c r="E2" s="157" t="s">
        <v>2376</v>
      </c>
      <c r="F2" s="158" t="s">
        <v>2377</v>
      </c>
      <c r="G2" s="159" t="s">
        <v>2378</v>
      </c>
      <c r="H2" s="160" t="s">
        <v>2379</v>
      </c>
      <c r="I2" s="159" t="s">
        <v>2380</v>
      </c>
      <c r="J2" s="159" t="s">
        <v>2381</v>
      </c>
      <c r="K2" s="161" t="s">
        <v>2382</v>
      </c>
      <c r="L2" s="185" t="s">
        <v>2383</v>
      </c>
      <c r="M2" s="51" t="s">
        <v>2384</v>
      </c>
    </row>
    <row r="3" spans="1:16" ht="15">
      <c r="A3" s="153">
        <v>1</v>
      </c>
      <c r="B3" s="53" t="s">
        <v>1764</v>
      </c>
      <c r="C3" s="126" t="s">
        <v>287</v>
      </c>
      <c r="D3" s="52">
        <v>1</v>
      </c>
      <c r="E3" s="81" t="s">
        <v>2385</v>
      </c>
      <c r="F3" s="126" t="s">
        <v>289</v>
      </c>
      <c r="G3" s="126" t="s">
        <v>1667</v>
      </c>
      <c r="H3" s="127">
        <v>1</v>
      </c>
      <c r="I3" s="49" t="s">
        <v>2386</v>
      </c>
      <c r="J3" s="52"/>
      <c r="K3" s="49"/>
      <c r="L3" s="49" t="s">
        <v>2387</v>
      </c>
      <c r="M3" s="76">
        <v>45702</v>
      </c>
      <c r="N3" s="128">
        <f>+VLOOKUP(B3,BOM!$A$8:$AB$1078,25,0)</f>
        <v>1</v>
      </c>
      <c r="O3" s="129">
        <f>+VLOOKUP(B3,BOM!$A$8:$AB$1078,26,0)</f>
        <v>0</v>
      </c>
      <c r="P3" s="10" t="str">
        <f t="shared" ref="P3:P17" si="0">+IF(N3=D3,"ok","")</f>
        <v>ok</v>
      </c>
    </row>
    <row r="4" spans="1:16" ht="15">
      <c r="A4" s="153">
        <v>2</v>
      </c>
      <c r="B4" s="53" t="s">
        <v>1714</v>
      </c>
      <c r="C4" s="126" t="s">
        <v>1712</v>
      </c>
      <c r="D4" s="55">
        <v>1</v>
      </c>
      <c r="E4" s="52" t="s">
        <v>2388</v>
      </c>
      <c r="F4" s="126" t="s">
        <v>195</v>
      </c>
      <c r="G4" s="126" t="s">
        <v>1667</v>
      </c>
      <c r="H4" s="127">
        <v>1</v>
      </c>
      <c r="I4" s="49" t="s">
        <v>2389</v>
      </c>
      <c r="J4" s="52"/>
      <c r="K4" s="49"/>
      <c r="L4" s="49" t="s">
        <v>2390</v>
      </c>
      <c r="M4" s="76">
        <v>45429</v>
      </c>
      <c r="N4" s="128">
        <f>+VLOOKUP(B4,BOM!$A$8:$AB$1078,25,0)</f>
        <v>1</v>
      </c>
      <c r="O4" s="129" t="str">
        <f>+VLOOKUP(B4,BOM!$A$8:$AB$1078,26,0)</f>
        <v>A</v>
      </c>
      <c r="P4" s="10" t="str">
        <f t="shared" si="0"/>
        <v>ok</v>
      </c>
    </row>
    <row r="5" spans="1:16" ht="15">
      <c r="A5" s="153">
        <v>3</v>
      </c>
      <c r="B5" s="53" t="s">
        <v>67</v>
      </c>
      <c r="C5" s="126" t="s">
        <v>69</v>
      </c>
      <c r="D5" s="55">
        <v>1</v>
      </c>
      <c r="E5" s="52" t="s">
        <v>2391</v>
      </c>
      <c r="F5" s="126" t="s">
        <v>70</v>
      </c>
      <c r="G5" s="126" t="s">
        <v>1667</v>
      </c>
      <c r="H5" s="127">
        <v>1</v>
      </c>
      <c r="I5" s="49" t="s">
        <v>2392</v>
      </c>
      <c r="J5" s="52"/>
      <c r="K5" s="49"/>
      <c r="L5" s="49" t="s">
        <v>2393</v>
      </c>
      <c r="M5" s="76">
        <v>45429</v>
      </c>
      <c r="N5" s="128">
        <f>+VLOOKUP(B5,BOM!$A$8:$AB$1078,25,0)</f>
        <v>1</v>
      </c>
      <c r="O5" s="129" t="str">
        <f>+VLOOKUP(B5,BOM!$A$8:$AB$1078,26,0)</f>
        <v>C</v>
      </c>
      <c r="P5" s="10" t="str">
        <f t="shared" si="0"/>
        <v>ok</v>
      </c>
    </row>
    <row r="6" spans="1:16" ht="15">
      <c r="A6" s="153">
        <v>4</v>
      </c>
      <c r="B6" s="53" t="s">
        <v>1727</v>
      </c>
      <c r="C6" s="126" t="s">
        <v>1728</v>
      </c>
      <c r="D6" s="55">
        <v>7</v>
      </c>
      <c r="E6" s="52" t="s">
        <v>2394</v>
      </c>
      <c r="F6" s="126" t="s">
        <v>230</v>
      </c>
      <c r="G6" s="126" t="s">
        <v>1667</v>
      </c>
      <c r="H6" s="127">
        <v>7</v>
      </c>
      <c r="I6" s="49" t="s">
        <v>2395</v>
      </c>
      <c r="J6" s="52"/>
      <c r="K6" s="49"/>
      <c r="L6" s="49" t="s">
        <v>2396</v>
      </c>
      <c r="M6" s="76">
        <v>45429</v>
      </c>
      <c r="N6" s="128">
        <f>+VLOOKUP(B6,BOM!$A$8:$AB$1078,25,0)</f>
        <v>7</v>
      </c>
      <c r="O6" s="129">
        <f>+VLOOKUP(B6,BOM!$A$8:$AB$1078,26,0)</f>
        <v>4</v>
      </c>
      <c r="P6" s="10" t="str">
        <f t="shared" si="0"/>
        <v>ok</v>
      </c>
    </row>
    <row r="7" spans="1:16" ht="15">
      <c r="A7" s="153">
        <v>5</v>
      </c>
      <c r="B7" s="53" t="s">
        <v>190</v>
      </c>
      <c r="C7" s="126" t="s">
        <v>191</v>
      </c>
      <c r="D7" s="55">
        <v>1</v>
      </c>
      <c r="E7" s="52" t="s">
        <v>2385</v>
      </c>
      <c r="F7" s="126" t="s">
        <v>18</v>
      </c>
      <c r="G7" s="126" t="s">
        <v>1667</v>
      </c>
      <c r="H7" s="127">
        <v>1</v>
      </c>
      <c r="I7" s="49" t="s">
        <v>2386</v>
      </c>
      <c r="J7" s="52" t="s">
        <v>2397</v>
      </c>
      <c r="K7" s="49"/>
      <c r="L7" s="49" t="s">
        <v>2398</v>
      </c>
      <c r="M7" s="76">
        <v>45429</v>
      </c>
      <c r="N7" s="128">
        <f>+VLOOKUP(B7,BOM!$A$8:$AB$1078,25,0)</f>
        <v>1</v>
      </c>
      <c r="O7" s="129">
        <f>+VLOOKUP(B7,BOM!$A$8:$AB$1078,26,0)</f>
        <v>0</v>
      </c>
      <c r="P7" s="10" t="str">
        <f t="shared" si="0"/>
        <v>ok</v>
      </c>
    </row>
    <row r="8" spans="1:16" ht="15">
      <c r="A8" s="153">
        <v>6</v>
      </c>
      <c r="B8" s="53" t="s">
        <v>253</v>
      </c>
      <c r="C8" s="126" t="s">
        <v>254</v>
      </c>
      <c r="D8" s="55">
        <v>1</v>
      </c>
      <c r="E8" s="52" t="s">
        <v>2385</v>
      </c>
      <c r="F8" s="126" t="s">
        <v>18</v>
      </c>
      <c r="G8" s="126" t="s">
        <v>1667</v>
      </c>
      <c r="H8" s="127">
        <v>1</v>
      </c>
      <c r="I8" s="49" t="s">
        <v>2386</v>
      </c>
      <c r="J8" s="52" t="s">
        <v>2397</v>
      </c>
      <c r="K8" s="49"/>
      <c r="L8" s="49" t="s">
        <v>2399</v>
      </c>
      <c r="M8" s="76">
        <v>45429</v>
      </c>
      <c r="N8" s="128">
        <f>+VLOOKUP(B8,BOM!$A$8:$AB$1078,25,0)</f>
        <v>1</v>
      </c>
      <c r="O8" s="129">
        <f>+VLOOKUP(B8,BOM!$A$8:$AB$1078,26,0)</f>
        <v>0</v>
      </c>
      <c r="P8" s="10" t="str">
        <f t="shared" si="0"/>
        <v>ok</v>
      </c>
    </row>
    <row r="9" spans="1:16" ht="15" customHeight="1">
      <c r="A9" s="153">
        <v>7</v>
      </c>
      <c r="B9" s="53" t="s">
        <v>280</v>
      </c>
      <c r="C9" s="126" t="s">
        <v>282</v>
      </c>
      <c r="D9" s="55">
        <v>1</v>
      </c>
      <c r="E9" s="56" t="s">
        <v>2385</v>
      </c>
      <c r="F9" s="126" t="s">
        <v>18</v>
      </c>
      <c r="G9" s="126" t="s">
        <v>1667</v>
      </c>
      <c r="H9" s="127">
        <v>1</v>
      </c>
      <c r="I9" s="49" t="s">
        <v>2386</v>
      </c>
      <c r="J9" s="52" t="s">
        <v>2397</v>
      </c>
      <c r="K9" s="49"/>
      <c r="L9" s="49" t="s">
        <v>2400</v>
      </c>
      <c r="M9" s="76">
        <v>45429</v>
      </c>
      <c r="N9" s="128">
        <f>+VLOOKUP(B9,BOM!$A$8:$AB$1078,25,0)</f>
        <v>1</v>
      </c>
      <c r="O9" s="129">
        <f>+VLOOKUP(B9,BOM!$A$8:$AB$1078,26,0)</f>
        <v>0</v>
      </c>
      <c r="P9" s="10" t="str">
        <f t="shared" si="0"/>
        <v>ok</v>
      </c>
    </row>
    <row r="10" spans="1:16" ht="15">
      <c r="A10" s="153">
        <v>8</v>
      </c>
      <c r="B10" s="60" t="s">
        <v>283</v>
      </c>
      <c r="C10" s="126" t="s">
        <v>284</v>
      </c>
      <c r="D10" s="55">
        <v>1</v>
      </c>
      <c r="E10" s="56" t="s">
        <v>2385</v>
      </c>
      <c r="F10" s="126" t="s">
        <v>18</v>
      </c>
      <c r="G10" s="126" t="s">
        <v>1667</v>
      </c>
      <c r="H10" s="127">
        <v>1</v>
      </c>
      <c r="I10" s="49" t="s">
        <v>2386</v>
      </c>
      <c r="J10" s="52" t="s">
        <v>2397</v>
      </c>
      <c r="K10" s="49"/>
      <c r="L10" s="49" t="s">
        <v>2401</v>
      </c>
      <c r="M10" s="76">
        <v>45429</v>
      </c>
      <c r="N10" s="128">
        <f>+VLOOKUP(B10,BOM!$A$8:$AB$1078,25,0)</f>
        <v>1</v>
      </c>
      <c r="O10" s="129">
        <f>+VLOOKUP(B10,BOM!$A$8:$AB$1078,26,0)</f>
        <v>0</v>
      </c>
      <c r="P10" s="10" t="str">
        <f t="shared" si="0"/>
        <v>ok</v>
      </c>
    </row>
    <row r="11" spans="1:16" ht="15">
      <c r="A11" s="153">
        <v>9</v>
      </c>
      <c r="B11" s="53" t="s">
        <v>290</v>
      </c>
      <c r="C11" s="126" t="s">
        <v>292</v>
      </c>
      <c r="D11" s="52">
        <v>2</v>
      </c>
      <c r="E11" s="81" t="s">
        <v>2385</v>
      </c>
      <c r="F11" s="126" t="s">
        <v>18</v>
      </c>
      <c r="G11" s="126" t="s">
        <v>1667</v>
      </c>
      <c r="H11" s="127">
        <v>2</v>
      </c>
      <c r="I11" s="49" t="s">
        <v>2386</v>
      </c>
      <c r="J11" s="52" t="s">
        <v>2397</v>
      </c>
      <c r="K11" s="49"/>
      <c r="L11" s="49" t="s">
        <v>2402</v>
      </c>
      <c r="M11" s="76">
        <v>45702</v>
      </c>
      <c r="N11" s="128">
        <f>+VLOOKUP(B11,BOM!$A$8:$AB$1078,25,0)</f>
        <v>2</v>
      </c>
      <c r="O11" s="129">
        <f>+VLOOKUP(B11,BOM!$A$8:$AB$1078,26,0)</f>
        <v>0</v>
      </c>
      <c r="P11" s="10" t="str">
        <f t="shared" si="0"/>
        <v>ok</v>
      </c>
    </row>
    <row r="12" spans="1:16" ht="15">
      <c r="A12" s="153">
        <v>10</v>
      </c>
      <c r="B12" s="53" t="s">
        <v>309</v>
      </c>
      <c r="C12" s="126" t="s">
        <v>310</v>
      </c>
      <c r="D12" s="55">
        <v>2</v>
      </c>
      <c r="E12" s="52" t="s">
        <v>2385</v>
      </c>
      <c r="F12" s="126" t="s">
        <v>18</v>
      </c>
      <c r="G12" s="126" t="s">
        <v>1667</v>
      </c>
      <c r="H12" s="127">
        <v>2</v>
      </c>
      <c r="I12" s="49" t="s">
        <v>2386</v>
      </c>
      <c r="J12" s="52" t="s">
        <v>2397</v>
      </c>
      <c r="K12" s="49"/>
      <c r="L12" s="49" t="s">
        <v>2403</v>
      </c>
      <c r="M12" s="76">
        <v>45429</v>
      </c>
      <c r="N12" s="128">
        <f>+VLOOKUP(B12,BOM!$A$8:$AB$1078,25,0)</f>
        <v>2</v>
      </c>
      <c r="O12" s="129">
        <f>+VLOOKUP(B12,BOM!$A$8:$AB$1078,26,0)</f>
        <v>0</v>
      </c>
      <c r="P12" s="10" t="str">
        <f t="shared" si="0"/>
        <v>ok</v>
      </c>
    </row>
    <row r="13" spans="1:16" ht="15">
      <c r="A13" s="153">
        <v>11</v>
      </c>
      <c r="B13" s="53" t="s">
        <v>311</v>
      </c>
      <c r="C13" s="126" t="s">
        <v>313</v>
      </c>
      <c r="D13" s="55">
        <v>1</v>
      </c>
      <c r="E13" s="52" t="s">
        <v>2385</v>
      </c>
      <c r="F13" s="126" t="s">
        <v>18</v>
      </c>
      <c r="G13" s="126" t="s">
        <v>1667</v>
      </c>
      <c r="H13" s="127">
        <v>1</v>
      </c>
      <c r="I13" s="49" t="s">
        <v>2386</v>
      </c>
      <c r="J13" s="52" t="s">
        <v>2397</v>
      </c>
      <c r="K13" s="49"/>
      <c r="L13" s="49" t="s">
        <v>2404</v>
      </c>
      <c r="M13" s="76">
        <v>45429</v>
      </c>
      <c r="N13" s="128">
        <f>+VLOOKUP(B13,BOM!$A$8:$AB$1078,25,0)</f>
        <v>1</v>
      </c>
      <c r="O13" s="129">
        <f>+VLOOKUP(B13,BOM!$A$8:$AB$1078,26,0)</f>
        <v>0</v>
      </c>
      <c r="P13" s="10" t="str">
        <f t="shared" si="0"/>
        <v>ok</v>
      </c>
    </row>
    <row r="14" spans="1:16" ht="15">
      <c r="A14" s="153">
        <v>12</v>
      </c>
      <c r="B14" s="53" t="s">
        <v>401</v>
      </c>
      <c r="C14" s="126" t="s">
        <v>403</v>
      </c>
      <c r="D14" s="55">
        <v>1</v>
      </c>
      <c r="E14" s="52" t="s">
        <v>2385</v>
      </c>
      <c r="F14" s="126" t="s">
        <v>18</v>
      </c>
      <c r="G14" s="126" t="s">
        <v>1667</v>
      </c>
      <c r="H14" s="127">
        <v>1</v>
      </c>
      <c r="I14" s="49" t="s">
        <v>2386</v>
      </c>
      <c r="J14" s="52" t="s">
        <v>2397</v>
      </c>
      <c r="K14" s="49"/>
      <c r="L14" s="49" t="s">
        <v>2405</v>
      </c>
      <c r="M14" s="76">
        <v>45429</v>
      </c>
      <c r="N14" s="128">
        <f>+VLOOKUP(B14,BOM!$A$8:$AB$1078,25,0)</f>
        <v>1</v>
      </c>
      <c r="O14" s="129">
        <f>+VLOOKUP(B14,BOM!$A$8:$AB$1078,26,0)</f>
        <v>0</v>
      </c>
      <c r="P14" s="10" t="str">
        <f t="shared" si="0"/>
        <v>ok</v>
      </c>
    </row>
    <row r="15" spans="1:16" ht="15">
      <c r="A15" s="153">
        <v>13</v>
      </c>
      <c r="B15" s="53" t="s">
        <v>406</v>
      </c>
      <c r="C15" s="126" t="s">
        <v>407</v>
      </c>
      <c r="D15" s="55">
        <v>1</v>
      </c>
      <c r="E15" s="52" t="s">
        <v>2385</v>
      </c>
      <c r="F15" s="126" t="s">
        <v>18</v>
      </c>
      <c r="G15" s="126" t="s">
        <v>1667</v>
      </c>
      <c r="H15" s="127">
        <v>1</v>
      </c>
      <c r="I15" s="49" t="s">
        <v>2386</v>
      </c>
      <c r="J15" s="52" t="s">
        <v>2397</v>
      </c>
      <c r="K15" s="49"/>
      <c r="L15" s="49" t="s">
        <v>2406</v>
      </c>
      <c r="M15" s="76">
        <v>45429</v>
      </c>
      <c r="N15" s="128">
        <f>+VLOOKUP(B15,BOM!$A$8:$AB$1078,25,0)</f>
        <v>1</v>
      </c>
      <c r="O15" s="129">
        <f>+VLOOKUP(B15,BOM!$A$8:$AB$1078,26,0)</f>
        <v>0</v>
      </c>
      <c r="P15" s="10" t="str">
        <f t="shared" si="0"/>
        <v>ok</v>
      </c>
    </row>
    <row r="16" spans="1:16" ht="15">
      <c r="A16" s="153">
        <v>14</v>
      </c>
      <c r="B16" s="53" t="s">
        <v>429</v>
      </c>
      <c r="C16" s="126" t="s">
        <v>431</v>
      </c>
      <c r="D16" s="52">
        <v>1</v>
      </c>
      <c r="E16" s="81" t="s">
        <v>2385</v>
      </c>
      <c r="F16" s="126" t="s">
        <v>18</v>
      </c>
      <c r="G16" s="126" t="s">
        <v>1667</v>
      </c>
      <c r="H16" s="127">
        <v>1</v>
      </c>
      <c r="I16" s="49" t="s">
        <v>2386</v>
      </c>
      <c r="J16" s="52" t="s">
        <v>2397</v>
      </c>
      <c r="K16" s="49"/>
      <c r="L16" s="49" t="s">
        <v>2407</v>
      </c>
      <c r="M16" s="76">
        <v>45702</v>
      </c>
      <c r="N16" s="128">
        <f>+VLOOKUP(B16,BOM!$A$8:$AB$1078,25,0)</f>
        <v>1</v>
      </c>
      <c r="O16" s="129">
        <f>+VLOOKUP(B16,BOM!$A$8:$AB$1078,26,0)</f>
        <v>0</v>
      </c>
      <c r="P16" s="10" t="str">
        <f t="shared" si="0"/>
        <v>ok</v>
      </c>
    </row>
    <row r="17" spans="1:16" ht="15">
      <c r="A17" s="153">
        <v>15</v>
      </c>
      <c r="B17" s="53" t="s">
        <v>437</v>
      </c>
      <c r="C17" s="126" t="s">
        <v>439</v>
      </c>
      <c r="D17" s="55">
        <v>1</v>
      </c>
      <c r="E17" s="52" t="s">
        <v>2385</v>
      </c>
      <c r="F17" s="126" t="s">
        <v>18</v>
      </c>
      <c r="G17" s="126" t="s">
        <v>1667</v>
      </c>
      <c r="H17" s="127">
        <v>1</v>
      </c>
      <c r="I17" s="49" t="s">
        <v>2386</v>
      </c>
      <c r="J17" s="52" t="s">
        <v>2397</v>
      </c>
      <c r="K17" s="49"/>
      <c r="L17" s="49" t="s">
        <v>2408</v>
      </c>
      <c r="M17" s="76">
        <v>45429</v>
      </c>
      <c r="N17" s="128">
        <f>+VLOOKUP(B17,BOM!$A$8:$AB$1078,25,0)</f>
        <v>1</v>
      </c>
      <c r="O17" s="129">
        <f>+VLOOKUP(B17,BOM!$A$8:$AB$1078,26,0)</f>
        <v>0</v>
      </c>
      <c r="P17" s="10" t="str">
        <f t="shared" si="0"/>
        <v>ok</v>
      </c>
    </row>
    <row r="18" spans="1:16" ht="15">
      <c r="A18" s="153">
        <v>16</v>
      </c>
      <c r="B18" s="53" t="s">
        <v>1800</v>
      </c>
      <c r="C18" s="126" t="s">
        <v>1801</v>
      </c>
      <c r="D18" s="55">
        <v>1</v>
      </c>
      <c r="E18" s="52" t="s">
        <v>2385</v>
      </c>
      <c r="F18" s="126" t="s">
        <v>18</v>
      </c>
      <c r="G18" s="126" t="s">
        <v>1667</v>
      </c>
      <c r="H18" s="127">
        <v>1</v>
      </c>
      <c r="I18" s="49" t="s">
        <v>2386</v>
      </c>
      <c r="J18" s="52" t="s">
        <v>2397</v>
      </c>
      <c r="K18" s="49"/>
      <c r="L18" s="49" t="s">
        <v>2409</v>
      </c>
      <c r="M18" s="76">
        <v>45429</v>
      </c>
      <c r="N18" s="128">
        <f>+VLOOKUP(B18,BOM!$A$8:$AB$1078,25,0)</f>
        <v>1</v>
      </c>
      <c r="O18" s="129">
        <f>+VLOOKUP(B18,BOM!$A$8:$AB$1078,26,0)</f>
        <v>0</v>
      </c>
    </row>
    <row r="19" spans="1:16" ht="15">
      <c r="A19" s="153">
        <v>17</v>
      </c>
      <c r="B19" s="59" t="s">
        <v>472</v>
      </c>
      <c r="C19" s="126" t="s">
        <v>474</v>
      </c>
      <c r="D19" s="55">
        <v>2</v>
      </c>
      <c r="E19" s="52" t="s">
        <v>2385</v>
      </c>
      <c r="F19" s="126" t="s">
        <v>18</v>
      </c>
      <c r="G19" s="126" t="s">
        <v>1667</v>
      </c>
      <c r="H19" s="127">
        <v>2</v>
      </c>
      <c r="I19" s="49" t="s">
        <v>2386</v>
      </c>
      <c r="J19" s="52" t="s">
        <v>2397</v>
      </c>
      <c r="K19" s="49"/>
      <c r="L19" s="49" t="s">
        <v>2410</v>
      </c>
      <c r="M19" s="76">
        <v>45429</v>
      </c>
      <c r="N19" s="128">
        <f>+VLOOKUP(B19,BOM!$A$8:$AB$1078,25,0)</f>
        <v>2</v>
      </c>
      <c r="O19" s="129">
        <f>+VLOOKUP(B19,BOM!$A$8:$AB$1078,26,0)</f>
        <v>0</v>
      </c>
      <c r="P19" s="10" t="str">
        <f t="shared" ref="P19:P39" si="1">+IF(N19=D19,"ok","")</f>
        <v>ok</v>
      </c>
    </row>
    <row r="20" spans="1:16" ht="15">
      <c r="A20" s="153">
        <v>18</v>
      </c>
      <c r="B20" s="53" t="s">
        <v>178</v>
      </c>
      <c r="C20" s="126" t="s">
        <v>179</v>
      </c>
      <c r="D20" s="55">
        <v>1</v>
      </c>
      <c r="E20" s="52" t="s">
        <v>2385</v>
      </c>
      <c r="F20" s="126" t="s">
        <v>18</v>
      </c>
      <c r="G20" s="126" t="s">
        <v>1667</v>
      </c>
      <c r="H20" s="127">
        <v>1</v>
      </c>
      <c r="I20" s="49" t="s">
        <v>2386</v>
      </c>
      <c r="J20" s="52" t="s">
        <v>2411</v>
      </c>
      <c r="K20" s="49"/>
      <c r="L20" s="49" t="s">
        <v>2412</v>
      </c>
      <c r="M20" s="76">
        <v>45429</v>
      </c>
      <c r="N20" s="128">
        <f>+VLOOKUP(B20,BOM!$A$8:$AB$1078,25,0)</f>
        <v>1</v>
      </c>
      <c r="O20" s="129">
        <f>+VLOOKUP(B20,BOM!$A$8:$AB$1078,26,0)</f>
        <v>1</v>
      </c>
      <c r="P20" s="10" t="str">
        <f t="shared" si="1"/>
        <v>ok</v>
      </c>
    </row>
    <row r="21" spans="1:16" ht="15">
      <c r="A21" s="153">
        <v>19</v>
      </c>
      <c r="B21" s="53" t="s">
        <v>180</v>
      </c>
      <c r="C21" s="126" t="s">
        <v>182</v>
      </c>
      <c r="D21" s="55">
        <v>1</v>
      </c>
      <c r="E21" s="52" t="s">
        <v>2385</v>
      </c>
      <c r="F21" s="126" t="s">
        <v>18</v>
      </c>
      <c r="G21" s="126" t="s">
        <v>1667</v>
      </c>
      <c r="H21" s="127">
        <v>1</v>
      </c>
      <c r="I21" s="49" t="s">
        <v>2386</v>
      </c>
      <c r="J21" s="52" t="s">
        <v>2411</v>
      </c>
      <c r="K21" s="49"/>
      <c r="L21" s="49" t="s">
        <v>2413</v>
      </c>
      <c r="M21" s="76">
        <v>45429</v>
      </c>
      <c r="N21" s="128">
        <f>+VLOOKUP(B21,BOM!$A$8:$AB$1078,25,0)</f>
        <v>1</v>
      </c>
      <c r="O21" s="129">
        <f>+VLOOKUP(B21,BOM!$A$8:$AB$1078,26,0)</f>
        <v>1</v>
      </c>
      <c r="P21" s="10" t="str">
        <f t="shared" si="1"/>
        <v>ok</v>
      </c>
    </row>
    <row r="22" spans="1:16" ht="15">
      <c r="A22" s="153">
        <v>20</v>
      </c>
      <c r="B22" s="53" t="s">
        <v>40</v>
      </c>
      <c r="C22" s="126" t="s">
        <v>42</v>
      </c>
      <c r="D22" s="55">
        <v>1</v>
      </c>
      <c r="E22" s="52" t="s">
        <v>2385</v>
      </c>
      <c r="F22" s="126" t="s">
        <v>18</v>
      </c>
      <c r="G22" s="126" t="s">
        <v>1667</v>
      </c>
      <c r="H22" s="127">
        <v>1</v>
      </c>
      <c r="I22" s="49" t="s">
        <v>2386</v>
      </c>
      <c r="J22" s="52" t="s">
        <v>2414</v>
      </c>
      <c r="K22" s="49"/>
      <c r="L22" s="49" t="s">
        <v>2415</v>
      </c>
      <c r="M22" s="76">
        <v>45429</v>
      </c>
      <c r="N22" s="128">
        <f>+VLOOKUP(B22,BOM!$A$8:$AB$1078,25,0)</f>
        <v>1</v>
      </c>
      <c r="O22" s="129">
        <f>+VLOOKUP(B22,BOM!$A$8:$AB$1078,26,0)</f>
        <v>0</v>
      </c>
      <c r="P22" s="10" t="str">
        <f t="shared" si="1"/>
        <v>ok</v>
      </c>
    </row>
    <row r="23" spans="1:16" ht="15">
      <c r="A23" s="153">
        <v>21</v>
      </c>
      <c r="B23" s="53" t="s">
        <v>43</v>
      </c>
      <c r="C23" s="126" t="s">
        <v>44</v>
      </c>
      <c r="D23" s="55">
        <v>1</v>
      </c>
      <c r="E23" s="52" t="s">
        <v>2385</v>
      </c>
      <c r="F23" s="126" t="s">
        <v>18</v>
      </c>
      <c r="G23" s="126" t="s">
        <v>1667</v>
      </c>
      <c r="H23" s="127">
        <v>1</v>
      </c>
      <c r="I23" s="49" t="s">
        <v>2386</v>
      </c>
      <c r="J23" s="52" t="s">
        <v>2414</v>
      </c>
      <c r="K23" s="49"/>
      <c r="L23" s="49" t="s">
        <v>2416</v>
      </c>
      <c r="M23" s="76">
        <v>45429</v>
      </c>
      <c r="N23" s="128">
        <f>+VLOOKUP(B23,BOM!$A$8:$AB$1078,25,0)</f>
        <v>1</v>
      </c>
      <c r="O23" s="129">
        <f>+VLOOKUP(B23,BOM!$A$8:$AB$1078,26,0)</f>
        <v>0</v>
      </c>
      <c r="P23" s="10" t="str">
        <f t="shared" si="1"/>
        <v>ok</v>
      </c>
    </row>
    <row r="24" spans="1:16" ht="15">
      <c r="A24" s="153">
        <v>22</v>
      </c>
      <c r="B24" s="53" t="s">
        <v>301</v>
      </c>
      <c r="C24" s="126" t="s">
        <v>302</v>
      </c>
      <c r="D24" s="55">
        <v>1</v>
      </c>
      <c r="E24" s="52" t="s">
        <v>2417</v>
      </c>
      <c r="F24" s="126" t="s">
        <v>18</v>
      </c>
      <c r="G24" s="126" t="s">
        <v>1667</v>
      </c>
      <c r="H24" s="127">
        <v>1</v>
      </c>
      <c r="I24" s="49" t="s">
        <v>2418</v>
      </c>
      <c r="J24" s="52" t="s">
        <v>2397</v>
      </c>
      <c r="K24" s="49"/>
      <c r="L24" s="49" t="s">
        <v>2419</v>
      </c>
      <c r="M24" s="76">
        <v>45429</v>
      </c>
      <c r="N24" s="128">
        <f>+VLOOKUP(B24,BOM!$A$8:$AB$1078,25,0)</f>
        <v>1</v>
      </c>
      <c r="O24" s="129">
        <f>+VLOOKUP(B24,BOM!$A$8:$AB$1078,26,0)</f>
        <v>2</v>
      </c>
      <c r="P24" s="10" t="str">
        <f t="shared" si="1"/>
        <v>ok</v>
      </c>
    </row>
    <row r="25" spans="1:16" ht="15" customHeight="1">
      <c r="A25" s="153">
        <v>23</v>
      </c>
      <c r="B25" s="53" t="s">
        <v>1689</v>
      </c>
      <c r="C25" s="126" t="s">
        <v>113</v>
      </c>
      <c r="D25" s="52">
        <v>1</v>
      </c>
      <c r="E25" s="81" t="s">
        <v>2417</v>
      </c>
      <c r="F25" s="126" t="s">
        <v>18</v>
      </c>
      <c r="G25" s="126" t="s">
        <v>1667</v>
      </c>
      <c r="H25" s="127">
        <v>1</v>
      </c>
      <c r="I25" s="49" t="s">
        <v>2418</v>
      </c>
      <c r="J25" s="52" t="s">
        <v>2411</v>
      </c>
      <c r="K25" s="49"/>
      <c r="L25" s="49" t="s">
        <v>2420</v>
      </c>
      <c r="M25" s="76">
        <v>45702</v>
      </c>
      <c r="N25" s="128">
        <f>+VLOOKUP(B25,BOM!$A$8:$AB$1078,25,0)</f>
        <v>1</v>
      </c>
      <c r="O25" s="129">
        <f>+VLOOKUP(B25,BOM!$A$8:$AB$1078,26,0)</f>
        <v>2</v>
      </c>
      <c r="P25" s="10" t="str">
        <f t="shared" si="1"/>
        <v>ok</v>
      </c>
    </row>
    <row r="26" spans="1:16" ht="15">
      <c r="A26" s="153">
        <v>24</v>
      </c>
      <c r="B26" s="53" t="s">
        <v>1787</v>
      </c>
      <c r="C26" s="126" t="s">
        <v>1788</v>
      </c>
      <c r="D26" s="55">
        <v>1</v>
      </c>
      <c r="E26" s="52" t="s">
        <v>2417</v>
      </c>
      <c r="F26" s="126" t="s">
        <v>18</v>
      </c>
      <c r="G26" s="126" t="s">
        <v>1667</v>
      </c>
      <c r="H26" s="127">
        <v>1</v>
      </c>
      <c r="I26" s="49" t="s">
        <v>2418</v>
      </c>
      <c r="J26" s="52" t="s">
        <v>2414</v>
      </c>
      <c r="K26" s="49"/>
      <c r="L26" s="49" t="s">
        <v>2421</v>
      </c>
      <c r="M26" s="76">
        <v>45429</v>
      </c>
      <c r="N26" s="128">
        <f>+VLOOKUP(B26,BOM!$A$8:$AB$1078,25,0)</f>
        <v>1</v>
      </c>
      <c r="O26" s="129">
        <f>+VLOOKUP(B26,BOM!$A$8:$AB$1078,26,0)</f>
        <v>2</v>
      </c>
      <c r="P26" s="10" t="str">
        <f t="shared" si="1"/>
        <v>ok</v>
      </c>
    </row>
    <row r="27" spans="1:16" ht="15" customHeight="1">
      <c r="A27" s="153">
        <v>25</v>
      </c>
      <c r="B27" s="53" t="s">
        <v>1688</v>
      </c>
      <c r="C27" s="126" t="s">
        <v>993</v>
      </c>
      <c r="D27" s="55">
        <v>1</v>
      </c>
      <c r="E27" s="52" t="s">
        <v>2417</v>
      </c>
      <c r="F27" s="126" t="s">
        <v>18</v>
      </c>
      <c r="G27" s="126" t="s">
        <v>1667</v>
      </c>
      <c r="H27" s="127">
        <v>1</v>
      </c>
      <c r="I27" s="49" t="s">
        <v>2418</v>
      </c>
      <c r="J27" s="52" t="s">
        <v>2414</v>
      </c>
      <c r="K27" s="49"/>
      <c r="L27" s="49" t="s">
        <v>2422</v>
      </c>
      <c r="M27" s="76">
        <v>45429</v>
      </c>
      <c r="N27" s="128">
        <f>+VLOOKUP(B27,BOM!$A$8:$AB$1078,25,0)</f>
        <v>1</v>
      </c>
      <c r="O27" s="129">
        <f>+VLOOKUP(B27,BOM!$A$8:$AB$1078,26,0)</f>
        <v>2</v>
      </c>
      <c r="P27" s="10" t="str">
        <f t="shared" si="1"/>
        <v>ok</v>
      </c>
    </row>
    <row r="28" spans="1:16" ht="15">
      <c r="A28" s="153">
        <v>26</v>
      </c>
      <c r="B28" s="53" t="s">
        <v>1753</v>
      </c>
      <c r="C28" s="126" t="s">
        <v>1754</v>
      </c>
      <c r="D28" s="52">
        <v>2</v>
      </c>
      <c r="E28" s="81" t="s">
        <v>2417</v>
      </c>
      <c r="F28" s="126" t="s">
        <v>18</v>
      </c>
      <c r="G28" s="126" t="s">
        <v>1667</v>
      </c>
      <c r="H28" s="127">
        <v>2</v>
      </c>
      <c r="I28" s="49" t="s">
        <v>2418</v>
      </c>
      <c r="J28" s="52" t="s">
        <v>2414</v>
      </c>
      <c r="K28" s="49"/>
      <c r="L28" s="49" t="s">
        <v>2423</v>
      </c>
      <c r="M28" s="76">
        <v>45702</v>
      </c>
      <c r="N28" s="128">
        <f>+VLOOKUP(B28,BOM!$A$8:$AB$1078,25,0)</f>
        <v>2</v>
      </c>
      <c r="O28" s="129">
        <f>+VLOOKUP(B28,BOM!$A$8:$AB$1078,26,0)</f>
        <v>2</v>
      </c>
      <c r="P28" s="10" t="str">
        <f t="shared" si="1"/>
        <v>ok</v>
      </c>
    </row>
    <row r="29" spans="1:16" ht="15">
      <c r="A29" s="153">
        <v>27</v>
      </c>
      <c r="B29" s="53" t="s">
        <v>1759</v>
      </c>
      <c r="C29" s="126" t="s">
        <v>1757</v>
      </c>
      <c r="D29" s="55">
        <v>1</v>
      </c>
      <c r="E29" s="52" t="s">
        <v>2417</v>
      </c>
      <c r="F29" s="126" t="s">
        <v>18</v>
      </c>
      <c r="G29" s="126" t="s">
        <v>1667</v>
      </c>
      <c r="H29" s="127">
        <v>1</v>
      </c>
      <c r="I29" s="49" t="s">
        <v>2418</v>
      </c>
      <c r="J29" s="52" t="s">
        <v>2414</v>
      </c>
      <c r="K29" s="49"/>
      <c r="L29" s="49" t="s">
        <v>2424</v>
      </c>
      <c r="M29" s="76">
        <v>45429</v>
      </c>
      <c r="N29" s="128">
        <f>+VLOOKUP(B29,BOM!$A$8:$AB$1078,25,0)</f>
        <v>1</v>
      </c>
      <c r="O29" s="129">
        <f>+VLOOKUP(B29,BOM!$A$8:$AB$1078,26,0)</f>
        <v>2</v>
      </c>
      <c r="P29" s="10" t="str">
        <f t="shared" si="1"/>
        <v>ok</v>
      </c>
    </row>
    <row r="30" spans="1:16" ht="15">
      <c r="A30" s="153">
        <v>28</v>
      </c>
      <c r="B30" s="53" t="s">
        <v>464</v>
      </c>
      <c r="C30" s="126" t="s">
        <v>465</v>
      </c>
      <c r="D30" s="52">
        <v>2</v>
      </c>
      <c r="E30" s="81" t="s">
        <v>2394</v>
      </c>
      <c r="F30" s="126" t="s">
        <v>18</v>
      </c>
      <c r="G30" s="126" t="s">
        <v>1667</v>
      </c>
      <c r="H30" s="127">
        <v>2</v>
      </c>
      <c r="I30" s="49" t="s">
        <v>2425</v>
      </c>
      <c r="J30" s="52" t="s">
        <v>2414</v>
      </c>
      <c r="K30" s="49"/>
      <c r="L30" s="49" t="s">
        <v>2426</v>
      </c>
      <c r="M30" s="76">
        <v>45702</v>
      </c>
      <c r="N30" s="128">
        <f>+VLOOKUP(B30,BOM!$A$8:$AB$1078,25,0)</f>
        <v>2</v>
      </c>
      <c r="O30" s="129">
        <f>+VLOOKUP(B30,BOM!$A$8:$AB$1078,26,0)</f>
        <v>3</v>
      </c>
      <c r="P30" s="10" t="str">
        <f t="shared" si="1"/>
        <v>ok</v>
      </c>
    </row>
    <row r="31" spans="1:16" ht="15">
      <c r="A31" s="153">
        <v>29</v>
      </c>
      <c r="B31" s="53" t="s">
        <v>375</v>
      </c>
      <c r="C31" s="126" t="s">
        <v>376</v>
      </c>
      <c r="D31" s="55">
        <v>2</v>
      </c>
      <c r="E31" s="52" t="s">
        <v>2427</v>
      </c>
      <c r="F31" s="126" t="s">
        <v>18</v>
      </c>
      <c r="G31" s="126" t="s">
        <v>1667</v>
      </c>
      <c r="H31" s="127">
        <v>2</v>
      </c>
      <c r="I31" s="49" t="s">
        <v>2428</v>
      </c>
      <c r="J31" s="52" t="s">
        <v>2397</v>
      </c>
      <c r="K31" s="49"/>
      <c r="L31" s="49" t="s">
        <v>2429</v>
      </c>
      <c r="M31" s="76">
        <v>45429</v>
      </c>
      <c r="N31" s="128">
        <f>+VLOOKUP(B31,BOM!$A$8:$AB$1078,25,0)</f>
        <v>2</v>
      </c>
      <c r="O31" s="129">
        <f>+VLOOKUP(B31,BOM!$A$8:$AB$1078,26,0)</f>
        <v>4</v>
      </c>
      <c r="P31" s="10" t="str">
        <f t="shared" si="1"/>
        <v>ok</v>
      </c>
    </row>
    <row r="32" spans="1:16" ht="15">
      <c r="A32" s="153">
        <v>30</v>
      </c>
      <c r="B32" s="53" t="s">
        <v>741</v>
      </c>
      <c r="C32" s="126" t="s">
        <v>41</v>
      </c>
      <c r="D32" s="55">
        <v>1</v>
      </c>
      <c r="E32" s="52" t="s">
        <v>2427</v>
      </c>
      <c r="F32" s="126" t="s">
        <v>18</v>
      </c>
      <c r="G32" s="126" t="s">
        <v>1667</v>
      </c>
      <c r="H32" s="127">
        <v>1</v>
      </c>
      <c r="I32" s="49" t="s">
        <v>2428</v>
      </c>
      <c r="J32" s="52" t="s">
        <v>2397</v>
      </c>
      <c r="K32" s="49"/>
      <c r="L32" s="49" t="s">
        <v>2430</v>
      </c>
      <c r="M32" s="76">
        <v>45429</v>
      </c>
      <c r="N32" s="128">
        <f>+VLOOKUP(B32,BOM!$A$8:$AB$1078,25,0)</f>
        <v>1</v>
      </c>
      <c r="O32" s="129">
        <f>+VLOOKUP(B32,BOM!$A$8:$AB$1078,26,0)</f>
        <v>4</v>
      </c>
      <c r="P32" s="10" t="str">
        <f t="shared" si="1"/>
        <v>ok</v>
      </c>
    </row>
    <row r="33" spans="1:16" ht="15">
      <c r="A33" s="153">
        <v>31</v>
      </c>
      <c r="B33" s="53" t="s">
        <v>1692</v>
      </c>
      <c r="C33" s="126" t="s">
        <v>1693</v>
      </c>
      <c r="D33" s="52">
        <v>1</v>
      </c>
      <c r="E33" s="81" t="s">
        <v>2427</v>
      </c>
      <c r="F33" s="126" t="s">
        <v>18</v>
      </c>
      <c r="G33" s="126" t="s">
        <v>1667</v>
      </c>
      <c r="H33" s="127">
        <v>1</v>
      </c>
      <c r="I33" s="49" t="s">
        <v>2428</v>
      </c>
      <c r="J33" s="52" t="s">
        <v>2397</v>
      </c>
      <c r="K33" s="49"/>
      <c r="L33" s="49" t="s">
        <v>2431</v>
      </c>
      <c r="M33" s="76">
        <v>45702</v>
      </c>
      <c r="N33" s="128">
        <f>+VLOOKUP(B33,BOM!$A$8:$AB$1078,25,0)</f>
        <v>1</v>
      </c>
      <c r="O33" s="129">
        <f>+VLOOKUP(B33,BOM!$A$8:$AB$1078,26,0)</f>
        <v>4</v>
      </c>
      <c r="P33" s="10" t="str">
        <f t="shared" si="1"/>
        <v>ok</v>
      </c>
    </row>
    <row r="34" spans="1:16" ht="15" customHeight="1">
      <c r="A34" s="153">
        <v>32</v>
      </c>
      <c r="B34" s="53" t="s">
        <v>271</v>
      </c>
      <c r="C34" s="126" t="s">
        <v>273</v>
      </c>
      <c r="D34" s="52">
        <v>1</v>
      </c>
      <c r="E34" s="81" t="s">
        <v>2427</v>
      </c>
      <c r="F34" s="126" t="s">
        <v>18</v>
      </c>
      <c r="G34" s="126" t="s">
        <v>1667</v>
      </c>
      <c r="H34" s="127">
        <v>1</v>
      </c>
      <c r="I34" s="49" t="s">
        <v>2428</v>
      </c>
      <c r="J34" s="52" t="s">
        <v>2411</v>
      </c>
      <c r="K34" s="49"/>
      <c r="L34" s="49" t="s">
        <v>2432</v>
      </c>
      <c r="M34" s="76">
        <v>45702</v>
      </c>
      <c r="N34" s="128">
        <f>+VLOOKUP(B34,BOM!$A$8:$AB$1078,25,0)</f>
        <v>1</v>
      </c>
      <c r="O34" s="129">
        <f>+VLOOKUP(B34,BOM!$A$8:$AB$1078,26,0)</f>
        <v>4</v>
      </c>
      <c r="P34" s="10" t="str">
        <f t="shared" si="1"/>
        <v>ok</v>
      </c>
    </row>
    <row r="35" spans="1:16" ht="15">
      <c r="A35" s="153">
        <v>33</v>
      </c>
      <c r="B35" s="53" t="s">
        <v>370</v>
      </c>
      <c r="C35" s="126" t="s">
        <v>372</v>
      </c>
      <c r="D35" s="52">
        <v>1</v>
      </c>
      <c r="E35" s="81" t="s">
        <v>2427</v>
      </c>
      <c r="F35" s="126" t="s">
        <v>18</v>
      </c>
      <c r="G35" s="126" t="s">
        <v>1667</v>
      </c>
      <c r="H35" s="127">
        <v>1</v>
      </c>
      <c r="I35" s="49" t="s">
        <v>2428</v>
      </c>
      <c r="J35" s="52" t="s">
        <v>2411</v>
      </c>
      <c r="K35" s="49"/>
      <c r="L35" s="49" t="s">
        <v>2433</v>
      </c>
      <c r="M35" s="76">
        <v>45702</v>
      </c>
      <c r="N35" s="128">
        <f>+VLOOKUP(B35,BOM!$A$8:$AB$1078,25,0)</f>
        <v>1</v>
      </c>
      <c r="O35" s="129">
        <f>+VLOOKUP(B35,BOM!$A$8:$AB$1078,26,0)</f>
        <v>4</v>
      </c>
      <c r="P35" s="10" t="str">
        <f t="shared" si="1"/>
        <v>ok</v>
      </c>
    </row>
    <row r="36" spans="1:16" ht="15" customHeight="1">
      <c r="A36" s="153">
        <v>34</v>
      </c>
      <c r="B36" s="53" t="s">
        <v>373</v>
      </c>
      <c r="C36" s="126" t="s">
        <v>374</v>
      </c>
      <c r="D36" s="55">
        <v>1</v>
      </c>
      <c r="E36" s="52" t="s">
        <v>2427</v>
      </c>
      <c r="F36" s="126" t="s">
        <v>18</v>
      </c>
      <c r="G36" s="126" t="s">
        <v>1667</v>
      </c>
      <c r="H36" s="127">
        <v>1</v>
      </c>
      <c r="I36" s="49" t="s">
        <v>2428</v>
      </c>
      <c r="J36" s="52" t="s">
        <v>2411</v>
      </c>
      <c r="K36" s="49"/>
      <c r="L36" s="49" t="s">
        <v>2434</v>
      </c>
      <c r="M36" s="76">
        <v>45429</v>
      </c>
      <c r="N36" s="128">
        <f>+VLOOKUP(B36,BOM!$A$8:$AB$1078,25,0)</f>
        <v>1</v>
      </c>
      <c r="O36" s="129">
        <f>+VLOOKUP(B36,BOM!$A$8:$AB$1078,26,0)</f>
        <v>4</v>
      </c>
      <c r="P36" s="10" t="str">
        <f t="shared" si="1"/>
        <v>ok</v>
      </c>
    </row>
    <row r="37" spans="1:16" ht="15">
      <c r="A37" s="153">
        <v>35</v>
      </c>
      <c r="B37" s="53" t="s">
        <v>1690</v>
      </c>
      <c r="C37" s="126" t="s">
        <v>1691</v>
      </c>
      <c r="D37" s="55">
        <v>1</v>
      </c>
      <c r="E37" s="52" t="s">
        <v>2427</v>
      </c>
      <c r="F37" s="126" t="s">
        <v>18</v>
      </c>
      <c r="G37" s="126" t="s">
        <v>1667</v>
      </c>
      <c r="H37" s="127">
        <v>1</v>
      </c>
      <c r="I37" s="49" t="s">
        <v>2428</v>
      </c>
      <c r="J37" s="52" t="s">
        <v>2414</v>
      </c>
      <c r="K37" s="49" t="s">
        <v>2435</v>
      </c>
      <c r="L37" s="49" t="s">
        <v>2436</v>
      </c>
      <c r="M37" s="76">
        <v>45429</v>
      </c>
      <c r="N37" s="128">
        <f>+VLOOKUP(B37,BOM!$A$8:$AB$1078,25,0)</f>
        <v>1</v>
      </c>
      <c r="O37" s="129">
        <f>+VLOOKUP(B37,BOM!$A$8:$AB$1078,26,0)</f>
        <v>2</v>
      </c>
      <c r="P37" s="10" t="str">
        <f t="shared" si="1"/>
        <v>ok</v>
      </c>
    </row>
    <row r="38" spans="1:16" ht="15">
      <c r="A38" s="153">
        <v>36</v>
      </c>
      <c r="B38" s="53" t="s">
        <v>176</v>
      </c>
      <c r="C38" s="126" t="s">
        <v>177</v>
      </c>
      <c r="D38" s="55">
        <v>1</v>
      </c>
      <c r="E38" s="52" t="s">
        <v>2437</v>
      </c>
      <c r="F38" s="126" t="s">
        <v>18</v>
      </c>
      <c r="G38" s="126" t="s">
        <v>1667</v>
      </c>
      <c r="H38" s="127">
        <v>1</v>
      </c>
      <c r="I38" s="49" t="s">
        <v>2438</v>
      </c>
      <c r="J38" s="52"/>
      <c r="K38" s="49" t="s">
        <v>2439</v>
      </c>
      <c r="L38" s="49" t="s">
        <v>2440</v>
      </c>
      <c r="M38" s="76">
        <v>45429</v>
      </c>
      <c r="N38" s="128">
        <f>+VLOOKUP(B38,BOM!$A$8:$AB$1078,25,0)</f>
        <v>1</v>
      </c>
      <c r="O38" s="129">
        <f>+VLOOKUP(B38,BOM!$A$8:$AB$1078,26,0)</f>
        <v>5</v>
      </c>
      <c r="P38" s="10" t="str">
        <f t="shared" si="1"/>
        <v>ok</v>
      </c>
    </row>
    <row r="39" spans="1:16" ht="15">
      <c r="A39" s="153">
        <v>37</v>
      </c>
      <c r="B39" s="53" t="s">
        <v>530</v>
      </c>
      <c r="C39" s="126" t="s">
        <v>532</v>
      </c>
      <c r="D39" s="55">
        <v>1</v>
      </c>
      <c r="E39" s="56" t="s">
        <v>2437</v>
      </c>
      <c r="F39" s="126" t="s">
        <v>18</v>
      </c>
      <c r="G39" s="126" t="s">
        <v>1667</v>
      </c>
      <c r="H39" s="127">
        <v>1</v>
      </c>
      <c r="I39" s="49" t="s">
        <v>2438</v>
      </c>
      <c r="J39" s="52"/>
      <c r="K39" s="49" t="s">
        <v>2441</v>
      </c>
      <c r="L39" s="49" t="s">
        <v>2442</v>
      </c>
      <c r="M39" s="76">
        <v>45429</v>
      </c>
      <c r="N39" s="128">
        <f>+VLOOKUP(B39,BOM!$A$8:$AB$1078,25,0)</f>
        <v>1</v>
      </c>
      <c r="O39" s="129">
        <f>+VLOOKUP(B39,BOM!$A$8:$AB$1078,26,0)</f>
        <v>5</v>
      </c>
      <c r="P39" s="10" t="str">
        <f t="shared" si="1"/>
        <v>ok</v>
      </c>
    </row>
    <row r="40" spans="1:16" ht="15">
      <c r="A40" s="153">
        <v>38</v>
      </c>
      <c r="B40" s="146" t="s">
        <v>353</v>
      </c>
      <c r="C40" s="126" t="s">
        <v>354</v>
      </c>
      <c r="D40" s="55">
        <v>2</v>
      </c>
      <c r="E40" s="52" t="s">
        <v>2443</v>
      </c>
      <c r="F40" s="126" t="s">
        <v>18</v>
      </c>
      <c r="G40" s="126" t="s">
        <v>1667</v>
      </c>
      <c r="H40" s="127">
        <v>2</v>
      </c>
      <c r="I40" s="49" t="s">
        <v>2444</v>
      </c>
      <c r="J40" s="52" t="s">
        <v>2397</v>
      </c>
      <c r="K40" s="49"/>
      <c r="L40" s="49" t="s">
        <v>2445</v>
      </c>
      <c r="M40" s="76">
        <v>45429</v>
      </c>
      <c r="N40" s="128">
        <f>+VLOOKUP(B40,BOM!$A$8:$AB$1078,25,0)</f>
        <v>2</v>
      </c>
      <c r="O40" s="129">
        <f>+VLOOKUP(B40,BOM!$A$8:$AB$1078,26,0)</f>
        <v>6</v>
      </c>
    </row>
    <row r="41" spans="1:16" ht="15">
      <c r="A41" s="153">
        <v>39</v>
      </c>
      <c r="B41" s="53" t="s">
        <v>166</v>
      </c>
      <c r="C41" s="126" t="s">
        <v>165</v>
      </c>
      <c r="D41" s="55">
        <v>1</v>
      </c>
      <c r="E41" s="52" t="s">
        <v>2443</v>
      </c>
      <c r="F41" s="126" t="s">
        <v>18</v>
      </c>
      <c r="G41" s="126" t="s">
        <v>1667</v>
      </c>
      <c r="H41" s="127">
        <v>1</v>
      </c>
      <c r="I41" s="49" t="s">
        <v>2444</v>
      </c>
      <c r="J41" s="52" t="s">
        <v>2411</v>
      </c>
      <c r="K41" s="49"/>
      <c r="L41" s="49" t="s">
        <v>2446</v>
      </c>
      <c r="M41" s="76">
        <v>45429</v>
      </c>
      <c r="N41" s="128">
        <f>+VLOOKUP(B41,BOM!$A$8:$AB$1078,25,0)</f>
        <v>1</v>
      </c>
      <c r="O41" s="129">
        <f>+VLOOKUP(B41,BOM!$A$8:$AB$1078,26,0)</f>
        <v>6</v>
      </c>
    </row>
    <row r="42" spans="1:16" ht="15" customHeight="1">
      <c r="A42" s="153">
        <v>40</v>
      </c>
      <c r="B42" s="53" t="s">
        <v>1798</v>
      </c>
      <c r="C42" s="126" t="s">
        <v>1799</v>
      </c>
      <c r="D42" s="55">
        <v>1</v>
      </c>
      <c r="E42" s="52" t="s">
        <v>2391</v>
      </c>
      <c r="F42" s="126" t="s">
        <v>18</v>
      </c>
      <c r="G42" s="126" t="s">
        <v>1667</v>
      </c>
      <c r="H42" s="127">
        <v>1</v>
      </c>
      <c r="I42" s="49" t="s">
        <v>2447</v>
      </c>
      <c r="J42" s="52">
        <v>1</v>
      </c>
      <c r="K42" s="49"/>
      <c r="L42" s="49" t="s">
        <v>2448</v>
      </c>
      <c r="M42" s="76">
        <v>45429</v>
      </c>
      <c r="N42" s="128">
        <f>+VLOOKUP(B42,BOM!$A$8:$AB$1078,25,0)</f>
        <v>1</v>
      </c>
      <c r="O42" s="129" t="str">
        <f>+VLOOKUP(B42,BOM!$A$8:$AB$1078,26,0)</f>
        <v>C</v>
      </c>
      <c r="P42" s="10" t="str">
        <f>+IF(N42=D42,"ok","")</f>
        <v>ok</v>
      </c>
    </row>
    <row r="43" spans="1:16" ht="15">
      <c r="A43" s="153">
        <v>41</v>
      </c>
      <c r="B43" s="53" t="s">
        <v>1748</v>
      </c>
      <c r="C43" s="126" t="s">
        <v>1746</v>
      </c>
      <c r="D43" s="55">
        <v>1</v>
      </c>
      <c r="E43" s="52" t="s">
        <v>2391</v>
      </c>
      <c r="F43" s="126" t="s">
        <v>18</v>
      </c>
      <c r="G43" s="126" t="s">
        <v>1667</v>
      </c>
      <c r="H43" s="127">
        <v>1</v>
      </c>
      <c r="I43" s="49" t="s">
        <v>2449</v>
      </c>
      <c r="J43" s="52">
        <v>1</v>
      </c>
      <c r="K43" s="49" t="s">
        <v>2450</v>
      </c>
      <c r="L43" s="49" t="s">
        <v>2451</v>
      </c>
      <c r="M43" s="76">
        <v>45429</v>
      </c>
      <c r="N43" s="128">
        <f>+VLOOKUP(B43,BOM!$A$8:$AB$1078,25,0)</f>
        <v>1</v>
      </c>
      <c r="O43" s="129" t="str">
        <f>+VLOOKUP(B43,BOM!$A$8:$AB$1078,26,0)</f>
        <v>C</v>
      </c>
      <c r="P43" s="10" t="str">
        <f>+IF(N43=D43,"ok","")</f>
        <v>ok</v>
      </c>
    </row>
    <row r="44" spans="1:16" ht="15">
      <c r="A44" s="153">
        <v>42</v>
      </c>
      <c r="B44" s="53" t="s">
        <v>1749</v>
      </c>
      <c r="C44" s="126" t="s">
        <v>1746</v>
      </c>
      <c r="D44" s="55">
        <v>1</v>
      </c>
      <c r="E44" s="52" t="s">
        <v>2391</v>
      </c>
      <c r="F44" s="126" t="s">
        <v>18</v>
      </c>
      <c r="G44" s="126" t="s">
        <v>1667</v>
      </c>
      <c r="H44" s="127">
        <v>1</v>
      </c>
      <c r="I44" s="49" t="s">
        <v>2449</v>
      </c>
      <c r="J44" s="52">
        <v>1</v>
      </c>
      <c r="K44" s="49" t="s">
        <v>2450</v>
      </c>
      <c r="L44" s="49" t="s">
        <v>2452</v>
      </c>
      <c r="M44" s="76">
        <v>45429</v>
      </c>
      <c r="N44" s="128">
        <f>+VLOOKUP(B44,BOM!$A$8:$AB$1078,25,0)</f>
        <v>1</v>
      </c>
      <c r="O44" s="129" t="str">
        <f>+VLOOKUP(B44,BOM!$A$8:$AB$1078,26,0)</f>
        <v>C</v>
      </c>
      <c r="P44" s="10" t="str">
        <f>+IF(N44=D44,"ok","")</f>
        <v>ok</v>
      </c>
    </row>
    <row r="45" spans="1:16" ht="15">
      <c r="A45" s="153">
        <v>43</v>
      </c>
      <c r="B45" s="53" t="s">
        <v>1812</v>
      </c>
      <c r="C45" s="126" t="s">
        <v>1794</v>
      </c>
      <c r="D45" s="55">
        <v>1</v>
      </c>
      <c r="E45" s="52" t="s">
        <v>2391</v>
      </c>
      <c r="F45" s="126" t="s">
        <v>18</v>
      </c>
      <c r="G45" s="126" t="s">
        <v>1667</v>
      </c>
      <c r="H45" s="127">
        <v>1</v>
      </c>
      <c r="I45" s="49" t="s">
        <v>2449</v>
      </c>
      <c r="J45" s="52">
        <v>2</v>
      </c>
      <c r="K45" s="49" t="s">
        <v>2450</v>
      </c>
      <c r="L45" s="49" t="s">
        <v>2453</v>
      </c>
      <c r="M45" s="76">
        <v>45429</v>
      </c>
      <c r="N45" s="128">
        <f>+VLOOKUP(B45,BOM!$A$8:$AB$1078,25,0)</f>
        <v>1</v>
      </c>
      <c r="O45" s="129" t="str">
        <f>+VLOOKUP(B45,BOM!$A$8:$AB$1078,26,0)</f>
        <v>C</v>
      </c>
      <c r="P45" s="10" t="str">
        <f>+IF(N45=D45,"ok","")</f>
        <v>ok</v>
      </c>
    </row>
    <row r="46" spans="1:16" ht="15">
      <c r="A46" s="153">
        <v>44</v>
      </c>
      <c r="B46" s="53" t="s">
        <v>2082</v>
      </c>
      <c r="C46" s="126" t="s">
        <v>1746</v>
      </c>
      <c r="D46" s="55">
        <v>1</v>
      </c>
      <c r="E46" s="56" t="s">
        <v>2391</v>
      </c>
      <c r="F46" s="126" t="s">
        <v>18</v>
      </c>
      <c r="G46" s="126" t="s">
        <v>1667</v>
      </c>
      <c r="H46" s="127">
        <v>1</v>
      </c>
      <c r="I46" s="49" t="s">
        <v>2449</v>
      </c>
      <c r="J46" s="52">
        <v>2</v>
      </c>
      <c r="K46" s="49" t="s">
        <v>2450</v>
      </c>
      <c r="L46" s="49" t="s">
        <v>2454</v>
      </c>
      <c r="M46" s="76">
        <v>45429</v>
      </c>
      <c r="N46" s="128">
        <f>+VLOOKUP(B47,BOM!$A$8:$AB$1078,25,0)</f>
        <v>2</v>
      </c>
      <c r="O46" s="129" t="str">
        <f>+VLOOKUP(B47,BOM!$A$8:$AB$1078,26,0)</f>
        <v>C</v>
      </c>
      <c r="P46" s="10" t="str">
        <f t="shared" ref="P46:P62" si="2">+IF(N46=D47,"ok","")</f>
        <v>ok</v>
      </c>
    </row>
    <row r="47" spans="1:16" ht="15">
      <c r="A47" s="153">
        <v>45</v>
      </c>
      <c r="B47" s="53" t="s">
        <v>2143</v>
      </c>
      <c r="C47" s="126" t="s">
        <v>2144</v>
      </c>
      <c r="D47" s="55">
        <v>2</v>
      </c>
      <c r="E47" s="52" t="s">
        <v>2391</v>
      </c>
      <c r="F47" s="126" t="s">
        <v>18</v>
      </c>
      <c r="G47" s="126" t="s">
        <v>1667</v>
      </c>
      <c r="H47" s="127">
        <v>2</v>
      </c>
      <c r="I47" s="49" t="s">
        <v>2449</v>
      </c>
      <c r="J47" s="52">
        <v>2</v>
      </c>
      <c r="K47" s="49" t="s">
        <v>2450</v>
      </c>
      <c r="L47" s="49" t="s">
        <v>2455</v>
      </c>
      <c r="M47" s="76">
        <v>45429</v>
      </c>
      <c r="N47" s="128">
        <f>+VLOOKUP(B48,BOM!$A$8:$AB$1078,25,0)</f>
        <v>4</v>
      </c>
      <c r="O47" s="129" t="str">
        <f>+VLOOKUP(B48,BOM!$A$8:$AB$1078,26,0)</f>
        <v>C</v>
      </c>
      <c r="P47" s="10" t="str">
        <f t="shared" si="2"/>
        <v>ok</v>
      </c>
    </row>
    <row r="48" spans="1:16" ht="15">
      <c r="A48" s="153">
        <v>46</v>
      </c>
      <c r="B48" s="53" t="s">
        <v>381</v>
      </c>
      <c r="C48" s="126" t="s">
        <v>383</v>
      </c>
      <c r="D48" s="55">
        <v>4</v>
      </c>
      <c r="E48" s="52" t="s">
        <v>2391</v>
      </c>
      <c r="F48" s="126" t="s">
        <v>18</v>
      </c>
      <c r="G48" s="126" t="s">
        <v>1667</v>
      </c>
      <c r="H48" s="127">
        <v>4</v>
      </c>
      <c r="I48" s="49" t="s">
        <v>2449</v>
      </c>
      <c r="J48" s="52" t="s">
        <v>2411</v>
      </c>
      <c r="K48" s="49" t="s">
        <v>2450</v>
      </c>
      <c r="L48" s="49" t="s">
        <v>2456</v>
      </c>
      <c r="M48" s="76">
        <v>45429</v>
      </c>
      <c r="N48" s="128">
        <f>+VLOOKUP(B49,BOM!$A$8:$AB$1078,25,0)</f>
        <v>1</v>
      </c>
      <c r="O48" s="129" t="str">
        <f>+VLOOKUP(B49,BOM!$A$8:$AB$1078,26,0)</f>
        <v>C</v>
      </c>
      <c r="P48" s="10" t="str">
        <f t="shared" si="2"/>
        <v>ok</v>
      </c>
    </row>
    <row r="49" spans="1:16" ht="15">
      <c r="A49" s="153">
        <v>47</v>
      </c>
      <c r="B49" s="53" t="s">
        <v>2190</v>
      </c>
      <c r="C49" s="126" t="s">
        <v>2191</v>
      </c>
      <c r="D49" s="55">
        <v>1</v>
      </c>
      <c r="E49" s="52" t="s">
        <v>2391</v>
      </c>
      <c r="F49" s="126" t="s">
        <v>18</v>
      </c>
      <c r="G49" s="126" t="s">
        <v>1667</v>
      </c>
      <c r="H49" s="127">
        <v>1</v>
      </c>
      <c r="I49" s="49" t="s">
        <v>2449</v>
      </c>
      <c r="J49" s="57"/>
      <c r="K49" s="61" t="s">
        <v>2450</v>
      </c>
      <c r="L49" s="61" t="s">
        <v>2457</v>
      </c>
      <c r="M49" s="76">
        <v>45429</v>
      </c>
      <c r="N49" s="128">
        <f>+VLOOKUP(B50,BOM!$A$8:$AB$1078,25,0)</f>
        <v>1</v>
      </c>
      <c r="O49" s="129" t="str">
        <f>+VLOOKUP(B50,BOM!$A$8:$AB$1078,26,0)</f>
        <v>C</v>
      </c>
      <c r="P49" s="10" t="str">
        <f t="shared" si="2"/>
        <v>ok</v>
      </c>
    </row>
    <row r="50" spans="1:16" ht="15">
      <c r="A50" s="153">
        <v>48</v>
      </c>
      <c r="B50" s="53" t="s">
        <v>2349</v>
      </c>
      <c r="C50" s="126" t="s">
        <v>2351</v>
      </c>
      <c r="D50" s="55">
        <v>1</v>
      </c>
      <c r="E50" s="56" t="s">
        <v>2391</v>
      </c>
      <c r="F50" s="126" t="s">
        <v>18</v>
      </c>
      <c r="G50" s="126" t="s">
        <v>1667</v>
      </c>
      <c r="H50" s="127">
        <v>1</v>
      </c>
      <c r="I50" s="49" t="s">
        <v>2449</v>
      </c>
      <c r="J50" s="52"/>
      <c r="K50" s="49"/>
      <c r="L50" s="49" t="s">
        <v>2458</v>
      </c>
      <c r="M50" s="76">
        <v>45429</v>
      </c>
      <c r="N50" s="128">
        <f>+VLOOKUP(B51,BOM!$A$8:$AB$1078,25,0)</f>
        <v>1</v>
      </c>
      <c r="O50" s="129" t="str">
        <f>+VLOOKUP(B51,BOM!$A$8:$AB$1078,26,0)</f>
        <v>C</v>
      </c>
      <c r="P50" s="10" t="str">
        <f t="shared" si="2"/>
        <v>ok</v>
      </c>
    </row>
    <row r="51" spans="1:16" ht="15">
      <c r="A51" s="153">
        <v>49</v>
      </c>
      <c r="B51" s="53" t="s">
        <v>255</v>
      </c>
      <c r="C51" s="126" t="s">
        <v>257</v>
      </c>
      <c r="D51" s="55">
        <v>1</v>
      </c>
      <c r="E51" s="52" t="s">
        <v>2391</v>
      </c>
      <c r="F51" s="126" t="s">
        <v>18</v>
      </c>
      <c r="G51" s="126" t="s">
        <v>1667</v>
      </c>
      <c r="H51" s="127">
        <v>1</v>
      </c>
      <c r="I51" s="49" t="s">
        <v>2447</v>
      </c>
      <c r="J51" s="52"/>
      <c r="K51" s="49"/>
      <c r="L51" s="49" t="s">
        <v>2459</v>
      </c>
      <c r="M51" s="76">
        <v>45429</v>
      </c>
      <c r="N51" s="128">
        <f>+VLOOKUP(B52,BOM!$A$8:$AB$1078,25,0)</f>
        <v>0</v>
      </c>
      <c r="O51" s="129">
        <f>+VLOOKUP(B52,BOM!$A$8:$AB$1078,26,0)</f>
        <v>0</v>
      </c>
      <c r="P51" s="10" t="str">
        <f t="shared" si="2"/>
        <v/>
      </c>
    </row>
    <row r="52" spans="1:16" ht="15">
      <c r="A52" s="153">
        <v>50</v>
      </c>
      <c r="B52" s="53" t="s">
        <v>1741</v>
      </c>
      <c r="C52" s="126" t="s">
        <v>263</v>
      </c>
      <c r="D52" s="55">
        <v>1</v>
      </c>
      <c r="E52" s="52" t="s">
        <v>2417</v>
      </c>
      <c r="F52" s="126" t="s">
        <v>18</v>
      </c>
      <c r="G52" s="126" t="s">
        <v>1667</v>
      </c>
      <c r="H52" s="127">
        <v>1</v>
      </c>
      <c r="I52" s="49" t="s">
        <v>2418</v>
      </c>
      <c r="J52" s="52"/>
      <c r="K52" s="49"/>
      <c r="L52" s="49" t="s">
        <v>2460</v>
      </c>
      <c r="M52" s="76">
        <v>45429</v>
      </c>
      <c r="N52" s="128">
        <f>+VLOOKUP(B53,BOM!$A$8:$AB$1078,25,0)</f>
        <v>1</v>
      </c>
      <c r="O52" s="129">
        <f>+VLOOKUP(B53,BOM!$A$8:$AB$1078,26,0)</f>
        <v>0</v>
      </c>
      <c r="P52" s="10" t="str">
        <f t="shared" si="2"/>
        <v>ok</v>
      </c>
    </row>
    <row r="53" spans="1:16" ht="15">
      <c r="A53" s="153">
        <v>51</v>
      </c>
      <c r="B53" s="53" t="s">
        <v>1797</v>
      </c>
      <c r="C53" s="126" t="s">
        <v>38</v>
      </c>
      <c r="D53" s="55">
        <v>1</v>
      </c>
      <c r="E53" s="52" t="s">
        <v>2385</v>
      </c>
      <c r="F53" s="126" t="s">
        <v>39</v>
      </c>
      <c r="G53" s="126" t="s">
        <v>1667</v>
      </c>
      <c r="H53" s="127">
        <v>1</v>
      </c>
      <c r="I53" s="49" t="s">
        <v>2386</v>
      </c>
      <c r="J53" s="52" t="s">
        <v>2397</v>
      </c>
      <c r="K53" s="49"/>
      <c r="L53" s="49" t="s">
        <v>2461</v>
      </c>
      <c r="M53" s="76">
        <v>45429</v>
      </c>
      <c r="N53" s="128">
        <f>+VLOOKUP(B54,BOM!$A$8:$AB$1078,25,0)</f>
        <v>2</v>
      </c>
      <c r="O53" s="129">
        <f>+VLOOKUP(B54,BOM!$A$8:$AB$1078,26,0)</f>
        <v>0</v>
      </c>
      <c r="P53" s="10" t="str">
        <f t="shared" si="2"/>
        <v>ok</v>
      </c>
    </row>
    <row r="54" spans="1:16" ht="15">
      <c r="A54" s="153">
        <v>52</v>
      </c>
      <c r="B54" s="53" t="s">
        <v>158</v>
      </c>
      <c r="C54" s="126" t="s">
        <v>159</v>
      </c>
      <c r="D54" s="55">
        <v>2</v>
      </c>
      <c r="E54" s="52" t="s">
        <v>2385</v>
      </c>
      <c r="F54" s="126" t="s">
        <v>39</v>
      </c>
      <c r="G54" s="126" t="s">
        <v>1667</v>
      </c>
      <c r="H54" s="127">
        <v>2</v>
      </c>
      <c r="I54" s="49" t="s">
        <v>2386</v>
      </c>
      <c r="J54" s="52" t="s">
        <v>2397</v>
      </c>
      <c r="K54" s="49"/>
      <c r="L54" s="49" t="s">
        <v>2462</v>
      </c>
      <c r="M54" s="76">
        <v>45429</v>
      </c>
      <c r="N54" s="128">
        <f>+VLOOKUP(B55,BOM!$A$8:$AB$1078,25,0)</f>
        <v>1</v>
      </c>
      <c r="O54" s="129">
        <f>+VLOOKUP(B55,BOM!$A$8:$AB$1078,26,0)</f>
        <v>0</v>
      </c>
      <c r="P54" s="10" t="str">
        <f t="shared" si="2"/>
        <v>ok</v>
      </c>
    </row>
    <row r="55" spans="1:16" ht="15">
      <c r="A55" s="153">
        <v>53</v>
      </c>
      <c r="B55" s="53" t="s">
        <v>276</v>
      </c>
      <c r="C55" s="126" t="s">
        <v>277</v>
      </c>
      <c r="D55" s="55">
        <v>1</v>
      </c>
      <c r="E55" s="52" t="s">
        <v>2385</v>
      </c>
      <c r="F55" s="126" t="s">
        <v>39</v>
      </c>
      <c r="G55" s="126" t="s">
        <v>1667</v>
      </c>
      <c r="H55" s="127">
        <v>1</v>
      </c>
      <c r="I55" s="49" t="s">
        <v>2386</v>
      </c>
      <c r="J55" s="57" t="s">
        <v>2397</v>
      </c>
      <c r="K55" s="61"/>
      <c r="L55" s="61" t="s">
        <v>2463</v>
      </c>
      <c r="M55" s="76">
        <v>45429</v>
      </c>
      <c r="N55" s="128">
        <f>+VLOOKUP(B56,BOM!$A$8:$AB$1078,25,0)</f>
        <v>1</v>
      </c>
      <c r="O55" s="129">
        <f>+VLOOKUP(B56,BOM!$A$8:$AB$1078,26,0)</f>
        <v>0</v>
      </c>
      <c r="P55" s="10" t="str">
        <f t="shared" si="2"/>
        <v>ok</v>
      </c>
    </row>
    <row r="56" spans="1:16" ht="15">
      <c r="A56" s="153">
        <v>54</v>
      </c>
      <c r="B56" s="53" t="s">
        <v>278</v>
      </c>
      <c r="C56" s="126" t="s">
        <v>277</v>
      </c>
      <c r="D56" s="55">
        <v>1</v>
      </c>
      <c r="E56" s="52" t="s">
        <v>2385</v>
      </c>
      <c r="F56" s="126" t="s">
        <v>39</v>
      </c>
      <c r="G56" s="126" t="s">
        <v>1667</v>
      </c>
      <c r="H56" s="127">
        <v>1</v>
      </c>
      <c r="I56" s="49" t="s">
        <v>2386</v>
      </c>
      <c r="J56" s="52" t="s">
        <v>2397</v>
      </c>
      <c r="K56" s="49"/>
      <c r="L56" s="49" t="s">
        <v>2464</v>
      </c>
      <c r="M56" s="76">
        <v>45429</v>
      </c>
      <c r="N56" s="128">
        <f>+VLOOKUP(B57,BOM!$A$8:$AB$1078,25,0)</f>
        <v>1</v>
      </c>
      <c r="O56" s="129">
        <f>+VLOOKUP(B57,BOM!$A$8:$AB$1078,26,0)</f>
        <v>0</v>
      </c>
      <c r="P56" s="10" t="str">
        <f t="shared" si="2"/>
        <v>ok</v>
      </c>
    </row>
    <row r="57" spans="1:16" ht="15">
      <c r="A57" s="153">
        <v>55</v>
      </c>
      <c r="B57" s="53" t="s">
        <v>294</v>
      </c>
      <c r="C57" s="126" t="s">
        <v>295</v>
      </c>
      <c r="D57" s="55">
        <v>1</v>
      </c>
      <c r="E57" s="52" t="s">
        <v>2385</v>
      </c>
      <c r="F57" s="126" t="s">
        <v>39</v>
      </c>
      <c r="G57" s="126" t="s">
        <v>1667</v>
      </c>
      <c r="H57" s="127">
        <v>1</v>
      </c>
      <c r="I57" s="49" t="s">
        <v>2386</v>
      </c>
      <c r="J57" s="52" t="s">
        <v>2397</v>
      </c>
      <c r="K57" s="49"/>
      <c r="L57" s="49" t="s">
        <v>2465</v>
      </c>
      <c r="M57" s="76">
        <v>45429</v>
      </c>
      <c r="N57" s="128">
        <f>+VLOOKUP(B58,BOM!$A$8:$AB$1078,25,0)</f>
        <v>1</v>
      </c>
      <c r="O57" s="129">
        <f>+VLOOKUP(B58,BOM!$A$8:$AB$1078,26,0)</f>
        <v>0</v>
      </c>
      <c r="P57" s="10" t="str">
        <f t="shared" si="2"/>
        <v>ok</v>
      </c>
    </row>
    <row r="58" spans="1:16" ht="15">
      <c r="A58" s="153">
        <v>56</v>
      </c>
      <c r="B58" s="53" t="s">
        <v>296</v>
      </c>
      <c r="C58" s="126" t="s">
        <v>297</v>
      </c>
      <c r="D58" s="55">
        <v>1</v>
      </c>
      <c r="E58" s="52" t="s">
        <v>2385</v>
      </c>
      <c r="F58" s="126" t="s">
        <v>39</v>
      </c>
      <c r="G58" s="126" t="s">
        <v>1667</v>
      </c>
      <c r="H58" s="127">
        <v>1</v>
      </c>
      <c r="I58" s="49" t="s">
        <v>2386</v>
      </c>
      <c r="J58" s="52" t="s">
        <v>2397</v>
      </c>
      <c r="K58" s="49"/>
      <c r="L58" s="49" t="s">
        <v>2466</v>
      </c>
      <c r="M58" s="76">
        <v>45429</v>
      </c>
      <c r="N58" s="128">
        <f>+VLOOKUP(B59,BOM!$A$8:$AB$1078,25,0)</f>
        <v>2</v>
      </c>
      <c r="O58" s="129">
        <f>+VLOOKUP(B59,BOM!$A$8:$AB$1078,26,0)</f>
        <v>0</v>
      </c>
      <c r="P58" s="10" t="str">
        <f t="shared" si="2"/>
        <v>ok</v>
      </c>
    </row>
    <row r="59" spans="1:16" ht="15">
      <c r="A59" s="153">
        <v>57</v>
      </c>
      <c r="B59" s="53" t="s">
        <v>303</v>
      </c>
      <c r="C59" s="126" t="s">
        <v>304</v>
      </c>
      <c r="D59" s="55">
        <v>2</v>
      </c>
      <c r="E59" s="52" t="s">
        <v>2385</v>
      </c>
      <c r="F59" s="126" t="s">
        <v>39</v>
      </c>
      <c r="G59" s="126" t="s">
        <v>1667</v>
      </c>
      <c r="H59" s="127">
        <v>2</v>
      </c>
      <c r="I59" s="49" t="s">
        <v>2386</v>
      </c>
      <c r="J59" s="52" t="s">
        <v>2397</v>
      </c>
      <c r="K59" s="49"/>
      <c r="L59" s="188" t="s">
        <v>2467</v>
      </c>
      <c r="M59" s="76">
        <v>45429</v>
      </c>
      <c r="N59" s="128">
        <f>+VLOOKUP(B60,BOM!$A$8:$AB$1078,25,0)</f>
        <v>1</v>
      </c>
      <c r="O59" s="129">
        <f>+VLOOKUP(B60,BOM!$A$8:$AB$1078,26,0)</f>
        <v>0</v>
      </c>
      <c r="P59" s="10" t="str">
        <f t="shared" si="2"/>
        <v>ok</v>
      </c>
    </row>
    <row r="60" spans="1:16" ht="15" customHeight="1">
      <c r="A60" s="153">
        <v>58</v>
      </c>
      <c r="B60" s="53" t="s">
        <v>1769</v>
      </c>
      <c r="C60" s="126" t="s">
        <v>1770</v>
      </c>
      <c r="D60" s="55">
        <v>1</v>
      </c>
      <c r="E60" s="52" t="s">
        <v>2385</v>
      </c>
      <c r="F60" s="126" t="s">
        <v>39</v>
      </c>
      <c r="G60" s="126" t="s">
        <v>1667</v>
      </c>
      <c r="H60" s="127">
        <v>1</v>
      </c>
      <c r="I60" s="49" t="s">
        <v>2386</v>
      </c>
      <c r="J60" s="52" t="s">
        <v>2397</v>
      </c>
      <c r="K60" s="49"/>
      <c r="L60" s="49" t="s">
        <v>2468</v>
      </c>
      <c r="M60" s="76">
        <v>45429</v>
      </c>
      <c r="N60" s="128">
        <f>+VLOOKUP(B61,BOM!$A$8:$AB$1078,25,0)</f>
        <v>1</v>
      </c>
      <c r="O60" s="129">
        <f>+VLOOKUP(B61,BOM!$A$8:$AB$1078,26,0)</f>
        <v>0</v>
      </c>
      <c r="P60" s="10" t="str">
        <f t="shared" si="2"/>
        <v>ok</v>
      </c>
    </row>
    <row r="61" spans="1:16" ht="15" thickBot="1">
      <c r="A61" s="153">
        <v>59</v>
      </c>
      <c r="B61" s="53" t="s">
        <v>396</v>
      </c>
      <c r="C61" s="126" t="s">
        <v>398</v>
      </c>
      <c r="D61" s="55">
        <v>1</v>
      </c>
      <c r="E61" s="52" t="s">
        <v>2385</v>
      </c>
      <c r="F61" s="126" t="s">
        <v>39</v>
      </c>
      <c r="G61" s="126" t="s">
        <v>1667</v>
      </c>
      <c r="H61" s="127">
        <v>1</v>
      </c>
      <c r="I61" s="49" t="s">
        <v>2386</v>
      </c>
      <c r="J61" s="52" t="s">
        <v>2397</v>
      </c>
      <c r="K61" s="49"/>
      <c r="L61" s="49" t="s">
        <v>2469</v>
      </c>
      <c r="M61" s="76">
        <v>45429</v>
      </c>
      <c r="N61" s="128">
        <f>+VLOOKUP(B62,BOM!$A$8:$AB$1078,25,0)</f>
        <v>1</v>
      </c>
      <c r="O61" s="129">
        <f>+VLOOKUP(B62,BOM!$A$8:$AB$1078,26,0)</f>
        <v>0</v>
      </c>
      <c r="P61" s="10" t="str">
        <f t="shared" si="2"/>
        <v>ok</v>
      </c>
    </row>
    <row r="62" spans="1:16" ht="15" thickBot="1">
      <c r="A62" s="153">
        <v>60</v>
      </c>
      <c r="B62" s="53" t="s">
        <v>399</v>
      </c>
      <c r="C62" s="126" t="s">
        <v>400</v>
      </c>
      <c r="D62" s="55">
        <v>1</v>
      </c>
      <c r="E62" s="52" t="s">
        <v>2385</v>
      </c>
      <c r="F62" s="126" t="s">
        <v>39</v>
      </c>
      <c r="G62" s="126" t="s">
        <v>1667</v>
      </c>
      <c r="H62" s="127">
        <v>1</v>
      </c>
      <c r="I62" s="49" t="s">
        <v>2386</v>
      </c>
      <c r="J62" s="52" t="s">
        <v>2397</v>
      </c>
      <c r="K62" s="78"/>
      <c r="L62" s="10" t="s">
        <v>2470</v>
      </c>
      <c r="M62" s="76">
        <v>45429</v>
      </c>
      <c r="N62" s="128">
        <f>+VLOOKUP(B63,BOM!$A$8:$AB$1078,25,0)</f>
        <v>2</v>
      </c>
      <c r="O62" s="129">
        <f>+VLOOKUP(B63,BOM!$A$8:$AB$1078,26,0)</f>
        <v>0</v>
      </c>
      <c r="P62" s="10" t="str">
        <f t="shared" si="2"/>
        <v>ok</v>
      </c>
    </row>
    <row r="63" spans="1:16" ht="15">
      <c r="A63" s="153">
        <v>61</v>
      </c>
      <c r="B63" s="53" t="s">
        <v>1809</v>
      </c>
      <c r="C63" s="126" t="s">
        <v>1794</v>
      </c>
      <c r="D63" s="55">
        <v>2</v>
      </c>
      <c r="E63" s="52" t="s">
        <v>2385</v>
      </c>
      <c r="F63" s="126" t="s">
        <v>39</v>
      </c>
      <c r="G63" s="126" t="s">
        <v>1667</v>
      </c>
      <c r="H63" s="127">
        <v>2</v>
      </c>
      <c r="I63" s="49" t="s">
        <v>2386</v>
      </c>
      <c r="J63" s="52" t="s">
        <v>2397</v>
      </c>
      <c r="K63" s="49"/>
      <c r="L63" s="49" t="s">
        <v>2471</v>
      </c>
      <c r="M63" s="76">
        <v>45429</v>
      </c>
      <c r="N63" s="128">
        <f>+VLOOKUP(B65,BOM!$A$8:$AB$1078,25,0)</f>
        <v>1</v>
      </c>
      <c r="O63" s="129">
        <f>+VLOOKUP(B65,BOM!$A$8:$AB$1078,26,0)</f>
        <v>0</v>
      </c>
      <c r="P63" s="10" t="str">
        <f t="shared" ref="P63:P83" si="3">+IF(N63=D65,"ok","")</f>
        <v>ok</v>
      </c>
    </row>
    <row r="64" spans="1:16" ht="15">
      <c r="A64" s="153">
        <v>62</v>
      </c>
      <c r="B64" s="53" t="s">
        <v>481</v>
      </c>
      <c r="C64" s="126" t="s">
        <v>483</v>
      </c>
      <c r="D64" s="55">
        <v>1</v>
      </c>
      <c r="E64" s="56" t="s">
        <v>2385</v>
      </c>
      <c r="F64" s="126" t="s">
        <v>39</v>
      </c>
      <c r="G64" s="126" t="s">
        <v>1667</v>
      </c>
      <c r="H64" s="127">
        <v>1</v>
      </c>
      <c r="I64" s="49" t="s">
        <v>2386</v>
      </c>
      <c r="J64" s="52" t="s">
        <v>2397</v>
      </c>
      <c r="K64" s="49"/>
      <c r="L64" s="49" t="s">
        <v>2472</v>
      </c>
      <c r="M64" s="76">
        <v>45429</v>
      </c>
      <c r="N64" s="128">
        <f>+VLOOKUP(B66,BOM!$A$8:$AB$1078,25,0)</f>
        <v>2</v>
      </c>
      <c r="O64" s="129">
        <f>+VLOOKUP(B66,BOM!$A$8:$AB$1078,26,0)</f>
        <v>0</v>
      </c>
      <c r="P64" s="10" t="str">
        <f t="shared" si="3"/>
        <v>ok</v>
      </c>
    </row>
    <row r="65" spans="1:16" ht="15">
      <c r="A65" s="153">
        <v>63</v>
      </c>
      <c r="B65" s="53" t="s">
        <v>327</v>
      </c>
      <c r="C65" s="126" t="s">
        <v>329</v>
      </c>
      <c r="D65" s="55">
        <v>1</v>
      </c>
      <c r="E65" s="52" t="s">
        <v>2385</v>
      </c>
      <c r="F65" s="126" t="s">
        <v>39</v>
      </c>
      <c r="G65" s="126" t="s">
        <v>1667</v>
      </c>
      <c r="H65" s="127">
        <v>1</v>
      </c>
      <c r="I65" s="49" t="s">
        <v>2386</v>
      </c>
      <c r="J65" s="52" t="s">
        <v>2411</v>
      </c>
      <c r="K65" s="49"/>
      <c r="L65" s="49" t="s">
        <v>2473</v>
      </c>
      <c r="M65" s="76">
        <v>45429</v>
      </c>
      <c r="N65" s="128">
        <f>+VLOOKUP(B67,BOM!$A$8:$AB$1078,25,0)</f>
        <v>1</v>
      </c>
      <c r="O65" s="129">
        <f>+VLOOKUP(B67,BOM!$A$8:$AB$1078,26,0)</f>
        <v>0</v>
      </c>
      <c r="P65" s="10" t="str">
        <f t="shared" si="3"/>
        <v>ok</v>
      </c>
    </row>
    <row r="66" spans="1:16" ht="15">
      <c r="A66" s="153">
        <v>64</v>
      </c>
      <c r="B66" s="53" t="s">
        <v>118</v>
      </c>
      <c r="C66" s="126" t="s">
        <v>119</v>
      </c>
      <c r="D66" s="55">
        <v>2</v>
      </c>
      <c r="E66" s="52" t="s">
        <v>2385</v>
      </c>
      <c r="F66" s="126" t="s">
        <v>39</v>
      </c>
      <c r="G66" s="126" t="s">
        <v>1667</v>
      </c>
      <c r="H66" s="127">
        <v>2</v>
      </c>
      <c r="I66" s="49" t="s">
        <v>2386</v>
      </c>
      <c r="J66" s="52" t="s">
        <v>2414</v>
      </c>
      <c r="K66" s="49"/>
      <c r="L66" s="49" t="s">
        <v>2474</v>
      </c>
      <c r="M66" s="76">
        <v>45429</v>
      </c>
      <c r="N66" s="128">
        <f>+VLOOKUP(B68,BOM!$A$8:$AB$1078,25,0)</f>
        <v>2</v>
      </c>
      <c r="O66" s="129">
        <f>+VLOOKUP(B68,BOM!$A$8:$AB$1078,26,0)</f>
        <v>3</v>
      </c>
      <c r="P66" s="10" t="str">
        <f t="shared" si="3"/>
        <v>ok</v>
      </c>
    </row>
    <row r="67" spans="1:16" ht="15" customHeight="1">
      <c r="A67" s="153">
        <v>65</v>
      </c>
      <c r="B67" s="53" t="s">
        <v>234</v>
      </c>
      <c r="C67" s="126" t="s">
        <v>236</v>
      </c>
      <c r="D67" s="55">
        <v>1</v>
      </c>
      <c r="E67" s="52" t="s">
        <v>2385</v>
      </c>
      <c r="F67" s="126" t="s">
        <v>39</v>
      </c>
      <c r="G67" s="126" t="s">
        <v>1667</v>
      </c>
      <c r="H67" s="127">
        <v>1</v>
      </c>
      <c r="I67" s="49" t="s">
        <v>2386</v>
      </c>
      <c r="J67" s="52" t="s">
        <v>2414</v>
      </c>
      <c r="K67" s="49"/>
      <c r="L67" s="49" t="s">
        <v>2475</v>
      </c>
      <c r="M67" s="76">
        <v>45429</v>
      </c>
      <c r="N67" s="128">
        <f>+VLOOKUP(B69,BOM!$A$8:$AB$1078,25,0)</f>
        <v>2</v>
      </c>
      <c r="O67" s="129">
        <f>+VLOOKUP(B69,BOM!$A$8:$AB$1078,26,0)</f>
        <v>3</v>
      </c>
      <c r="P67" s="10" t="str">
        <f t="shared" si="3"/>
        <v>ok</v>
      </c>
    </row>
    <row r="68" spans="1:16" ht="15">
      <c r="A68" s="153">
        <v>66</v>
      </c>
      <c r="B68" s="53" t="s">
        <v>1702</v>
      </c>
      <c r="C68" s="126" t="s">
        <v>162</v>
      </c>
      <c r="D68" s="55">
        <v>2</v>
      </c>
      <c r="E68" s="52" t="s">
        <v>2394</v>
      </c>
      <c r="F68" s="126" t="s">
        <v>39</v>
      </c>
      <c r="G68" s="126" t="s">
        <v>1667</v>
      </c>
      <c r="H68" s="127">
        <v>2</v>
      </c>
      <c r="I68" s="49" t="s">
        <v>2425</v>
      </c>
      <c r="J68" s="52" t="s">
        <v>2411</v>
      </c>
      <c r="K68" s="49"/>
      <c r="L68" s="49" t="s">
        <v>2476</v>
      </c>
      <c r="M68" s="76">
        <v>45429</v>
      </c>
      <c r="N68" s="128">
        <f>+VLOOKUP(B70,BOM!$A$8:$AB$1078,25,0)</f>
        <v>4</v>
      </c>
      <c r="O68" s="129">
        <f>+VLOOKUP(B70,BOM!$A$8:$AB$1078,26,0)</f>
        <v>3</v>
      </c>
      <c r="P68" s="10" t="str">
        <f t="shared" si="3"/>
        <v>ok</v>
      </c>
    </row>
    <row r="69" spans="1:16" ht="15">
      <c r="A69" s="153">
        <v>67</v>
      </c>
      <c r="B69" s="53" t="s">
        <v>1715</v>
      </c>
      <c r="C69" s="126" t="s">
        <v>162</v>
      </c>
      <c r="D69" s="55">
        <v>2</v>
      </c>
      <c r="E69" s="52" t="s">
        <v>2394</v>
      </c>
      <c r="F69" s="126" t="s">
        <v>39</v>
      </c>
      <c r="G69" s="126" t="s">
        <v>1667</v>
      </c>
      <c r="H69" s="127">
        <v>2</v>
      </c>
      <c r="I69" s="49" t="s">
        <v>2425</v>
      </c>
      <c r="J69" s="52" t="s">
        <v>2411</v>
      </c>
      <c r="K69" s="49"/>
      <c r="L69" s="49" t="s">
        <v>2477</v>
      </c>
      <c r="M69" s="76">
        <v>45429</v>
      </c>
      <c r="N69" s="128">
        <f>+VLOOKUP(B71,BOM!$A$8:$AB$1078,25,0)</f>
        <v>2</v>
      </c>
      <c r="O69" s="129">
        <f>+VLOOKUP(B71,BOM!$A$8:$AB$1078,26,0)</f>
        <v>3</v>
      </c>
      <c r="P69" s="10" t="str">
        <f t="shared" si="3"/>
        <v>ok</v>
      </c>
    </row>
    <row r="70" spans="1:16" ht="15">
      <c r="A70" s="153">
        <v>68</v>
      </c>
      <c r="B70" s="53" t="s">
        <v>204</v>
      </c>
      <c r="C70" s="126" t="s">
        <v>205</v>
      </c>
      <c r="D70" s="55">
        <v>4</v>
      </c>
      <c r="E70" s="52" t="s">
        <v>2394</v>
      </c>
      <c r="F70" s="126" t="s">
        <v>39</v>
      </c>
      <c r="G70" s="126" t="s">
        <v>1667</v>
      </c>
      <c r="H70" s="127">
        <v>4</v>
      </c>
      <c r="I70" s="49" t="s">
        <v>2425</v>
      </c>
      <c r="J70" s="52" t="s">
        <v>2411</v>
      </c>
      <c r="K70" s="49"/>
      <c r="L70" s="49" t="s">
        <v>2478</v>
      </c>
      <c r="M70" s="76">
        <v>45429</v>
      </c>
      <c r="N70" s="128">
        <f>+VLOOKUP(B72,BOM!$A$8:$AB$1078,25,0)</f>
        <v>2</v>
      </c>
      <c r="O70" s="129">
        <f>+VLOOKUP(B72,BOM!$A$8:$AB$1078,26,0)</f>
        <v>3</v>
      </c>
      <c r="P70" s="10" t="str">
        <f t="shared" si="3"/>
        <v>ok</v>
      </c>
    </row>
    <row r="71" spans="1:16" ht="15">
      <c r="A71" s="153">
        <v>69</v>
      </c>
      <c r="B71" s="53" t="s">
        <v>224</v>
      </c>
      <c r="C71" s="126" t="s">
        <v>225</v>
      </c>
      <c r="D71" s="55">
        <v>2</v>
      </c>
      <c r="E71" s="52" t="s">
        <v>2394</v>
      </c>
      <c r="F71" s="126" t="s">
        <v>39</v>
      </c>
      <c r="G71" s="126" t="s">
        <v>1667</v>
      </c>
      <c r="H71" s="127">
        <v>2</v>
      </c>
      <c r="I71" s="49" t="s">
        <v>2425</v>
      </c>
      <c r="J71" s="52" t="s">
        <v>2411</v>
      </c>
      <c r="K71" s="49"/>
      <c r="L71" s="49" t="s">
        <v>2479</v>
      </c>
      <c r="M71" s="76">
        <v>45533</v>
      </c>
      <c r="N71" s="128">
        <f>+VLOOKUP(B73,BOM!$A$8:$AB$1078,25,0)</f>
        <v>1</v>
      </c>
      <c r="O71" s="129">
        <f>+VLOOKUP(B73,BOM!$A$8:$AB$1078,26,0)</f>
        <v>3</v>
      </c>
      <c r="P71" s="10" t="str">
        <f t="shared" si="3"/>
        <v>ok</v>
      </c>
    </row>
    <row r="72" spans="1:16" ht="15">
      <c r="A72" s="153">
        <v>70</v>
      </c>
      <c r="B72" s="53" t="s">
        <v>226</v>
      </c>
      <c r="C72" s="126" t="s">
        <v>225</v>
      </c>
      <c r="D72" s="55">
        <v>2</v>
      </c>
      <c r="E72" s="52" t="s">
        <v>2394</v>
      </c>
      <c r="F72" s="126" t="s">
        <v>39</v>
      </c>
      <c r="G72" s="126" t="s">
        <v>1667</v>
      </c>
      <c r="H72" s="127">
        <v>2</v>
      </c>
      <c r="I72" s="49" t="s">
        <v>2425</v>
      </c>
      <c r="J72" s="52" t="s">
        <v>2411</v>
      </c>
      <c r="K72" s="49"/>
      <c r="L72" s="188" t="s">
        <v>2480</v>
      </c>
      <c r="M72" s="76">
        <v>45429</v>
      </c>
      <c r="N72" s="128">
        <f>+VLOOKUP(B74,BOM!$A$8:$AB$1078,25,0)</f>
        <v>4</v>
      </c>
      <c r="O72" s="129">
        <f>+VLOOKUP(B74,BOM!$A$8:$AB$1078,26,0)</f>
        <v>3</v>
      </c>
      <c r="P72" s="10" t="str">
        <f t="shared" si="3"/>
        <v>ok</v>
      </c>
    </row>
    <row r="73" spans="1:16" ht="15">
      <c r="A73" s="153">
        <v>71</v>
      </c>
      <c r="B73" s="53" t="s">
        <v>237</v>
      </c>
      <c r="C73" s="126" t="s">
        <v>239</v>
      </c>
      <c r="D73" s="55">
        <v>1</v>
      </c>
      <c r="E73" s="52" t="s">
        <v>2394</v>
      </c>
      <c r="F73" s="126" t="s">
        <v>39</v>
      </c>
      <c r="G73" s="126" t="s">
        <v>1667</v>
      </c>
      <c r="H73" s="127">
        <v>1</v>
      </c>
      <c r="I73" s="49" t="s">
        <v>2425</v>
      </c>
      <c r="J73" s="57" t="s">
        <v>2411</v>
      </c>
      <c r="K73" s="61"/>
      <c r="L73" s="61" t="s">
        <v>2481</v>
      </c>
      <c r="M73" s="76">
        <v>45429</v>
      </c>
      <c r="N73" s="128">
        <f>+VLOOKUP(B75,BOM!$A$8:$AB$1078,25,0)</f>
        <v>1</v>
      </c>
      <c r="O73" s="129">
        <f>+VLOOKUP(B75,BOM!$A$8:$AB$1078,26,0)</f>
        <v>3</v>
      </c>
      <c r="P73" s="10" t="str">
        <f t="shared" si="3"/>
        <v>ok</v>
      </c>
    </row>
    <row r="74" spans="1:16" ht="15">
      <c r="A74" s="153">
        <v>72</v>
      </c>
      <c r="B74" s="53" t="s">
        <v>135</v>
      </c>
      <c r="C74" s="126" t="s">
        <v>137</v>
      </c>
      <c r="D74" s="55">
        <v>4</v>
      </c>
      <c r="E74" s="52" t="s">
        <v>2394</v>
      </c>
      <c r="F74" s="126" t="s">
        <v>39</v>
      </c>
      <c r="G74" s="126" t="s">
        <v>1667</v>
      </c>
      <c r="H74" s="127">
        <v>4</v>
      </c>
      <c r="I74" s="49" t="s">
        <v>2425</v>
      </c>
      <c r="J74" s="52" t="s">
        <v>2414</v>
      </c>
      <c r="K74" s="49"/>
      <c r="L74" s="49" t="s">
        <v>2482</v>
      </c>
      <c r="M74" s="76">
        <v>45429</v>
      </c>
      <c r="N74" s="128">
        <f>+VLOOKUP(B76,BOM!$A$8:$AB$1078,25,0)</f>
        <v>1</v>
      </c>
      <c r="O74" s="129">
        <f>+VLOOKUP(B76,BOM!$A$8:$AB$1078,26,0)</f>
        <v>4</v>
      </c>
      <c r="P74" s="10" t="str">
        <f t="shared" si="3"/>
        <v>ok</v>
      </c>
    </row>
    <row r="75" spans="1:16" ht="15">
      <c r="A75" s="153">
        <v>73</v>
      </c>
      <c r="B75" s="53" t="s">
        <v>379</v>
      </c>
      <c r="C75" s="126" t="s">
        <v>380</v>
      </c>
      <c r="D75" s="55">
        <v>1</v>
      </c>
      <c r="E75" s="52" t="s">
        <v>2394</v>
      </c>
      <c r="F75" s="126" t="s">
        <v>39</v>
      </c>
      <c r="G75" s="126" t="s">
        <v>1667</v>
      </c>
      <c r="H75" s="127">
        <v>1</v>
      </c>
      <c r="I75" s="49" t="s">
        <v>2425</v>
      </c>
      <c r="J75" s="52" t="s">
        <v>2414</v>
      </c>
      <c r="K75" s="49"/>
      <c r="L75" s="49" t="s">
        <v>2483</v>
      </c>
      <c r="M75" s="76">
        <v>45429</v>
      </c>
      <c r="N75" s="128">
        <f>+VLOOKUP(B77,BOM!$A$8:$AB$1078,25,0)</f>
        <v>1</v>
      </c>
      <c r="O75" s="129">
        <f>+VLOOKUP(B77,BOM!$A$8:$AB$1078,26,0)</f>
        <v>4</v>
      </c>
      <c r="P75" s="10" t="str">
        <f t="shared" si="3"/>
        <v>ok</v>
      </c>
    </row>
    <row r="76" spans="1:16" ht="15">
      <c r="A76" s="153">
        <v>74</v>
      </c>
      <c r="B76" s="53" t="s">
        <v>77</v>
      </c>
      <c r="C76" s="126" t="s">
        <v>79</v>
      </c>
      <c r="D76" s="55">
        <v>1</v>
      </c>
      <c r="E76" s="52" t="s">
        <v>2427</v>
      </c>
      <c r="F76" s="126" t="s">
        <v>39</v>
      </c>
      <c r="G76" s="126" t="s">
        <v>1667</v>
      </c>
      <c r="H76" s="127">
        <v>1</v>
      </c>
      <c r="I76" s="49" t="s">
        <v>2428</v>
      </c>
      <c r="J76" s="52" t="s">
        <v>2411</v>
      </c>
      <c r="K76" s="49"/>
      <c r="L76" s="49" t="s">
        <v>2484</v>
      </c>
      <c r="M76" s="76">
        <v>45702</v>
      </c>
      <c r="N76" s="128">
        <f>+VLOOKUP(B78,BOM!$A$8:$AB$1078,25,0)</f>
        <v>1</v>
      </c>
      <c r="O76" s="129">
        <f>+VLOOKUP(B78,BOM!$A$8:$AB$1078,26,0)</f>
        <v>4</v>
      </c>
      <c r="P76" s="10" t="str">
        <f t="shared" si="3"/>
        <v>ok</v>
      </c>
    </row>
    <row r="77" spans="1:16" ht="15">
      <c r="A77" s="153">
        <v>75</v>
      </c>
      <c r="B77" s="53" t="s">
        <v>83</v>
      </c>
      <c r="C77" s="126" t="s">
        <v>85</v>
      </c>
      <c r="D77" s="55">
        <v>1</v>
      </c>
      <c r="E77" s="52" t="s">
        <v>2427</v>
      </c>
      <c r="F77" s="126" t="s">
        <v>39</v>
      </c>
      <c r="G77" s="126" t="s">
        <v>1667</v>
      </c>
      <c r="H77" s="127">
        <v>1</v>
      </c>
      <c r="I77" s="49" t="s">
        <v>2428</v>
      </c>
      <c r="J77" s="52" t="s">
        <v>2414</v>
      </c>
      <c r="K77" s="49"/>
      <c r="L77" s="49" t="s">
        <v>2485</v>
      </c>
      <c r="M77" s="76">
        <v>45702</v>
      </c>
      <c r="N77" s="128">
        <f>+VLOOKUP(B79,BOM!$A$8:$AB$1078,25,0)</f>
        <v>1</v>
      </c>
      <c r="O77" s="129">
        <f>+VLOOKUP(B79,BOM!$A$8:$AB$1078,26,0)</f>
        <v>4</v>
      </c>
      <c r="P77" s="10" t="str">
        <f t="shared" si="3"/>
        <v>ok</v>
      </c>
    </row>
    <row r="78" spans="1:16" ht="15">
      <c r="A78" s="153">
        <v>76</v>
      </c>
      <c r="B78" s="53" t="s">
        <v>387</v>
      </c>
      <c r="C78" s="126" t="s">
        <v>389</v>
      </c>
      <c r="D78" s="55">
        <v>1</v>
      </c>
      <c r="E78" s="81" t="s">
        <v>2427</v>
      </c>
      <c r="F78" s="126" t="s">
        <v>39</v>
      </c>
      <c r="G78" s="128" t="s">
        <v>1667</v>
      </c>
      <c r="H78" s="147">
        <v>1</v>
      </c>
      <c r="I78" s="49" t="s">
        <v>2428</v>
      </c>
      <c r="J78" s="52" t="s">
        <v>2486</v>
      </c>
      <c r="K78" s="49"/>
      <c r="L78" s="188" t="s">
        <v>2487</v>
      </c>
      <c r="M78" s="76">
        <v>45702</v>
      </c>
      <c r="N78" s="128">
        <f>+VLOOKUP(B80,BOM!$A$8:$AB$1078,25,0)</f>
        <v>2</v>
      </c>
      <c r="O78" s="129">
        <f>+VLOOKUP(B80,BOM!$A$8:$AB$1078,26,0)</f>
        <v>6</v>
      </c>
      <c r="P78" s="10" t="str">
        <f t="shared" si="3"/>
        <v>ok</v>
      </c>
    </row>
    <row r="79" spans="1:16" ht="15">
      <c r="A79" s="153">
        <v>77</v>
      </c>
      <c r="B79" s="53" t="s">
        <v>390</v>
      </c>
      <c r="C79" s="126" t="s">
        <v>389</v>
      </c>
      <c r="D79" s="52">
        <v>1</v>
      </c>
      <c r="E79" s="81" t="s">
        <v>2427</v>
      </c>
      <c r="F79" s="126" t="s">
        <v>39</v>
      </c>
      <c r="G79" s="126" t="s">
        <v>1667</v>
      </c>
      <c r="H79" s="127">
        <v>1</v>
      </c>
      <c r="I79" s="49" t="s">
        <v>2428</v>
      </c>
      <c r="J79" s="52" t="s">
        <v>2486</v>
      </c>
      <c r="K79" s="49"/>
      <c r="L79" s="49" t="s">
        <v>2488</v>
      </c>
      <c r="M79" s="76">
        <v>45702</v>
      </c>
      <c r="N79" s="128">
        <f>+VLOOKUP(B81,BOM!$A$8:$AB$1078,25,0)</f>
        <v>1</v>
      </c>
      <c r="O79" s="129">
        <f>+VLOOKUP(B81,BOM!$A$8:$AB$1078,26,0)</f>
        <v>5</v>
      </c>
      <c r="P79" s="10" t="str">
        <f t="shared" si="3"/>
        <v>ok</v>
      </c>
    </row>
    <row r="80" spans="1:16" ht="15">
      <c r="A80" s="153">
        <v>78</v>
      </c>
      <c r="B80" s="53" t="s">
        <v>120</v>
      </c>
      <c r="C80" s="126" t="s">
        <v>122</v>
      </c>
      <c r="D80" s="55">
        <v>2</v>
      </c>
      <c r="E80" s="79" t="s">
        <v>2437</v>
      </c>
      <c r="F80" s="126" t="s">
        <v>39</v>
      </c>
      <c r="G80" s="126" t="s">
        <v>1667</v>
      </c>
      <c r="H80" s="127">
        <v>2</v>
      </c>
      <c r="I80" s="49" t="s">
        <v>2438</v>
      </c>
      <c r="J80" s="52"/>
      <c r="K80" s="49" t="s">
        <v>2439</v>
      </c>
      <c r="L80" s="188" t="s">
        <v>2489</v>
      </c>
      <c r="M80" s="76">
        <v>45702</v>
      </c>
      <c r="N80" s="128">
        <f>+VLOOKUP(B82,BOM!$A$8:$AB$1078,25,0)</f>
        <v>1</v>
      </c>
      <c r="O80" s="129">
        <f>+VLOOKUP(B82,BOM!$A$8:$AB$1078,26,0)</f>
        <v>7</v>
      </c>
      <c r="P80" s="10" t="str">
        <f t="shared" si="3"/>
        <v>ok</v>
      </c>
    </row>
    <row r="81" spans="1:16" ht="15">
      <c r="A81" s="153">
        <v>79</v>
      </c>
      <c r="B81" s="53" t="s">
        <v>1793</v>
      </c>
      <c r="C81" s="126" t="s">
        <v>1794</v>
      </c>
      <c r="D81" s="55">
        <v>1</v>
      </c>
      <c r="E81" s="56" t="s">
        <v>2437</v>
      </c>
      <c r="F81" s="126" t="s">
        <v>39</v>
      </c>
      <c r="G81" s="126" t="s">
        <v>1667</v>
      </c>
      <c r="H81" s="127">
        <v>1</v>
      </c>
      <c r="I81" s="49" t="s">
        <v>2438</v>
      </c>
      <c r="J81" s="52"/>
      <c r="K81" s="49"/>
      <c r="L81" s="49" t="s">
        <v>2490</v>
      </c>
      <c r="M81" s="76">
        <v>45702</v>
      </c>
      <c r="N81" s="128">
        <f>+VLOOKUP(B83,BOM!$A$8:$AB$1078,25,0)</f>
        <v>1</v>
      </c>
      <c r="O81" s="129" t="str">
        <f>+VLOOKUP(B83,BOM!$A$8:$AB$1078,26,0)</f>
        <v>B</v>
      </c>
      <c r="P81" s="10" t="str">
        <f t="shared" si="3"/>
        <v>ok</v>
      </c>
    </row>
    <row r="82" spans="1:16" ht="15">
      <c r="A82" s="153">
        <v>80</v>
      </c>
      <c r="B82" s="53" t="s">
        <v>1435</v>
      </c>
      <c r="C82" s="126" t="s">
        <v>512</v>
      </c>
      <c r="D82" s="55">
        <v>1</v>
      </c>
      <c r="E82" s="56" t="s">
        <v>2443</v>
      </c>
      <c r="F82" s="126" t="s">
        <v>39</v>
      </c>
      <c r="G82" s="126" t="s">
        <v>1667</v>
      </c>
      <c r="H82" s="127">
        <v>1</v>
      </c>
      <c r="I82" s="49" t="s">
        <v>2444</v>
      </c>
      <c r="J82" s="52" t="s">
        <v>2414</v>
      </c>
      <c r="K82" s="49"/>
      <c r="L82" s="49" t="s">
        <v>2491</v>
      </c>
      <c r="M82" s="76">
        <v>45702</v>
      </c>
      <c r="N82" s="128">
        <f>+VLOOKUP(B84,BOM!$A$8:$AB$1078,25,0)</f>
        <v>1</v>
      </c>
      <c r="O82" s="129" t="str">
        <f>+VLOOKUP(B84,BOM!$A$8:$AB$1078,26,0)</f>
        <v>B</v>
      </c>
      <c r="P82" s="10" t="str">
        <f t="shared" si="3"/>
        <v>ok</v>
      </c>
    </row>
    <row r="83" spans="1:16" ht="15">
      <c r="A83" s="153">
        <v>81</v>
      </c>
      <c r="B83" s="53" t="s">
        <v>1697</v>
      </c>
      <c r="C83" s="126" t="s">
        <v>1698</v>
      </c>
      <c r="D83" s="55">
        <v>1</v>
      </c>
      <c r="E83" s="79" t="s">
        <v>2388</v>
      </c>
      <c r="F83" s="126" t="s">
        <v>39</v>
      </c>
      <c r="G83" s="126" t="s">
        <v>1667</v>
      </c>
      <c r="H83" s="127">
        <v>1</v>
      </c>
      <c r="I83" s="49" t="s">
        <v>2492</v>
      </c>
      <c r="J83" s="52"/>
      <c r="K83" s="49"/>
      <c r="L83" s="49" t="s">
        <v>2493</v>
      </c>
      <c r="M83" s="76">
        <v>45702</v>
      </c>
      <c r="N83" s="128">
        <f>+VLOOKUP(B85,BOM!$A$8:$AB$1078,25,0)</f>
        <v>2</v>
      </c>
      <c r="O83" s="129" t="str">
        <f>+VLOOKUP(B85,BOM!$A$8:$AB$1078,26,0)</f>
        <v>B</v>
      </c>
      <c r="P83" s="10" t="str">
        <f t="shared" si="3"/>
        <v>ok</v>
      </c>
    </row>
    <row r="84" spans="1:16" ht="15">
      <c r="A84" s="153">
        <v>82</v>
      </c>
      <c r="B84" s="53" t="s">
        <v>1699</v>
      </c>
      <c r="C84" s="126" t="s">
        <v>1700</v>
      </c>
      <c r="D84" s="55">
        <v>1</v>
      </c>
      <c r="E84" s="56" t="s">
        <v>2388</v>
      </c>
      <c r="F84" s="126" t="s">
        <v>39</v>
      </c>
      <c r="G84" s="126" t="s">
        <v>1667</v>
      </c>
      <c r="H84" s="127">
        <v>1</v>
      </c>
      <c r="I84" s="49" t="s">
        <v>2492</v>
      </c>
      <c r="J84" s="52"/>
      <c r="K84" s="49"/>
      <c r="L84" s="49" t="s">
        <v>2494</v>
      </c>
      <c r="M84" s="82"/>
    </row>
    <row r="85" spans="1:16" ht="15">
      <c r="A85" s="153">
        <v>83</v>
      </c>
      <c r="B85" s="53" t="s">
        <v>127</v>
      </c>
      <c r="C85" s="126" t="s">
        <v>129</v>
      </c>
      <c r="D85" s="55">
        <v>2</v>
      </c>
      <c r="E85" s="56" t="s">
        <v>2388</v>
      </c>
      <c r="F85" s="126" t="s">
        <v>39</v>
      </c>
      <c r="G85" s="126" t="s">
        <v>1667</v>
      </c>
      <c r="H85" s="127">
        <v>2</v>
      </c>
      <c r="I85" s="49" t="s">
        <v>2492</v>
      </c>
      <c r="J85" s="52"/>
      <c r="K85" s="49"/>
      <c r="L85" s="49" t="s">
        <v>2495</v>
      </c>
      <c r="M85" s="76">
        <v>45429</v>
      </c>
      <c r="N85" s="128">
        <f>+VLOOKUP(B87,BOM!$A$8:$AB$1078,25,0)</f>
        <v>2</v>
      </c>
      <c r="O85" s="129" t="str">
        <f>+VLOOKUP(B87,BOM!$A$8:$AB$1078,26,0)</f>
        <v>B</v>
      </c>
      <c r="P85" s="10" t="str">
        <f t="shared" ref="P85:P101" si="4">+IF(N85=D87,"ok","")</f>
        <v>ok</v>
      </c>
    </row>
    <row r="86" spans="1:16" ht="15">
      <c r="A86" s="153">
        <v>84</v>
      </c>
      <c r="B86" s="60" t="s">
        <v>138</v>
      </c>
      <c r="C86" s="126" t="s">
        <v>140</v>
      </c>
      <c r="D86" s="52">
        <v>2</v>
      </c>
      <c r="E86" s="79" t="s">
        <v>2388</v>
      </c>
      <c r="F86" s="126" t="s">
        <v>39</v>
      </c>
      <c r="G86" s="126" t="s">
        <v>1667</v>
      </c>
      <c r="H86" s="127">
        <v>2</v>
      </c>
      <c r="I86" s="49" t="s">
        <v>2492</v>
      </c>
      <c r="J86" s="52"/>
      <c r="K86" s="49"/>
      <c r="L86" s="49" t="s">
        <v>2496</v>
      </c>
      <c r="M86" s="76">
        <v>45429</v>
      </c>
      <c r="N86" s="128">
        <f>+VLOOKUP(B88,BOM!$A$8:$AB$1078,25,0)</f>
        <v>2</v>
      </c>
      <c r="O86" s="129" t="str">
        <f>+VLOOKUP(B88,BOM!$A$8:$AB$1078,26,0)</f>
        <v>B</v>
      </c>
      <c r="P86" s="10" t="str">
        <f t="shared" si="4"/>
        <v>ok</v>
      </c>
    </row>
    <row r="87" spans="1:16" ht="15">
      <c r="A87" s="153">
        <v>85</v>
      </c>
      <c r="B87" s="53" t="s">
        <v>141</v>
      </c>
      <c r="C87" s="126" t="s">
        <v>142</v>
      </c>
      <c r="D87" s="55">
        <v>2</v>
      </c>
      <c r="E87" s="56" t="s">
        <v>2388</v>
      </c>
      <c r="F87" s="126" t="s">
        <v>39</v>
      </c>
      <c r="G87" s="126" t="s">
        <v>1667</v>
      </c>
      <c r="H87" s="127">
        <v>2</v>
      </c>
      <c r="I87" s="49" t="s">
        <v>2492</v>
      </c>
      <c r="J87" s="52"/>
      <c r="K87" s="49"/>
      <c r="L87" s="49" t="s">
        <v>2497</v>
      </c>
      <c r="M87" s="76">
        <v>45429</v>
      </c>
      <c r="N87" s="128">
        <f>+VLOOKUP(B89,BOM!$A$8:$AB$1078,25,0)</f>
        <v>1</v>
      </c>
      <c r="O87" s="129" t="str">
        <f>+VLOOKUP(B89,BOM!$A$8:$AB$1078,26,0)</f>
        <v>B</v>
      </c>
      <c r="P87" s="10" t="str">
        <f t="shared" si="4"/>
        <v>ok</v>
      </c>
    </row>
    <row r="88" spans="1:16" ht="15">
      <c r="A88" s="153">
        <v>86</v>
      </c>
      <c r="B88" s="53" t="s">
        <v>143</v>
      </c>
      <c r="C88" s="126" t="s">
        <v>145</v>
      </c>
      <c r="D88" s="55">
        <v>2</v>
      </c>
      <c r="E88" s="56" t="s">
        <v>2388</v>
      </c>
      <c r="F88" s="126" t="s">
        <v>39</v>
      </c>
      <c r="G88" s="126" t="s">
        <v>1667</v>
      </c>
      <c r="H88" s="127">
        <v>2</v>
      </c>
      <c r="I88" s="49" t="s">
        <v>2492</v>
      </c>
      <c r="J88" s="52"/>
      <c r="K88" s="49"/>
      <c r="L88" s="49" t="s">
        <v>2498</v>
      </c>
      <c r="M88" s="76">
        <v>45429</v>
      </c>
      <c r="N88" s="128">
        <f>+VLOOKUP(B90,BOM!$A$8:$AB$1078,25,0)</f>
        <v>4</v>
      </c>
      <c r="O88" s="129" t="str">
        <f>+VLOOKUP(B90,BOM!$A$8:$AB$1078,26,0)</f>
        <v>2xA+ 2xB</v>
      </c>
      <c r="P88" s="10" t="str">
        <f t="shared" si="4"/>
        <v>ok</v>
      </c>
    </row>
    <row r="89" spans="1:16" ht="15">
      <c r="A89" s="153">
        <v>87</v>
      </c>
      <c r="B89" s="53" t="s">
        <v>149</v>
      </c>
      <c r="C89" s="126" t="s">
        <v>151</v>
      </c>
      <c r="D89" s="55">
        <v>1</v>
      </c>
      <c r="E89" s="56" t="s">
        <v>2388</v>
      </c>
      <c r="F89" s="126" t="s">
        <v>39</v>
      </c>
      <c r="G89" s="126" t="s">
        <v>1667</v>
      </c>
      <c r="H89" s="127">
        <v>1</v>
      </c>
      <c r="I89" s="49" t="s">
        <v>2492</v>
      </c>
      <c r="J89" s="52"/>
      <c r="K89" s="49"/>
      <c r="L89" s="49" t="s">
        <v>2499</v>
      </c>
      <c r="M89" s="76">
        <v>45429</v>
      </c>
      <c r="N89" s="128">
        <f>+VLOOKUP(B91,BOM!$A$8:$AB$1078,25,0)</f>
        <v>2</v>
      </c>
      <c r="O89" s="129" t="str">
        <f>+VLOOKUP(B91,BOM!$A$8:$AB$1078,26,0)</f>
        <v>B</v>
      </c>
      <c r="P89" s="10" t="str">
        <f t="shared" si="4"/>
        <v>ok</v>
      </c>
    </row>
    <row r="90" spans="1:16" ht="15">
      <c r="A90" s="153">
        <v>88</v>
      </c>
      <c r="B90" s="53" t="s">
        <v>146</v>
      </c>
      <c r="C90" s="126" t="s">
        <v>148</v>
      </c>
      <c r="D90" s="55">
        <v>4</v>
      </c>
      <c r="E90" s="56" t="s">
        <v>2388</v>
      </c>
      <c r="F90" s="126" t="s">
        <v>39</v>
      </c>
      <c r="G90" s="126" t="s">
        <v>1667</v>
      </c>
      <c r="H90" s="127">
        <v>4</v>
      </c>
      <c r="I90" s="49" t="s">
        <v>2492</v>
      </c>
      <c r="J90" s="52"/>
      <c r="K90" s="49"/>
      <c r="L90" s="49" t="s">
        <v>2500</v>
      </c>
      <c r="M90" s="76">
        <v>45429</v>
      </c>
      <c r="N90" s="128">
        <f>+VLOOKUP(B92,BOM!$A$8:$AB$1078,25,0)</f>
        <v>4</v>
      </c>
      <c r="O90" s="129" t="str">
        <f>+VLOOKUP(B92,BOM!$A$8:$AB$1078,26,0)</f>
        <v>2xA+ 2xB</v>
      </c>
      <c r="P90" s="10" t="str">
        <f t="shared" si="4"/>
        <v>ok</v>
      </c>
    </row>
    <row r="91" spans="1:16" ht="15">
      <c r="A91" s="153">
        <v>89</v>
      </c>
      <c r="B91" s="53" t="s">
        <v>155</v>
      </c>
      <c r="C91" s="126" t="s">
        <v>157</v>
      </c>
      <c r="D91" s="55">
        <v>2</v>
      </c>
      <c r="E91" s="77" t="s">
        <v>2388</v>
      </c>
      <c r="F91" s="126" t="s">
        <v>39</v>
      </c>
      <c r="G91" s="126" t="s">
        <v>1667</v>
      </c>
      <c r="H91" s="127">
        <v>2</v>
      </c>
      <c r="I91" s="49" t="s">
        <v>2492</v>
      </c>
      <c r="J91" s="52"/>
      <c r="K91" s="49"/>
      <c r="L91" s="49" t="s">
        <v>2501</v>
      </c>
      <c r="M91" s="76">
        <v>45702</v>
      </c>
      <c r="N91" s="128">
        <f>+VLOOKUP(B93,BOM!$A$8:$AB$1078,25,0)</f>
        <v>2</v>
      </c>
      <c r="O91" s="129" t="str">
        <f>+VLOOKUP(B93,BOM!$A$8:$AB$1078,26,0)</f>
        <v>A</v>
      </c>
      <c r="P91" s="10" t="str">
        <f t="shared" si="4"/>
        <v>ok</v>
      </c>
    </row>
    <row r="92" spans="1:16" ht="15">
      <c r="A92" s="153">
        <v>90</v>
      </c>
      <c r="B92" s="53" t="s">
        <v>152</v>
      </c>
      <c r="C92" s="126" t="s">
        <v>154</v>
      </c>
      <c r="D92" s="55">
        <v>4</v>
      </c>
      <c r="E92" s="77" t="s">
        <v>2388</v>
      </c>
      <c r="F92" s="126" t="s">
        <v>39</v>
      </c>
      <c r="G92" s="126" t="s">
        <v>1667</v>
      </c>
      <c r="H92" s="127">
        <v>4</v>
      </c>
      <c r="I92" s="49" t="s">
        <v>2492</v>
      </c>
      <c r="J92" s="52"/>
      <c r="K92" s="49"/>
      <c r="L92" s="49" t="s">
        <v>2502</v>
      </c>
      <c r="M92" s="76">
        <v>45702</v>
      </c>
      <c r="N92" s="128">
        <f>+VLOOKUP(B94,BOM!$A$8:$AB$1078,25,0)</f>
        <v>2</v>
      </c>
      <c r="O92" s="129" t="str">
        <f>+VLOOKUP(B94,BOM!$A$8:$AB$1078,26,0)</f>
        <v>A</v>
      </c>
      <c r="P92" s="10" t="str">
        <f t="shared" si="4"/>
        <v>ok</v>
      </c>
    </row>
    <row r="93" spans="1:16" ht="15">
      <c r="A93" s="153">
        <v>91</v>
      </c>
      <c r="B93" s="53" t="s">
        <v>196</v>
      </c>
      <c r="C93" s="126" t="s">
        <v>198</v>
      </c>
      <c r="D93" s="52">
        <v>2</v>
      </c>
      <c r="E93" s="81" t="s">
        <v>2388</v>
      </c>
      <c r="F93" s="126" t="s">
        <v>39</v>
      </c>
      <c r="G93" s="126" t="s">
        <v>1667</v>
      </c>
      <c r="H93" s="127">
        <v>2</v>
      </c>
      <c r="I93" s="49" t="s">
        <v>2389</v>
      </c>
      <c r="J93" s="52"/>
      <c r="K93" s="49"/>
      <c r="L93" s="49" t="s">
        <v>2503</v>
      </c>
      <c r="M93" s="76">
        <v>45702</v>
      </c>
      <c r="N93" s="128">
        <f>+VLOOKUP(B95,BOM!$A$8:$AB$1078,25,0)</f>
        <v>1</v>
      </c>
      <c r="O93" s="129" t="str">
        <f>+VLOOKUP(B95,BOM!$A$8:$AB$1078,26,0)</f>
        <v>A</v>
      </c>
      <c r="P93" s="10" t="str">
        <f t="shared" si="4"/>
        <v>ok</v>
      </c>
    </row>
    <row r="94" spans="1:16" ht="15">
      <c r="A94" s="153">
        <v>92</v>
      </c>
      <c r="B94" s="53" t="s">
        <v>199</v>
      </c>
      <c r="C94" s="126" t="s">
        <v>201</v>
      </c>
      <c r="D94" s="52">
        <v>2</v>
      </c>
      <c r="E94" s="81" t="s">
        <v>2388</v>
      </c>
      <c r="F94" s="126" t="s">
        <v>39</v>
      </c>
      <c r="G94" s="126" t="s">
        <v>1667</v>
      </c>
      <c r="H94" s="127">
        <v>2</v>
      </c>
      <c r="I94" s="49" t="s">
        <v>2389</v>
      </c>
      <c r="J94" s="52"/>
      <c r="K94" s="49"/>
      <c r="L94" s="49" t="s">
        <v>2504</v>
      </c>
      <c r="M94" s="76">
        <v>45429</v>
      </c>
      <c r="N94" s="128">
        <f>+VLOOKUP(B96,BOM!$A$8:$AB$1078,25,0)</f>
        <v>2</v>
      </c>
      <c r="O94" s="129" t="str">
        <f>+VLOOKUP(B96,BOM!$A$8:$AB$1078,26,0)</f>
        <v>A</v>
      </c>
      <c r="P94" s="10" t="str">
        <f t="shared" si="4"/>
        <v>ok</v>
      </c>
    </row>
    <row r="95" spans="1:16" ht="15">
      <c r="A95" s="153">
        <v>93</v>
      </c>
      <c r="B95" s="53" t="s">
        <v>202</v>
      </c>
      <c r="C95" s="126" t="s">
        <v>203</v>
      </c>
      <c r="D95" s="52">
        <v>1</v>
      </c>
      <c r="E95" s="81" t="s">
        <v>2388</v>
      </c>
      <c r="F95" s="126" t="s">
        <v>39</v>
      </c>
      <c r="G95" s="126" t="s">
        <v>1667</v>
      </c>
      <c r="H95" s="127">
        <v>1</v>
      </c>
      <c r="I95" s="49" t="s">
        <v>2389</v>
      </c>
      <c r="J95" s="52"/>
      <c r="K95" s="49"/>
      <c r="L95" s="49" t="s">
        <v>2505</v>
      </c>
      <c r="M95" s="76">
        <v>45429</v>
      </c>
      <c r="N95" s="128">
        <f>+VLOOKUP(B97,BOM!$A$8:$AB$1078,25,0)</f>
        <v>1</v>
      </c>
      <c r="O95" s="129" t="str">
        <f>+VLOOKUP(B97,BOM!$A$8:$AB$1078,26,0)</f>
        <v>A</v>
      </c>
      <c r="P95" s="10" t="str">
        <f t="shared" si="4"/>
        <v>ok</v>
      </c>
    </row>
    <row r="96" spans="1:16" ht="15">
      <c r="A96" s="153">
        <v>94</v>
      </c>
      <c r="B96" s="53" t="s">
        <v>206</v>
      </c>
      <c r="C96" s="126" t="s">
        <v>207</v>
      </c>
      <c r="D96" s="55">
        <v>2</v>
      </c>
      <c r="E96" s="56" t="s">
        <v>2388</v>
      </c>
      <c r="F96" s="126" t="s">
        <v>39</v>
      </c>
      <c r="G96" s="126" t="s">
        <v>1667</v>
      </c>
      <c r="H96" s="127">
        <v>2</v>
      </c>
      <c r="I96" s="49" t="s">
        <v>2389</v>
      </c>
      <c r="J96" s="52"/>
      <c r="K96" s="49"/>
      <c r="L96" s="49" t="s">
        <v>2506</v>
      </c>
      <c r="M96" s="76">
        <v>45429</v>
      </c>
      <c r="N96" s="128">
        <f>+VLOOKUP(B98,BOM!$A$8:$AB$1078,25,0)</f>
        <v>1</v>
      </c>
      <c r="O96" s="129" t="str">
        <f>+VLOOKUP(B98,BOM!$A$8:$AB$1078,26,0)</f>
        <v>A</v>
      </c>
      <c r="P96" s="10" t="str">
        <f t="shared" si="4"/>
        <v>ok</v>
      </c>
    </row>
    <row r="97" spans="1:16" ht="15">
      <c r="A97" s="153">
        <v>95</v>
      </c>
      <c r="B97" s="53" t="s">
        <v>208</v>
      </c>
      <c r="C97" s="126" t="s">
        <v>209</v>
      </c>
      <c r="D97" s="55">
        <v>1</v>
      </c>
      <c r="E97" s="56" t="s">
        <v>2388</v>
      </c>
      <c r="F97" s="126" t="s">
        <v>39</v>
      </c>
      <c r="G97" s="126" t="s">
        <v>1667</v>
      </c>
      <c r="H97" s="127">
        <v>1</v>
      </c>
      <c r="I97" s="49" t="s">
        <v>2389</v>
      </c>
      <c r="J97" s="52"/>
      <c r="K97" s="49"/>
      <c r="L97" s="49" t="s">
        <v>2507</v>
      </c>
      <c r="M97" s="76">
        <v>45526</v>
      </c>
      <c r="N97" s="128">
        <f>+VLOOKUP(B99,BOM!$A$8:$AB$1078,25,0)</f>
        <v>4</v>
      </c>
      <c r="O97" s="129" t="str">
        <f>+VLOOKUP(B99,BOM!$A$8:$AB$1078,26,0)</f>
        <v>A</v>
      </c>
      <c r="P97" s="10" t="str">
        <f t="shared" si="4"/>
        <v>ok</v>
      </c>
    </row>
    <row r="98" spans="1:16" ht="15">
      <c r="A98" s="153">
        <v>96</v>
      </c>
      <c r="B98" s="53" t="s">
        <v>210</v>
      </c>
      <c r="C98" s="126" t="s">
        <v>211</v>
      </c>
      <c r="D98" s="55">
        <v>1</v>
      </c>
      <c r="E98" s="56" t="s">
        <v>2388</v>
      </c>
      <c r="F98" s="126" t="s">
        <v>39</v>
      </c>
      <c r="G98" s="126" t="s">
        <v>1667</v>
      </c>
      <c r="H98" s="127">
        <v>1</v>
      </c>
      <c r="I98" s="49" t="s">
        <v>2389</v>
      </c>
      <c r="J98" s="52"/>
      <c r="K98" s="49"/>
      <c r="L98" s="49" t="s">
        <v>2508</v>
      </c>
      <c r="M98" s="76">
        <v>45429</v>
      </c>
      <c r="N98" s="128">
        <f>+VLOOKUP(B100,BOM!$A$8:$AB$1078,25,0)</f>
        <v>2</v>
      </c>
      <c r="O98" s="129" t="str">
        <f>+VLOOKUP(B100,BOM!$A$8:$AB$1078,26,0)</f>
        <v>A</v>
      </c>
      <c r="P98" s="10" t="str">
        <f t="shared" si="4"/>
        <v>ok</v>
      </c>
    </row>
    <row r="99" spans="1:16" ht="15">
      <c r="A99" s="153">
        <v>97</v>
      </c>
      <c r="B99" s="53" t="s">
        <v>221</v>
      </c>
      <c r="C99" s="126" t="s">
        <v>222</v>
      </c>
      <c r="D99" s="55">
        <v>4</v>
      </c>
      <c r="E99" s="56" t="s">
        <v>2388</v>
      </c>
      <c r="F99" s="126" t="s">
        <v>39</v>
      </c>
      <c r="G99" s="126" t="s">
        <v>1667</v>
      </c>
      <c r="H99" s="127">
        <v>4</v>
      </c>
      <c r="I99" s="49" t="s">
        <v>2389</v>
      </c>
      <c r="J99" s="52"/>
      <c r="K99" s="49"/>
      <c r="L99" s="49" t="s">
        <v>2509</v>
      </c>
      <c r="M99" s="76">
        <v>45429</v>
      </c>
      <c r="N99" s="128">
        <f>+VLOOKUP(B101,BOM!$A$8:$AB$1078,25,0)</f>
        <v>1</v>
      </c>
      <c r="O99" s="129" t="str">
        <f>+VLOOKUP(B101,BOM!$A$8:$AB$1078,26,0)</f>
        <v>D</v>
      </c>
      <c r="P99" s="10" t="str">
        <f t="shared" si="4"/>
        <v>ok</v>
      </c>
    </row>
    <row r="100" spans="1:16" ht="15" customHeight="1">
      <c r="A100" s="153">
        <v>98</v>
      </c>
      <c r="B100" s="53" t="s">
        <v>223</v>
      </c>
      <c r="C100" s="126" t="s">
        <v>211</v>
      </c>
      <c r="D100" s="55">
        <v>2</v>
      </c>
      <c r="E100" s="56" t="s">
        <v>2388</v>
      </c>
      <c r="F100" s="126" t="s">
        <v>39</v>
      </c>
      <c r="G100" s="126" t="s">
        <v>1667</v>
      </c>
      <c r="H100" s="127">
        <v>2</v>
      </c>
      <c r="I100" s="49" t="s">
        <v>2389</v>
      </c>
      <c r="J100" s="52"/>
      <c r="K100" s="49"/>
      <c r="L100" s="49" t="s">
        <v>2510</v>
      </c>
      <c r="M100" s="76">
        <v>45429</v>
      </c>
      <c r="N100" s="128">
        <f>+VLOOKUP(B102,BOM!$A$8:$AB$1078,25,0)</f>
        <v>1</v>
      </c>
      <c r="O100" s="129" t="str">
        <f>+VLOOKUP(B102,BOM!$A$8:$AB$1078,26,0)</f>
        <v>C</v>
      </c>
      <c r="P100" s="10" t="str">
        <f t="shared" si="4"/>
        <v>ok</v>
      </c>
    </row>
    <row r="101" spans="1:16" ht="15" customHeight="1">
      <c r="A101" s="153">
        <v>99</v>
      </c>
      <c r="B101" s="53" t="s">
        <v>412</v>
      </c>
      <c r="C101" s="126" t="s">
        <v>414</v>
      </c>
      <c r="D101" s="55">
        <v>1</v>
      </c>
      <c r="E101" s="56" t="s">
        <v>2391</v>
      </c>
      <c r="F101" s="126" t="s">
        <v>39</v>
      </c>
      <c r="G101" s="126" t="s">
        <v>1781</v>
      </c>
      <c r="H101" s="127">
        <v>1</v>
      </c>
      <c r="I101" s="49" t="s">
        <v>2511</v>
      </c>
      <c r="J101" s="52" t="s">
        <v>2414</v>
      </c>
      <c r="K101" s="49"/>
      <c r="L101" s="49" t="s">
        <v>2512</v>
      </c>
      <c r="M101" s="82"/>
      <c r="N101" s="128">
        <f>+VLOOKUP(B103,BOM!$A$8:$AB$1078,25,0)</f>
        <v>1</v>
      </c>
      <c r="O101" s="129" t="str">
        <f>+VLOOKUP(B103,BOM!$A$8:$AB$1078,26,0)</f>
        <v>C</v>
      </c>
      <c r="P101" s="10" t="str">
        <f t="shared" si="4"/>
        <v>ok</v>
      </c>
    </row>
    <row r="102" spans="1:16" ht="15">
      <c r="A102" s="153">
        <v>100</v>
      </c>
      <c r="B102" s="53" t="s">
        <v>2083</v>
      </c>
      <c r="C102" s="126" t="s">
        <v>1794</v>
      </c>
      <c r="D102" s="55">
        <v>1</v>
      </c>
      <c r="E102" s="56" t="s">
        <v>2391</v>
      </c>
      <c r="F102" s="126" t="s">
        <v>39</v>
      </c>
      <c r="G102" s="126" t="s">
        <v>1667</v>
      </c>
      <c r="H102" s="127">
        <v>1</v>
      </c>
      <c r="I102" s="49" t="s">
        <v>2449</v>
      </c>
      <c r="J102" s="52">
        <v>2</v>
      </c>
      <c r="K102" s="49" t="s">
        <v>2450</v>
      </c>
      <c r="L102" s="49" t="s">
        <v>2513</v>
      </c>
      <c r="M102" s="82"/>
    </row>
    <row r="103" spans="1:16" ht="15">
      <c r="A103" s="153">
        <v>101</v>
      </c>
      <c r="B103" s="53" t="s">
        <v>86</v>
      </c>
      <c r="C103" s="126" t="s">
        <v>87</v>
      </c>
      <c r="D103" s="52">
        <v>1</v>
      </c>
      <c r="E103" s="81" t="s">
        <v>2391</v>
      </c>
      <c r="F103" s="126" t="s">
        <v>39</v>
      </c>
      <c r="G103" s="126" t="s">
        <v>1667</v>
      </c>
      <c r="H103" s="127">
        <v>1</v>
      </c>
      <c r="I103" s="49" t="s">
        <v>2449</v>
      </c>
      <c r="J103" s="52" t="s">
        <v>2411</v>
      </c>
      <c r="K103" s="49" t="s">
        <v>2450</v>
      </c>
      <c r="L103" s="49" t="s">
        <v>2514</v>
      </c>
      <c r="M103" s="76">
        <v>45429</v>
      </c>
      <c r="N103" s="128">
        <f>+VLOOKUP(B105,BOM!$A$8:$AB$1078,25,0)</f>
        <v>2</v>
      </c>
      <c r="O103" s="129" t="str">
        <f>+VLOOKUP(B105,BOM!$A$8:$AB$1078,26,0)</f>
        <v>C</v>
      </c>
      <c r="P103" s="10" t="str">
        <f t="shared" ref="P103:P126" si="5">+IF(N103=D105,"ok","")</f>
        <v>ok</v>
      </c>
    </row>
    <row r="104" spans="1:16" ht="15">
      <c r="A104" s="153">
        <v>102</v>
      </c>
      <c r="B104" s="60" t="s">
        <v>377</v>
      </c>
      <c r="C104" s="126" t="s">
        <v>378</v>
      </c>
      <c r="D104" s="52">
        <v>2</v>
      </c>
      <c r="E104" s="56" t="s">
        <v>2391</v>
      </c>
      <c r="F104" s="126" t="s">
        <v>39</v>
      </c>
      <c r="G104" s="126" t="s">
        <v>1667</v>
      </c>
      <c r="H104" s="127">
        <v>2</v>
      </c>
      <c r="I104" s="49" t="s">
        <v>2449</v>
      </c>
      <c r="J104" s="52" t="s">
        <v>2411</v>
      </c>
      <c r="K104" s="49" t="s">
        <v>2450</v>
      </c>
      <c r="L104" s="49" t="s">
        <v>2515</v>
      </c>
      <c r="M104" s="76">
        <v>45429</v>
      </c>
      <c r="N104" s="128">
        <f>+VLOOKUP(B106,BOM!$A$8:$AB$1078,25,0)</f>
        <v>1</v>
      </c>
      <c r="O104" s="129" t="str">
        <f>+VLOOKUP(B106,BOM!$A$8:$AB$1078,26,0)</f>
        <v>D</v>
      </c>
      <c r="P104" s="10" t="str">
        <f t="shared" si="5"/>
        <v>ok</v>
      </c>
    </row>
    <row r="105" spans="1:16" ht="15" customHeight="1">
      <c r="A105" s="153">
        <v>103</v>
      </c>
      <c r="B105" s="53" t="s">
        <v>393</v>
      </c>
      <c r="C105" s="126" t="s">
        <v>395</v>
      </c>
      <c r="D105" s="55">
        <v>2</v>
      </c>
      <c r="E105" s="77" t="s">
        <v>2391</v>
      </c>
      <c r="F105" s="126" t="s">
        <v>39</v>
      </c>
      <c r="G105" s="126" t="s">
        <v>1667</v>
      </c>
      <c r="H105" s="127">
        <v>2</v>
      </c>
      <c r="I105" s="49" t="s">
        <v>2449</v>
      </c>
      <c r="J105" s="52" t="s">
        <v>2411</v>
      </c>
      <c r="K105" s="49" t="s">
        <v>2450</v>
      </c>
      <c r="L105" s="49" t="s">
        <v>2516</v>
      </c>
      <c r="M105" s="76">
        <v>45429</v>
      </c>
      <c r="N105" s="128">
        <f>+VLOOKUP(B107,BOM!$A$8:$AB$1078,25,0)</f>
        <v>1</v>
      </c>
      <c r="O105" s="129" t="str">
        <f>+VLOOKUP(B107,BOM!$A$8:$AB$1078,26,0)</f>
        <v>D</v>
      </c>
      <c r="P105" s="10" t="str">
        <f t="shared" si="5"/>
        <v>ok</v>
      </c>
    </row>
    <row r="106" spans="1:16" ht="15">
      <c r="A106" s="153">
        <v>104</v>
      </c>
      <c r="B106" s="53" t="s">
        <v>1716</v>
      </c>
      <c r="C106" s="126" t="s">
        <v>1717</v>
      </c>
      <c r="D106" s="55">
        <v>1</v>
      </c>
      <c r="E106" s="77" t="s">
        <v>2391</v>
      </c>
      <c r="F106" s="126" t="s">
        <v>39</v>
      </c>
      <c r="G106" s="126" t="s">
        <v>1667</v>
      </c>
      <c r="H106" s="127">
        <v>1</v>
      </c>
      <c r="I106" s="49" t="s">
        <v>2447</v>
      </c>
      <c r="J106" s="52"/>
      <c r="K106" s="49"/>
      <c r="L106" s="49" t="s">
        <v>2517</v>
      </c>
      <c r="M106" s="76">
        <v>45429</v>
      </c>
      <c r="N106" s="128">
        <f>+VLOOKUP(B108,BOM!$A$8:$AB$1078,25,0)</f>
        <v>1</v>
      </c>
      <c r="O106" s="129" t="str">
        <f>+VLOOKUP(B108,BOM!$A$8:$AB$1078,26,0)</f>
        <v>D</v>
      </c>
      <c r="P106" s="10" t="str">
        <f t="shared" si="5"/>
        <v>ok</v>
      </c>
    </row>
    <row r="107" spans="1:16" ht="15" customHeight="1">
      <c r="A107" s="153">
        <v>105</v>
      </c>
      <c r="B107" s="53" t="s">
        <v>1718</v>
      </c>
      <c r="C107" s="126" t="s">
        <v>1719</v>
      </c>
      <c r="D107" s="55">
        <v>1</v>
      </c>
      <c r="E107" s="56" t="s">
        <v>2391</v>
      </c>
      <c r="F107" s="126" t="s">
        <v>39</v>
      </c>
      <c r="G107" s="126" t="s">
        <v>1667</v>
      </c>
      <c r="H107" s="127">
        <v>1</v>
      </c>
      <c r="I107" s="49" t="s">
        <v>2447</v>
      </c>
      <c r="J107" s="52"/>
      <c r="K107" s="49"/>
      <c r="L107" s="49" t="s">
        <v>2518</v>
      </c>
      <c r="M107" s="76">
        <v>45429</v>
      </c>
      <c r="N107" s="128">
        <f>+VLOOKUP(B109,BOM!$A$8:$AB$1078,25,0)</f>
        <v>1</v>
      </c>
      <c r="O107" s="129">
        <f>+VLOOKUP(B109,BOM!$A$8:$AB$1078,26,0)</f>
        <v>5</v>
      </c>
      <c r="P107" s="10" t="str">
        <f t="shared" si="5"/>
        <v>ok</v>
      </c>
    </row>
    <row r="108" spans="1:16" ht="15">
      <c r="A108" s="153">
        <v>106</v>
      </c>
      <c r="B108" s="53" t="s">
        <v>2142</v>
      </c>
      <c r="C108" s="126" t="s">
        <v>54</v>
      </c>
      <c r="D108" s="55">
        <v>1</v>
      </c>
      <c r="E108" s="56" t="s">
        <v>2391</v>
      </c>
      <c r="F108" s="126" t="s">
        <v>39</v>
      </c>
      <c r="G108" s="126" t="s">
        <v>1664</v>
      </c>
      <c r="H108" s="127">
        <v>8</v>
      </c>
      <c r="I108" s="49" t="s">
        <v>2511</v>
      </c>
      <c r="J108" s="52"/>
      <c r="K108" s="49"/>
      <c r="L108" s="49" t="s">
        <v>2519</v>
      </c>
      <c r="M108" s="76">
        <v>45429</v>
      </c>
      <c r="N108" s="128">
        <f>+VLOOKUP(B110,BOM!$A$8:$AB$1078,25,0)</f>
        <v>1</v>
      </c>
      <c r="O108" s="129">
        <f>+VLOOKUP(B110,BOM!$A$8:$AB$1078,26,0)</f>
        <v>0</v>
      </c>
      <c r="P108" s="10" t="str">
        <f t="shared" si="5"/>
        <v>ok</v>
      </c>
    </row>
    <row r="109" spans="1:16" ht="15">
      <c r="A109" s="153">
        <v>107</v>
      </c>
      <c r="B109" s="59" t="s">
        <v>1703</v>
      </c>
      <c r="C109" s="126" t="s">
        <v>10</v>
      </c>
      <c r="D109" s="55">
        <v>1</v>
      </c>
      <c r="E109" s="56" t="s">
        <v>2437</v>
      </c>
      <c r="F109" s="126" t="s">
        <v>1704</v>
      </c>
      <c r="G109" s="126" t="s">
        <v>1667</v>
      </c>
      <c r="H109" s="127">
        <v>1</v>
      </c>
      <c r="I109" s="49" t="s">
        <v>2438</v>
      </c>
      <c r="J109" s="52" t="s">
        <v>2411</v>
      </c>
      <c r="K109" s="49" t="s">
        <v>2520</v>
      </c>
      <c r="L109" s="49" t="s">
        <v>2521</v>
      </c>
      <c r="M109" s="76">
        <v>45429</v>
      </c>
      <c r="N109" s="128">
        <f>+VLOOKUP(B111,BOM!$A$8:$AB$1078,25,0)</f>
        <v>1</v>
      </c>
      <c r="O109" s="129">
        <f>+VLOOKUP(B111,BOM!$A$8:$AB$1078,26,0)</f>
        <v>1</v>
      </c>
      <c r="P109" s="10" t="str">
        <f t="shared" si="5"/>
        <v>ok</v>
      </c>
    </row>
    <row r="110" spans="1:16" ht="15">
      <c r="A110" s="153">
        <v>108</v>
      </c>
      <c r="B110" s="53" t="s">
        <v>1795</v>
      </c>
      <c r="C110" s="126" t="s">
        <v>1796</v>
      </c>
      <c r="D110" s="55">
        <v>1</v>
      </c>
      <c r="E110" s="56" t="s">
        <v>2385</v>
      </c>
      <c r="F110" s="126" t="s">
        <v>12</v>
      </c>
      <c r="G110" s="126" t="s">
        <v>1667</v>
      </c>
      <c r="H110" s="127">
        <v>1</v>
      </c>
      <c r="I110" s="49" t="s">
        <v>2386</v>
      </c>
      <c r="J110" s="52" t="s">
        <v>2397</v>
      </c>
      <c r="K110" s="49"/>
      <c r="L110" s="49" t="s">
        <v>2522</v>
      </c>
      <c r="M110" s="76">
        <v>45429</v>
      </c>
      <c r="N110" s="128">
        <f>+VLOOKUP(B112,BOM!$A$8:$AB$1078,25,0)</f>
        <v>2</v>
      </c>
      <c r="O110" s="129">
        <f>+VLOOKUP(B112,BOM!$A$8:$AB$1078,26,0)</f>
        <v>0</v>
      </c>
      <c r="P110" s="10" t="str">
        <f t="shared" si="5"/>
        <v>ok</v>
      </c>
    </row>
    <row r="111" spans="1:16" ht="15">
      <c r="A111" s="153">
        <v>109</v>
      </c>
      <c r="B111" s="53" t="s">
        <v>458</v>
      </c>
      <c r="C111" s="126" t="s">
        <v>460</v>
      </c>
      <c r="D111" s="55">
        <v>1</v>
      </c>
      <c r="E111" s="56" t="s">
        <v>2385</v>
      </c>
      <c r="F111" s="126" t="s">
        <v>12</v>
      </c>
      <c r="G111" s="128" t="s">
        <v>1667</v>
      </c>
      <c r="H111" s="127">
        <v>1</v>
      </c>
      <c r="I111" s="49" t="s">
        <v>2386</v>
      </c>
      <c r="J111" s="52" t="s">
        <v>2397</v>
      </c>
      <c r="K111" s="49"/>
      <c r="L111" s="49" t="s">
        <v>2523</v>
      </c>
      <c r="M111" s="76">
        <v>45429</v>
      </c>
      <c r="N111" s="128">
        <f>+VLOOKUP(B113,BOM!$A$8:$AB$1078,25,0)</f>
        <v>1</v>
      </c>
      <c r="O111" s="129">
        <f>+VLOOKUP(B113,BOM!$A$8:$AB$1078,26,0)</f>
        <v>0</v>
      </c>
      <c r="P111" s="10" t="str">
        <f t="shared" si="5"/>
        <v>ok</v>
      </c>
    </row>
    <row r="112" spans="1:16" ht="15">
      <c r="A112" s="153">
        <v>110</v>
      </c>
      <c r="B112" s="53" t="s">
        <v>743</v>
      </c>
      <c r="C112" s="126" t="s">
        <v>745</v>
      </c>
      <c r="D112" s="55">
        <v>2</v>
      </c>
      <c r="E112" s="56" t="s">
        <v>2385</v>
      </c>
      <c r="F112" s="126" t="s">
        <v>12</v>
      </c>
      <c r="G112" s="126" t="s">
        <v>1667</v>
      </c>
      <c r="H112" s="127">
        <v>2</v>
      </c>
      <c r="I112" s="49" t="s">
        <v>2386</v>
      </c>
      <c r="J112" s="52" t="s">
        <v>2397</v>
      </c>
      <c r="K112" s="49"/>
      <c r="L112" s="49" t="s">
        <v>2524</v>
      </c>
      <c r="M112" s="76">
        <v>45429</v>
      </c>
      <c r="N112" s="128">
        <f>+VLOOKUP(B114,BOM!$A$8:$AB$1078,25,0)</f>
        <v>1</v>
      </c>
      <c r="O112" s="129">
        <f>+VLOOKUP(B114,BOM!$A$8:$AB$1078,26,0)</f>
        <v>0</v>
      </c>
      <c r="P112" s="10" t="str">
        <f t="shared" si="5"/>
        <v>ok</v>
      </c>
    </row>
    <row r="113" spans="1:16" ht="15">
      <c r="A113" s="153">
        <v>111</v>
      </c>
      <c r="B113" s="53" t="s">
        <v>71</v>
      </c>
      <c r="C113" s="126" t="s">
        <v>73</v>
      </c>
      <c r="D113" s="55">
        <v>1</v>
      </c>
      <c r="E113" s="56" t="s">
        <v>2385</v>
      </c>
      <c r="F113" s="126" t="s">
        <v>12</v>
      </c>
      <c r="G113" s="126" t="s">
        <v>1667</v>
      </c>
      <c r="H113" s="127">
        <v>1</v>
      </c>
      <c r="I113" s="49" t="s">
        <v>2386</v>
      </c>
      <c r="J113" s="52" t="s">
        <v>2411</v>
      </c>
      <c r="K113" s="49"/>
      <c r="L113" s="49" t="s">
        <v>2525</v>
      </c>
      <c r="M113" s="76">
        <v>45429</v>
      </c>
      <c r="N113" s="128">
        <f>+VLOOKUP(B115,BOM!$A$8:$AB$1078,25,0)</f>
        <v>1</v>
      </c>
      <c r="O113" s="129">
        <f>+VLOOKUP(B115,BOM!$A$8:$AB$1078,26,0)</f>
        <v>2</v>
      </c>
      <c r="P113" s="10" t="str">
        <f t="shared" si="5"/>
        <v>ok</v>
      </c>
    </row>
    <row r="114" spans="1:16" ht="15">
      <c r="A114" s="153">
        <v>112</v>
      </c>
      <c r="B114" s="53" t="s">
        <v>411</v>
      </c>
      <c r="C114" s="126" t="s">
        <v>405</v>
      </c>
      <c r="D114" s="55">
        <v>1</v>
      </c>
      <c r="E114" s="56" t="s">
        <v>2385</v>
      </c>
      <c r="F114" s="126" t="s">
        <v>12</v>
      </c>
      <c r="G114" s="126" t="s">
        <v>1667</v>
      </c>
      <c r="H114" s="127">
        <v>1</v>
      </c>
      <c r="I114" s="49" t="s">
        <v>2386</v>
      </c>
      <c r="J114" s="52" t="s">
        <v>2486</v>
      </c>
      <c r="K114" s="49"/>
      <c r="L114" s="49" t="s">
        <v>2526</v>
      </c>
      <c r="M114" s="76">
        <v>45429</v>
      </c>
      <c r="N114" s="128">
        <f>+VLOOKUP(B116,BOM!$A$8:$AB$1078,25,0)</f>
        <v>1</v>
      </c>
      <c r="O114" s="129">
        <f>+VLOOKUP(B116,BOM!$A$8:$AB$1078,26,0)</f>
        <v>2</v>
      </c>
      <c r="P114" s="10" t="str">
        <f t="shared" si="5"/>
        <v>ok</v>
      </c>
    </row>
    <row r="115" spans="1:16" ht="15">
      <c r="A115" s="153">
        <v>113</v>
      </c>
      <c r="B115" s="53" t="s">
        <v>26</v>
      </c>
      <c r="C115" s="126" t="s">
        <v>27</v>
      </c>
      <c r="D115" s="55">
        <v>1</v>
      </c>
      <c r="E115" s="56" t="s">
        <v>2417</v>
      </c>
      <c r="F115" s="126" t="s">
        <v>12</v>
      </c>
      <c r="G115" s="126" t="s">
        <v>1667</v>
      </c>
      <c r="H115" s="127">
        <v>1</v>
      </c>
      <c r="I115" s="49" t="s">
        <v>2418</v>
      </c>
      <c r="J115" s="52" t="s">
        <v>2411</v>
      </c>
      <c r="K115" s="49"/>
      <c r="L115" s="49" t="s">
        <v>2527</v>
      </c>
      <c r="M115" s="76">
        <v>45429</v>
      </c>
      <c r="N115" s="128">
        <f>+VLOOKUP(B117,BOM!$A$8:$AB$1078,25,0)</f>
        <v>1</v>
      </c>
      <c r="O115" s="129">
        <f>+VLOOKUP(B117,BOM!$A$8:$AB$1078,26,0)</f>
        <v>3</v>
      </c>
      <c r="P115" s="10" t="str">
        <f t="shared" si="5"/>
        <v>ok</v>
      </c>
    </row>
    <row r="116" spans="1:16" ht="15">
      <c r="A116" s="153">
        <v>114</v>
      </c>
      <c r="B116" s="53" t="s">
        <v>28</v>
      </c>
      <c r="C116" s="126" t="s">
        <v>29</v>
      </c>
      <c r="D116" s="55">
        <v>1</v>
      </c>
      <c r="E116" s="56" t="s">
        <v>2417</v>
      </c>
      <c r="F116" s="126" t="s">
        <v>12</v>
      </c>
      <c r="G116" s="126" t="s">
        <v>1667</v>
      </c>
      <c r="H116" s="127">
        <v>1</v>
      </c>
      <c r="I116" s="49" t="s">
        <v>2418</v>
      </c>
      <c r="J116" s="52" t="s">
        <v>2411</v>
      </c>
      <c r="K116" s="49"/>
      <c r="L116" s="49" t="s">
        <v>2528</v>
      </c>
      <c r="M116" s="76">
        <v>45702</v>
      </c>
      <c r="N116" s="128">
        <f>+VLOOKUP(B118,BOM!$A$8:$AB$1078,25,0)</f>
        <v>1</v>
      </c>
      <c r="O116" s="129">
        <f>+VLOOKUP(B118,BOM!$A$8:$AB$1078,26,0)</f>
        <v>4</v>
      </c>
      <c r="P116" s="10" t="str">
        <f t="shared" si="5"/>
        <v>ok</v>
      </c>
    </row>
    <row r="117" spans="1:16" ht="15">
      <c r="A117" s="153">
        <v>115</v>
      </c>
      <c r="B117" s="53" t="s">
        <v>1705</v>
      </c>
      <c r="C117" s="126" t="s">
        <v>172</v>
      </c>
      <c r="D117" s="55">
        <v>1</v>
      </c>
      <c r="E117" s="56" t="s">
        <v>2394</v>
      </c>
      <c r="F117" s="126" t="s">
        <v>12</v>
      </c>
      <c r="G117" s="126" t="s">
        <v>1667</v>
      </c>
      <c r="H117" s="127">
        <v>1</v>
      </c>
      <c r="I117" s="49" t="s">
        <v>2425</v>
      </c>
      <c r="J117" s="52" t="s">
        <v>2414</v>
      </c>
      <c r="K117" s="49"/>
      <c r="L117" s="49" t="s">
        <v>2529</v>
      </c>
      <c r="M117" s="76">
        <v>45702</v>
      </c>
      <c r="N117" s="128">
        <f>+VLOOKUP(B119,BOM!$A$8:$AB$1078,25,0)</f>
        <v>1</v>
      </c>
      <c r="O117" s="129">
        <f>+VLOOKUP(B119,BOM!$A$8:$AB$1078,26,0)</f>
        <v>5</v>
      </c>
      <c r="P117" s="10" t="str">
        <f t="shared" si="5"/>
        <v>ok</v>
      </c>
    </row>
    <row r="118" spans="1:16" ht="15">
      <c r="A118" s="153">
        <v>116</v>
      </c>
      <c r="B118" s="53" t="s">
        <v>218</v>
      </c>
      <c r="C118" s="126" t="s">
        <v>220</v>
      </c>
      <c r="D118" s="55">
        <v>1</v>
      </c>
      <c r="E118" s="77" t="s">
        <v>2427</v>
      </c>
      <c r="F118" s="126" t="s">
        <v>12</v>
      </c>
      <c r="G118" s="126" t="s">
        <v>1667</v>
      </c>
      <c r="H118" s="127">
        <v>1</v>
      </c>
      <c r="I118" s="49" t="s">
        <v>2428</v>
      </c>
      <c r="J118" s="52" t="s">
        <v>2486</v>
      </c>
      <c r="K118" s="49"/>
      <c r="L118" s="49" t="s">
        <v>2530</v>
      </c>
      <c r="M118" s="76">
        <v>45429</v>
      </c>
      <c r="N118" s="128">
        <f>+VLOOKUP(B120,BOM!$A$8:$AB$1078,25,0)</f>
        <v>1</v>
      </c>
      <c r="O118" s="129">
        <f>+VLOOKUP(B120,BOM!$A$8:$AB$1078,26,0)</f>
        <v>5</v>
      </c>
      <c r="P118" s="10" t="str">
        <f t="shared" si="5"/>
        <v>ok</v>
      </c>
    </row>
    <row r="119" spans="1:16" ht="15">
      <c r="A119" s="153">
        <v>117</v>
      </c>
      <c r="B119" s="53" t="s">
        <v>457</v>
      </c>
      <c r="C119" s="126" t="s">
        <v>21</v>
      </c>
      <c r="D119" s="55">
        <v>1</v>
      </c>
      <c r="E119" s="81" t="s">
        <v>2437</v>
      </c>
      <c r="F119" s="126" t="s">
        <v>12</v>
      </c>
      <c r="G119" s="126" t="s">
        <v>1667</v>
      </c>
      <c r="H119" s="127">
        <v>1</v>
      </c>
      <c r="I119" s="49" t="s">
        <v>2438</v>
      </c>
      <c r="J119" s="52" t="s">
        <v>2486</v>
      </c>
      <c r="K119" s="49"/>
      <c r="L119" s="49" t="s">
        <v>2531</v>
      </c>
      <c r="M119" s="76">
        <v>45429</v>
      </c>
      <c r="N119" s="128">
        <f>+VLOOKUP(B121,BOM!$A$8:$AB$1078,25,0)</f>
        <v>1</v>
      </c>
      <c r="O119" s="129">
        <f>+VLOOKUP(B121,BOM!$A$8:$AB$1078,26,0)</f>
        <v>5</v>
      </c>
      <c r="P119" s="10" t="str">
        <f t="shared" si="5"/>
        <v>ok</v>
      </c>
    </row>
    <row r="120" spans="1:16" ht="15">
      <c r="A120" s="153">
        <v>118</v>
      </c>
      <c r="B120" s="53" t="s">
        <v>8</v>
      </c>
      <c r="C120" s="126" t="s">
        <v>11</v>
      </c>
      <c r="D120" s="55">
        <v>1</v>
      </c>
      <c r="E120" s="56" t="s">
        <v>2437</v>
      </c>
      <c r="F120" s="126" t="s">
        <v>12</v>
      </c>
      <c r="G120" s="126" t="s">
        <v>1667</v>
      </c>
      <c r="H120" s="127">
        <v>1</v>
      </c>
      <c r="I120" s="49" t="s">
        <v>2438</v>
      </c>
      <c r="J120" s="57"/>
      <c r="K120" s="61"/>
      <c r="L120" s="61" t="s">
        <v>2532</v>
      </c>
      <c r="M120" s="76">
        <v>45429</v>
      </c>
      <c r="N120" s="128">
        <f>+VLOOKUP(B122,BOM!$A$8:$AB$1078,25,0)</f>
        <v>1</v>
      </c>
      <c r="O120" s="129">
        <f>+VLOOKUP(B122,BOM!$A$8:$AB$1078,26,0)</f>
        <v>5</v>
      </c>
      <c r="P120" s="10" t="str">
        <f t="shared" si="5"/>
        <v>ok</v>
      </c>
    </row>
    <row r="121" spans="1:16" ht="15">
      <c r="A121" s="153">
        <v>119</v>
      </c>
      <c r="B121" s="53" t="s">
        <v>60</v>
      </c>
      <c r="C121" s="126" t="s">
        <v>62</v>
      </c>
      <c r="D121" s="55">
        <v>1</v>
      </c>
      <c r="E121" s="56" t="s">
        <v>2437</v>
      </c>
      <c r="F121" s="126" t="s">
        <v>12</v>
      </c>
      <c r="G121" s="126" t="s">
        <v>1667</v>
      </c>
      <c r="H121" s="127">
        <v>1</v>
      </c>
      <c r="I121" s="49" t="s">
        <v>2438</v>
      </c>
      <c r="J121" s="52"/>
      <c r="K121" s="49"/>
      <c r="L121" s="49" t="s">
        <v>2533</v>
      </c>
      <c r="M121" s="76">
        <v>45429</v>
      </c>
      <c r="N121" s="128">
        <f>+VLOOKUP(B123,BOM!$A$8:$AB$1078,25,0)</f>
        <v>1</v>
      </c>
      <c r="O121" s="129">
        <f>+VLOOKUP(B123,BOM!$A$8:$AB$1078,26,0)</f>
        <v>5</v>
      </c>
      <c r="P121" s="10" t="str">
        <f t="shared" si="5"/>
        <v>ok</v>
      </c>
    </row>
    <row r="122" spans="1:16" ht="15">
      <c r="A122" s="153">
        <v>120</v>
      </c>
      <c r="B122" s="59" t="s">
        <v>74</v>
      </c>
      <c r="C122" s="126" t="s">
        <v>76</v>
      </c>
      <c r="D122" s="55">
        <v>1</v>
      </c>
      <c r="E122" s="56" t="s">
        <v>2437</v>
      </c>
      <c r="F122" s="126" t="s">
        <v>12</v>
      </c>
      <c r="G122" s="126" t="s">
        <v>1667</v>
      </c>
      <c r="H122" s="127">
        <v>1</v>
      </c>
      <c r="I122" s="49" t="s">
        <v>2438</v>
      </c>
      <c r="J122" s="52"/>
      <c r="K122" s="49" t="s">
        <v>2439</v>
      </c>
      <c r="L122" s="49" t="s">
        <v>2534</v>
      </c>
      <c r="M122" s="76">
        <v>45429</v>
      </c>
      <c r="N122" s="128">
        <f>+VLOOKUP(B124,BOM!$A$8:$AB$1078,25,0)</f>
        <v>1</v>
      </c>
      <c r="O122" s="129">
        <f>+VLOOKUP(B124,BOM!$A$8:$AB$1078,26,0)</f>
        <v>5</v>
      </c>
      <c r="P122" s="10" t="str">
        <f t="shared" si="5"/>
        <v>ok</v>
      </c>
    </row>
    <row r="123" spans="1:16" ht="15">
      <c r="A123" s="153">
        <v>121</v>
      </c>
      <c r="B123" s="53" t="s">
        <v>80</v>
      </c>
      <c r="C123" s="126" t="s">
        <v>82</v>
      </c>
      <c r="D123" s="55">
        <v>1</v>
      </c>
      <c r="E123" s="56" t="s">
        <v>2437</v>
      </c>
      <c r="F123" s="126" t="s">
        <v>12</v>
      </c>
      <c r="G123" s="126" t="s">
        <v>1667</v>
      </c>
      <c r="H123" s="127">
        <v>1</v>
      </c>
      <c r="I123" s="49" t="s">
        <v>2438</v>
      </c>
      <c r="J123" s="52"/>
      <c r="K123" s="49" t="s">
        <v>2439</v>
      </c>
      <c r="L123" s="49" t="s">
        <v>2535</v>
      </c>
      <c r="M123" s="76">
        <v>45429</v>
      </c>
      <c r="N123" s="128">
        <f>+VLOOKUP(B125,BOM!$A$8:$AB$1078,25,0)</f>
        <v>1</v>
      </c>
      <c r="O123" s="129">
        <f>+VLOOKUP(B125,BOM!$A$8:$AB$1078,26,0)</f>
        <v>5</v>
      </c>
      <c r="P123" s="10" t="str">
        <f t="shared" si="5"/>
        <v>ok</v>
      </c>
    </row>
    <row r="124" spans="1:16" ht="15">
      <c r="A124" s="153">
        <v>122</v>
      </c>
      <c r="B124" s="59" t="s">
        <v>100</v>
      </c>
      <c r="C124" s="126" t="s">
        <v>102</v>
      </c>
      <c r="D124" s="55">
        <v>1</v>
      </c>
      <c r="E124" s="56" t="s">
        <v>2437</v>
      </c>
      <c r="F124" s="126" t="s">
        <v>12</v>
      </c>
      <c r="G124" s="126" t="s">
        <v>1667</v>
      </c>
      <c r="H124" s="127">
        <v>1</v>
      </c>
      <c r="I124" s="49" t="s">
        <v>2438</v>
      </c>
      <c r="J124" s="52"/>
      <c r="K124" s="49" t="s">
        <v>2536</v>
      </c>
      <c r="L124" s="188" t="s">
        <v>2537</v>
      </c>
      <c r="M124" s="76">
        <v>45429</v>
      </c>
      <c r="N124" s="128">
        <f>+VLOOKUP(B126,BOM!$A$8:$AB$1078,25,0)</f>
        <v>1</v>
      </c>
      <c r="O124" s="129">
        <f>+VLOOKUP(B126,BOM!$A$8:$AB$1078,26,0)</f>
        <v>5</v>
      </c>
      <c r="P124" s="10" t="str">
        <f t="shared" si="5"/>
        <v>ok</v>
      </c>
    </row>
    <row r="125" spans="1:16" ht="15">
      <c r="A125" s="153">
        <v>123</v>
      </c>
      <c r="B125" s="53" t="s">
        <v>103</v>
      </c>
      <c r="C125" s="126" t="s">
        <v>105</v>
      </c>
      <c r="D125" s="55">
        <v>1</v>
      </c>
      <c r="E125" s="56" t="s">
        <v>2437</v>
      </c>
      <c r="F125" s="126" t="s">
        <v>12</v>
      </c>
      <c r="G125" s="126" t="s">
        <v>1667</v>
      </c>
      <c r="H125" s="127">
        <v>1</v>
      </c>
      <c r="I125" s="49" t="s">
        <v>2438</v>
      </c>
      <c r="J125" s="52"/>
      <c r="K125" s="49" t="s">
        <v>2441</v>
      </c>
      <c r="L125" s="49" t="s">
        <v>2538</v>
      </c>
      <c r="M125" s="76">
        <v>45429</v>
      </c>
      <c r="N125" s="128">
        <f>+VLOOKUP(B127,BOM!$A$8:$AB$1078,25,0)</f>
        <v>1</v>
      </c>
      <c r="O125" s="129">
        <f>+VLOOKUP(B127,BOM!$A$8:$AB$1078,26,0)</f>
        <v>5</v>
      </c>
      <c r="P125" s="10" t="str">
        <f t="shared" si="5"/>
        <v>ok</v>
      </c>
    </row>
    <row r="126" spans="1:16" ht="15">
      <c r="A126" s="153">
        <v>124</v>
      </c>
      <c r="B126" s="53" t="s">
        <v>183</v>
      </c>
      <c r="C126" s="126" t="s">
        <v>185</v>
      </c>
      <c r="D126" s="55">
        <v>1</v>
      </c>
      <c r="E126" s="56" t="s">
        <v>2437</v>
      </c>
      <c r="F126" s="126" t="s">
        <v>12</v>
      </c>
      <c r="G126" s="126" t="s">
        <v>1667</v>
      </c>
      <c r="H126" s="127">
        <v>1</v>
      </c>
      <c r="I126" s="49" t="s">
        <v>2438</v>
      </c>
      <c r="J126" s="52"/>
      <c r="K126" s="49" t="s">
        <v>2439</v>
      </c>
      <c r="L126" s="49" t="s">
        <v>2539</v>
      </c>
      <c r="M126" s="76">
        <v>45702</v>
      </c>
      <c r="N126" s="128">
        <f>+VLOOKUP(B128,BOM!$A$8:$AB$1078,25,0)</f>
        <v>1</v>
      </c>
      <c r="O126" s="129">
        <f>+VLOOKUP(B128,BOM!$A$8:$AB$1078,26,0)</f>
        <v>6</v>
      </c>
      <c r="P126" s="10" t="str">
        <f t="shared" si="5"/>
        <v>ok</v>
      </c>
    </row>
    <row r="127" spans="1:16" ht="15">
      <c r="A127" s="153">
        <v>125</v>
      </c>
      <c r="B127" s="53" t="s">
        <v>443</v>
      </c>
      <c r="C127" s="126" t="s">
        <v>445</v>
      </c>
      <c r="D127" s="55">
        <v>1</v>
      </c>
      <c r="E127" s="56" t="s">
        <v>2437</v>
      </c>
      <c r="F127" s="126" t="s">
        <v>12</v>
      </c>
      <c r="G127" s="126" t="s">
        <v>1667</v>
      </c>
      <c r="H127" s="127">
        <v>1</v>
      </c>
      <c r="I127" s="49" t="s">
        <v>2438</v>
      </c>
      <c r="J127" s="52"/>
      <c r="K127" s="49" t="s">
        <v>2439</v>
      </c>
      <c r="L127" s="49" t="s">
        <v>2540</v>
      </c>
      <c r="M127" s="76">
        <v>45702</v>
      </c>
      <c r="N127" s="128">
        <f>+VLOOKUP(B129,BOM!$A$8:$AB$1078,25,0)</f>
        <v>1</v>
      </c>
      <c r="O127" s="129">
        <f>+VLOOKUP(B129,BOM!$A$8:$AB$1078,26,0)</f>
        <v>6</v>
      </c>
    </row>
    <row r="128" spans="1:16" ht="15">
      <c r="A128" s="153">
        <v>126</v>
      </c>
      <c r="B128" s="59" t="s">
        <v>359</v>
      </c>
      <c r="C128" s="126" t="s">
        <v>361</v>
      </c>
      <c r="D128" s="55">
        <v>1</v>
      </c>
      <c r="E128" s="56" t="s">
        <v>2443</v>
      </c>
      <c r="F128" s="126" t="s">
        <v>12</v>
      </c>
      <c r="G128" s="126" t="s">
        <v>1667</v>
      </c>
      <c r="H128" s="127">
        <v>1</v>
      </c>
      <c r="I128" s="49" t="s">
        <v>2444</v>
      </c>
      <c r="J128" s="52" t="s">
        <v>2414</v>
      </c>
      <c r="K128" s="49"/>
      <c r="L128" s="49" t="s">
        <v>2541</v>
      </c>
      <c r="M128" s="76">
        <v>45429</v>
      </c>
      <c r="N128" s="128">
        <f>+VLOOKUP(B130,BOM!$A$8:$AB$1078,25,0)</f>
        <v>1</v>
      </c>
      <c r="O128" s="129">
        <f>+VLOOKUP(B130,BOM!$A$8:$AB$1078,26,0)</f>
        <v>6</v>
      </c>
      <c r="P128" s="10" t="str">
        <f t="shared" ref="P128:P159" si="6">+IF(N128=D130,"ok","")</f>
        <v>ok</v>
      </c>
    </row>
    <row r="129" spans="1:16" ht="15">
      <c r="A129" s="153">
        <v>127</v>
      </c>
      <c r="B129" s="59" t="s">
        <v>404</v>
      </c>
      <c r="C129" s="126" t="s">
        <v>405</v>
      </c>
      <c r="D129" s="55">
        <v>1</v>
      </c>
      <c r="E129" s="56" t="s">
        <v>2443</v>
      </c>
      <c r="F129" s="126" t="s">
        <v>12</v>
      </c>
      <c r="G129" s="126" t="s">
        <v>1667</v>
      </c>
      <c r="H129" s="127">
        <v>1</v>
      </c>
      <c r="I129" s="49" t="s">
        <v>2444</v>
      </c>
      <c r="J129" s="52" t="s">
        <v>2414</v>
      </c>
      <c r="K129" s="49"/>
      <c r="L129" s="49" t="s">
        <v>2542</v>
      </c>
      <c r="M129" s="76">
        <v>45429</v>
      </c>
      <c r="N129" s="128">
        <f>+VLOOKUP(B131,BOM!$A$8:$AB$1078,25,0)</f>
        <v>1</v>
      </c>
      <c r="O129" s="129">
        <f>+VLOOKUP(B131,BOM!$A$8:$AB$1078,26,0)</f>
        <v>6</v>
      </c>
      <c r="P129" s="10" t="str">
        <f t="shared" si="6"/>
        <v>ok</v>
      </c>
    </row>
    <row r="130" spans="1:16" ht="15">
      <c r="A130" s="153">
        <v>128</v>
      </c>
      <c r="B130" s="53" t="s">
        <v>446</v>
      </c>
      <c r="C130" s="126" t="s">
        <v>447</v>
      </c>
      <c r="D130" s="55">
        <v>1</v>
      </c>
      <c r="E130" s="56" t="s">
        <v>2443</v>
      </c>
      <c r="F130" s="126" t="s">
        <v>12</v>
      </c>
      <c r="G130" s="126" t="s">
        <v>1667</v>
      </c>
      <c r="H130" s="127">
        <v>1</v>
      </c>
      <c r="I130" s="49" t="s">
        <v>2444</v>
      </c>
      <c r="J130" s="52" t="s">
        <v>2414</v>
      </c>
      <c r="K130" s="49"/>
      <c r="L130" s="49" t="s">
        <v>2543</v>
      </c>
      <c r="M130" s="76">
        <v>45429</v>
      </c>
      <c r="N130" s="128">
        <f>+VLOOKUP(B132,BOM!$A$8:$AB$1078,25,0)</f>
        <v>1</v>
      </c>
      <c r="O130" s="129">
        <f>+VLOOKUP(B132,BOM!$A$8:$AB$1078,26,0)</f>
        <v>6</v>
      </c>
      <c r="P130" s="10" t="str">
        <f t="shared" si="6"/>
        <v>ok</v>
      </c>
    </row>
    <row r="131" spans="1:16" ht="15">
      <c r="A131" s="153">
        <v>129</v>
      </c>
      <c r="B131" s="53" t="s">
        <v>1776</v>
      </c>
      <c r="C131" s="126" t="s">
        <v>1774</v>
      </c>
      <c r="D131" s="55">
        <v>1</v>
      </c>
      <c r="E131" s="56" t="s">
        <v>2443</v>
      </c>
      <c r="F131" s="126" t="s">
        <v>12</v>
      </c>
      <c r="G131" s="126" t="s">
        <v>1667</v>
      </c>
      <c r="H131" s="127">
        <v>1</v>
      </c>
      <c r="I131" s="49" t="s">
        <v>2444</v>
      </c>
      <c r="J131" s="52" t="s">
        <v>2486</v>
      </c>
      <c r="K131" s="49"/>
      <c r="L131" s="49" t="s">
        <v>2544</v>
      </c>
      <c r="M131" s="76">
        <v>45429</v>
      </c>
      <c r="N131" s="128">
        <f>+VLOOKUP(B133,BOM!$A$8:$AB$1078,25,0)</f>
        <v>1</v>
      </c>
      <c r="O131" s="129">
        <f>+VLOOKUP(B133,BOM!$A$8:$AB$1078,26,0)</f>
        <v>6</v>
      </c>
      <c r="P131" s="10" t="str">
        <f t="shared" si="6"/>
        <v>ok</v>
      </c>
    </row>
    <row r="132" spans="1:16" ht="15">
      <c r="A132" s="153">
        <v>130</v>
      </c>
      <c r="B132" s="53" t="s">
        <v>2545</v>
      </c>
      <c r="C132" s="126" t="s">
        <v>417</v>
      </c>
      <c r="D132" s="55">
        <v>1</v>
      </c>
      <c r="E132" s="56" t="s">
        <v>2443</v>
      </c>
      <c r="F132" s="126" t="s">
        <v>12</v>
      </c>
      <c r="G132" s="126" t="s">
        <v>1667</v>
      </c>
      <c r="H132" s="127">
        <v>1</v>
      </c>
      <c r="I132" s="49" t="s">
        <v>2444</v>
      </c>
      <c r="J132" s="52" t="s">
        <v>2486</v>
      </c>
      <c r="K132" s="49"/>
      <c r="L132" s="49" t="s">
        <v>2546</v>
      </c>
      <c r="M132" s="76">
        <v>45429</v>
      </c>
      <c r="N132" s="128">
        <f>+VLOOKUP(B134,BOM!$A$8:$AB$1078,25,0)</f>
        <v>1</v>
      </c>
      <c r="O132" s="129">
        <f>+VLOOKUP(B134,BOM!$A$8:$AB$1078,26,0)</f>
        <v>6</v>
      </c>
      <c r="P132" s="10" t="str">
        <f t="shared" si="6"/>
        <v>ok</v>
      </c>
    </row>
    <row r="133" spans="1:16" ht="15">
      <c r="A133" s="153">
        <v>131</v>
      </c>
      <c r="B133" s="59" t="s">
        <v>1773</v>
      </c>
      <c r="C133" s="126" t="s">
        <v>1774</v>
      </c>
      <c r="D133" s="55">
        <v>1</v>
      </c>
      <c r="E133" s="56" t="s">
        <v>2443</v>
      </c>
      <c r="F133" s="126" t="s">
        <v>12</v>
      </c>
      <c r="G133" s="126" t="s">
        <v>1667</v>
      </c>
      <c r="H133" s="127">
        <v>1</v>
      </c>
      <c r="I133" s="49" t="s">
        <v>2444</v>
      </c>
      <c r="J133" s="52"/>
      <c r="K133" s="49"/>
      <c r="L133" s="49" t="s">
        <v>2547</v>
      </c>
      <c r="M133" s="76">
        <v>45429</v>
      </c>
      <c r="N133" s="128">
        <f>+VLOOKUP(B135,BOM!$A$8:$AB$1078,25,0)</f>
        <v>2</v>
      </c>
      <c r="O133" s="129">
        <f>+VLOOKUP(B135,BOM!$A$8:$AB$1078,26,0)</f>
        <v>6</v>
      </c>
      <c r="P133" s="10" t="str">
        <f t="shared" si="6"/>
        <v>ok</v>
      </c>
    </row>
    <row r="134" spans="1:16" ht="15">
      <c r="A134" s="153">
        <v>132</v>
      </c>
      <c r="B134" s="53" t="s">
        <v>1775</v>
      </c>
      <c r="C134" s="126" t="s">
        <v>1774</v>
      </c>
      <c r="D134" s="55">
        <v>1</v>
      </c>
      <c r="E134" s="56" t="s">
        <v>2443</v>
      </c>
      <c r="F134" s="126" t="s">
        <v>12</v>
      </c>
      <c r="G134" s="126" t="s">
        <v>1667</v>
      </c>
      <c r="H134" s="127">
        <v>1</v>
      </c>
      <c r="I134" s="49" t="s">
        <v>2548</v>
      </c>
      <c r="J134" s="52" t="s">
        <v>2486</v>
      </c>
      <c r="K134" s="49"/>
      <c r="L134" s="49" t="s">
        <v>2549</v>
      </c>
      <c r="M134" s="76">
        <v>45429</v>
      </c>
      <c r="N134" s="128">
        <f>+VLOOKUP(B136,BOM!$A$8:$AB$1078,25,0)</f>
        <v>1</v>
      </c>
      <c r="O134" s="129" t="str">
        <f>+VLOOKUP(B136,BOM!$A$8:$AB$1078,26,0)</f>
        <v>A</v>
      </c>
      <c r="P134" s="10" t="str">
        <f t="shared" si="6"/>
        <v>ok</v>
      </c>
    </row>
    <row r="135" spans="1:16" ht="15">
      <c r="A135" s="153">
        <v>133</v>
      </c>
      <c r="B135" s="53" t="s">
        <v>461</v>
      </c>
      <c r="C135" s="126" t="s">
        <v>463</v>
      </c>
      <c r="D135" s="55">
        <v>2</v>
      </c>
      <c r="E135" s="56" t="s">
        <v>2443</v>
      </c>
      <c r="F135" s="126" t="s">
        <v>12</v>
      </c>
      <c r="G135" s="126" t="s">
        <v>1667</v>
      </c>
      <c r="H135" s="127">
        <v>2</v>
      </c>
      <c r="I135" s="49" t="s">
        <v>2550</v>
      </c>
      <c r="J135" s="52"/>
      <c r="K135" s="49"/>
      <c r="L135" s="49" t="s">
        <v>2551</v>
      </c>
      <c r="M135" s="76">
        <v>45429</v>
      </c>
      <c r="N135" s="128">
        <f>+VLOOKUP(B137,BOM!$A$8:$AB$1078,25,0)</f>
        <v>1</v>
      </c>
      <c r="O135" s="129" t="str">
        <f>+VLOOKUP(B137,BOM!$A$8:$AB$1078,26,0)</f>
        <v>C</v>
      </c>
      <c r="P135" s="10" t="str">
        <f t="shared" si="6"/>
        <v>ok</v>
      </c>
    </row>
    <row r="136" spans="1:16" ht="15">
      <c r="A136" s="153">
        <v>134</v>
      </c>
      <c r="B136" s="53" t="s">
        <v>544</v>
      </c>
      <c r="C136" s="126" t="s">
        <v>116</v>
      </c>
      <c r="D136" s="55">
        <v>1</v>
      </c>
      <c r="E136" s="56" t="s">
        <v>2388</v>
      </c>
      <c r="F136" s="126" t="s">
        <v>12</v>
      </c>
      <c r="G136" s="126" t="s">
        <v>1667</v>
      </c>
      <c r="H136" s="127">
        <v>1</v>
      </c>
      <c r="I136" s="49" t="s">
        <v>2389</v>
      </c>
      <c r="J136" s="52"/>
      <c r="K136" s="49"/>
      <c r="L136" s="49" t="s">
        <v>2552</v>
      </c>
      <c r="M136" s="76">
        <v>45429</v>
      </c>
      <c r="N136" s="128">
        <f>+VLOOKUP(B138,BOM!$A$8:$AB$1078,25,0)</f>
        <v>1</v>
      </c>
      <c r="O136" s="129" t="str">
        <f>+VLOOKUP(B138,BOM!$A$8:$AB$1078,26,0)</f>
        <v>D</v>
      </c>
      <c r="P136" s="10" t="str">
        <f t="shared" si="6"/>
        <v>ok</v>
      </c>
    </row>
    <row r="137" spans="1:16" ht="15">
      <c r="A137" s="153">
        <v>135</v>
      </c>
      <c r="B137" s="53" t="s">
        <v>63</v>
      </c>
      <c r="C137" s="126" t="s">
        <v>65</v>
      </c>
      <c r="D137" s="55">
        <v>1</v>
      </c>
      <c r="E137" s="79" t="s">
        <v>2391</v>
      </c>
      <c r="F137" s="126" t="s">
        <v>12</v>
      </c>
      <c r="G137" s="126" t="s">
        <v>1667</v>
      </c>
      <c r="H137" s="127">
        <v>1</v>
      </c>
      <c r="I137" s="49" t="s">
        <v>2511</v>
      </c>
      <c r="J137" s="52" t="s">
        <v>2414</v>
      </c>
      <c r="K137" s="49"/>
      <c r="L137" s="49" t="s">
        <v>2553</v>
      </c>
      <c r="M137" s="76">
        <v>45429</v>
      </c>
      <c r="N137" s="128">
        <f>+VLOOKUP(B139,BOM!$A$8:$AB$1078,25,0)</f>
        <v>1</v>
      </c>
      <c r="O137" s="129" t="str">
        <f>+VLOOKUP(B139,BOM!$A$8:$AB$1078,26,0)</f>
        <v>D</v>
      </c>
      <c r="P137" s="10" t="str">
        <f t="shared" si="6"/>
        <v>ok</v>
      </c>
    </row>
    <row r="138" spans="1:16" ht="15">
      <c r="A138" s="153">
        <v>136</v>
      </c>
      <c r="B138" s="53" t="s">
        <v>115</v>
      </c>
      <c r="C138" s="126" t="s">
        <v>117</v>
      </c>
      <c r="D138" s="55">
        <v>1</v>
      </c>
      <c r="E138" s="56" t="s">
        <v>2391</v>
      </c>
      <c r="F138" s="126" t="s">
        <v>12</v>
      </c>
      <c r="G138" s="126" t="s">
        <v>1667</v>
      </c>
      <c r="H138" s="127">
        <v>1</v>
      </c>
      <c r="I138" s="49" t="s">
        <v>2511</v>
      </c>
      <c r="J138" s="52" t="s">
        <v>2414</v>
      </c>
      <c r="K138" s="49"/>
      <c r="L138" s="49" t="s">
        <v>2554</v>
      </c>
      <c r="M138" s="76">
        <v>45429</v>
      </c>
      <c r="N138" s="128">
        <f>+VLOOKUP(B140,BOM!$A$8:$AB$1078,25,0)</f>
        <v>1</v>
      </c>
      <c r="O138" s="129" t="str">
        <f>+VLOOKUP(B140,BOM!$A$8:$AB$1078,26,0)</f>
        <v>D</v>
      </c>
      <c r="P138" s="10" t="str">
        <f t="shared" si="6"/>
        <v>ok</v>
      </c>
    </row>
    <row r="139" spans="1:16" ht="15">
      <c r="A139" s="153">
        <v>137</v>
      </c>
      <c r="B139" s="53" t="s">
        <v>350</v>
      </c>
      <c r="C139" s="126" t="s">
        <v>352</v>
      </c>
      <c r="D139" s="55">
        <v>1</v>
      </c>
      <c r="E139" s="56" t="s">
        <v>2391</v>
      </c>
      <c r="F139" s="126" t="s">
        <v>12</v>
      </c>
      <c r="G139" s="126" t="s">
        <v>1667</v>
      </c>
      <c r="H139" s="127">
        <v>1</v>
      </c>
      <c r="I139" s="49" t="s">
        <v>2511</v>
      </c>
      <c r="J139" s="52" t="s">
        <v>2414</v>
      </c>
      <c r="K139" s="49"/>
      <c r="L139" s="49" t="s">
        <v>2555</v>
      </c>
      <c r="M139" s="76">
        <v>45429</v>
      </c>
      <c r="N139" s="128">
        <f>+VLOOKUP(B141,BOM!$A$8:$AB$1078,25,0)</f>
        <v>1</v>
      </c>
      <c r="O139" s="129" t="str">
        <f>+VLOOKUP(B141,BOM!$A$8:$AB$1078,26,0)</f>
        <v>D</v>
      </c>
      <c r="P139" s="10" t="str">
        <f t="shared" si="6"/>
        <v>ok</v>
      </c>
    </row>
    <row r="140" spans="1:16" ht="15">
      <c r="A140" s="153">
        <v>138</v>
      </c>
      <c r="B140" s="64" t="s">
        <v>425</v>
      </c>
      <c r="C140" s="126" t="s">
        <v>427</v>
      </c>
      <c r="D140" s="55">
        <v>1</v>
      </c>
      <c r="E140" s="77" t="s">
        <v>2391</v>
      </c>
      <c r="F140" s="126" t="s">
        <v>12</v>
      </c>
      <c r="G140" s="126" t="s">
        <v>1667</v>
      </c>
      <c r="H140" s="127">
        <v>1</v>
      </c>
      <c r="I140" s="49" t="s">
        <v>2511</v>
      </c>
      <c r="J140" s="52" t="s">
        <v>2414</v>
      </c>
      <c r="K140" s="49"/>
      <c r="L140" s="49" t="s">
        <v>2556</v>
      </c>
      <c r="M140" s="76">
        <v>45429</v>
      </c>
      <c r="N140" s="128">
        <f>+VLOOKUP(B142,BOM!$A$8:$AB$1078,25,0)</f>
        <v>2</v>
      </c>
      <c r="O140" s="129" t="str">
        <f>+VLOOKUP(B142,BOM!$A$8:$AB$1078,26,0)</f>
        <v>D</v>
      </c>
      <c r="P140" s="10" t="str">
        <f t="shared" si="6"/>
        <v>ok</v>
      </c>
    </row>
    <row r="141" spans="1:16" ht="15">
      <c r="A141" s="153">
        <v>139</v>
      </c>
      <c r="B141" s="53" t="s">
        <v>428</v>
      </c>
      <c r="C141" s="126" t="s">
        <v>427</v>
      </c>
      <c r="D141" s="55">
        <v>1</v>
      </c>
      <c r="E141" s="56" t="s">
        <v>2391</v>
      </c>
      <c r="F141" s="126" t="s">
        <v>12</v>
      </c>
      <c r="G141" s="126" t="s">
        <v>1667</v>
      </c>
      <c r="H141" s="127">
        <v>1</v>
      </c>
      <c r="I141" s="49" t="s">
        <v>2511</v>
      </c>
      <c r="J141" s="52" t="s">
        <v>2414</v>
      </c>
      <c r="K141" s="49"/>
      <c r="L141" s="49" t="s">
        <v>2557</v>
      </c>
      <c r="M141" s="76">
        <v>45702</v>
      </c>
      <c r="N141" s="128">
        <f>+VLOOKUP(B143,BOM!$A$8:$AB$1078,25,0)</f>
        <v>1</v>
      </c>
      <c r="O141" s="129" t="str">
        <f>+VLOOKUP(B143,BOM!$A$8:$AB$1078,26,0)</f>
        <v>D</v>
      </c>
      <c r="P141" s="10" t="str">
        <f t="shared" si="6"/>
        <v>ok</v>
      </c>
    </row>
    <row r="142" spans="1:16" ht="15">
      <c r="A142" s="153">
        <v>140</v>
      </c>
      <c r="B142" s="59" t="s">
        <v>432</v>
      </c>
      <c r="C142" s="126" t="s">
        <v>433</v>
      </c>
      <c r="D142" s="55">
        <v>2</v>
      </c>
      <c r="E142" s="56" t="s">
        <v>2391</v>
      </c>
      <c r="F142" s="126" t="s">
        <v>12</v>
      </c>
      <c r="G142" s="126" t="s">
        <v>1667</v>
      </c>
      <c r="H142" s="127">
        <v>2</v>
      </c>
      <c r="I142" s="49" t="s">
        <v>2511</v>
      </c>
      <c r="J142" s="52" t="s">
        <v>2414</v>
      </c>
      <c r="K142" s="49"/>
      <c r="L142" s="49" t="s">
        <v>2558</v>
      </c>
      <c r="M142" s="76">
        <v>45429</v>
      </c>
      <c r="N142" s="128">
        <f>+VLOOKUP(B144,BOM!$A$8:$AB$1078,25,0)</f>
        <v>1</v>
      </c>
      <c r="O142" s="129" t="str">
        <f>+VLOOKUP(B144,BOM!$A$8:$AB$1078,26,0)</f>
        <v>D</v>
      </c>
      <c r="P142" s="10" t="str">
        <f t="shared" si="6"/>
        <v>ok</v>
      </c>
    </row>
    <row r="143" spans="1:16" ht="15" customHeight="1">
      <c r="A143" s="153">
        <v>141</v>
      </c>
      <c r="B143" s="53" t="s">
        <v>549</v>
      </c>
      <c r="C143" s="126" t="s">
        <v>551</v>
      </c>
      <c r="D143" s="52">
        <v>1</v>
      </c>
      <c r="E143" s="81" t="s">
        <v>2391</v>
      </c>
      <c r="F143" s="126" t="s">
        <v>12</v>
      </c>
      <c r="G143" s="126" t="s">
        <v>1667</v>
      </c>
      <c r="H143" s="127">
        <v>1</v>
      </c>
      <c r="I143" s="49" t="s">
        <v>2511</v>
      </c>
      <c r="J143" s="52" t="s">
        <v>2414</v>
      </c>
      <c r="K143" s="49"/>
      <c r="L143" s="49" t="s">
        <v>2559</v>
      </c>
      <c r="M143" s="76">
        <v>45429</v>
      </c>
      <c r="N143" s="128">
        <f>+VLOOKUP(B145,BOM!$A$8:$AB$1078,25,0)</f>
        <v>1</v>
      </c>
      <c r="O143" s="129" t="str">
        <f>+VLOOKUP(B145,BOM!$A$8:$AB$1078,26,0)</f>
        <v>D</v>
      </c>
      <c r="P143" s="10" t="str">
        <f t="shared" si="6"/>
        <v>ok</v>
      </c>
    </row>
    <row r="144" spans="1:16" ht="15" customHeight="1">
      <c r="A144" s="153">
        <v>142</v>
      </c>
      <c r="B144" s="53" t="s">
        <v>562</v>
      </c>
      <c r="C144" s="126" t="s">
        <v>564</v>
      </c>
      <c r="D144" s="55">
        <v>1</v>
      </c>
      <c r="E144" s="56" t="s">
        <v>2391</v>
      </c>
      <c r="F144" s="126" t="s">
        <v>12</v>
      </c>
      <c r="G144" s="126" t="s">
        <v>1667</v>
      </c>
      <c r="H144" s="127">
        <v>1</v>
      </c>
      <c r="I144" s="49" t="s">
        <v>2511</v>
      </c>
      <c r="J144" s="52" t="s">
        <v>2414</v>
      </c>
      <c r="K144" s="49"/>
      <c r="L144" s="49" t="s">
        <v>2560</v>
      </c>
      <c r="M144" s="76">
        <v>45429</v>
      </c>
      <c r="N144" s="128">
        <f>+VLOOKUP(B146,BOM!$A$8:$AB$1078,25,0)</f>
        <v>1</v>
      </c>
      <c r="O144" s="129" t="str">
        <f>+VLOOKUP(B146,BOM!$A$8:$AB$1078,26,0)</f>
        <v>C</v>
      </c>
      <c r="P144" s="10" t="str">
        <f t="shared" si="6"/>
        <v>ok</v>
      </c>
    </row>
    <row r="145" spans="1:16" ht="15" customHeight="1">
      <c r="A145" s="153">
        <v>143</v>
      </c>
      <c r="B145" s="53" t="s">
        <v>746</v>
      </c>
      <c r="C145" s="126" t="s">
        <v>41</v>
      </c>
      <c r="D145" s="55">
        <v>1</v>
      </c>
      <c r="E145" s="56" t="s">
        <v>2391</v>
      </c>
      <c r="F145" s="126" t="s">
        <v>12</v>
      </c>
      <c r="G145" s="126" t="s">
        <v>1667</v>
      </c>
      <c r="H145" s="127">
        <v>1</v>
      </c>
      <c r="I145" s="49" t="s">
        <v>2511</v>
      </c>
      <c r="J145" s="52" t="s">
        <v>2414</v>
      </c>
      <c r="K145" s="49"/>
      <c r="L145" s="49" t="s">
        <v>2561</v>
      </c>
      <c r="M145" s="76">
        <v>45429</v>
      </c>
      <c r="N145" s="128">
        <f>+VLOOKUP(B147,BOM!$A$8:$AB$1078,25,0)</f>
        <v>1</v>
      </c>
      <c r="O145" s="129" t="str">
        <f>+VLOOKUP(B147,BOM!$A$8:$AB$1078,26,0)</f>
        <v>C</v>
      </c>
      <c r="P145" s="10" t="str">
        <f t="shared" si="6"/>
        <v>ok</v>
      </c>
    </row>
    <row r="146" spans="1:16" ht="15">
      <c r="A146" s="153">
        <v>144</v>
      </c>
      <c r="B146" s="53" t="s">
        <v>314</v>
      </c>
      <c r="C146" s="126" t="s">
        <v>316</v>
      </c>
      <c r="D146" s="55">
        <v>1</v>
      </c>
      <c r="E146" s="56" t="s">
        <v>2391</v>
      </c>
      <c r="F146" s="126" t="s">
        <v>12</v>
      </c>
      <c r="G146" s="126" t="s">
        <v>1667</v>
      </c>
      <c r="H146" s="127">
        <v>1</v>
      </c>
      <c r="I146" s="49" t="s">
        <v>2511</v>
      </c>
      <c r="J146" s="52" t="s">
        <v>2486</v>
      </c>
      <c r="K146" s="49"/>
      <c r="L146" s="49" t="s">
        <v>2562</v>
      </c>
      <c r="M146" s="76">
        <v>45429</v>
      </c>
      <c r="N146" s="128">
        <f>+VLOOKUP(B148,BOM!$A$8:$AB$1078,25,0)</f>
        <v>2</v>
      </c>
      <c r="O146" s="129" t="str">
        <f>+VLOOKUP(B148,BOM!$A$8:$AB$1078,26,0)</f>
        <v>C</v>
      </c>
      <c r="P146" s="10" t="str">
        <f t="shared" si="6"/>
        <v>ok</v>
      </c>
    </row>
    <row r="147" spans="1:16" ht="15">
      <c r="A147" s="153">
        <v>145</v>
      </c>
      <c r="B147" s="53" t="s">
        <v>1777</v>
      </c>
      <c r="C147" s="126" t="s">
        <v>1778</v>
      </c>
      <c r="D147" s="55">
        <v>1</v>
      </c>
      <c r="E147" s="56" t="s">
        <v>2391</v>
      </c>
      <c r="F147" s="126" t="s">
        <v>12</v>
      </c>
      <c r="G147" s="126" t="s">
        <v>1667</v>
      </c>
      <c r="H147" s="127">
        <v>1</v>
      </c>
      <c r="I147" s="49" t="s">
        <v>2449</v>
      </c>
      <c r="J147" s="52">
        <v>1</v>
      </c>
      <c r="K147" s="49" t="s">
        <v>2450</v>
      </c>
      <c r="L147" s="49" t="s">
        <v>2563</v>
      </c>
      <c r="M147" s="76">
        <v>45429</v>
      </c>
      <c r="N147" s="128">
        <f>+VLOOKUP(B149,BOM!$A$8:$AB$1078,25,0)</f>
        <v>1</v>
      </c>
      <c r="O147" s="129" t="str">
        <f>+VLOOKUP(B149,BOM!$A$8:$AB$1078,26,0)</f>
        <v>D</v>
      </c>
      <c r="P147" s="10" t="str">
        <f t="shared" si="6"/>
        <v>ok</v>
      </c>
    </row>
    <row r="148" spans="1:16" ht="15">
      <c r="A148" s="153">
        <v>146</v>
      </c>
      <c r="B148" s="53" t="s">
        <v>391</v>
      </c>
      <c r="C148" s="126" t="s">
        <v>392</v>
      </c>
      <c r="D148" s="55">
        <v>2</v>
      </c>
      <c r="E148" s="56" t="s">
        <v>2391</v>
      </c>
      <c r="F148" s="126" t="s">
        <v>12</v>
      </c>
      <c r="G148" s="126" t="s">
        <v>1667</v>
      </c>
      <c r="H148" s="127">
        <v>2</v>
      </c>
      <c r="I148" s="49" t="s">
        <v>2449</v>
      </c>
      <c r="J148" s="52" t="s">
        <v>2411</v>
      </c>
      <c r="K148" s="49" t="s">
        <v>2450</v>
      </c>
      <c r="L148" s="49" t="s">
        <v>2564</v>
      </c>
      <c r="M148" s="76">
        <v>45429</v>
      </c>
      <c r="N148" s="128">
        <f>+VLOOKUP(B150,BOM!$A$8:$AB$1078,25,0)</f>
        <v>1</v>
      </c>
      <c r="O148" s="129" t="str">
        <f>+VLOOKUP(B150,BOM!$A$8:$AB$1078,26,0)</f>
        <v>C</v>
      </c>
      <c r="P148" s="10" t="str">
        <f t="shared" si="6"/>
        <v>ok</v>
      </c>
    </row>
    <row r="149" spans="1:16" ht="15">
      <c r="A149" s="153">
        <v>147</v>
      </c>
      <c r="B149" s="53" t="s">
        <v>106</v>
      </c>
      <c r="C149" s="126" t="s">
        <v>108</v>
      </c>
      <c r="D149" s="55">
        <v>1</v>
      </c>
      <c r="E149" s="56" t="s">
        <v>2391</v>
      </c>
      <c r="F149" s="126" t="s">
        <v>12</v>
      </c>
      <c r="G149" s="126" t="s">
        <v>1667</v>
      </c>
      <c r="H149" s="127">
        <v>1</v>
      </c>
      <c r="I149" s="49" t="s">
        <v>2565</v>
      </c>
      <c r="J149" s="52"/>
      <c r="K149" s="49"/>
      <c r="L149" s="49" t="s">
        <v>2566</v>
      </c>
      <c r="M149" s="76">
        <v>45429</v>
      </c>
      <c r="N149" s="128">
        <f>+VLOOKUP(B151,BOM!$A$8:$AB$1078,25,0)</f>
        <v>2</v>
      </c>
      <c r="O149" s="129" t="str">
        <f>+VLOOKUP(B151,BOM!$A$8:$AB$1078,26,0)</f>
        <v>C</v>
      </c>
      <c r="P149" s="10" t="str">
        <f t="shared" si="6"/>
        <v>ok</v>
      </c>
    </row>
    <row r="150" spans="1:16" ht="15" customHeight="1">
      <c r="A150" s="153">
        <v>148</v>
      </c>
      <c r="B150" s="53" t="s">
        <v>45</v>
      </c>
      <c r="C150" s="126" t="s">
        <v>47</v>
      </c>
      <c r="D150" s="55">
        <v>1</v>
      </c>
      <c r="E150" s="56" t="s">
        <v>2391</v>
      </c>
      <c r="F150" s="126" t="s">
        <v>12</v>
      </c>
      <c r="G150" s="126" t="s">
        <v>1667</v>
      </c>
      <c r="H150" s="127">
        <v>1</v>
      </c>
      <c r="I150" s="49" t="s">
        <v>2447</v>
      </c>
      <c r="J150" s="52"/>
      <c r="K150" s="49"/>
      <c r="L150" s="49" t="s">
        <v>2567</v>
      </c>
      <c r="M150" s="76">
        <v>45429</v>
      </c>
      <c r="N150" s="128">
        <f>+VLOOKUP(B152,BOM!$A$8:$AB$1078,25,0)</f>
        <v>2</v>
      </c>
      <c r="O150" s="129" t="str">
        <f>+VLOOKUP(B152,BOM!$A$8:$AB$1078,26,0)</f>
        <v>C</v>
      </c>
      <c r="P150" s="10" t="str">
        <f t="shared" si="6"/>
        <v>ok</v>
      </c>
    </row>
    <row r="151" spans="1:16" ht="15" customHeight="1">
      <c r="A151" s="153">
        <v>149</v>
      </c>
      <c r="B151" s="53" t="s">
        <v>123</v>
      </c>
      <c r="C151" s="126" t="s">
        <v>125</v>
      </c>
      <c r="D151" s="55">
        <v>2</v>
      </c>
      <c r="E151" s="56" t="s">
        <v>2391</v>
      </c>
      <c r="F151" s="126" t="s">
        <v>12</v>
      </c>
      <c r="G151" s="126" t="s">
        <v>1667</v>
      </c>
      <c r="H151" s="127">
        <v>2</v>
      </c>
      <c r="I151" s="49" t="s">
        <v>2447</v>
      </c>
      <c r="J151" s="52"/>
      <c r="K151" s="49"/>
      <c r="L151" s="49" t="s">
        <v>2568</v>
      </c>
      <c r="M151" s="76">
        <v>45429</v>
      </c>
      <c r="N151" s="128">
        <f>+VLOOKUP(B153,BOM!$A$8:$AB$1078,25,0)</f>
        <v>1</v>
      </c>
      <c r="O151" s="129">
        <f>+VLOOKUP(B153,BOM!$A$8:$AB$1078,26,0)</f>
        <v>0</v>
      </c>
      <c r="P151" s="10" t="str">
        <f t="shared" si="6"/>
        <v>ok</v>
      </c>
    </row>
    <row r="152" spans="1:16" ht="15" customHeight="1">
      <c r="A152" s="153">
        <v>150</v>
      </c>
      <c r="B152" s="53" t="s">
        <v>567</v>
      </c>
      <c r="C152" s="126" t="s">
        <v>569</v>
      </c>
      <c r="D152" s="55">
        <v>2</v>
      </c>
      <c r="E152" s="56" t="s">
        <v>2391</v>
      </c>
      <c r="F152" s="126" t="s">
        <v>12</v>
      </c>
      <c r="G152" s="126" t="s">
        <v>1667</v>
      </c>
      <c r="H152" s="127">
        <v>2</v>
      </c>
      <c r="I152" s="49" t="s">
        <v>2447</v>
      </c>
      <c r="J152" s="52"/>
      <c r="K152" s="49"/>
      <c r="L152" s="49" t="s">
        <v>2569</v>
      </c>
      <c r="M152" s="76">
        <v>45526</v>
      </c>
      <c r="N152" s="128">
        <f>+VLOOKUP(B154,BOM!$A$8:$AB$1078,25,0)</f>
        <v>1</v>
      </c>
      <c r="O152" s="129">
        <f>+VLOOKUP(B154,BOM!$A$8:$AB$1078,26,0)</f>
        <v>0</v>
      </c>
      <c r="P152" s="10" t="str">
        <f t="shared" si="6"/>
        <v>ok</v>
      </c>
    </row>
    <row r="153" spans="1:16" ht="15">
      <c r="A153" s="153">
        <v>151</v>
      </c>
      <c r="B153" s="53" t="s">
        <v>1802</v>
      </c>
      <c r="C153" s="126" t="s">
        <v>1803</v>
      </c>
      <c r="D153" s="55">
        <v>1</v>
      </c>
      <c r="E153" s="56" t="s">
        <v>2385</v>
      </c>
      <c r="F153" s="126" t="s">
        <v>308</v>
      </c>
      <c r="G153" s="126" t="s">
        <v>1667</v>
      </c>
      <c r="H153" s="127">
        <v>1</v>
      </c>
      <c r="I153" s="49" t="s">
        <v>2386</v>
      </c>
      <c r="J153" s="52" t="s">
        <v>2397</v>
      </c>
      <c r="K153" s="49"/>
      <c r="L153" s="49" t="s">
        <v>2570</v>
      </c>
      <c r="M153" s="76">
        <v>45429</v>
      </c>
      <c r="N153" s="128">
        <f>+VLOOKUP(B155,BOM!$A$8:$AB$1078,25,0)</f>
        <v>1</v>
      </c>
      <c r="O153" s="129">
        <f>+VLOOKUP(B155,BOM!$A$8:$AB$1078,26,0)</f>
        <v>0</v>
      </c>
      <c r="P153" s="10" t="str">
        <f t="shared" si="6"/>
        <v>ok</v>
      </c>
    </row>
    <row r="154" spans="1:16" ht="15">
      <c r="A154" s="153">
        <v>152</v>
      </c>
      <c r="B154" s="53" t="s">
        <v>1804</v>
      </c>
      <c r="C154" s="126" t="s">
        <v>1803</v>
      </c>
      <c r="D154" s="55">
        <v>1</v>
      </c>
      <c r="E154" s="56" t="s">
        <v>2385</v>
      </c>
      <c r="F154" s="126" t="s">
        <v>308</v>
      </c>
      <c r="G154" s="126" t="s">
        <v>1667</v>
      </c>
      <c r="H154" s="127">
        <v>1</v>
      </c>
      <c r="I154" s="49" t="s">
        <v>2386</v>
      </c>
      <c r="J154" s="52" t="s">
        <v>2397</v>
      </c>
      <c r="K154" s="49"/>
      <c r="L154" s="49" t="s">
        <v>2571</v>
      </c>
      <c r="M154" s="76">
        <v>45429</v>
      </c>
      <c r="N154" s="128">
        <f>+VLOOKUP(B156,BOM!$A$8:$AB$1078,25,0)</f>
        <v>1</v>
      </c>
      <c r="O154" s="129">
        <f>+VLOOKUP(B156,BOM!$A$8:$AB$1078,26,0)</f>
        <v>6</v>
      </c>
      <c r="P154" s="10" t="str">
        <f t="shared" si="6"/>
        <v>ok</v>
      </c>
    </row>
    <row r="155" spans="1:16" ht="15" customHeight="1">
      <c r="A155" s="153">
        <v>153</v>
      </c>
      <c r="B155" s="53" t="s">
        <v>1810</v>
      </c>
      <c r="C155" s="126" t="s">
        <v>1794</v>
      </c>
      <c r="D155" s="55">
        <v>1</v>
      </c>
      <c r="E155" s="56" t="s">
        <v>2385</v>
      </c>
      <c r="F155" s="126" t="s">
        <v>308</v>
      </c>
      <c r="G155" s="126" t="s">
        <v>1667</v>
      </c>
      <c r="H155" s="127">
        <v>1</v>
      </c>
      <c r="I155" s="49" t="s">
        <v>2386</v>
      </c>
      <c r="J155" s="52" t="s">
        <v>2397</v>
      </c>
      <c r="K155" s="49"/>
      <c r="L155" s="49" t="s">
        <v>2572</v>
      </c>
      <c r="M155" s="76">
        <v>45429</v>
      </c>
      <c r="N155" s="128">
        <f>+VLOOKUP(B157,BOM!$A$8:$AB$1078,25,0)</f>
        <v>1</v>
      </c>
      <c r="O155" s="129">
        <f>+VLOOKUP(B157,BOM!$A$8:$AB$1078,26,0)</f>
        <v>6</v>
      </c>
      <c r="P155" s="10" t="str">
        <f t="shared" si="6"/>
        <v>ok</v>
      </c>
    </row>
    <row r="156" spans="1:16" ht="15" customHeight="1">
      <c r="A156" s="153">
        <v>154</v>
      </c>
      <c r="B156" s="53" t="s">
        <v>332</v>
      </c>
      <c r="C156" s="126" t="s">
        <v>331</v>
      </c>
      <c r="D156" s="55">
        <v>1</v>
      </c>
      <c r="E156" s="56" t="s">
        <v>2443</v>
      </c>
      <c r="F156" s="126" t="s">
        <v>308</v>
      </c>
      <c r="G156" s="126" t="s">
        <v>1667</v>
      </c>
      <c r="H156" s="127">
        <v>1</v>
      </c>
      <c r="I156" s="49" t="s">
        <v>2444</v>
      </c>
      <c r="J156" s="52">
        <v>2</v>
      </c>
      <c r="K156" s="49"/>
      <c r="L156" s="49" t="s">
        <v>2573</v>
      </c>
      <c r="M156" s="76">
        <v>45429</v>
      </c>
      <c r="N156" s="128">
        <f>+VLOOKUP(B158,BOM!$A$8:$AB$1078,25,0)</f>
        <v>1</v>
      </c>
      <c r="O156" s="129">
        <f>+VLOOKUP(B158,BOM!$A$8:$AB$1078,26,0)</f>
        <v>6</v>
      </c>
      <c r="P156" s="10" t="str">
        <f t="shared" si="6"/>
        <v>ok</v>
      </c>
    </row>
    <row r="157" spans="1:16" ht="15">
      <c r="A157" s="153">
        <v>155</v>
      </c>
      <c r="B157" s="53" t="s">
        <v>335</v>
      </c>
      <c r="C157" s="126" t="s">
        <v>336</v>
      </c>
      <c r="D157" s="55">
        <v>1</v>
      </c>
      <c r="E157" s="56" t="s">
        <v>2443</v>
      </c>
      <c r="F157" s="126" t="s">
        <v>308</v>
      </c>
      <c r="G157" s="126" t="s">
        <v>1667</v>
      </c>
      <c r="H157" s="127">
        <v>1</v>
      </c>
      <c r="I157" s="49" t="s">
        <v>2444</v>
      </c>
      <c r="J157" s="52">
        <v>2</v>
      </c>
      <c r="K157" s="49"/>
      <c r="L157" s="49" t="s">
        <v>2574</v>
      </c>
      <c r="M157" s="76">
        <v>45429</v>
      </c>
      <c r="N157" s="128">
        <f>+VLOOKUP(B159,BOM!$A$8:$AB$1078,25,0)</f>
        <v>1</v>
      </c>
      <c r="O157" s="129">
        <f>+VLOOKUP(B159,BOM!$A$8:$AB$1078,26,0)</f>
        <v>6</v>
      </c>
      <c r="P157" s="10" t="str">
        <f t="shared" si="6"/>
        <v>ok</v>
      </c>
    </row>
    <row r="158" spans="1:16" ht="15">
      <c r="A158" s="153">
        <v>156</v>
      </c>
      <c r="B158" s="53" t="s">
        <v>340</v>
      </c>
      <c r="C158" s="126" t="s">
        <v>339</v>
      </c>
      <c r="D158" s="55">
        <v>1</v>
      </c>
      <c r="E158" s="56" t="s">
        <v>2443</v>
      </c>
      <c r="F158" s="126" t="s">
        <v>308</v>
      </c>
      <c r="G158" s="126" t="s">
        <v>1667</v>
      </c>
      <c r="H158" s="127">
        <v>1</v>
      </c>
      <c r="I158" s="49" t="s">
        <v>2444</v>
      </c>
      <c r="J158" s="52">
        <v>3</v>
      </c>
      <c r="K158" s="49"/>
      <c r="L158" s="49" t="s">
        <v>2575</v>
      </c>
      <c r="M158" s="76">
        <v>45429</v>
      </c>
      <c r="N158" s="128">
        <f>+VLOOKUP(B160,BOM!$A$8:$AB$1078,25,0)</f>
        <v>1</v>
      </c>
      <c r="O158" s="129">
        <f>+VLOOKUP(B160,BOM!$A$8:$AB$1078,26,0)</f>
        <v>6</v>
      </c>
      <c r="P158" s="10" t="str">
        <f t="shared" si="6"/>
        <v>ok</v>
      </c>
    </row>
    <row r="159" spans="1:16" ht="15">
      <c r="A159" s="153">
        <v>157</v>
      </c>
      <c r="B159" s="53" t="s">
        <v>358</v>
      </c>
      <c r="C159" s="126" t="s">
        <v>357</v>
      </c>
      <c r="D159" s="55">
        <v>1</v>
      </c>
      <c r="E159" s="56" t="s">
        <v>2443</v>
      </c>
      <c r="F159" s="126" t="s">
        <v>308</v>
      </c>
      <c r="G159" s="126" t="s">
        <v>1667</v>
      </c>
      <c r="H159" s="127">
        <v>1</v>
      </c>
      <c r="I159" s="49" t="s">
        <v>2444</v>
      </c>
      <c r="J159" s="52">
        <v>4</v>
      </c>
      <c r="K159" s="49"/>
      <c r="L159" s="49" t="s">
        <v>2576</v>
      </c>
      <c r="M159" s="76">
        <v>45429</v>
      </c>
      <c r="N159" s="128">
        <f>+VLOOKUP(B161,BOM!$A$8:$AB$1078,25,0)</f>
        <v>1</v>
      </c>
      <c r="O159" s="129">
        <f>+VLOOKUP(B161,BOM!$A$8:$AB$1078,26,0)</f>
        <v>6</v>
      </c>
      <c r="P159" s="10" t="str">
        <f t="shared" si="6"/>
        <v>ok</v>
      </c>
    </row>
    <row r="160" spans="1:16" ht="15">
      <c r="A160" s="153">
        <v>158</v>
      </c>
      <c r="B160" s="53" t="s">
        <v>1772</v>
      </c>
      <c r="C160" s="126" t="s">
        <v>952</v>
      </c>
      <c r="D160" s="55">
        <v>1</v>
      </c>
      <c r="E160" s="56" t="s">
        <v>2443</v>
      </c>
      <c r="F160" s="126" t="s">
        <v>308</v>
      </c>
      <c r="G160" s="126" t="s">
        <v>1667</v>
      </c>
      <c r="H160" s="127">
        <v>1</v>
      </c>
      <c r="I160" s="49" t="s">
        <v>2444</v>
      </c>
      <c r="J160" s="52">
        <v>5</v>
      </c>
      <c r="K160" s="49"/>
      <c r="L160" s="49" t="s">
        <v>2577</v>
      </c>
      <c r="M160" s="76">
        <v>45429</v>
      </c>
      <c r="N160" s="128">
        <f>+VLOOKUP(B163,BOM!$A$8:$AB$1078,25,0)</f>
        <v>1</v>
      </c>
      <c r="O160" s="129">
        <f>+VLOOKUP(B163,BOM!$A$8:$AB$1078,26,0)</f>
        <v>6</v>
      </c>
      <c r="P160" s="10" t="str">
        <f>+IF(N160=D163,"ok","")</f>
        <v>ok</v>
      </c>
    </row>
    <row r="161" spans="1:16" ht="15">
      <c r="A161" s="153">
        <v>159</v>
      </c>
      <c r="B161" s="53" t="s">
        <v>341</v>
      </c>
      <c r="C161" s="126" t="s">
        <v>343</v>
      </c>
      <c r="D161" s="55">
        <v>1</v>
      </c>
      <c r="E161" s="56" t="s">
        <v>2443</v>
      </c>
      <c r="F161" s="126" t="s">
        <v>308</v>
      </c>
      <c r="G161" s="126" t="s">
        <v>1667</v>
      </c>
      <c r="H161" s="127">
        <v>1</v>
      </c>
      <c r="I161" s="49" t="s">
        <v>2444</v>
      </c>
      <c r="J161" s="52" t="s">
        <v>2397</v>
      </c>
      <c r="K161" s="49"/>
      <c r="L161" s="49" t="s">
        <v>2578</v>
      </c>
      <c r="M161" s="76">
        <v>45429</v>
      </c>
      <c r="N161" s="128">
        <f>+VLOOKUP(B164,BOM!$A$8:$AB$1078,25,0)</f>
        <v>1</v>
      </c>
      <c r="O161" s="129">
        <f>+VLOOKUP(B164,BOM!$A$8:$AB$1078,26,0)</f>
        <v>6</v>
      </c>
      <c r="P161" s="10" t="str">
        <f>+IF(N161=D164,"ok","")</f>
        <v>ok</v>
      </c>
    </row>
    <row r="162" spans="1:16" ht="15">
      <c r="A162" s="153">
        <v>160</v>
      </c>
      <c r="B162" s="53" t="s">
        <v>434</v>
      </c>
      <c r="C162" s="126" t="s">
        <v>436</v>
      </c>
      <c r="D162" s="55">
        <v>1</v>
      </c>
      <c r="E162" s="56" t="s">
        <v>2443</v>
      </c>
      <c r="F162" s="126" t="s">
        <v>308</v>
      </c>
      <c r="G162" s="126" t="s">
        <v>1667</v>
      </c>
      <c r="H162" s="127">
        <v>1</v>
      </c>
      <c r="I162" s="49" t="s">
        <v>2444</v>
      </c>
      <c r="J162" s="52" t="s">
        <v>2414</v>
      </c>
      <c r="K162" s="49"/>
      <c r="L162" s="49" t="s">
        <v>2579</v>
      </c>
      <c r="M162" s="76"/>
      <c r="N162" s="128"/>
      <c r="O162" s="129"/>
    </row>
    <row r="163" spans="1:16" ht="15">
      <c r="A163" s="153">
        <v>161</v>
      </c>
      <c r="B163" s="53" t="s">
        <v>330</v>
      </c>
      <c r="C163" s="126" t="s">
        <v>331</v>
      </c>
      <c r="D163" s="55">
        <v>1</v>
      </c>
      <c r="E163" s="56" t="s">
        <v>2443</v>
      </c>
      <c r="F163" s="126" t="s">
        <v>308</v>
      </c>
      <c r="G163" s="126" t="s">
        <v>1667</v>
      </c>
      <c r="H163" s="127">
        <v>1</v>
      </c>
      <c r="I163" s="49" t="s">
        <v>2548</v>
      </c>
      <c r="J163" s="52">
        <v>2</v>
      </c>
      <c r="K163" s="49"/>
      <c r="L163" s="49" t="s">
        <v>2580</v>
      </c>
      <c r="M163" s="76">
        <v>45429</v>
      </c>
      <c r="N163" s="128">
        <f>+VLOOKUP(B165,BOM!$A$8:$AB$1078,25,0)</f>
        <v>1</v>
      </c>
      <c r="O163" s="129">
        <f>+VLOOKUP(B165,BOM!$A$8:$AB$1078,26,0)</f>
        <v>6</v>
      </c>
      <c r="P163" s="10" t="str">
        <f t="shared" ref="P163:P175" si="7">+IF(N163=D165,"ok","")</f>
        <v>ok</v>
      </c>
    </row>
    <row r="164" spans="1:16" ht="15">
      <c r="A164" s="153">
        <v>162</v>
      </c>
      <c r="B164" s="53" t="s">
        <v>333</v>
      </c>
      <c r="C164" s="126" t="s">
        <v>334</v>
      </c>
      <c r="D164" s="55">
        <v>1</v>
      </c>
      <c r="E164" s="56" t="s">
        <v>2443</v>
      </c>
      <c r="F164" s="126" t="s">
        <v>308</v>
      </c>
      <c r="G164" s="126" t="s">
        <v>1667</v>
      </c>
      <c r="H164" s="127">
        <v>1</v>
      </c>
      <c r="I164" s="49" t="s">
        <v>2548</v>
      </c>
      <c r="J164" s="52">
        <v>2</v>
      </c>
      <c r="K164" s="49"/>
      <c r="L164" s="49" t="s">
        <v>2581</v>
      </c>
      <c r="M164" s="76">
        <v>45429</v>
      </c>
      <c r="N164" s="128">
        <f>+VLOOKUP(B166,BOM!$A$8:$AB$1078,25,0)</f>
        <v>1</v>
      </c>
      <c r="O164" s="129">
        <f>+VLOOKUP(B166,BOM!$A$8:$AB$1078,26,0)</f>
        <v>6</v>
      </c>
      <c r="P164" s="10" t="str">
        <f t="shared" si="7"/>
        <v>ok</v>
      </c>
    </row>
    <row r="165" spans="1:16" ht="15">
      <c r="A165" s="153">
        <v>163</v>
      </c>
      <c r="B165" s="53" t="s">
        <v>337</v>
      </c>
      <c r="C165" s="126" t="s">
        <v>339</v>
      </c>
      <c r="D165" s="55">
        <v>1</v>
      </c>
      <c r="E165" s="56" t="s">
        <v>2443</v>
      </c>
      <c r="F165" s="126" t="s">
        <v>308</v>
      </c>
      <c r="G165" s="126" t="s">
        <v>1667</v>
      </c>
      <c r="H165" s="127">
        <v>1</v>
      </c>
      <c r="I165" s="49" t="s">
        <v>2548</v>
      </c>
      <c r="J165" s="52">
        <v>2</v>
      </c>
      <c r="K165" s="49"/>
      <c r="L165" s="49" t="s">
        <v>2582</v>
      </c>
      <c r="M165" s="76">
        <v>45429</v>
      </c>
      <c r="N165" s="128">
        <f>+VLOOKUP(B167,BOM!$A$8:$AB$1078,25,0)</f>
        <v>1</v>
      </c>
      <c r="O165" s="129">
        <f>+VLOOKUP(B167,BOM!$A$8:$AB$1078,26,0)</f>
        <v>6</v>
      </c>
      <c r="P165" s="10" t="str">
        <f t="shared" si="7"/>
        <v>ok</v>
      </c>
    </row>
    <row r="166" spans="1:16" ht="15" customHeight="1">
      <c r="A166" s="153">
        <v>164</v>
      </c>
      <c r="B166" s="53" t="s">
        <v>355</v>
      </c>
      <c r="C166" s="126" t="s">
        <v>357</v>
      </c>
      <c r="D166" s="55">
        <v>1</v>
      </c>
      <c r="E166" s="56" t="s">
        <v>2443</v>
      </c>
      <c r="F166" s="126" t="s">
        <v>308</v>
      </c>
      <c r="G166" s="126" t="s">
        <v>1667</v>
      </c>
      <c r="H166" s="127">
        <v>1</v>
      </c>
      <c r="I166" s="49" t="s">
        <v>2548</v>
      </c>
      <c r="J166" s="52">
        <v>4</v>
      </c>
      <c r="K166" s="49"/>
      <c r="L166" s="49" t="s">
        <v>2583</v>
      </c>
      <c r="M166" s="76">
        <v>45429</v>
      </c>
      <c r="N166" s="128">
        <f>+VLOOKUP(B168,BOM!$A$8:$AB$1078,25,0)</f>
        <v>1</v>
      </c>
      <c r="O166" s="129">
        <f>+VLOOKUP(B168,BOM!$A$8:$AB$1078,26,0)</f>
        <v>6</v>
      </c>
      <c r="P166" s="10" t="str">
        <f t="shared" si="7"/>
        <v>ok</v>
      </c>
    </row>
    <row r="167" spans="1:16" ht="15">
      <c r="A167" s="153">
        <v>165</v>
      </c>
      <c r="B167" s="59" t="s">
        <v>1771</v>
      </c>
      <c r="C167" s="126" t="s">
        <v>952</v>
      </c>
      <c r="D167" s="55">
        <v>1</v>
      </c>
      <c r="E167" s="56" t="s">
        <v>2443</v>
      </c>
      <c r="F167" s="126" t="s">
        <v>308</v>
      </c>
      <c r="G167" s="126" t="s">
        <v>1667</v>
      </c>
      <c r="H167" s="127">
        <v>1</v>
      </c>
      <c r="I167" s="49" t="s">
        <v>2548</v>
      </c>
      <c r="J167" s="52">
        <v>5</v>
      </c>
      <c r="K167" s="49"/>
      <c r="L167" s="49" t="s">
        <v>2584</v>
      </c>
      <c r="M167" s="76">
        <v>45429</v>
      </c>
      <c r="N167" s="128">
        <f>+VLOOKUP(B169,BOM!$A$8:$AB$1078,25,0)</f>
        <v>1</v>
      </c>
      <c r="O167" s="129" t="str">
        <f>+VLOOKUP(B169,BOM!$A$8:$AB$1078,26,0)</f>
        <v>D</v>
      </c>
      <c r="P167" s="10" t="str">
        <f t="shared" si="7"/>
        <v>ok</v>
      </c>
    </row>
    <row r="168" spans="1:16" ht="15">
      <c r="A168" s="153">
        <v>166</v>
      </c>
      <c r="B168" s="53" t="s">
        <v>317</v>
      </c>
      <c r="C168" s="126" t="s">
        <v>319</v>
      </c>
      <c r="D168" s="55">
        <v>1</v>
      </c>
      <c r="E168" s="56" t="s">
        <v>2443</v>
      </c>
      <c r="F168" s="126" t="s">
        <v>308</v>
      </c>
      <c r="G168" s="126" t="s">
        <v>1667</v>
      </c>
      <c r="H168" s="127">
        <v>1</v>
      </c>
      <c r="I168" s="49" t="s">
        <v>2548</v>
      </c>
      <c r="J168" s="52" t="s">
        <v>2411</v>
      </c>
      <c r="K168" s="49"/>
      <c r="L168" s="49" t="s">
        <v>2585</v>
      </c>
      <c r="M168" s="76">
        <v>45429</v>
      </c>
      <c r="N168" s="128">
        <f>+VLOOKUP(B170,BOM!$A$8:$AB$1078,25,0)</f>
        <v>1</v>
      </c>
      <c r="O168" s="129" t="str">
        <f>+VLOOKUP(B170,BOM!$A$8:$AB$1078,26,0)</f>
        <v>D</v>
      </c>
      <c r="P168" s="10" t="str">
        <f t="shared" si="7"/>
        <v>ok</v>
      </c>
    </row>
    <row r="169" spans="1:16" ht="15">
      <c r="A169" s="153">
        <v>167</v>
      </c>
      <c r="B169" s="53" t="s">
        <v>1790</v>
      </c>
      <c r="C169" s="126" t="s">
        <v>1791</v>
      </c>
      <c r="D169" s="55">
        <v>1</v>
      </c>
      <c r="E169" s="56" t="s">
        <v>2391</v>
      </c>
      <c r="F169" s="126" t="s">
        <v>308</v>
      </c>
      <c r="G169" s="126" t="s">
        <v>1667</v>
      </c>
      <c r="H169" s="127">
        <v>1</v>
      </c>
      <c r="I169" s="49" t="s">
        <v>2511</v>
      </c>
      <c r="J169" s="52">
        <v>1</v>
      </c>
      <c r="K169" s="49"/>
      <c r="L169" s="49" t="s">
        <v>2586</v>
      </c>
      <c r="M169" s="76">
        <v>45429</v>
      </c>
      <c r="N169" s="128">
        <f>+VLOOKUP(B171,BOM!$A$8:$AB$1078,25,0)</f>
        <v>1</v>
      </c>
      <c r="O169" s="129" t="str">
        <f>+VLOOKUP(B171,BOM!$A$8:$AB$1078,26,0)</f>
        <v>D</v>
      </c>
      <c r="P169" s="10" t="str">
        <f t="shared" si="7"/>
        <v>ok</v>
      </c>
    </row>
    <row r="170" spans="1:16" ht="15">
      <c r="A170" s="153">
        <v>168</v>
      </c>
      <c r="B170" s="53" t="s">
        <v>1792</v>
      </c>
      <c r="C170" s="126" t="s">
        <v>1791</v>
      </c>
      <c r="D170" s="55">
        <v>1</v>
      </c>
      <c r="E170" s="56" t="s">
        <v>2391</v>
      </c>
      <c r="F170" s="126" t="s">
        <v>308</v>
      </c>
      <c r="G170" s="126" t="s">
        <v>1667</v>
      </c>
      <c r="H170" s="127">
        <v>1</v>
      </c>
      <c r="I170" s="49" t="s">
        <v>2511</v>
      </c>
      <c r="J170" s="52">
        <v>1</v>
      </c>
      <c r="K170" s="49"/>
      <c r="L170" s="49" t="s">
        <v>2587</v>
      </c>
      <c r="M170" s="76">
        <v>45429</v>
      </c>
      <c r="N170" s="128">
        <f>+VLOOKUP(B172,BOM!$A$8:$AB$1078,25,0)</f>
        <v>1</v>
      </c>
      <c r="O170" s="129" t="str">
        <f>+VLOOKUP(B172,BOM!$A$8:$AB$1078,26,0)</f>
        <v>D</v>
      </c>
      <c r="P170" s="10" t="str">
        <f t="shared" si="7"/>
        <v>ok</v>
      </c>
    </row>
    <row r="171" spans="1:16" ht="15">
      <c r="A171" s="153">
        <v>169</v>
      </c>
      <c r="B171" s="53" t="s">
        <v>320</v>
      </c>
      <c r="C171" s="126" t="s">
        <v>321</v>
      </c>
      <c r="D171" s="55">
        <v>1</v>
      </c>
      <c r="E171" s="56" t="s">
        <v>2391</v>
      </c>
      <c r="F171" s="126" t="s">
        <v>308</v>
      </c>
      <c r="G171" s="126" t="s">
        <v>1667</v>
      </c>
      <c r="H171" s="127">
        <v>1</v>
      </c>
      <c r="I171" s="49" t="s">
        <v>2511</v>
      </c>
      <c r="J171" s="52">
        <v>4</v>
      </c>
      <c r="K171" s="49"/>
      <c r="L171" s="49" t="s">
        <v>2588</v>
      </c>
      <c r="M171" s="76">
        <v>45429</v>
      </c>
      <c r="N171" s="128">
        <f>+VLOOKUP(B173,BOM!$A$8:$AB$1078,25,0)</f>
        <v>1</v>
      </c>
      <c r="O171" s="129" t="str">
        <f>+VLOOKUP(B173,BOM!$A$8:$AB$1078,26,0)</f>
        <v>D</v>
      </c>
      <c r="P171" s="10" t="str">
        <f t="shared" si="7"/>
        <v>ok</v>
      </c>
    </row>
    <row r="172" spans="1:16" ht="15">
      <c r="A172" s="153">
        <v>170</v>
      </c>
      <c r="B172" s="53" t="s">
        <v>323</v>
      </c>
      <c r="C172" s="126" t="s">
        <v>321</v>
      </c>
      <c r="D172" s="55">
        <v>1</v>
      </c>
      <c r="E172" s="56" t="s">
        <v>2391</v>
      </c>
      <c r="F172" s="126" t="s">
        <v>308</v>
      </c>
      <c r="G172" s="126" t="s">
        <v>1667</v>
      </c>
      <c r="H172" s="127">
        <v>1</v>
      </c>
      <c r="I172" s="49" t="s">
        <v>2511</v>
      </c>
      <c r="J172" s="52">
        <v>4</v>
      </c>
      <c r="K172" s="49"/>
      <c r="L172" s="49" t="s">
        <v>2589</v>
      </c>
      <c r="M172" s="76">
        <v>45702</v>
      </c>
      <c r="N172" s="128">
        <f>+VLOOKUP(B174,BOM!$A$8:$AB$1078,25,0)</f>
        <v>1</v>
      </c>
      <c r="O172" s="129" t="str">
        <f>+VLOOKUP(B174,BOM!$A$8:$AB$1078,26,0)</f>
        <v>D</v>
      </c>
      <c r="P172" s="10" t="str">
        <f t="shared" si="7"/>
        <v>ok</v>
      </c>
    </row>
    <row r="173" spans="1:16" ht="15">
      <c r="A173" s="153">
        <v>171</v>
      </c>
      <c r="B173" s="53" t="s">
        <v>1782</v>
      </c>
      <c r="C173" s="126" t="s">
        <v>1783</v>
      </c>
      <c r="D173" s="55">
        <v>1</v>
      </c>
      <c r="E173" s="56" t="s">
        <v>2391</v>
      </c>
      <c r="F173" s="126" t="s">
        <v>308</v>
      </c>
      <c r="G173" s="126" t="s">
        <v>1667</v>
      </c>
      <c r="H173" s="127">
        <v>1</v>
      </c>
      <c r="I173" s="49" t="s">
        <v>2511</v>
      </c>
      <c r="J173" s="52" t="s">
        <v>2411</v>
      </c>
      <c r="K173" s="49"/>
      <c r="L173" s="49" t="s">
        <v>2590</v>
      </c>
      <c r="M173" s="76">
        <v>45702</v>
      </c>
      <c r="N173" s="128">
        <f>+VLOOKUP(B175,BOM!$A$8:$AB$1078,25,0)</f>
        <v>1</v>
      </c>
      <c r="O173" s="129" t="str">
        <f>+VLOOKUP(B175,BOM!$A$8:$AB$1078,26,0)</f>
        <v>D</v>
      </c>
      <c r="P173" s="10" t="str">
        <f t="shared" si="7"/>
        <v>ok</v>
      </c>
    </row>
    <row r="174" spans="1:16" ht="15">
      <c r="A174" s="153">
        <v>172</v>
      </c>
      <c r="B174" s="53" t="s">
        <v>1784</v>
      </c>
      <c r="C174" s="126" t="s">
        <v>1783</v>
      </c>
      <c r="D174" s="52">
        <v>1</v>
      </c>
      <c r="E174" s="79" t="s">
        <v>2391</v>
      </c>
      <c r="F174" s="126" t="s">
        <v>308</v>
      </c>
      <c r="G174" s="126" t="s">
        <v>1667</v>
      </c>
      <c r="H174" s="127">
        <v>1</v>
      </c>
      <c r="I174" s="49" t="s">
        <v>2511</v>
      </c>
      <c r="J174" s="52" t="s">
        <v>2411</v>
      </c>
      <c r="K174" s="49"/>
      <c r="L174" s="49" t="s">
        <v>2591</v>
      </c>
      <c r="M174" s="76">
        <v>45702</v>
      </c>
      <c r="N174" s="128">
        <f>+VLOOKUP(B176,BOM!$A$8:$AB$1078,25,0)</f>
        <v>1</v>
      </c>
      <c r="O174" s="129" t="str">
        <f>+VLOOKUP(B176,BOM!$A$8:$AB$1078,26,0)</f>
        <v>D</v>
      </c>
      <c r="P174" s="10" t="str">
        <f t="shared" si="7"/>
        <v>ok</v>
      </c>
    </row>
    <row r="175" spans="1:16" ht="15">
      <c r="A175" s="153">
        <v>173</v>
      </c>
      <c r="B175" s="53" t="s">
        <v>344</v>
      </c>
      <c r="C175" s="126" t="s">
        <v>346</v>
      </c>
      <c r="D175" s="52">
        <v>1</v>
      </c>
      <c r="E175" s="79" t="s">
        <v>2391</v>
      </c>
      <c r="F175" s="126" t="s">
        <v>308</v>
      </c>
      <c r="G175" s="126" t="s">
        <v>1667</v>
      </c>
      <c r="H175" s="127">
        <v>1</v>
      </c>
      <c r="I175" s="49" t="s">
        <v>2511</v>
      </c>
      <c r="J175" s="52" t="s">
        <v>2414</v>
      </c>
      <c r="K175" s="49"/>
      <c r="L175" s="49" t="s">
        <v>2592</v>
      </c>
      <c r="M175" s="76">
        <v>45702</v>
      </c>
      <c r="N175" s="128">
        <f>+VLOOKUP(B177,BOM!$A$8:$AB$1078,25,0)</f>
        <v>1</v>
      </c>
      <c r="O175" s="129" t="str">
        <f>+VLOOKUP(B177,BOM!$A$8:$AB$1078,26,0)</f>
        <v>D</v>
      </c>
      <c r="P175" s="10" t="str">
        <f t="shared" si="7"/>
        <v>ok</v>
      </c>
    </row>
    <row r="176" spans="1:16" ht="15" customHeight="1">
      <c r="A176" s="153">
        <v>174</v>
      </c>
      <c r="B176" s="53" t="s">
        <v>1767</v>
      </c>
      <c r="C176" s="126" t="s">
        <v>1768</v>
      </c>
      <c r="D176" s="52">
        <v>1</v>
      </c>
      <c r="E176" s="79" t="s">
        <v>2391</v>
      </c>
      <c r="F176" s="126" t="s">
        <v>308</v>
      </c>
      <c r="G176" s="126" t="s">
        <v>1667</v>
      </c>
      <c r="H176" s="127">
        <v>1</v>
      </c>
      <c r="I176" s="49" t="s">
        <v>2511</v>
      </c>
      <c r="J176" s="52" t="s">
        <v>2486</v>
      </c>
      <c r="K176" s="49"/>
      <c r="L176" s="49" t="s">
        <v>2593</v>
      </c>
      <c r="M176" s="82"/>
    </row>
    <row r="177" spans="1:16" ht="15">
      <c r="A177" s="153">
        <v>175</v>
      </c>
      <c r="B177" s="59" t="s">
        <v>347</v>
      </c>
      <c r="C177" s="126" t="s">
        <v>349</v>
      </c>
      <c r="D177" s="55">
        <v>1</v>
      </c>
      <c r="E177" s="79" t="s">
        <v>2391</v>
      </c>
      <c r="F177" s="130" t="s">
        <v>308</v>
      </c>
      <c r="G177" s="126" t="s">
        <v>1667</v>
      </c>
      <c r="H177" s="127">
        <v>1</v>
      </c>
      <c r="I177" s="49" t="s">
        <v>2511</v>
      </c>
      <c r="J177" s="52" t="s">
        <v>2486</v>
      </c>
      <c r="K177" s="49"/>
      <c r="L177" s="49" t="s">
        <v>2594</v>
      </c>
      <c r="M177" s="76">
        <v>45439</v>
      </c>
      <c r="N177" s="128">
        <f>+VLOOKUP(B179,BOM!$A$8:$AB$1078,25,0)</f>
        <v>1</v>
      </c>
      <c r="O177" s="129">
        <f>+VLOOKUP(B179,BOM!$A$8:$AB$1078,26,0)</f>
        <v>6</v>
      </c>
      <c r="P177" s="10" t="str">
        <f t="shared" ref="P177:P192" si="8">+IF(N177=D179,"ok","")</f>
        <v>ok</v>
      </c>
    </row>
    <row r="178" spans="1:16" ht="15">
      <c r="A178" s="153">
        <v>176</v>
      </c>
      <c r="B178" s="53" t="s">
        <v>362</v>
      </c>
      <c r="C178" s="126" t="s">
        <v>364</v>
      </c>
      <c r="D178" s="52">
        <v>3</v>
      </c>
      <c r="E178" s="79" t="s">
        <v>2595</v>
      </c>
      <c r="F178" s="126" t="s">
        <v>308</v>
      </c>
      <c r="G178" s="126" t="s">
        <v>1667</v>
      </c>
      <c r="H178" s="52">
        <v>0</v>
      </c>
      <c r="I178" s="49" t="s">
        <v>2444</v>
      </c>
      <c r="J178" s="52">
        <v>4</v>
      </c>
      <c r="K178" s="49"/>
      <c r="L178" s="49" t="s">
        <v>2596</v>
      </c>
      <c r="M178" s="76">
        <v>45439</v>
      </c>
      <c r="N178" s="128">
        <f>+VLOOKUP(B180,BOM!$A$8:$AB$1078,25,0)</f>
        <v>1</v>
      </c>
      <c r="O178" s="129" t="str">
        <f>+VLOOKUP(B180,BOM!$A$8:$AB$1078,26,0)</f>
        <v>B</v>
      </c>
      <c r="P178" s="10" t="str">
        <f t="shared" si="8"/>
        <v>ok</v>
      </c>
    </row>
    <row r="179" spans="1:16" ht="15" customHeight="1">
      <c r="A179" s="153">
        <v>177</v>
      </c>
      <c r="B179" s="53" t="s">
        <v>1676</v>
      </c>
      <c r="C179" s="126" t="s">
        <v>1675</v>
      </c>
      <c r="D179" s="55">
        <v>1</v>
      </c>
      <c r="E179" s="79" t="s">
        <v>2443</v>
      </c>
      <c r="F179" s="126" t="s">
        <v>51</v>
      </c>
      <c r="G179" s="126" t="s">
        <v>1667</v>
      </c>
      <c r="H179" s="127">
        <v>1</v>
      </c>
      <c r="I179" s="49" t="s">
        <v>2597</v>
      </c>
      <c r="J179" s="52"/>
      <c r="K179" s="68"/>
      <c r="L179" s="68" t="s">
        <v>2598</v>
      </c>
      <c r="M179" s="76">
        <v>45439</v>
      </c>
      <c r="N179" s="128">
        <f>+VLOOKUP(B181,BOM!$A$8:$AB$1078,25,0)</f>
        <v>1</v>
      </c>
      <c r="O179" s="129">
        <f>+VLOOKUP(B181,BOM!$A$8:$AB$1078,26,0)</f>
        <v>5</v>
      </c>
      <c r="P179" s="10" t="str">
        <f t="shared" si="8"/>
        <v>ok</v>
      </c>
    </row>
    <row r="180" spans="1:16" ht="15">
      <c r="A180" s="153">
        <v>178</v>
      </c>
      <c r="B180" s="53" t="s">
        <v>1694</v>
      </c>
      <c r="C180" s="126" t="s">
        <v>58</v>
      </c>
      <c r="D180" s="55">
        <v>1</v>
      </c>
      <c r="E180" s="79" t="s">
        <v>2388</v>
      </c>
      <c r="F180" s="126" t="s">
        <v>51</v>
      </c>
      <c r="G180" s="126" t="s">
        <v>1667</v>
      </c>
      <c r="H180" s="127">
        <v>1</v>
      </c>
      <c r="I180" s="49" t="s">
        <v>2392</v>
      </c>
      <c r="J180" s="52"/>
      <c r="K180" s="68"/>
      <c r="L180" s="68" t="s">
        <v>2599</v>
      </c>
      <c r="M180" s="76">
        <v>45702</v>
      </c>
      <c r="N180" s="128">
        <f>+VLOOKUP(B182,BOM!$A$8:$AB$1078,25,0)</f>
        <v>4</v>
      </c>
      <c r="O180" s="129">
        <f>+VLOOKUP(B182,BOM!$A$8:$AB$1078,26,0)</f>
        <v>2</v>
      </c>
      <c r="P180" s="10" t="str">
        <f t="shared" si="8"/>
        <v/>
      </c>
    </row>
    <row r="181" spans="1:16" ht="15">
      <c r="A181" s="153">
        <v>179</v>
      </c>
      <c r="B181" s="53" t="s">
        <v>1684</v>
      </c>
      <c r="C181" s="126" t="s">
        <v>1683</v>
      </c>
      <c r="D181" s="55">
        <v>1</v>
      </c>
      <c r="E181" s="79" t="s">
        <v>2437</v>
      </c>
      <c r="F181" s="126" t="s">
        <v>1340</v>
      </c>
      <c r="G181" s="126" t="s">
        <v>1667</v>
      </c>
      <c r="H181" s="127">
        <v>1</v>
      </c>
      <c r="I181" s="49" t="s">
        <v>2600</v>
      </c>
      <c r="J181" s="52"/>
      <c r="K181" s="68"/>
      <c r="L181" s="68" t="s">
        <v>2601</v>
      </c>
      <c r="M181" s="76">
        <v>45429</v>
      </c>
      <c r="N181" s="128">
        <f>+VLOOKUP(B183,BOM!$A$8:$AB$1078,25,0)</f>
        <v>4</v>
      </c>
      <c r="O181" s="129">
        <f>+VLOOKUP(B183,BOM!$A$8:$AB$1078,26,0)</f>
        <v>2</v>
      </c>
      <c r="P181" s="10" t="str">
        <f t="shared" si="8"/>
        <v>ok</v>
      </c>
    </row>
    <row r="182" spans="1:16" ht="15">
      <c r="A182" s="153">
        <v>180</v>
      </c>
      <c r="B182" s="53" t="s">
        <v>598</v>
      </c>
      <c r="C182" s="126" t="s">
        <v>600</v>
      </c>
      <c r="D182" s="52">
        <v>2</v>
      </c>
      <c r="E182" s="81" t="s">
        <v>2385</v>
      </c>
      <c r="F182" s="126" t="s">
        <v>22</v>
      </c>
      <c r="G182" s="126" t="s">
        <v>1664</v>
      </c>
      <c r="H182" s="127">
        <v>32</v>
      </c>
      <c r="I182" s="49" t="s">
        <v>2602</v>
      </c>
      <c r="J182" s="52">
        <v>1</v>
      </c>
      <c r="K182" s="49"/>
      <c r="L182" s="49" t="s">
        <v>2603</v>
      </c>
      <c r="M182" s="76">
        <v>45429</v>
      </c>
      <c r="N182" s="128">
        <f>+VLOOKUP(B184,BOM!$A$8:$AB$1078,25,0)</f>
        <v>3</v>
      </c>
      <c r="O182" s="129">
        <f>+VLOOKUP(B184,BOM!$A$8:$AB$1078,26,0)</f>
        <v>0</v>
      </c>
      <c r="P182" s="10" t="str">
        <f t="shared" si="8"/>
        <v/>
      </c>
    </row>
    <row r="183" spans="1:16" ht="15">
      <c r="A183" s="153">
        <v>181</v>
      </c>
      <c r="B183" s="53" t="s">
        <v>598</v>
      </c>
      <c r="C183" s="126" t="s">
        <v>600</v>
      </c>
      <c r="D183" s="55">
        <v>4</v>
      </c>
      <c r="E183" s="56" t="s">
        <v>2437</v>
      </c>
      <c r="F183" s="126" t="s">
        <v>22</v>
      </c>
      <c r="G183" s="126" t="s">
        <v>1664</v>
      </c>
      <c r="H183" s="127">
        <v>32</v>
      </c>
      <c r="I183" s="49" t="s">
        <v>2602</v>
      </c>
      <c r="J183" s="52">
        <v>1</v>
      </c>
      <c r="K183" s="49" t="s">
        <v>2604</v>
      </c>
      <c r="L183" s="49" t="s">
        <v>2605</v>
      </c>
      <c r="M183" s="76">
        <v>45439</v>
      </c>
      <c r="N183" s="128">
        <f>+VLOOKUP(B185,BOM!$A$8:$AB$1078,25,0)</f>
        <v>3</v>
      </c>
      <c r="O183" s="129">
        <f>+VLOOKUP(B185,BOM!$A$8:$AB$1078,26,0)</f>
        <v>1</v>
      </c>
      <c r="P183" s="10" t="str">
        <f t="shared" si="8"/>
        <v/>
      </c>
    </row>
    <row r="184" spans="1:16" ht="15">
      <c r="A184" s="153">
        <v>182</v>
      </c>
      <c r="B184" s="53" t="s">
        <v>626</v>
      </c>
      <c r="C184" s="126" t="s">
        <v>627</v>
      </c>
      <c r="D184" s="55">
        <v>2</v>
      </c>
      <c r="E184" s="79" t="s">
        <v>2385</v>
      </c>
      <c r="F184" s="126" t="s">
        <v>22</v>
      </c>
      <c r="G184" s="128" t="s">
        <v>1664</v>
      </c>
      <c r="H184" s="127">
        <v>8</v>
      </c>
      <c r="I184" s="49" t="s">
        <v>2602</v>
      </c>
      <c r="J184" s="52">
        <v>2</v>
      </c>
      <c r="K184" s="49"/>
      <c r="L184" s="49" t="s">
        <v>2606</v>
      </c>
      <c r="M184" s="76">
        <v>45439</v>
      </c>
      <c r="N184" s="128">
        <f>+VLOOKUP(B186,BOM!$A$8:$AB$1078,25,0)</f>
        <v>4</v>
      </c>
      <c r="O184" s="129" t="str">
        <f>+VLOOKUP(B186,BOM!$A$8:$AB$1078,26,0)</f>
        <v>1x0 + 2x5</v>
      </c>
      <c r="P184" s="10" t="str">
        <f t="shared" si="8"/>
        <v/>
      </c>
    </row>
    <row r="185" spans="1:16" ht="15" customHeight="1">
      <c r="A185" s="153">
        <v>183</v>
      </c>
      <c r="B185" s="53" t="s">
        <v>640</v>
      </c>
      <c r="C185" s="126" t="s">
        <v>611</v>
      </c>
      <c r="D185" s="55">
        <v>2</v>
      </c>
      <c r="E185" s="79" t="s">
        <v>2385</v>
      </c>
      <c r="F185" s="126" t="s">
        <v>22</v>
      </c>
      <c r="G185" s="126" t="s">
        <v>1664</v>
      </c>
      <c r="H185" s="127">
        <v>16</v>
      </c>
      <c r="I185" s="49" t="s">
        <v>2602</v>
      </c>
      <c r="J185" s="52">
        <v>2</v>
      </c>
      <c r="K185" s="68"/>
      <c r="L185" s="68" t="s">
        <v>2607</v>
      </c>
      <c r="M185" s="76">
        <v>45439</v>
      </c>
      <c r="N185" s="128">
        <f>+VLOOKUP(B187,BOM!$A$8:$AB$1078,25,0)</f>
        <v>2</v>
      </c>
      <c r="O185" s="129">
        <f>+VLOOKUP(B187,BOM!$A$8:$AB$1078,26,0)</f>
        <v>0</v>
      </c>
      <c r="P185" s="10" t="str">
        <f t="shared" si="8"/>
        <v/>
      </c>
    </row>
    <row r="186" spans="1:16" ht="15">
      <c r="A186" s="153">
        <v>184</v>
      </c>
      <c r="B186" s="53" t="s">
        <v>628</v>
      </c>
      <c r="C186" s="126" t="s">
        <v>611</v>
      </c>
      <c r="D186" s="55">
        <v>1</v>
      </c>
      <c r="E186" s="79" t="s">
        <v>2385</v>
      </c>
      <c r="F186" s="126" t="s">
        <v>22</v>
      </c>
      <c r="G186" s="126" t="s">
        <v>1664</v>
      </c>
      <c r="H186" s="127">
        <v>32</v>
      </c>
      <c r="I186" s="49" t="s">
        <v>2602</v>
      </c>
      <c r="J186" s="52">
        <v>2</v>
      </c>
      <c r="K186" s="68"/>
      <c r="L186" s="68" t="s">
        <v>2608</v>
      </c>
      <c r="M186" s="76">
        <v>45439</v>
      </c>
      <c r="N186" s="128">
        <f>+VLOOKUP(B188,BOM!$A$8:$AB$1078,25,0)</f>
        <v>4</v>
      </c>
      <c r="O186" s="129" t="str">
        <f>+VLOOKUP(B188,BOM!$A$8:$AB$1078,26,0)</f>
        <v>1x0 + 2x4</v>
      </c>
      <c r="P186" s="10" t="str">
        <f t="shared" si="8"/>
        <v/>
      </c>
    </row>
    <row r="187" spans="1:16" ht="15">
      <c r="A187" s="153">
        <v>185</v>
      </c>
      <c r="B187" s="53" t="s">
        <v>644</v>
      </c>
      <c r="C187" s="126" t="s">
        <v>645</v>
      </c>
      <c r="D187" s="55">
        <v>1</v>
      </c>
      <c r="E187" s="79" t="s">
        <v>2385</v>
      </c>
      <c r="F187" s="126" t="s">
        <v>22</v>
      </c>
      <c r="G187" s="126" t="s">
        <v>1664</v>
      </c>
      <c r="H187" s="127">
        <v>8</v>
      </c>
      <c r="I187" s="49" t="s">
        <v>2602</v>
      </c>
      <c r="J187" s="52">
        <v>3</v>
      </c>
      <c r="K187" s="68"/>
      <c r="L187" s="68" t="s">
        <v>2609</v>
      </c>
      <c r="M187" s="76">
        <v>45439</v>
      </c>
      <c r="N187" s="128">
        <f>+VLOOKUP(B189,BOM!$A$8:$AB$1078,25,0)</f>
        <v>4</v>
      </c>
      <c r="O187" s="129" t="str">
        <f>+VLOOKUP(B189,BOM!$A$8:$AB$1078,26,0)</f>
        <v>3x0 + 2x1</v>
      </c>
      <c r="P187" s="10" t="str">
        <f t="shared" si="8"/>
        <v>ok</v>
      </c>
    </row>
    <row r="188" spans="1:16" ht="15">
      <c r="A188" s="153">
        <v>186</v>
      </c>
      <c r="B188" s="53" t="s">
        <v>641</v>
      </c>
      <c r="C188" s="126" t="s">
        <v>611</v>
      </c>
      <c r="D188" s="55">
        <v>1</v>
      </c>
      <c r="E188" s="79" t="s">
        <v>2385</v>
      </c>
      <c r="F188" s="126" t="s">
        <v>22</v>
      </c>
      <c r="G188" s="126" t="s">
        <v>1664</v>
      </c>
      <c r="H188" s="127">
        <v>48</v>
      </c>
      <c r="I188" s="49" t="s">
        <v>2602</v>
      </c>
      <c r="J188" s="52">
        <v>3</v>
      </c>
      <c r="K188" s="68"/>
      <c r="L188" s="68" t="s">
        <v>2610</v>
      </c>
      <c r="M188" s="76">
        <v>45439</v>
      </c>
      <c r="N188" s="128">
        <f>+VLOOKUP(B190,BOM!$A$8:$AB$1078,25,0)</f>
        <v>4</v>
      </c>
      <c r="O188" s="129" t="str">
        <f>+VLOOKUP(B190,BOM!$A$8:$AB$1078,26,0)</f>
        <v>1x0 + 2x4</v>
      </c>
      <c r="P188" s="10" t="str">
        <f t="shared" si="8"/>
        <v/>
      </c>
    </row>
    <row r="189" spans="1:16" ht="15">
      <c r="A189" s="153">
        <v>187</v>
      </c>
      <c r="B189" s="53" t="s">
        <v>648</v>
      </c>
      <c r="C189" s="126" t="s">
        <v>611</v>
      </c>
      <c r="D189" s="55">
        <v>4</v>
      </c>
      <c r="E189" s="79" t="s">
        <v>2385</v>
      </c>
      <c r="F189" s="126" t="s">
        <v>22</v>
      </c>
      <c r="G189" s="126" t="s">
        <v>1664</v>
      </c>
      <c r="H189" s="127">
        <v>24</v>
      </c>
      <c r="I189" s="49" t="s">
        <v>2602</v>
      </c>
      <c r="J189" s="52">
        <v>3</v>
      </c>
      <c r="K189" s="68"/>
      <c r="L189" s="68" t="s">
        <v>2611</v>
      </c>
      <c r="M189" s="76">
        <v>45429</v>
      </c>
      <c r="N189" s="128">
        <f>+VLOOKUP(B191,BOM!$A$8:$AB$1078,25,0)</f>
        <v>47</v>
      </c>
      <c r="O189" s="129" t="str">
        <f>+VLOOKUP(B191,BOM!$A$8:$AB$1078,26,0)</f>
        <v>38x0 + 6x3</v>
      </c>
      <c r="P189" s="10" t="str">
        <f t="shared" si="8"/>
        <v/>
      </c>
    </row>
    <row r="190" spans="1:16" ht="15" customHeight="1">
      <c r="A190" s="153">
        <v>188</v>
      </c>
      <c r="B190" s="53" t="s">
        <v>655</v>
      </c>
      <c r="C190" s="126" t="s">
        <v>656</v>
      </c>
      <c r="D190" s="55">
        <v>1</v>
      </c>
      <c r="E190" s="79" t="s">
        <v>2385</v>
      </c>
      <c r="F190" s="126" t="s">
        <v>22</v>
      </c>
      <c r="G190" s="126" t="s">
        <v>1664</v>
      </c>
      <c r="H190" s="127">
        <v>16</v>
      </c>
      <c r="I190" s="49" t="s">
        <v>2602</v>
      </c>
      <c r="J190" s="52">
        <v>3</v>
      </c>
      <c r="K190" s="68"/>
      <c r="L190" s="68" t="s">
        <v>2612</v>
      </c>
      <c r="M190" s="76">
        <v>45429</v>
      </c>
      <c r="N190" s="128">
        <f>+VLOOKUP(B192,BOM!$A$8:$AB$1078,25,0)</f>
        <v>4</v>
      </c>
      <c r="O190" s="129">
        <f>+VLOOKUP(B192,BOM!$A$8:$AB$1078,26,0)</f>
        <v>0</v>
      </c>
      <c r="P190" s="10" t="str">
        <f t="shared" si="8"/>
        <v/>
      </c>
    </row>
    <row r="191" spans="1:16" ht="15">
      <c r="A191" s="153">
        <v>189</v>
      </c>
      <c r="B191" s="53" t="s">
        <v>657</v>
      </c>
      <c r="C191" s="126" t="s">
        <v>658</v>
      </c>
      <c r="D191" s="55">
        <v>34</v>
      </c>
      <c r="E191" s="79" t="s">
        <v>2385</v>
      </c>
      <c r="F191" s="126" t="s">
        <v>22</v>
      </c>
      <c r="G191" s="126" t="s">
        <v>1664</v>
      </c>
      <c r="H191" s="127">
        <v>304</v>
      </c>
      <c r="I191" s="49" t="s">
        <v>2602</v>
      </c>
      <c r="J191" s="52">
        <v>3</v>
      </c>
      <c r="K191" s="49"/>
      <c r="L191" s="49" t="s">
        <v>2613</v>
      </c>
      <c r="M191" s="76">
        <v>45702</v>
      </c>
      <c r="N191" s="128">
        <f>+VLOOKUP(B193,BOM!$A$8:$AB$1078,25,0)</f>
        <v>5</v>
      </c>
      <c r="O191" s="129">
        <f>+VLOOKUP(B193,BOM!$A$8:$AB$1078,26,0)</f>
        <v>0</v>
      </c>
      <c r="P191" s="10" t="str">
        <f t="shared" si="8"/>
        <v/>
      </c>
    </row>
    <row r="192" spans="1:16" ht="15">
      <c r="A192" s="153">
        <v>190</v>
      </c>
      <c r="B192" s="60" t="s">
        <v>672</v>
      </c>
      <c r="C192" s="126" t="s">
        <v>673</v>
      </c>
      <c r="D192" s="55">
        <v>3</v>
      </c>
      <c r="E192" s="79" t="s">
        <v>2385</v>
      </c>
      <c r="F192" s="126" t="s">
        <v>22</v>
      </c>
      <c r="G192" s="126" t="s">
        <v>1664</v>
      </c>
      <c r="H192" s="127">
        <v>24</v>
      </c>
      <c r="I192" s="49" t="s">
        <v>2602</v>
      </c>
      <c r="J192" s="52">
        <v>4</v>
      </c>
      <c r="K192" s="49"/>
      <c r="L192" s="49" t="s">
        <v>2614</v>
      </c>
      <c r="M192" s="76">
        <v>45429</v>
      </c>
      <c r="N192" s="128">
        <f>+VLOOKUP(B194,BOM!$A$8:$AB$1078,25,0)</f>
        <v>2</v>
      </c>
      <c r="O192" s="129">
        <f>+VLOOKUP(B194,BOM!$A$8:$AB$1078,26,0)</f>
        <v>0</v>
      </c>
      <c r="P192" s="10" t="str">
        <f t="shared" si="8"/>
        <v/>
      </c>
    </row>
    <row r="193" spans="1:16" ht="15">
      <c r="A193" s="153">
        <v>191</v>
      </c>
      <c r="B193" s="53" t="s">
        <v>705</v>
      </c>
      <c r="C193" s="126" t="s">
        <v>611</v>
      </c>
      <c r="D193" s="55">
        <v>4</v>
      </c>
      <c r="E193" s="79" t="s">
        <v>2385</v>
      </c>
      <c r="F193" s="126" t="s">
        <v>22</v>
      </c>
      <c r="G193" s="126" t="s">
        <v>1664</v>
      </c>
      <c r="H193" s="127">
        <v>32</v>
      </c>
      <c r="I193" s="49" t="s">
        <v>2602</v>
      </c>
      <c r="J193" s="52">
        <v>4</v>
      </c>
      <c r="K193" s="49"/>
      <c r="L193" s="49" t="s">
        <v>2615</v>
      </c>
      <c r="M193" s="76"/>
      <c r="N193" s="128">
        <f>+VLOOKUP(B195,BOM!$A$8:$AB$1078,25,0)</f>
        <v>2</v>
      </c>
      <c r="O193" s="129">
        <f>+VLOOKUP(B195,BOM!$A$8:$AB$1078,26,0)</f>
        <v>4</v>
      </c>
    </row>
    <row r="194" spans="1:16" ht="15" customHeight="1">
      <c r="A194" s="153">
        <v>192</v>
      </c>
      <c r="B194" s="53" t="s">
        <v>707</v>
      </c>
      <c r="C194" s="126" t="s">
        <v>708</v>
      </c>
      <c r="D194" s="55">
        <v>1</v>
      </c>
      <c r="E194" s="56" t="s">
        <v>2385</v>
      </c>
      <c r="F194" s="126" t="s">
        <v>22</v>
      </c>
      <c r="G194" s="126" t="s">
        <v>1664</v>
      </c>
      <c r="H194" s="127">
        <v>8</v>
      </c>
      <c r="I194" s="49" t="s">
        <v>2602</v>
      </c>
      <c r="J194" s="52">
        <v>4</v>
      </c>
      <c r="K194" s="49"/>
      <c r="L194" s="49" t="s">
        <v>2616</v>
      </c>
      <c r="M194" s="76">
        <v>45429</v>
      </c>
      <c r="N194" s="128">
        <f>+VLOOKUP(B196,BOM!$A$8:$AB$1078,25,0)</f>
        <v>14</v>
      </c>
      <c r="O194" s="129" t="str">
        <f>+VLOOKUP(B196,BOM!$A$8:$AB$1078,26,0)</f>
        <v xml:space="preserve">3xC + 2X0 </v>
      </c>
      <c r="P194" s="10" t="str">
        <f>+IF(N194=D196,"ok","")</f>
        <v/>
      </c>
    </row>
    <row r="195" spans="1:16" ht="15">
      <c r="A195" s="153">
        <v>193</v>
      </c>
      <c r="B195" s="53" t="s">
        <v>696</v>
      </c>
      <c r="C195" s="54" t="s">
        <v>611</v>
      </c>
      <c r="D195" s="55">
        <v>1</v>
      </c>
      <c r="E195" s="56" t="s">
        <v>2385</v>
      </c>
      <c r="F195" s="49" t="s">
        <v>22</v>
      </c>
      <c r="G195" s="126" t="s">
        <v>1664</v>
      </c>
      <c r="H195" s="127">
        <v>16</v>
      </c>
      <c r="I195" s="49" t="s">
        <v>2602</v>
      </c>
      <c r="J195" s="52">
        <v>4</v>
      </c>
      <c r="K195" s="49"/>
      <c r="L195" s="49" t="s">
        <v>2617</v>
      </c>
      <c r="M195" s="76">
        <v>45429</v>
      </c>
      <c r="N195" s="128">
        <f>+VLOOKUP(B197,BOM!$A$8:$AB$1078,25,0)</f>
        <v>5</v>
      </c>
      <c r="O195" s="129">
        <f>+VLOOKUP(B197,BOM!$A$8:$AB$1078,26,0)</f>
        <v>0</v>
      </c>
      <c r="P195" s="10" t="str">
        <f>+IF(N195=D197,"ok","")</f>
        <v/>
      </c>
    </row>
    <row r="196" spans="1:16" ht="15">
      <c r="A196" s="153">
        <v>194</v>
      </c>
      <c r="B196" s="53" t="s">
        <v>692</v>
      </c>
      <c r="C196" s="126" t="s">
        <v>693</v>
      </c>
      <c r="D196" s="55">
        <v>2</v>
      </c>
      <c r="E196" s="56" t="s">
        <v>2385</v>
      </c>
      <c r="F196" s="126" t="s">
        <v>22</v>
      </c>
      <c r="G196" s="126" t="s">
        <v>1664</v>
      </c>
      <c r="H196" s="127">
        <v>160</v>
      </c>
      <c r="I196" s="49" t="s">
        <v>2602</v>
      </c>
      <c r="J196" s="52">
        <v>4</v>
      </c>
      <c r="K196" s="49"/>
      <c r="L196" s="49" t="s">
        <v>2618</v>
      </c>
      <c r="M196" s="76">
        <v>45429</v>
      </c>
      <c r="N196" s="128">
        <f>+VLOOKUP(B198,BOM!$A$8:$AB$1078,25,0)</f>
        <v>5</v>
      </c>
      <c r="O196" s="129">
        <f>+VLOOKUP(B198,BOM!$A$8:$AB$1078,26,0)</f>
        <v>0</v>
      </c>
      <c r="P196" s="10" t="str">
        <f>+IF(N196=D198,"ok","")</f>
        <v/>
      </c>
    </row>
    <row r="197" spans="1:16" ht="15">
      <c r="A197" s="153">
        <v>195</v>
      </c>
      <c r="B197" s="53" t="s">
        <v>91</v>
      </c>
      <c r="C197" s="126" t="s">
        <v>93</v>
      </c>
      <c r="D197" s="55">
        <v>4</v>
      </c>
      <c r="E197" s="79" t="s">
        <v>2385</v>
      </c>
      <c r="F197" s="126" t="s">
        <v>22</v>
      </c>
      <c r="G197" s="126" t="s">
        <v>1664</v>
      </c>
      <c r="H197" s="127">
        <v>32</v>
      </c>
      <c r="I197" s="49" t="s">
        <v>2619</v>
      </c>
      <c r="J197" s="52">
        <v>1</v>
      </c>
      <c r="K197" s="49"/>
      <c r="L197" s="49" t="s">
        <v>2620</v>
      </c>
      <c r="M197" s="76">
        <v>45429</v>
      </c>
      <c r="N197" s="128">
        <f>+VLOOKUP(B199,BOM!$A$8:$AB$1078,25,0)</f>
        <v>2</v>
      </c>
      <c r="O197" s="129">
        <f>+VLOOKUP(B199,BOM!$A$8:$AB$1078,26,0)</f>
        <v>1</v>
      </c>
      <c r="P197" s="10" t="str">
        <f>+IF(N197=D199,"ok","")</f>
        <v/>
      </c>
    </row>
    <row r="198" spans="1:16" ht="15">
      <c r="A198" s="153">
        <v>196</v>
      </c>
      <c r="B198" s="53" t="s">
        <v>97</v>
      </c>
      <c r="C198" s="126" t="s">
        <v>99</v>
      </c>
      <c r="D198" s="55">
        <v>4</v>
      </c>
      <c r="E198" s="56" t="s">
        <v>2385</v>
      </c>
      <c r="F198" s="126" t="s">
        <v>22</v>
      </c>
      <c r="G198" s="126" t="s">
        <v>1664</v>
      </c>
      <c r="H198" s="127">
        <v>32</v>
      </c>
      <c r="I198" s="49" t="s">
        <v>2619</v>
      </c>
      <c r="J198" s="52">
        <v>1</v>
      </c>
      <c r="K198" s="49"/>
      <c r="L198" s="49" t="s">
        <v>2621</v>
      </c>
      <c r="M198" s="76">
        <v>45429</v>
      </c>
      <c r="N198" s="128">
        <f>+VLOOKUP(B200,BOM!$A$8:$AB$1078,25,0)</f>
        <v>7</v>
      </c>
      <c r="O198" s="129">
        <f>+VLOOKUP(B200,BOM!$A$8:$AB$1078,26,0)</f>
        <v>1</v>
      </c>
      <c r="P198" s="10" t="str">
        <f>+IF(N198=D200,"ok","")</f>
        <v/>
      </c>
    </row>
    <row r="199" spans="1:16" ht="15">
      <c r="A199" s="153">
        <v>197</v>
      </c>
      <c r="B199" s="53" t="s">
        <v>448</v>
      </c>
      <c r="C199" s="126" t="s">
        <v>450</v>
      </c>
      <c r="D199" s="55">
        <v>1</v>
      </c>
      <c r="E199" s="79" t="s">
        <v>2385</v>
      </c>
      <c r="F199" s="126" t="s">
        <v>22</v>
      </c>
      <c r="G199" s="126" t="s">
        <v>1664</v>
      </c>
      <c r="H199" s="127">
        <v>8</v>
      </c>
      <c r="I199" s="49" t="s">
        <v>2619</v>
      </c>
      <c r="J199" s="52">
        <v>1</v>
      </c>
      <c r="K199" s="49"/>
      <c r="L199" s="49" t="s">
        <v>2622</v>
      </c>
      <c r="M199" s="76">
        <v>45429</v>
      </c>
      <c r="N199" s="128">
        <f>+VLOOKUP(B202,BOM!$A$8:$AB$1078,25,0)</f>
        <v>3</v>
      </c>
      <c r="O199" s="129">
        <f>+VLOOKUP(B202,BOM!$A$8:$AB$1078,26,0)</f>
        <v>0</v>
      </c>
      <c r="P199" s="10" t="str">
        <f>+IF(N199=D202,"ok","")</f>
        <v/>
      </c>
    </row>
    <row r="200" spans="1:16" ht="15">
      <c r="A200" s="153">
        <v>198</v>
      </c>
      <c r="B200" s="53" t="s">
        <v>451</v>
      </c>
      <c r="C200" s="126" t="s">
        <v>453</v>
      </c>
      <c r="D200" s="55">
        <v>6</v>
      </c>
      <c r="E200" s="79" t="s">
        <v>2385</v>
      </c>
      <c r="F200" s="126" t="s">
        <v>22</v>
      </c>
      <c r="G200" s="126" t="s">
        <v>1664</v>
      </c>
      <c r="H200" s="127">
        <v>48</v>
      </c>
      <c r="I200" s="49" t="s">
        <v>2619</v>
      </c>
      <c r="J200" s="52">
        <v>1</v>
      </c>
      <c r="K200" s="49"/>
      <c r="L200" s="49" t="s">
        <v>2623</v>
      </c>
      <c r="M200" s="76">
        <v>45429</v>
      </c>
      <c r="N200" s="128">
        <f>+VLOOKUP(B203,BOM!$A$8:$AB$1078,25,0)</f>
        <v>3</v>
      </c>
      <c r="O200" s="129">
        <f>+VLOOKUP(B203,BOM!$A$8:$AB$1078,26,0)</f>
        <v>0</v>
      </c>
      <c r="P200" s="10" t="str">
        <f>+IF(N200=D203,"ok","")</f>
        <v/>
      </c>
    </row>
    <row r="201" spans="1:16" ht="15">
      <c r="A201" s="153">
        <v>199</v>
      </c>
      <c r="B201" s="53" t="s">
        <v>624</v>
      </c>
      <c r="C201" s="126" t="s">
        <v>625</v>
      </c>
      <c r="D201" s="55">
        <v>2</v>
      </c>
      <c r="E201" s="79" t="s">
        <v>2385</v>
      </c>
      <c r="F201" s="126" t="s">
        <v>22</v>
      </c>
      <c r="G201" s="126" t="s">
        <v>1664</v>
      </c>
      <c r="H201" s="127">
        <v>88</v>
      </c>
      <c r="I201" s="49" t="s">
        <v>2619</v>
      </c>
      <c r="J201" s="52">
        <v>1</v>
      </c>
      <c r="K201" s="49"/>
      <c r="L201" s="49" t="s">
        <v>2624</v>
      </c>
      <c r="M201" s="76"/>
      <c r="N201" s="128"/>
      <c r="O201" s="129"/>
    </row>
    <row r="202" spans="1:16" ht="15">
      <c r="A202" s="153">
        <v>200</v>
      </c>
      <c r="B202" s="53" t="s">
        <v>173</v>
      </c>
      <c r="C202" s="126" t="s">
        <v>175</v>
      </c>
      <c r="D202" s="55">
        <v>2</v>
      </c>
      <c r="E202" s="56" t="s">
        <v>2385</v>
      </c>
      <c r="F202" s="126" t="s">
        <v>22</v>
      </c>
      <c r="G202" s="126" t="s">
        <v>1664</v>
      </c>
      <c r="H202" s="127">
        <v>16</v>
      </c>
      <c r="I202" s="49" t="s">
        <v>2619</v>
      </c>
      <c r="J202" s="52">
        <v>2</v>
      </c>
      <c r="K202" s="49"/>
      <c r="L202" s="49" t="s">
        <v>2625</v>
      </c>
      <c r="M202" s="76">
        <v>45429</v>
      </c>
      <c r="N202" s="128">
        <f>+VLOOKUP(B204,BOM!$A$8:$AB$1078,25,0)</f>
        <v>2</v>
      </c>
      <c r="O202" s="129">
        <f>+VLOOKUP(B204,BOM!$A$8:$AB$1078,26,0)</f>
        <v>1</v>
      </c>
      <c r="P202" s="10" t="str">
        <f t="shared" ref="P202:P213" si="9">+IF(N202=D204,"ok","")</f>
        <v/>
      </c>
    </row>
    <row r="203" spans="1:16" ht="15">
      <c r="A203" s="153">
        <v>201</v>
      </c>
      <c r="B203" s="53" t="s">
        <v>610</v>
      </c>
      <c r="C203" s="126" t="s">
        <v>611</v>
      </c>
      <c r="D203" s="55">
        <v>2</v>
      </c>
      <c r="E203" s="56" t="s">
        <v>2385</v>
      </c>
      <c r="F203" s="126" t="s">
        <v>22</v>
      </c>
      <c r="G203" s="126" t="s">
        <v>1664</v>
      </c>
      <c r="H203" s="127">
        <v>16</v>
      </c>
      <c r="I203" s="49" t="s">
        <v>2619</v>
      </c>
      <c r="J203" s="52">
        <v>2</v>
      </c>
      <c r="K203" s="49"/>
      <c r="L203" s="49" t="s">
        <v>2626</v>
      </c>
      <c r="M203" s="76">
        <v>45429</v>
      </c>
      <c r="N203" s="128">
        <f>+VLOOKUP(B205,BOM!$A$8:$AB$1078,25,0)</f>
        <v>2</v>
      </c>
      <c r="O203" s="129">
        <f>+VLOOKUP(B205,BOM!$A$8:$AB$1078,26,0)</f>
        <v>1</v>
      </c>
      <c r="P203" s="10" t="str">
        <f t="shared" si="9"/>
        <v/>
      </c>
    </row>
    <row r="204" spans="1:16" ht="15">
      <c r="A204" s="153">
        <v>202</v>
      </c>
      <c r="B204" s="53" t="s">
        <v>186</v>
      </c>
      <c r="C204" s="126" t="s">
        <v>188</v>
      </c>
      <c r="D204" s="55">
        <v>1</v>
      </c>
      <c r="E204" s="56" t="s">
        <v>2385</v>
      </c>
      <c r="F204" s="126" t="s">
        <v>22</v>
      </c>
      <c r="G204" s="126" t="s">
        <v>1664</v>
      </c>
      <c r="H204" s="127">
        <v>8</v>
      </c>
      <c r="I204" s="49" t="s">
        <v>2619</v>
      </c>
      <c r="J204" s="52">
        <v>2</v>
      </c>
      <c r="K204" s="49"/>
      <c r="L204" s="49" t="s">
        <v>2627</v>
      </c>
      <c r="M204" s="82"/>
      <c r="N204" s="128">
        <f>+VLOOKUP(B206,BOM!$A$8:$AB$1078,25,0)</f>
        <v>64</v>
      </c>
      <c r="O204" s="129" t="str">
        <f>+VLOOKUP(B206,BOM!$A$8:$AB$1078,26,0)</f>
        <v>18x1 + 36x2 + 1x4</v>
      </c>
      <c r="P204" s="10" t="str">
        <f t="shared" si="9"/>
        <v/>
      </c>
    </row>
    <row r="205" spans="1:16" ht="34.5" customHeight="1">
      <c r="A205" s="153">
        <v>203</v>
      </c>
      <c r="B205" s="53" t="s">
        <v>189</v>
      </c>
      <c r="C205" s="126" t="s">
        <v>188</v>
      </c>
      <c r="D205" s="55">
        <v>1</v>
      </c>
      <c r="E205" s="56" t="s">
        <v>2385</v>
      </c>
      <c r="F205" s="126" t="s">
        <v>22</v>
      </c>
      <c r="G205" s="126" t="s">
        <v>1664</v>
      </c>
      <c r="H205" s="127">
        <v>8</v>
      </c>
      <c r="I205" s="49" t="s">
        <v>2619</v>
      </c>
      <c r="J205" s="52">
        <v>2</v>
      </c>
      <c r="K205" s="49"/>
      <c r="L205" s="49" t="s">
        <v>2628</v>
      </c>
      <c r="M205" s="76">
        <v>45429</v>
      </c>
      <c r="N205" s="128">
        <f>+VLOOKUP(B207,BOM!$A$8:$AB$1078,25,0)</f>
        <v>3</v>
      </c>
      <c r="O205" s="129" t="str">
        <f>+VLOOKUP(B207,BOM!$A$8:$AB$1078,26,0)</f>
        <v>1x0 + 1x6</v>
      </c>
      <c r="P205" s="10" t="str">
        <f t="shared" si="9"/>
        <v/>
      </c>
    </row>
    <row r="206" spans="1:16" ht="15">
      <c r="A206" s="153">
        <v>204</v>
      </c>
      <c r="B206" s="53" t="s">
        <v>94</v>
      </c>
      <c r="C206" s="126" t="s">
        <v>96</v>
      </c>
      <c r="D206" s="52">
        <v>18</v>
      </c>
      <c r="E206" s="81" t="s">
        <v>2385</v>
      </c>
      <c r="F206" s="126" t="s">
        <v>22</v>
      </c>
      <c r="G206" s="126" t="s">
        <v>1686</v>
      </c>
      <c r="H206" s="127">
        <v>288</v>
      </c>
      <c r="I206" s="49" t="s">
        <v>2619</v>
      </c>
      <c r="J206" s="52">
        <v>3</v>
      </c>
      <c r="K206" s="49"/>
      <c r="L206" s="49" t="s">
        <v>2629</v>
      </c>
      <c r="M206" s="76">
        <v>45429</v>
      </c>
      <c r="N206" s="128">
        <f>+VLOOKUP(B208,BOM!$A$8:$AB$1078,25,0)</f>
        <v>3</v>
      </c>
      <c r="O206" s="129">
        <f>+VLOOKUP(B208,BOM!$A$8:$AB$1078,26,0)</f>
        <v>0</v>
      </c>
      <c r="P206" s="10" t="str">
        <f t="shared" si="9"/>
        <v/>
      </c>
    </row>
    <row r="207" spans="1:16" ht="15">
      <c r="A207" s="153">
        <v>205</v>
      </c>
      <c r="B207" s="53" t="s">
        <v>706</v>
      </c>
      <c r="C207" s="126" t="s">
        <v>695</v>
      </c>
      <c r="D207" s="55">
        <v>1</v>
      </c>
      <c r="E207" s="77" t="s">
        <v>2385</v>
      </c>
      <c r="F207" s="126" t="s">
        <v>22</v>
      </c>
      <c r="G207" s="126" t="s">
        <v>1664</v>
      </c>
      <c r="H207" s="127">
        <v>40</v>
      </c>
      <c r="I207" s="49" t="s">
        <v>2619</v>
      </c>
      <c r="J207" s="52">
        <v>3</v>
      </c>
      <c r="K207" s="49"/>
      <c r="L207" s="49" t="s">
        <v>2630</v>
      </c>
      <c r="M207" s="76">
        <v>45429</v>
      </c>
      <c r="N207" s="128">
        <f>+VLOOKUP(B209,BOM!$A$8:$AB$1078,25,0)</f>
        <v>3</v>
      </c>
      <c r="O207" s="129">
        <f>+VLOOKUP(B209,BOM!$A$8:$AB$1078,26,0)</f>
        <v>0</v>
      </c>
      <c r="P207" s="10" t="str">
        <f t="shared" si="9"/>
        <v/>
      </c>
    </row>
    <row r="208" spans="1:16" ht="15">
      <c r="A208" s="153">
        <v>206</v>
      </c>
      <c r="B208" s="53" t="s">
        <v>475</v>
      </c>
      <c r="C208" s="126" t="s">
        <v>474</v>
      </c>
      <c r="D208" s="55">
        <v>2</v>
      </c>
      <c r="E208" s="56" t="s">
        <v>2385</v>
      </c>
      <c r="F208" s="126" t="s">
        <v>22</v>
      </c>
      <c r="G208" s="126" t="s">
        <v>1664</v>
      </c>
      <c r="H208" s="127">
        <v>16</v>
      </c>
      <c r="I208" s="49" t="s">
        <v>2619</v>
      </c>
      <c r="J208" s="52">
        <v>4</v>
      </c>
      <c r="K208" s="49"/>
      <c r="L208" s="49" t="s">
        <v>2631</v>
      </c>
      <c r="M208" s="76">
        <v>45429</v>
      </c>
      <c r="N208" s="128">
        <f>+VLOOKUP(B210,BOM!$A$8:$AB$1078,25,0)</f>
        <v>2</v>
      </c>
      <c r="O208" s="129">
        <f>+VLOOKUP(B210,BOM!$A$8:$AB$1078,26,0)</f>
        <v>0</v>
      </c>
      <c r="P208" s="10" t="str">
        <f t="shared" si="9"/>
        <v/>
      </c>
    </row>
    <row r="209" spans="1:16" ht="15">
      <c r="A209" s="153">
        <v>207</v>
      </c>
      <c r="B209" s="53" t="s">
        <v>709</v>
      </c>
      <c r="C209" s="126" t="s">
        <v>710</v>
      </c>
      <c r="D209" s="55">
        <v>2</v>
      </c>
      <c r="E209" s="56" t="s">
        <v>2385</v>
      </c>
      <c r="F209" s="126" t="s">
        <v>22</v>
      </c>
      <c r="G209" s="126" t="s">
        <v>1664</v>
      </c>
      <c r="H209" s="127">
        <v>16</v>
      </c>
      <c r="I209" s="49" t="s">
        <v>2619</v>
      </c>
      <c r="J209" s="52">
        <v>4</v>
      </c>
      <c r="K209" s="49"/>
      <c r="L209" s="49" t="s">
        <v>2632</v>
      </c>
      <c r="M209" s="76">
        <v>45429</v>
      </c>
      <c r="N209" s="128">
        <f>+VLOOKUP(B211,BOM!$A$8:$AB$1078,25,0)</f>
        <v>3</v>
      </c>
      <c r="O209" s="129">
        <f>+VLOOKUP(B211,BOM!$A$8:$AB$1078,26,0)</f>
        <v>0</v>
      </c>
      <c r="P209" s="10" t="str">
        <f t="shared" si="9"/>
        <v/>
      </c>
    </row>
    <row r="210" spans="1:16" ht="15">
      <c r="A210" s="153">
        <v>208</v>
      </c>
      <c r="B210" s="53" t="s">
        <v>738</v>
      </c>
      <c r="C210" s="126" t="s">
        <v>739</v>
      </c>
      <c r="D210" s="55">
        <v>1</v>
      </c>
      <c r="E210" s="56" t="s">
        <v>2385</v>
      </c>
      <c r="F210" s="126" t="s">
        <v>22</v>
      </c>
      <c r="G210" s="126" t="s">
        <v>1664</v>
      </c>
      <c r="H210" s="127">
        <v>32</v>
      </c>
      <c r="I210" s="49" t="s">
        <v>2619</v>
      </c>
      <c r="J210" s="52">
        <v>4</v>
      </c>
      <c r="K210" s="49"/>
      <c r="L210" s="49" t="s">
        <v>2633</v>
      </c>
      <c r="M210" s="76">
        <v>45429</v>
      </c>
      <c r="N210" s="128">
        <f>+VLOOKUP(B212,BOM!$A$8:$AB$1078,25,0)</f>
        <v>5</v>
      </c>
      <c r="O210" s="129">
        <f>+VLOOKUP(B212,BOM!$A$8:$AB$1078,26,0)</f>
        <v>0</v>
      </c>
      <c r="P210" s="10" t="str">
        <f t="shared" si="9"/>
        <v/>
      </c>
    </row>
    <row r="211" spans="1:16" ht="15">
      <c r="A211" s="153">
        <v>209</v>
      </c>
      <c r="B211" s="53" t="s">
        <v>1182</v>
      </c>
      <c r="C211" s="126" t="s">
        <v>587</v>
      </c>
      <c r="D211" s="55">
        <v>2</v>
      </c>
      <c r="E211" s="79" t="s">
        <v>2385</v>
      </c>
      <c r="F211" s="126" t="s">
        <v>22</v>
      </c>
      <c r="G211" s="126" t="s">
        <v>1664</v>
      </c>
      <c r="H211" s="127">
        <v>96</v>
      </c>
      <c r="I211" s="49" t="s">
        <v>2634</v>
      </c>
      <c r="J211" s="52">
        <v>1</v>
      </c>
      <c r="K211" s="49"/>
      <c r="L211" s="49" t="s">
        <v>2635</v>
      </c>
      <c r="M211" s="76">
        <v>45429</v>
      </c>
      <c r="N211" s="128">
        <f>+VLOOKUP(B213,BOM!$A$8:$AB$1078,25,0)</f>
        <v>2</v>
      </c>
      <c r="O211" s="129">
        <f>+VLOOKUP(B213,BOM!$A$8:$AB$1078,26,0)</f>
        <v>1</v>
      </c>
      <c r="P211" s="10" t="str">
        <f t="shared" si="9"/>
        <v/>
      </c>
    </row>
    <row r="212" spans="1:16" ht="15">
      <c r="A212" s="153">
        <v>210</v>
      </c>
      <c r="B212" s="53" t="s">
        <v>2293</v>
      </c>
      <c r="C212" s="126" t="s">
        <v>2264</v>
      </c>
      <c r="D212" s="55">
        <v>4</v>
      </c>
      <c r="E212" s="79" t="s">
        <v>2385</v>
      </c>
      <c r="F212" s="126" t="s">
        <v>22</v>
      </c>
      <c r="G212" s="126" t="s">
        <v>1664</v>
      </c>
      <c r="H212" s="127">
        <v>40</v>
      </c>
      <c r="I212" s="49" t="s">
        <v>2634</v>
      </c>
      <c r="J212" s="52">
        <v>1</v>
      </c>
      <c r="K212" s="49"/>
      <c r="L212" s="49" t="s">
        <v>2636</v>
      </c>
      <c r="M212" s="76">
        <v>45429</v>
      </c>
      <c r="N212" s="128">
        <f>+VLOOKUP(B214,BOM!$A$8:$AB$1078,25,0)</f>
        <v>87</v>
      </c>
      <c r="O212" s="129" t="str">
        <f>+VLOOKUP(B214,BOM!$A$8:$AB$1078,26,0)</f>
        <v>54x0 + 6x3 + 3x4 + 6x6 + 4xC</v>
      </c>
      <c r="P212" s="10" t="str">
        <f t="shared" si="9"/>
        <v/>
      </c>
    </row>
    <row r="213" spans="1:16" ht="15">
      <c r="A213" s="153">
        <v>211</v>
      </c>
      <c r="B213" s="59" t="s">
        <v>167</v>
      </c>
      <c r="C213" s="126" t="s">
        <v>169</v>
      </c>
      <c r="D213" s="55">
        <v>1</v>
      </c>
      <c r="E213" s="79" t="s">
        <v>2385</v>
      </c>
      <c r="F213" s="126" t="s">
        <v>22</v>
      </c>
      <c r="G213" s="126" t="s">
        <v>1664</v>
      </c>
      <c r="H213" s="127">
        <v>8</v>
      </c>
      <c r="I213" s="49" t="s">
        <v>2634</v>
      </c>
      <c r="J213" s="52">
        <v>2</v>
      </c>
      <c r="K213" s="49"/>
      <c r="L213" s="49" t="s">
        <v>2637</v>
      </c>
      <c r="M213" s="76">
        <v>45429</v>
      </c>
      <c r="N213" s="128">
        <f>+VLOOKUP(B215,BOM!$A$8:$AB$1078,25,0)</f>
        <v>7</v>
      </c>
      <c r="O213" s="129" t="str">
        <f>+VLOOKUP(B215,BOM!$A$8:$AB$1078,26,0)</f>
        <v xml:space="preserve">4x0 </v>
      </c>
      <c r="P213" s="10" t="str">
        <f t="shared" si="9"/>
        <v/>
      </c>
    </row>
    <row r="214" spans="1:16" ht="15">
      <c r="A214" s="153">
        <v>212</v>
      </c>
      <c r="B214" s="53" t="s">
        <v>621</v>
      </c>
      <c r="C214" s="126" t="s">
        <v>622</v>
      </c>
      <c r="D214" s="55">
        <v>62</v>
      </c>
      <c r="E214" s="56" t="s">
        <v>2385</v>
      </c>
      <c r="F214" s="126" t="s">
        <v>22</v>
      </c>
      <c r="G214" s="126" t="s">
        <v>1664</v>
      </c>
      <c r="H214" s="127">
        <v>64</v>
      </c>
      <c r="I214" s="49" t="s">
        <v>2634</v>
      </c>
      <c r="J214" s="52">
        <v>4</v>
      </c>
      <c r="K214" s="49"/>
      <c r="L214" s="49" t="s">
        <v>2638</v>
      </c>
      <c r="M214" s="76">
        <v>45702</v>
      </c>
      <c r="O214" s="129">
        <f>+VLOOKUP(B216,BOM!$A$8:$AB$1078,26,0)</f>
        <v>0</v>
      </c>
    </row>
    <row r="215" spans="1:16" ht="15">
      <c r="A215" s="153">
        <v>213</v>
      </c>
      <c r="B215" s="53" t="s">
        <v>694</v>
      </c>
      <c r="C215" s="126" t="s">
        <v>695</v>
      </c>
      <c r="D215" s="55">
        <v>4</v>
      </c>
      <c r="E215" s="56" t="s">
        <v>2385</v>
      </c>
      <c r="F215" s="126" t="s">
        <v>22</v>
      </c>
      <c r="G215" s="126" t="s">
        <v>1664</v>
      </c>
      <c r="H215" s="127">
        <v>32</v>
      </c>
      <c r="I215" s="49" t="s">
        <v>2634</v>
      </c>
      <c r="J215" s="52">
        <v>4</v>
      </c>
      <c r="K215" s="49"/>
      <c r="L215" s="49" t="s">
        <v>2639</v>
      </c>
      <c r="M215" s="76">
        <v>45429</v>
      </c>
      <c r="N215" s="128">
        <f>+VLOOKUP(B217,BOM!$A$8:$AB$1078,25,0)</f>
        <v>68</v>
      </c>
      <c r="O215" s="129" t="str">
        <f>+VLOOKUP(B217,BOM!$A$8:$AB$1078,26,0)</f>
        <v>18x1 + 41x2 + 1x4</v>
      </c>
      <c r="P215" s="10" t="str">
        <f t="shared" ref="P215:P233" si="10">+IF(N215=D217,"ok","")</f>
        <v/>
      </c>
    </row>
    <row r="216" spans="1:16" ht="15" customHeight="1">
      <c r="A216" s="153">
        <v>214</v>
      </c>
      <c r="B216" s="53" t="s">
        <v>711</v>
      </c>
      <c r="C216" s="54" t="s">
        <v>712</v>
      </c>
      <c r="D216" s="55">
        <v>4</v>
      </c>
      <c r="E216" s="56" t="s">
        <v>2385</v>
      </c>
      <c r="F216" s="49" t="s">
        <v>22</v>
      </c>
      <c r="G216" s="126" t="s">
        <v>1664</v>
      </c>
      <c r="H216" s="127">
        <v>16</v>
      </c>
      <c r="I216" s="49" t="s">
        <v>2634</v>
      </c>
      <c r="J216" s="52">
        <v>5</v>
      </c>
      <c r="K216" s="49"/>
      <c r="L216" s="49" t="s">
        <v>2640</v>
      </c>
      <c r="M216" s="76">
        <v>45429</v>
      </c>
      <c r="N216" s="128">
        <f>+VLOOKUP(B218,BOM!$A$8:$AB$1078,25,0)</f>
        <v>2</v>
      </c>
      <c r="O216" s="129">
        <f>+VLOOKUP(B218,BOM!$A$8:$AB$1078,26,0)</f>
        <v>0</v>
      </c>
      <c r="P216" s="10" t="str">
        <f t="shared" si="10"/>
        <v>ok</v>
      </c>
    </row>
    <row r="217" spans="1:16" ht="15">
      <c r="A217" s="153">
        <v>215</v>
      </c>
      <c r="B217" s="53" t="s">
        <v>88</v>
      </c>
      <c r="C217" s="126" t="s">
        <v>90</v>
      </c>
      <c r="D217" s="55">
        <v>46</v>
      </c>
      <c r="E217" s="56" t="s">
        <v>2385</v>
      </c>
      <c r="F217" s="126" t="s">
        <v>22</v>
      </c>
      <c r="G217" s="126" t="s">
        <v>1686</v>
      </c>
      <c r="H217" s="127">
        <v>328</v>
      </c>
      <c r="I217" s="49" t="s">
        <v>2634</v>
      </c>
      <c r="J217" s="52">
        <v>5</v>
      </c>
      <c r="K217" s="49"/>
      <c r="L217" s="49" t="s">
        <v>2641</v>
      </c>
      <c r="M217" s="76">
        <v>45429</v>
      </c>
      <c r="N217" s="128">
        <f>+VLOOKUP(B219,BOM!$A$8:$AB$1078,25,0)</f>
        <v>9</v>
      </c>
      <c r="O217" s="129">
        <f>+VLOOKUP(B219,BOM!$A$8:$AB$1078,26,0)</f>
        <v>2</v>
      </c>
      <c r="P217" s="10" t="str">
        <f t="shared" si="10"/>
        <v/>
      </c>
    </row>
    <row r="218" spans="1:16" ht="15">
      <c r="A218" s="153">
        <v>216</v>
      </c>
      <c r="B218" s="53" t="s">
        <v>2346</v>
      </c>
      <c r="C218" s="126" t="s">
        <v>2347</v>
      </c>
      <c r="D218" s="55">
        <v>2</v>
      </c>
      <c r="E218" s="79" t="s">
        <v>2385</v>
      </c>
      <c r="F218" s="126" t="s">
        <v>22</v>
      </c>
      <c r="G218" s="126" t="s">
        <v>1664</v>
      </c>
      <c r="H218" s="127">
        <v>16</v>
      </c>
      <c r="I218" s="49" t="s">
        <v>2634</v>
      </c>
      <c r="J218" s="52">
        <v>5</v>
      </c>
      <c r="K218" s="49"/>
      <c r="L218" s="49" t="s">
        <v>2642</v>
      </c>
      <c r="M218" s="76">
        <v>45429</v>
      </c>
      <c r="N218" s="128">
        <f>+VLOOKUP(B220,BOM!$A$8:$AB$1078,25,0)</f>
        <v>11</v>
      </c>
      <c r="O218" s="129" t="str">
        <f>+VLOOKUP(B220,BOM!$A$8:$AB$1078,26,0)</f>
        <v>3x2 + 2x5 + 7xD</v>
      </c>
      <c r="P218" s="10" t="str">
        <f t="shared" si="10"/>
        <v/>
      </c>
    </row>
    <row r="219" spans="1:16" ht="15">
      <c r="A219" s="153">
        <v>217</v>
      </c>
      <c r="B219" s="59" t="s">
        <v>533</v>
      </c>
      <c r="C219" s="126" t="s">
        <v>534</v>
      </c>
      <c r="D219" s="55">
        <v>2</v>
      </c>
      <c r="E219" s="79" t="s">
        <v>2417</v>
      </c>
      <c r="F219" s="126" t="s">
        <v>22</v>
      </c>
      <c r="G219" s="126" t="s">
        <v>1686</v>
      </c>
      <c r="H219" s="127">
        <v>112</v>
      </c>
      <c r="I219" s="49" t="s">
        <v>2643</v>
      </c>
      <c r="J219" s="52">
        <v>4</v>
      </c>
      <c r="K219" s="49"/>
      <c r="L219" s="49" t="s">
        <v>2644</v>
      </c>
      <c r="M219" s="76">
        <v>45429</v>
      </c>
      <c r="N219" s="128">
        <f>+VLOOKUP(B221,BOM!$A$8:$AB$1078,25,0)</f>
        <v>68</v>
      </c>
      <c r="O219" s="129" t="str">
        <f>+VLOOKUP(B221,BOM!$A$8:$AB$1078,26,0)</f>
        <v>18x1 + 41x2 + 1x4</v>
      </c>
      <c r="P219" s="10" t="str">
        <f t="shared" si="10"/>
        <v/>
      </c>
    </row>
    <row r="220" spans="1:16" ht="15">
      <c r="A220" s="153">
        <v>218</v>
      </c>
      <c r="B220" s="53" t="s">
        <v>573</v>
      </c>
      <c r="C220" s="126" t="s">
        <v>575</v>
      </c>
      <c r="D220" s="55">
        <v>2</v>
      </c>
      <c r="E220" s="79" t="s">
        <v>2417</v>
      </c>
      <c r="F220" s="126" t="s">
        <v>22</v>
      </c>
      <c r="G220" s="126" t="s">
        <v>1664</v>
      </c>
      <c r="H220" s="127">
        <v>8</v>
      </c>
      <c r="I220" s="49" t="s">
        <v>2643</v>
      </c>
      <c r="J220" s="52">
        <v>4</v>
      </c>
      <c r="K220" s="49"/>
      <c r="L220" s="49" t="s">
        <v>2645</v>
      </c>
      <c r="M220" s="76">
        <v>45518</v>
      </c>
      <c r="N220" s="128">
        <f>+VLOOKUP(B222,BOM!$A$8:$AB$1078,25,0)</f>
        <v>64</v>
      </c>
      <c r="O220" s="129" t="str">
        <f>+VLOOKUP(B222,BOM!$A$8:$AB$1078,26,0)</f>
        <v>18x1 + 36x2 + 1x4</v>
      </c>
      <c r="P220" s="10" t="str">
        <f t="shared" si="10"/>
        <v/>
      </c>
    </row>
    <row r="221" spans="1:16" ht="15">
      <c r="A221" s="153">
        <v>219</v>
      </c>
      <c r="B221" s="53" t="s">
        <v>88</v>
      </c>
      <c r="C221" s="126" t="s">
        <v>90</v>
      </c>
      <c r="D221" s="55">
        <v>1</v>
      </c>
      <c r="E221" s="79">
        <v>5</v>
      </c>
      <c r="F221" s="126" t="s">
        <v>22</v>
      </c>
      <c r="G221" s="126" t="s">
        <v>1686</v>
      </c>
      <c r="H221" s="127">
        <v>328</v>
      </c>
      <c r="I221" s="49" t="s">
        <v>2643</v>
      </c>
      <c r="J221" s="52">
        <v>5</v>
      </c>
      <c r="K221" s="49"/>
      <c r="L221" s="49" t="s">
        <v>2646</v>
      </c>
      <c r="M221" s="76">
        <v>45518</v>
      </c>
      <c r="N221" s="128">
        <f>+VLOOKUP(B223,BOM!$A$8:$AB$1078,25,0)</f>
        <v>19</v>
      </c>
      <c r="O221" s="129" t="str">
        <f>+VLOOKUP(B223,BOM!$A$8:$AB$1078,26,0)</f>
        <v>4x2 + 1x5 + 6x6</v>
      </c>
      <c r="P221" s="10" t="str">
        <f t="shared" si="10"/>
        <v/>
      </c>
    </row>
    <row r="222" spans="1:16" ht="15">
      <c r="A222" s="153">
        <v>220</v>
      </c>
      <c r="B222" s="59" t="s">
        <v>94</v>
      </c>
      <c r="C222" s="126" t="s">
        <v>96</v>
      </c>
      <c r="D222" s="55">
        <v>32</v>
      </c>
      <c r="E222" s="79" t="s">
        <v>2417</v>
      </c>
      <c r="F222" s="126" t="s">
        <v>22</v>
      </c>
      <c r="G222" s="126" t="s">
        <v>1686</v>
      </c>
      <c r="H222" s="127">
        <v>288</v>
      </c>
      <c r="I222" s="49" t="s">
        <v>2643</v>
      </c>
      <c r="J222" s="52">
        <v>5</v>
      </c>
      <c r="K222" s="49"/>
      <c r="L222" s="49" t="s">
        <v>2647</v>
      </c>
      <c r="M222" s="76">
        <v>45518</v>
      </c>
      <c r="N222" s="128">
        <f>+VLOOKUP(B224,BOM!$A$8:$AB$1078,25,0)</f>
        <v>38</v>
      </c>
      <c r="O222" s="129" t="str">
        <f>+VLOOKUP(B224,BOM!$A$8:$AB$1078,26,0)</f>
        <v>19x2 + 1x4 + 1x5 + 3x6</v>
      </c>
      <c r="P222" s="10" t="str">
        <f t="shared" si="10"/>
        <v/>
      </c>
    </row>
    <row r="223" spans="1:16" ht="15">
      <c r="A223" s="153">
        <v>221</v>
      </c>
      <c r="B223" s="59" t="s">
        <v>547</v>
      </c>
      <c r="C223" s="126" t="s">
        <v>548</v>
      </c>
      <c r="D223" s="55">
        <v>3</v>
      </c>
      <c r="E223" s="79" t="s">
        <v>2417</v>
      </c>
      <c r="F223" s="126" t="s">
        <v>22</v>
      </c>
      <c r="G223" s="126" t="s">
        <v>1664</v>
      </c>
      <c r="H223" s="127">
        <v>80</v>
      </c>
      <c r="I223" s="49" t="s">
        <v>2643</v>
      </c>
      <c r="J223" s="52">
        <v>5</v>
      </c>
      <c r="K223" s="49"/>
      <c r="L223" s="49" t="s">
        <v>2648</v>
      </c>
      <c r="M223" s="76">
        <v>45518</v>
      </c>
      <c r="N223" s="128">
        <f>+VLOOKUP(B225,BOM!$A$8:$AB$1078,25,0)</f>
        <v>160</v>
      </c>
      <c r="O223" s="129" t="str">
        <f>+VLOOKUP(B225,BOM!$A$8:$AB$1078,26,0)</f>
        <v>50x2 + 30x4 + 13x5 + 28x6</v>
      </c>
      <c r="P223" s="10" t="str">
        <f t="shared" si="10"/>
        <v/>
      </c>
    </row>
    <row r="224" spans="1:16" ht="15">
      <c r="A224" s="153">
        <v>222</v>
      </c>
      <c r="B224" s="59" t="s">
        <v>559</v>
      </c>
      <c r="C224" s="126" t="s">
        <v>560</v>
      </c>
      <c r="D224" s="55">
        <v>30</v>
      </c>
      <c r="E224" s="79" t="s">
        <v>2417</v>
      </c>
      <c r="F224" s="126" t="s">
        <v>22</v>
      </c>
      <c r="G224" s="126" t="s">
        <v>1686</v>
      </c>
      <c r="H224" s="127">
        <v>960</v>
      </c>
      <c r="I224" s="49" t="s">
        <v>2643</v>
      </c>
      <c r="J224" s="52">
        <v>5</v>
      </c>
      <c r="K224" s="49"/>
      <c r="L224" s="49" t="s">
        <v>2649</v>
      </c>
      <c r="M224" s="76">
        <v>45518</v>
      </c>
      <c r="N224" s="128">
        <f>+VLOOKUP(B226,BOM!$A$8:$AB$1078,25,0)</f>
        <v>2</v>
      </c>
      <c r="O224" s="129">
        <f>+VLOOKUP(B226,BOM!$A$8:$AB$1078,26,0)</f>
        <v>2</v>
      </c>
      <c r="P224" s="10" t="str">
        <f t="shared" si="10"/>
        <v/>
      </c>
    </row>
    <row r="225" spans="1:16" ht="15">
      <c r="A225" s="153">
        <v>223</v>
      </c>
      <c r="B225" s="59" t="s">
        <v>612</v>
      </c>
      <c r="C225" s="126" t="s">
        <v>614</v>
      </c>
      <c r="D225" s="55">
        <v>7</v>
      </c>
      <c r="E225" s="79" t="s">
        <v>2417</v>
      </c>
      <c r="F225" s="126" t="s">
        <v>22</v>
      </c>
      <c r="G225" s="126" t="s">
        <v>1686</v>
      </c>
      <c r="H225" s="127">
        <v>1072</v>
      </c>
      <c r="I225" s="49" t="s">
        <v>2643</v>
      </c>
      <c r="J225" s="52">
        <v>5</v>
      </c>
      <c r="K225" s="49"/>
      <c r="L225" s="49" t="s">
        <v>2650</v>
      </c>
      <c r="M225" s="76">
        <v>45518</v>
      </c>
      <c r="N225" s="128">
        <f>+VLOOKUP(B227,BOM!$A$8:$AB$1078,25,0)</f>
        <v>1</v>
      </c>
      <c r="O225" s="129">
        <f>+VLOOKUP(B227,BOM!$A$8:$AB$1078,26,0)</f>
        <v>2</v>
      </c>
      <c r="P225" s="10" t="str">
        <f t="shared" si="10"/>
        <v>ok</v>
      </c>
    </row>
    <row r="226" spans="1:16" ht="15">
      <c r="A226" s="153">
        <v>224</v>
      </c>
      <c r="B226" s="59" t="s">
        <v>1968</v>
      </c>
      <c r="C226" s="126" t="s">
        <v>1969</v>
      </c>
      <c r="D226" s="55">
        <v>1</v>
      </c>
      <c r="E226" s="79" t="s">
        <v>2417</v>
      </c>
      <c r="F226" s="126" t="s">
        <v>22</v>
      </c>
      <c r="G226" s="126" t="s">
        <v>1664</v>
      </c>
      <c r="H226" s="127">
        <v>16</v>
      </c>
      <c r="I226" s="49" t="s">
        <v>2643</v>
      </c>
      <c r="J226" s="52">
        <v>5</v>
      </c>
      <c r="K226" s="49"/>
      <c r="L226" s="49" t="s">
        <v>2651</v>
      </c>
      <c r="M226" s="76">
        <v>45429</v>
      </c>
      <c r="N226" s="128">
        <f>+VLOOKUP(B228,BOM!$A$8:$AB$1078,25,0)</f>
        <v>5</v>
      </c>
      <c r="O226" s="129" t="str">
        <f>+VLOOKUP(B228,BOM!$A$8:$AB$1078,26,0)</f>
        <v>2x3 + 2xA</v>
      </c>
      <c r="P226" s="10" t="str">
        <f t="shared" si="10"/>
        <v/>
      </c>
    </row>
    <row r="227" spans="1:16" ht="15" customHeight="1">
      <c r="A227" s="153">
        <v>225</v>
      </c>
      <c r="B227" s="53" t="s">
        <v>247</v>
      </c>
      <c r="C227" s="126" t="s">
        <v>242</v>
      </c>
      <c r="D227" s="55">
        <v>1</v>
      </c>
      <c r="E227" s="79" t="s">
        <v>2417</v>
      </c>
      <c r="F227" s="126" t="s">
        <v>22</v>
      </c>
      <c r="G227" s="126" t="s">
        <v>1664</v>
      </c>
      <c r="H227" s="127">
        <v>32</v>
      </c>
      <c r="I227" s="49" t="s">
        <v>2643</v>
      </c>
      <c r="J227" s="52">
        <v>5</v>
      </c>
      <c r="K227" s="49" t="s">
        <v>2652</v>
      </c>
      <c r="L227" s="49" t="s">
        <v>2653</v>
      </c>
      <c r="M227" s="76">
        <v>45429</v>
      </c>
      <c r="N227" s="128">
        <f>+VLOOKUP(B229,BOM!$A$8:$AB$1078,25,0)</f>
        <v>5</v>
      </c>
      <c r="O227" s="129" t="str">
        <f>+VLOOKUP(B229,BOM!$A$8:$AB$1078,26,0)</f>
        <v>2x0 + 4x3</v>
      </c>
      <c r="P227" s="10" t="str">
        <f t="shared" si="10"/>
        <v/>
      </c>
    </row>
    <row r="228" spans="1:16" ht="15" customHeight="1">
      <c r="A228" s="153">
        <v>226</v>
      </c>
      <c r="B228" s="53" t="s">
        <v>642</v>
      </c>
      <c r="C228" s="126" t="s">
        <v>643</v>
      </c>
      <c r="D228" s="55">
        <v>2</v>
      </c>
      <c r="E228" s="79" t="s">
        <v>2394</v>
      </c>
      <c r="F228" s="126" t="s">
        <v>22</v>
      </c>
      <c r="G228" s="126" t="s">
        <v>1664</v>
      </c>
      <c r="H228" s="127">
        <v>16</v>
      </c>
      <c r="I228" s="49" t="s">
        <v>2643</v>
      </c>
      <c r="J228" s="52">
        <v>4</v>
      </c>
      <c r="K228" s="49"/>
      <c r="L228" s="49" t="s">
        <v>2654</v>
      </c>
      <c r="M228" s="76">
        <v>45518</v>
      </c>
      <c r="N228" s="128">
        <f>+VLOOKUP(B230,BOM!$A$8:$AB$1078,25,0)</f>
        <v>5</v>
      </c>
      <c r="O228" s="129" t="str">
        <f>+VLOOKUP(B230,BOM!$A$8:$AB$1078,26,0)</f>
        <v>2x3 + 2xC</v>
      </c>
      <c r="P228" s="10" t="str">
        <f t="shared" si="10"/>
        <v/>
      </c>
    </row>
    <row r="229" spans="1:16" ht="15">
      <c r="A229" s="153">
        <v>227</v>
      </c>
      <c r="B229" s="53" t="s">
        <v>624</v>
      </c>
      <c r="C229" s="126" t="s">
        <v>625</v>
      </c>
      <c r="D229" s="55">
        <v>2</v>
      </c>
      <c r="E229" s="79" t="s">
        <v>2394</v>
      </c>
      <c r="F229" s="126" t="s">
        <v>22</v>
      </c>
      <c r="G229" s="126" t="s">
        <v>1664</v>
      </c>
      <c r="H229" s="127">
        <v>88</v>
      </c>
      <c r="I229" s="49" t="s">
        <v>2655</v>
      </c>
      <c r="J229" s="52">
        <v>1</v>
      </c>
      <c r="K229" s="49"/>
      <c r="L229" s="49" t="s">
        <v>2656</v>
      </c>
      <c r="M229" s="76">
        <v>45518</v>
      </c>
      <c r="N229" s="128">
        <f>+VLOOKUP(B231,BOM!$A$8:$AB$1078,25,0)</f>
        <v>2</v>
      </c>
      <c r="O229" s="129">
        <f>+VLOOKUP(B231,BOM!$A$8:$AB$1078,26,0)</f>
        <v>3</v>
      </c>
      <c r="P229" s="10" t="str">
        <f t="shared" si="10"/>
        <v>ok</v>
      </c>
    </row>
    <row r="230" spans="1:16" ht="15">
      <c r="A230" s="153">
        <v>228</v>
      </c>
      <c r="B230" s="53" t="s">
        <v>649</v>
      </c>
      <c r="C230" s="126" t="s">
        <v>651</v>
      </c>
      <c r="D230" s="55">
        <v>2</v>
      </c>
      <c r="E230" s="79" t="s">
        <v>2394</v>
      </c>
      <c r="F230" s="126" t="s">
        <v>22</v>
      </c>
      <c r="G230" s="126" t="s">
        <v>1664</v>
      </c>
      <c r="H230" s="127">
        <v>16</v>
      </c>
      <c r="I230" s="49" t="s">
        <v>2655</v>
      </c>
      <c r="J230" s="52">
        <v>1</v>
      </c>
      <c r="K230" s="49"/>
      <c r="L230" s="49" t="s">
        <v>2657</v>
      </c>
      <c r="M230" s="76">
        <v>45518</v>
      </c>
      <c r="N230" s="128">
        <f>+VLOOKUP(B232,BOM!$A$8:$AB$1078,25,0)</f>
        <v>3</v>
      </c>
      <c r="O230" s="129">
        <f>+VLOOKUP(B232,BOM!$A$8:$AB$1078,26,0)</f>
        <v>3</v>
      </c>
      <c r="P230" s="10" t="str">
        <f t="shared" si="10"/>
        <v/>
      </c>
    </row>
    <row r="231" spans="1:16" ht="15">
      <c r="A231" s="153">
        <v>229</v>
      </c>
      <c r="B231" s="53" t="s">
        <v>875</v>
      </c>
      <c r="C231" s="126" t="s">
        <v>876</v>
      </c>
      <c r="D231" s="55">
        <v>2</v>
      </c>
      <c r="E231" s="79" t="s">
        <v>2394</v>
      </c>
      <c r="F231" s="126" t="s">
        <v>22</v>
      </c>
      <c r="G231" s="126" t="s">
        <v>1664</v>
      </c>
      <c r="H231" s="127">
        <v>32</v>
      </c>
      <c r="I231" s="49" t="s">
        <v>2655</v>
      </c>
      <c r="J231" s="52">
        <v>1</v>
      </c>
      <c r="K231" s="49"/>
      <c r="L231" s="49" t="s">
        <v>2658</v>
      </c>
      <c r="M231" s="76">
        <v>45518</v>
      </c>
      <c r="N231" s="128">
        <f>+VLOOKUP(B233,BOM!$A$8:$AB$1078,25,0)</f>
        <v>47</v>
      </c>
      <c r="O231" s="129" t="str">
        <f>+VLOOKUP(B233,BOM!$A$8:$AB$1078,26,0)</f>
        <v>38x0 + 6x3</v>
      </c>
      <c r="P231" s="10" t="str">
        <f t="shared" si="10"/>
        <v/>
      </c>
    </row>
    <row r="232" spans="1:16" ht="15">
      <c r="A232" s="153">
        <v>230</v>
      </c>
      <c r="B232" s="53" t="s">
        <v>1283</v>
      </c>
      <c r="C232" s="126" t="s">
        <v>1285</v>
      </c>
      <c r="D232" s="55">
        <v>2</v>
      </c>
      <c r="E232" s="79" t="s">
        <v>2394</v>
      </c>
      <c r="F232" s="126" t="s">
        <v>22</v>
      </c>
      <c r="G232" s="126" t="s">
        <v>1664</v>
      </c>
      <c r="H232" s="127">
        <v>64</v>
      </c>
      <c r="I232" s="49" t="s">
        <v>2655</v>
      </c>
      <c r="J232" s="52">
        <v>1</v>
      </c>
      <c r="K232" s="49"/>
      <c r="L232" s="49" t="s">
        <v>2659</v>
      </c>
      <c r="M232" s="76">
        <v>45518</v>
      </c>
      <c r="N232" s="128">
        <f>+VLOOKUP(B234,BOM!$A$8:$AB$1078,25,0)</f>
        <v>5</v>
      </c>
      <c r="O232" s="129">
        <f>+VLOOKUP(B234,BOM!$A$8:$AB$1078,26,0)</f>
        <v>3</v>
      </c>
      <c r="P232" s="10" t="str">
        <f t="shared" si="10"/>
        <v/>
      </c>
    </row>
    <row r="233" spans="1:16" ht="15">
      <c r="A233" s="153">
        <v>231</v>
      </c>
      <c r="B233" s="53" t="s">
        <v>657</v>
      </c>
      <c r="C233" s="126" t="s">
        <v>658</v>
      </c>
      <c r="D233" s="55">
        <v>6</v>
      </c>
      <c r="E233" s="79" t="s">
        <v>2394</v>
      </c>
      <c r="F233" s="126" t="s">
        <v>22</v>
      </c>
      <c r="G233" s="126" t="s">
        <v>1664</v>
      </c>
      <c r="H233" s="127">
        <v>304</v>
      </c>
      <c r="I233" s="49" t="s">
        <v>2655</v>
      </c>
      <c r="J233" s="52">
        <v>1</v>
      </c>
      <c r="K233" s="49"/>
      <c r="L233" s="49" t="s">
        <v>2660</v>
      </c>
      <c r="M233" s="76">
        <v>45518</v>
      </c>
      <c r="N233" s="128">
        <f>+VLOOKUP(B235,BOM!$A$8:$AB$1078,25,0)</f>
        <v>5</v>
      </c>
      <c r="O233" s="129">
        <f>+VLOOKUP(B235,BOM!$A$8:$AB$1078,26,0)</f>
        <v>3</v>
      </c>
      <c r="P233" s="10" t="str">
        <f t="shared" si="10"/>
        <v/>
      </c>
    </row>
    <row r="234" spans="1:16" ht="15" customHeight="1">
      <c r="A234" s="153">
        <v>232</v>
      </c>
      <c r="B234" s="53" t="s">
        <v>720</v>
      </c>
      <c r="C234" s="126" t="s">
        <v>673</v>
      </c>
      <c r="D234" s="55">
        <v>4</v>
      </c>
      <c r="E234" s="79" t="s">
        <v>2394</v>
      </c>
      <c r="F234" s="126" t="s">
        <v>22</v>
      </c>
      <c r="G234" s="126" t="s">
        <v>1664</v>
      </c>
      <c r="H234" s="127">
        <v>32</v>
      </c>
      <c r="I234" s="49" t="s">
        <v>2655</v>
      </c>
      <c r="J234" s="52">
        <v>2</v>
      </c>
      <c r="K234" s="49"/>
      <c r="L234" s="49" t="s">
        <v>2661</v>
      </c>
      <c r="M234" s="82"/>
    </row>
    <row r="235" spans="1:16" ht="15">
      <c r="A235" s="153">
        <v>233</v>
      </c>
      <c r="B235" s="53" t="s">
        <v>721</v>
      </c>
      <c r="C235" s="126" t="s">
        <v>722</v>
      </c>
      <c r="D235" s="55">
        <v>4</v>
      </c>
      <c r="E235" s="79" t="s">
        <v>2394</v>
      </c>
      <c r="F235" s="126" t="s">
        <v>22</v>
      </c>
      <c r="G235" s="126" t="s">
        <v>1664</v>
      </c>
      <c r="H235" s="127">
        <v>32</v>
      </c>
      <c r="I235" s="49" t="s">
        <v>2655</v>
      </c>
      <c r="J235" s="52">
        <v>2</v>
      </c>
      <c r="K235" s="49"/>
      <c r="L235" s="49" t="s">
        <v>2662</v>
      </c>
      <c r="M235" s="76">
        <v>45702</v>
      </c>
      <c r="N235" s="128">
        <f>+VLOOKUP(B237,BOM!$A$8:$AB$1078,25,0)</f>
        <v>7</v>
      </c>
      <c r="O235" s="129">
        <f>+VLOOKUP(B237,BOM!$A$8:$AB$1078,26,0)</f>
        <v>3</v>
      </c>
      <c r="P235" s="10" t="str">
        <f t="shared" ref="P235:P266" si="11">+IF(N235=D237,"ok","")</f>
        <v/>
      </c>
    </row>
    <row r="236" spans="1:16" ht="15">
      <c r="A236" s="153">
        <v>234</v>
      </c>
      <c r="B236" s="53" t="s">
        <v>723</v>
      </c>
      <c r="C236" s="126" t="s">
        <v>725</v>
      </c>
      <c r="D236" s="52">
        <v>2</v>
      </c>
      <c r="E236" s="79" t="s">
        <v>2394</v>
      </c>
      <c r="F236" s="126" t="s">
        <v>22</v>
      </c>
      <c r="G236" s="126" t="s">
        <v>1664</v>
      </c>
      <c r="H236" s="127">
        <v>16</v>
      </c>
      <c r="I236" s="49" t="s">
        <v>2655</v>
      </c>
      <c r="J236" s="52">
        <v>2</v>
      </c>
      <c r="K236" s="49"/>
      <c r="L236" s="49" t="s">
        <v>2663</v>
      </c>
      <c r="M236" s="76">
        <v>45518</v>
      </c>
      <c r="N236" s="128">
        <f>+VLOOKUP(B238,BOM!$A$8:$AB$1078,25,0)</f>
        <v>3</v>
      </c>
      <c r="O236" s="129">
        <f>+VLOOKUP(B238,BOM!$A$8:$AB$1078,26,0)</f>
        <v>3</v>
      </c>
      <c r="P236" s="10" t="str">
        <f t="shared" si="11"/>
        <v/>
      </c>
    </row>
    <row r="237" spans="1:16" ht="15">
      <c r="A237" s="153">
        <v>235</v>
      </c>
      <c r="B237" s="53" t="s">
        <v>729</v>
      </c>
      <c r="C237" s="126" t="s">
        <v>722</v>
      </c>
      <c r="D237" s="52">
        <v>6</v>
      </c>
      <c r="E237" s="81" t="s">
        <v>2394</v>
      </c>
      <c r="F237" s="126" t="s">
        <v>22</v>
      </c>
      <c r="G237" s="126" t="s">
        <v>1664</v>
      </c>
      <c r="H237" s="127">
        <v>24</v>
      </c>
      <c r="I237" s="49" t="s">
        <v>2655</v>
      </c>
      <c r="J237" s="52">
        <v>2</v>
      </c>
      <c r="K237" s="49"/>
      <c r="L237" s="49" t="s">
        <v>2664</v>
      </c>
      <c r="M237" s="76">
        <v>45518</v>
      </c>
      <c r="N237" s="128">
        <f>+VLOOKUP(B239,BOM!$A$8:$AB$1078,25,0)</f>
        <v>7</v>
      </c>
      <c r="O237" s="129" t="str">
        <f>+VLOOKUP(B239,BOM!$A$8:$AB$1078,26,0)</f>
        <v>4x3 + 2xA</v>
      </c>
      <c r="P237" s="10" t="str">
        <f t="shared" si="11"/>
        <v/>
      </c>
    </row>
    <row r="238" spans="1:16" ht="15">
      <c r="A238" s="153">
        <v>236</v>
      </c>
      <c r="B238" s="59" t="s">
        <v>733</v>
      </c>
      <c r="C238" s="126" t="s">
        <v>606</v>
      </c>
      <c r="D238" s="55">
        <v>2</v>
      </c>
      <c r="E238" s="79" t="s">
        <v>2394</v>
      </c>
      <c r="F238" s="126" t="s">
        <v>22</v>
      </c>
      <c r="G238" s="126" t="s">
        <v>1664</v>
      </c>
      <c r="H238" s="127">
        <v>16</v>
      </c>
      <c r="I238" s="49" t="s">
        <v>2655</v>
      </c>
      <c r="J238" s="52">
        <v>2</v>
      </c>
      <c r="K238" s="49"/>
      <c r="L238" s="49" t="s">
        <v>2665</v>
      </c>
      <c r="M238" s="76">
        <v>45518</v>
      </c>
      <c r="N238" s="128">
        <f>+VLOOKUP(B240,BOM!$A$8:$AB$1078,25,0)</f>
        <v>87</v>
      </c>
      <c r="O238" s="129" t="str">
        <f>+VLOOKUP(B240,BOM!$A$8:$AB$1078,26,0)</f>
        <v>54x0 + 6x3 + 3x4 + 6x6 + 4xC</v>
      </c>
      <c r="P238" s="10" t="str">
        <f t="shared" si="11"/>
        <v/>
      </c>
    </row>
    <row r="239" spans="1:16" ht="15">
      <c r="A239" s="153">
        <v>237</v>
      </c>
      <c r="B239" s="59" t="s">
        <v>670</v>
      </c>
      <c r="C239" s="126" t="s">
        <v>671</v>
      </c>
      <c r="D239" s="55">
        <v>4</v>
      </c>
      <c r="E239" s="79" t="s">
        <v>2394</v>
      </c>
      <c r="F239" s="126" t="s">
        <v>22</v>
      </c>
      <c r="G239" s="126" t="s">
        <v>1664</v>
      </c>
      <c r="H239" s="127">
        <v>32</v>
      </c>
      <c r="I239" s="49" t="s">
        <v>2655</v>
      </c>
      <c r="J239" s="52">
        <v>3</v>
      </c>
      <c r="K239" s="49"/>
      <c r="L239" s="49" t="s">
        <v>2666</v>
      </c>
      <c r="M239" s="76">
        <v>45518</v>
      </c>
      <c r="N239" s="128">
        <f>+VLOOKUP(B241,BOM!$A$8:$AB$1078,25,0)</f>
        <v>7</v>
      </c>
      <c r="O239" s="129" t="str">
        <f>+VLOOKUP(B241,BOM!$A$8:$AB$1078,26,0)</f>
        <v>4xA+2x3</v>
      </c>
      <c r="P239" s="10" t="str">
        <f t="shared" si="11"/>
        <v/>
      </c>
    </row>
    <row r="240" spans="1:16" ht="15">
      <c r="A240" s="153">
        <v>238</v>
      </c>
      <c r="B240" s="59" t="s">
        <v>621</v>
      </c>
      <c r="C240" s="126" t="s">
        <v>622</v>
      </c>
      <c r="D240" s="55">
        <v>4</v>
      </c>
      <c r="E240" s="79" t="s">
        <v>2394</v>
      </c>
      <c r="F240" s="126" t="s">
        <v>22</v>
      </c>
      <c r="G240" s="126" t="s">
        <v>1664</v>
      </c>
      <c r="H240" s="127">
        <v>64</v>
      </c>
      <c r="I240" s="49" t="s">
        <v>2655</v>
      </c>
      <c r="J240" s="52">
        <v>4</v>
      </c>
      <c r="K240" s="49"/>
      <c r="L240" s="49" t="s">
        <v>2667</v>
      </c>
      <c r="M240" s="76">
        <v>45518</v>
      </c>
      <c r="N240" s="128">
        <f>+VLOOKUP(B242,BOM!$A$8:$AB$1078,25,0)</f>
        <v>9</v>
      </c>
      <c r="O240" s="129" t="str">
        <f>+VLOOKUP(B242,BOM!$A$8:$AB$1078,26,0)</f>
        <v>4xA+2x3</v>
      </c>
      <c r="P240" s="10" t="str">
        <f t="shared" si="11"/>
        <v/>
      </c>
    </row>
    <row r="241" spans="1:16" ht="15">
      <c r="A241" s="153">
        <v>239</v>
      </c>
      <c r="B241" s="59" t="s">
        <v>652</v>
      </c>
      <c r="C241" s="126" t="s">
        <v>654</v>
      </c>
      <c r="D241" s="55">
        <v>2</v>
      </c>
      <c r="E241" s="79" t="s">
        <v>2394</v>
      </c>
      <c r="F241" s="126" t="s">
        <v>22</v>
      </c>
      <c r="G241" s="126" t="s">
        <v>1664</v>
      </c>
      <c r="H241" s="127">
        <v>48</v>
      </c>
      <c r="I241" s="49" t="s">
        <v>2655</v>
      </c>
      <c r="J241" s="52">
        <v>4</v>
      </c>
      <c r="K241" s="49"/>
      <c r="L241" s="49" t="s">
        <v>2668</v>
      </c>
      <c r="M241" s="76">
        <v>45518</v>
      </c>
      <c r="N241" s="128">
        <f>+VLOOKUP(B243,BOM!$A$8:$AB$1078,25,0)</f>
        <v>5</v>
      </c>
      <c r="O241" s="129">
        <f>+VLOOKUP(B243,BOM!$A$8:$AB$1078,26,0)</f>
        <v>3</v>
      </c>
      <c r="P241" s="10" t="str">
        <f t="shared" si="11"/>
        <v/>
      </c>
    </row>
    <row r="242" spans="1:16" ht="15">
      <c r="A242" s="153">
        <v>240</v>
      </c>
      <c r="B242" s="59" t="s">
        <v>631</v>
      </c>
      <c r="C242" s="126" t="s">
        <v>632</v>
      </c>
      <c r="D242" s="55">
        <v>4</v>
      </c>
      <c r="E242" s="79" t="s">
        <v>2394</v>
      </c>
      <c r="F242" s="126" t="s">
        <v>22</v>
      </c>
      <c r="G242" s="126" t="s">
        <v>1664</v>
      </c>
      <c r="H242" s="127">
        <v>64</v>
      </c>
      <c r="I242" s="49" t="s">
        <v>2669</v>
      </c>
      <c r="J242" s="52">
        <v>1</v>
      </c>
      <c r="K242" s="49"/>
      <c r="L242" s="49" t="s">
        <v>2670</v>
      </c>
      <c r="M242" s="76">
        <v>45518</v>
      </c>
      <c r="N242" s="128">
        <f>+VLOOKUP(B244,BOM!$A$8:$AB$1078,25,0)</f>
        <v>20</v>
      </c>
      <c r="O242" s="129">
        <f>+VLOOKUP(B244,BOM!$A$8:$AB$1078,26,0)</f>
        <v>3</v>
      </c>
      <c r="P242" s="10" t="str">
        <f t="shared" si="11"/>
        <v/>
      </c>
    </row>
    <row r="243" spans="1:16" ht="15" customHeight="1">
      <c r="A243" s="153">
        <v>241</v>
      </c>
      <c r="B243" s="53" t="s">
        <v>676</v>
      </c>
      <c r="C243" s="126" t="s">
        <v>677</v>
      </c>
      <c r="D243" s="55">
        <v>4</v>
      </c>
      <c r="E243" s="79" t="s">
        <v>2394</v>
      </c>
      <c r="F243" s="126" t="s">
        <v>22</v>
      </c>
      <c r="G243" s="126" t="s">
        <v>1664</v>
      </c>
      <c r="H243" s="127">
        <v>32</v>
      </c>
      <c r="I243" s="49" t="s">
        <v>2669</v>
      </c>
      <c r="J243" s="52">
        <v>1</v>
      </c>
      <c r="K243" s="49"/>
      <c r="L243" s="49" t="s">
        <v>2671</v>
      </c>
      <c r="M243" s="76">
        <v>45429</v>
      </c>
      <c r="N243" s="128">
        <f>+VLOOKUP(B245,BOM!$A$8:$AB$1078,25,0)</f>
        <v>5</v>
      </c>
      <c r="O243" s="129">
        <f>+VLOOKUP(B245,BOM!$A$8:$AB$1078,26,0)</f>
        <v>3</v>
      </c>
      <c r="P243" s="10" t="str">
        <f t="shared" si="11"/>
        <v/>
      </c>
    </row>
    <row r="244" spans="1:16" ht="15">
      <c r="A244" s="153">
        <v>242</v>
      </c>
      <c r="B244" s="53" t="s">
        <v>678</v>
      </c>
      <c r="C244" s="126" t="s">
        <v>680</v>
      </c>
      <c r="D244" s="55">
        <v>18</v>
      </c>
      <c r="E244" s="79" t="s">
        <v>2394</v>
      </c>
      <c r="F244" s="126" t="s">
        <v>22</v>
      </c>
      <c r="G244" s="126" t="s">
        <v>1686</v>
      </c>
      <c r="H244" s="127">
        <v>144</v>
      </c>
      <c r="I244" s="49" t="s">
        <v>2669</v>
      </c>
      <c r="J244" s="52">
        <v>1</v>
      </c>
      <c r="K244" s="49"/>
      <c r="L244" s="49" t="s">
        <v>2672</v>
      </c>
      <c r="M244" s="76">
        <v>45429</v>
      </c>
      <c r="N244" s="128">
        <f>+VLOOKUP(B246,BOM!$A$8:$AB$1078,25,0)</f>
        <v>3</v>
      </c>
      <c r="O244" s="129">
        <f>+VLOOKUP(B246,BOM!$A$8:$AB$1078,26,0)</f>
        <v>3</v>
      </c>
      <c r="P244" s="10" t="str">
        <f t="shared" si="11"/>
        <v/>
      </c>
    </row>
    <row r="245" spans="1:16" ht="15">
      <c r="A245" s="153">
        <v>243</v>
      </c>
      <c r="B245" s="53" t="s">
        <v>681</v>
      </c>
      <c r="C245" s="126" t="s">
        <v>683</v>
      </c>
      <c r="D245" s="55">
        <v>4</v>
      </c>
      <c r="E245" s="79" t="s">
        <v>2394</v>
      </c>
      <c r="F245" s="126" t="s">
        <v>22</v>
      </c>
      <c r="G245" s="126" t="s">
        <v>1664</v>
      </c>
      <c r="H245" s="127">
        <v>32</v>
      </c>
      <c r="I245" s="49" t="s">
        <v>2669</v>
      </c>
      <c r="J245" s="52">
        <v>1</v>
      </c>
      <c r="K245" s="49"/>
      <c r="L245" s="49" t="s">
        <v>2673</v>
      </c>
      <c r="M245" s="76">
        <v>45544</v>
      </c>
      <c r="N245" s="128">
        <f>+VLOOKUP(B247,BOM!$A$8:$AB$1078,25,0)</f>
        <v>9</v>
      </c>
      <c r="O245" s="129">
        <f>+VLOOKUP(B247,BOM!$A$8:$AB$1078,26,0)</f>
        <v>3</v>
      </c>
      <c r="P245" s="10" t="str">
        <f t="shared" si="11"/>
        <v/>
      </c>
    </row>
    <row r="246" spans="1:16" ht="15">
      <c r="A246" s="153">
        <v>244</v>
      </c>
      <c r="B246" s="53" t="s">
        <v>535</v>
      </c>
      <c r="C246" s="126" t="s">
        <v>537</v>
      </c>
      <c r="D246" s="55">
        <v>2</v>
      </c>
      <c r="E246" s="56" t="s">
        <v>2394</v>
      </c>
      <c r="F246" s="126" t="s">
        <v>22</v>
      </c>
      <c r="G246" s="126" t="s">
        <v>1664</v>
      </c>
      <c r="H246" s="127">
        <v>16</v>
      </c>
      <c r="I246" s="49" t="s">
        <v>2669</v>
      </c>
      <c r="J246" s="52">
        <v>4</v>
      </c>
      <c r="K246" s="49"/>
      <c r="L246" s="49" t="s">
        <v>2674</v>
      </c>
      <c r="M246" s="76">
        <v>45429</v>
      </c>
      <c r="N246" s="128">
        <f>+VLOOKUP(B248,BOM!$A$8:$AB$1078,25,0)</f>
        <v>9</v>
      </c>
      <c r="O246" s="129" t="str">
        <f>+VLOOKUP(B248,BOM!$A$8:$AB$1078,26,0)</f>
        <v>2x3 + 2x5</v>
      </c>
      <c r="P246" s="10" t="str">
        <f t="shared" si="11"/>
        <v/>
      </c>
    </row>
    <row r="247" spans="1:16" ht="15">
      <c r="A247" s="153">
        <v>245</v>
      </c>
      <c r="B247" s="53" t="s">
        <v>742</v>
      </c>
      <c r="C247" s="126" t="s">
        <v>587</v>
      </c>
      <c r="D247" s="55">
        <v>8</v>
      </c>
      <c r="E247" s="79" t="s">
        <v>2394</v>
      </c>
      <c r="F247" s="126" t="s">
        <v>22</v>
      </c>
      <c r="G247" s="126" t="s">
        <v>1664</v>
      </c>
      <c r="H247" s="127">
        <v>64</v>
      </c>
      <c r="I247" s="49" t="s">
        <v>2669</v>
      </c>
      <c r="J247" s="56">
        <v>4</v>
      </c>
      <c r="K247" s="80"/>
      <c r="L247" s="80" t="s">
        <v>2675</v>
      </c>
      <c r="M247" s="76">
        <v>45429</v>
      </c>
      <c r="N247" s="128">
        <f>+VLOOKUP(B249,BOM!$A$8:$AB$1078,25,0)</f>
        <v>9</v>
      </c>
      <c r="O247" s="129" t="str">
        <f>+VLOOKUP(B249,BOM!$A$8:$AB$1078,26,0)</f>
        <v>4x3 + 4x5</v>
      </c>
      <c r="P247" s="10" t="str">
        <f t="shared" si="11"/>
        <v/>
      </c>
    </row>
    <row r="248" spans="1:16" ht="15">
      <c r="A248" s="153">
        <v>246</v>
      </c>
      <c r="B248" s="53" t="s">
        <v>747</v>
      </c>
      <c r="C248" s="126" t="s">
        <v>748</v>
      </c>
      <c r="D248" s="55">
        <v>2</v>
      </c>
      <c r="E248" s="79" t="s">
        <v>2394</v>
      </c>
      <c r="F248" s="126" t="s">
        <v>22</v>
      </c>
      <c r="G248" s="126" t="s">
        <v>1664</v>
      </c>
      <c r="H248" s="127">
        <v>32</v>
      </c>
      <c r="I248" s="49" t="s">
        <v>2669</v>
      </c>
      <c r="J248" s="52">
        <v>4</v>
      </c>
      <c r="K248" s="49"/>
      <c r="L248" s="49" t="s">
        <v>2676</v>
      </c>
      <c r="M248" s="76">
        <v>45429</v>
      </c>
      <c r="N248" s="128">
        <f>+VLOOKUP(B250,BOM!$A$8:$AB$1078,25,0)</f>
        <v>31</v>
      </c>
      <c r="O248" s="129" t="str">
        <f>+VLOOKUP(B250,BOM!$A$8:$AB$1078,26,0)</f>
        <v>10x3 + 8xA + 8xB</v>
      </c>
      <c r="P248" s="10" t="str">
        <f t="shared" si="11"/>
        <v/>
      </c>
    </row>
    <row r="249" spans="1:16" ht="15">
      <c r="A249" s="153">
        <v>247</v>
      </c>
      <c r="B249" s="53" t="s">
        <v>750</v>
      </c>
      <c r="C249" s="126" t="s">
        <v>492</v>
      </c>
      <c r="D249" s="55">
        <v>4</v>
      </c>
      <c r="E249" s="79" t="s">
        <v>2394</v>
      </c>
      <c r="F249" s="126" t="s">
        <v>22</v>
      </c>
      <c r="G249" s="126" t="s">
        <v>1664</v>
      </c>
      <c r="H249" s="127">
        <v>128</v>
      </c>
      <c r="I249" s="49" t="s">
        <v>2669</v>
      </c>
      <c r="J249" s="52">
        <v>4</v>
      </c>
      <c r="K249" s="49"/>
      <c r="L249" s="49" t="s">
        <v>2677</v>
      </c>
      <c r="M249" s="76">
        <v>45429</v>
      </c>
      <c r="N249" s="128">
        <f>+VLOOKUP(B251,BOM!$A$8:$AB$1078,25,0)</f>
        <v>5</v>
      </c>
      <c r="O249" s="129">
        <f>+VLOOKUP(B251,BOM!$A$8:$AB$1078,26,0)</f>
        <v>3</v>
      </c>
      <c r="P249" s="10" t="str">
        <f t="shared" si="11"/>
        <v/>
      </c>
    </row>
    <row r="250" spans="1:16" ht="15">
      <c r="A250" s="153">
        <v>248</v>
      </c>
      <c r="B250" s="53" t="s">
        <v>728</v>
      </c>
      <c r="C250" s="126" t="s">
        <v>643</v>
      </c>
      <c r="D250" s="55">
        <v>10</v>
      </c>
      <c r="E250" s="79" t="s">
        <v>2394</v>
      </c>
      <c r="F250" s="126" t="s">
        <v>22</v>
      </c>
      <c r="G250" s="126" t="s">
        <v>1686</v>
      </c>
      <c r="H250" s="127">
        <v>80</v>
      </c>
      <c r="I250" s="49" t="s">
        <v>2669</v>
      </c>
      <c r="J250" s="52">
        <v>5</v>
      </c>
      <c r="K250" s="49"/>
      <c r="L250" s="49" t="s">
        <v>2678</v>
      </c>
      <c r="M250" s="76">
        <v>45429</v>
      </c>
      <c r="N250" s="128">
        <f>+VLOOKUP(B252,BOM!$A$8:$AB$1078,25,0)</f>
        <v>5</v>
      </c>
      <c r="O250" s="129">
        <f>+VLOOKUP(B252,BOM!$A$8:$AB$1078,26,0)</f>
        <v>4</v>
      </c>
      <c r="P250" s="10" t="str">
        <f t="shared" si="11"/>
        <v/>
      </c>
    </row>
    <row r="251" spans="1:16" ht="15" customHeight="1">
      <c r="A251" s="153">
        <v>249</v>
      </c>
      <c r="B251" s="53" t="s">
        <v>635</v>
      </c>
      <c r="C251" s="126" t="s">
        <v>604</v>
      </c>
      <c r="D251" s="55">
        <v>4</v>
      </c>
      <c r="E251" s="79" t="s">
        <v>2394</v>
      </c>
      <c r="F251" s="126" t="s">
        <v>22</v>
      </c>
      <c r="G251" s="126" t="s">
        <v>1664</v>
      </c>
      <c r="H251" s="127">
        <v>32</v>
      </c>
      <c r="I251" s="49" t="s">
        <v>2679</v>
      </c>
      <c r="J251" s="52">
        <v>3</v>
      </c>
      <c r="K251" s="49"/>
      <c r="L251" s="49" t="s">
        <v>2680</v>
      </c>
      <c r="M251" s="76">
        <v>45429</v>
      </c>
      <c r="N251" s="128">
        <f>+VLOOKUP(B253,BOM!$A$8:$AB$1078,25,0)</f>
        <v>12</v>
      </c>
      <c r="O251" s="129">
        <f>+VLOOKUP(B253,BOM!$A$8:$AB$1078,26,0)</f>
        <v>4</v>
      </c>
      <c r="P251" s="10" t="str">
        <f t="shared" si="11"/>
        <v>ok</v>
      </c>
    </row>
    <row r="252" spans="1:16" ht="15">
      <c r="A252" s="153">
        <v>250</v>
      </c>
      <c r="B252" s="53" t="s">
        <v>594</v>
      </c>
      <c r="C252" s="126" t="s">
        <v>587</v>
      </c>
      <c r="D252" s="55">
        <v>4</v>
      </c>
      <c r="E252" s="79" t="s">
        <v>2427</v>
      </c>
      <c r="F252" s="126" t="s">
        <v>22</v>
      </c>
      <c r="G252" s="126" t="s">
        <v>1664</v>
      </c>
      <c r="H252" s="127">
        <v>32</v>
      </c>
      <c r="I252" s="49" t="s">
        <v>2679</v>
      </c>
      <c r="J252" s="52">
        <v>5</v>
      </c>
      <c r="K252" s="49"/>
      <c r="L252" s="49" t="s">
        <v>2681</v>
      </c>
      <c r="M252" s="76">
        <v>45429</v>
      </c>
      <c r="N252" s="128">
        <f>+VLOOKUP(B254,BOM!$A$8:$AB$1078,25,0)</f>
        <v>3</v>
      </c>
      <c r="O252" s="129">
        <f>+VLOOKUP(B254,BOM!$A$8:$AB$1078,26,0)</f>
        <v>3</v>
      </c>
      <c r="P252" s="10" t="str">
        <f t="shared" si="11"/>
        <v/>
      </c>
    </row>
    <row r="253" spans="1:16" ht="15">
      <c r="A253" s="153">
        <v>251</v>
      </c>
      <c r="B253" s="53" t="s">
        <v>231</v>
      </c>
      <c r="C253" s="126" t="s">
        <v>233</v>
      </c>
      <c r="D253" s="55">
        <v>12</v>
      </c>
      <c r="E253" s="79" t="s">
        <v>2427</v>
      </c>
      <c r="F253" s="126" t="s">
        <v>22</v>
      </c>
      <c r="G253" s="126" t="s">
        <v>1729</v>
      </c>
      <c r="H253" s="127">
        <v>12</v>
      </c>
      <c r="I253" s="49" t="s">
        <v>2428</v>
      </c>
      <c r="J253" s="52" t="s">
        <v>2397</v>
      </c>
      <c r="K253" s="49"/>
      <c r="L253" s="49" t="s">
        <v>2682</v>
      </c>
      <c r="M253" s="76">
        <v>45429</v>
      </c>
      <c r="N253" s="128">
        <f>+VLOOKUP(B255,BOM!$A$8:$AB$1078,25,0)</f>
        <v>64</v>
      </c>
      <c r="O253" s="129" t="str">
        <f>+VLOOKUP(B255,BOM!$A$8:$AB$1078,26,0)</f>
        <v>18x1 + 36x2 + 1x4</v>
      </c>
      <c r="P253" s="10" t="str">
        <f t="shared" si="11"/>
        <v/>
      </c>
    </row>
    <row r="254" spans="1:16" ht="15">
      <c r="A254" s="153">
        <v>252</v>
      </c>
      <c r="B254" s="53" t="s">
        <v>524</v>
      </c>
      <c r="C254" s="126" t="s">
        <v>526</v>
      </c>
      <c r="D254" s="55">
        <v>2</v>
      </c>
      <c r="E254" s="79" t="s">
        <v>2427</v>
      </c>
      <c r="F254" s="126" t="s">
        <v>22</v>
      </c>
      <c r="G254" s="126" t="s">
        <v>1664</v>
      </c>
      <c r="H254" s="127">
        <v>16</v>
      </c>
      <c r="I254" s="49" t="s">
        <v>2669</v>
      </c>
      <c r="J254" s="52">
        <v>5</v>
      </c>
      <c r="K254" s="49"/>
      <c r="L254" s="49" t="s">
        <v>2683</v>
      </c>
      <c r="M254" s="76">
        <v>45429</v>
      </c>
      <c r="N254" s="128">
        <f>+VLOOKUP(B256,BOM!$A$8:$AB$1078,25,0)</f>
        <v>5</v>
      </c>
      <c r="O254" s="129">
        <f>+VLOOKUP(B256,BOM!$A$8:$AB$1078,26,0)</f>
        <v>4</v>
      </c>
      <c r="P254" s="10" t="str">
        <f t="shared" si="11"/>
        <v/>
      </c>
    </row>
    <row r="255" spans="1:16" ht="15">
      <c r="A255" s="153">
        <v>253</v>
      </c>
      <c r="B255" s="53" t="s">
        <v>94</v>
      </c>
      <c r="C255" s="126" t="s">
        <v>96</v>
      </c>
      <c r="D255" s="55">
        <v>2</v>
      </c>
      <c r="E255" s="79" t="s">
        <v>2427</v>
      </c>
      <c r="F255" s="126" t="s">
        <v>22</v>
      </c>
      <c r="G255" s="126" t="s">
        <v>1686</v>
      </c>
      <c r="H255" s="127">
        <v>288</v>
      </c>
      <c r="I255" s="49" t="s">
        <v>2679</v>
      </c>
      <c r="J255" s="52">
        <v>1</v>
      </c>
      <c r="K255" s="49"/>
      <c r="L255" s="49" t="s">
        <v>2684</v>
      </c>
      <c r="M255" s="76">
        <v>45429</v>
      </c>
      <c r="N255" s="128">
        <f>+VLOOKUP(B257,BOM!$A$8:$AB$1078,25,0)</f>
        <v>3</v>
      </c>
      <c r="O255" s="129">
        <f>+VLOOKUP(B257,BOM!$A$8:$AB$1078,26,0)</f>
        <v>4</v>
      </c>
      <c r="P255" s="10" t="str">
        <f t="shared" si="11"/>
        <v/>
      </c>
    </row>
    <row r="256" spans="1:16" ht="15">
      <c r="A256" s="153">
        <v>254</v>
      </c>
      <c r="B256" s="53" t="s">
        <v>384</v>
      </c>
      <c r="C256" s="126" t="s">
        <v>386</v>
      </c>
      <c r="D256" s="55">
        <v>4</v>
      </c>
      <c r="E256" s="56" t="s">
        <v>2427</v>
      </c>
      <c r="F256" s="126" t="s">
        <v>22</v>
      </c>
      <c r="G256" s="126" t="s">
        <v>1664</v>
      </c>
      <c r="H256" s="127">
        <v>32</v>
      </c>
      <c r="I256" s="49" t="s">
        <v>2679</v>
      </c>
      <c r="J256" s="52">
        <v>2</v>
      </c>
      <c r="K256" s="49"/>
      <c r="L256" s="49" t="s">
        <v>2685</v>
      </c>
      <c r="M256" s="82"/>
      <c r="N256" s="128">
        <f>+VLOOKUP(B258,BOM!$A$8:$AB$1078,25,0)</f>
        <v>5</v>
      </c>
      <c r="O256" s="129">
        <f>+VLOOKUP(B258,BOM!$A$8:$AB$1078,26,0)</f>
        <v>4</v>
      </c>
      <c r="P256" s="10" t="str">
        <f t="shared" si="11"/>
        <v/>
      </c>
    </row>
    <row r="257" spans="1:16" ht="15" customHeight="1">
      <c r="A257" s="153">
        <v>255</v>
      </c>
      <c r="B257" s="53" t="s">
        <v>629</v>
      </c>
      <c r="C257" s="126" t="s">
        <v>630</v>
      </c>
      <c r="D257" s="55">
        <v>2</v>
      </c>
      <c r="E257" s="56" t="s">
        <v>2427</v>
      </c>
      <c r="F257" s="126" t="s">
        <v>22</v>
      </c>
      <c r="G257" s="126" t="s">
        <v>1664</v>
      </c>
      <c r="H257" s="127">
        <v>112</v>
      </c>
      <c r="I257" s="49" t="s">
        <v>2679</v>
      </c>
      <c r="J257" s="52">
        <v>2</v>
      </c>
      <c r="K257" s="49"/>
      <c r="L257" s="49" t="s">
        <v>2686</v>
      </c>
      <c r="M257" s="76">
        <v>45429</v>
      </c>
      <c r="N257" s="128">
        <f>+VLOOKUP(B259,BOM!$A$8:$AB$1078,25,0)</f>
        <v>2</v>
      </c>
      <c r="O257" s="129">
        <f>+VLOOKUP(B259,BOM!$A$8:$AB$1078,26,0)</f>
        <v>4</v>
      </c>
      <c r="P257" s="10" t="str">
        <f t="shared" si="11"/>
        <v>ok</v>
      </c>
    </row>
    <row r="258" spans="1:16" ht="15">
      <c r="A258" s="153">
        <v>256</v>
      </c>
      <c r="B258" s="53" t="s">
        <v>633</v>
      </c>
      <c r="C258" s="126" t="s">
        <v>634</v>
      </c>
      <c r="D258" s="52">
        <v>4</v>
      </c>
      <c r="E258" s="81" t="s">
        <v>2427</v>
      </c>
      <c r="F258" s="126" t="s">
        <v>22</v>
      </c>
      <c r="G258" s="126" t="s">
        <v>1664</v>
      </c>
      <c r="H258" s="127">
        <v>32</v>
      </c>
      <c r="I258" s="49" t="s">
        <v>2679</v>
      </c>
      <c r="J258" s="52">
        <v>2</v>
      </c>
      <c r="K258" s="49"/>
      <c r="L258" s="49" t="s">
        <v>2687</v>
      </c>
      <c r="M258" s="76">
        <v>45429</v>
      </c>
      <c r="N258" s="128">
        <f>+VLOOKUP(B260,BOM!$A$8:$AB$1078,25,0)</f>
        <v>2</v>
      </c>
      <c r="O258" s="129">
        <f>+VLOOKUP(B260,BOM!$A$8:$AB$1078,26,0)</f>
        <v>4</v>
      </c>
      <c r="P258" s="10" t="str">
        <f t="shared" si="11"/>
        <v/>
      </c>
    </row>
    <row r="259" spans="1:16" ht="16.5" customHeight="1">
      <c r="A259" s="153">
        <v>257</v>
      </c>
      <c r="B259" s="53" t="s">
        <v>520</v>
      </c>
      <c r="C259" s="126" t="s">
        <v>521</v>
      </c>
      <c r="D259" s="55">
        <v>2</v>
      </c>
      <c r="E259" s="79" t="s">
        <v>2427</v>
      </c>
      <c r="F259" s="126" t="s">
        <v>22</v>
      </c>
      <c r="G259" s="126" t="s">
        <v>1664</v>
      </c>
      <c r="H259" s="127">
        <v>8</v>
      </c>
      <c r="I259" s="49" t="s">
        <v>2679</v>
      </c>
      <c r="J259" s="52">
        <v>3</v>
      </c>
      <c r="K259" s="49"/>
      <c r="L259" s="49" t="s">
        <v>2688</v>
      </c>
      <c r="M259" s="76">
        <v>45429</v>
      </c>
      <c r="N259" s="128">
        <f>+VLOOKUP(B261,BOM!$A$8:$AB$1078,25,0)</f>
        <v>4</v>
      </c>
      <c r="O259" s="129" t="str">
        <f>+VLOOKUP(B261,BOM!$A$8:$AB$1078,26,0)</f>
        <v>1x0 + 2x4</v>
      </c>
      <c r="P259" s="10" t="str">
        <f t="shared" si="11"/>
        <v/>
      </c>
    </row>
    <row r="260" spans="1:16" ht="15">
      <c r="A260" s="153">
        <v>258</v>
      </c>
      <c r="B260" s="53" t="s">
        <v>749</v>
      </c>
      <c r="C260" s="126" t="s">
        <v>474</v>
      </c>
      <c r="D260" s="55">
        <v>1</v>
      </c>
      <c r="E260" s="56" t="s">
        <v>2427</v>
      </c>
      <c r="F260" s="126" t="s">
        <v>22</v>
      </c>
      <c r="G260" s="126" t="s">
        <v>1664</v>
      </c>
      <c r="H260" s="127">
        <v>8</v>
      </c>
      <c r="I260" s="49" t="s">
        <v>2679</v>
      </c>
      <c r="J260" s="52">
        <v>3</v>
      </c>
      <c r="K260" s="49"/>
      <c r="L260" s="49" t="s">
        <v>2689</v>
      </c>
      <c r="M260" s="76">
        <v>45429</v>
      </c>
      <c r="N260" s="128">
        <f>+VLOOKUP(B262,BOM!$A$8:$AB$1078,25,0)</f>
        <v>6</v>
      </c>
      <c r="O260" s="129" t="str">
        <f>+VLOOKUP(B262,BOM!$A$8:$AB$1078,26,0)</f>
        <v>3x4 + 1x4</v>
      </c>
      <c r="P260" s="10" t="str">
        <f t="shared" si="11"/>
        <v/>
      </c>
    </row>
    <row r="261" spans="1:16" ht="15">
      <c r="A261" s="153">
        <v>259</v>
      </c>
      <c r="B261" s="53" t="s">
        <v>641</v>
      </c>
      <c r="C261" s="126" t="s">
        <v>611</v>
      </c>
      <c r="D261" s="55">
        <v>2</v>
      </c>
      <c r="E261" s="56" t="s">
        <v>2427</v>
      </c>
      <c r="F261" s="126" t="s">
        <v>22</v>
      </c>
      <c r="G261" s="126" t="s">
        <v>1664</v>
      </c>
      <c r="H261" s="127">
        <v>48</v>
      </c>
      <c r="I261" s="49" t="s">
        <v>2679</v>
      </c>
      <c r="J261" s="52">
        <v>3</v>
      </c>
      <c r="K261" s="49"/>
      <c r="L261" s="49" t="s">
        <v>2690</v>
      </c>
      <c r="M261" s="76">
        <v>45429</v>
      </c>
      <c r="N261" s="128">
        <f>+VLOOKUP(B263,BOM!$A$8:$AB$1078,25,0)</f>
        <v>6</v>
      </c>
      <c r="O261" s="129" t="str">
        <f>+VLOOKUP(B263,BOM!$A$8:$AB$1078,26,0)</f>
        <v>3x4 + 1x4</v>
      </c>
      <c r="P261" s="10" t="str">
        <f t="shared" si="11"/>
        <v/>
      </c>
    </row>
    <row r="262" spans="1:16" ht="15">
      <c r="A262" s="153">
        <v>260</v>
      </c>
      <c r="B262" s="53" t="s">
        <v>646</v>
      </c>
      <c r="C262" s="126" t="s">
        <v>647</v>
      </c>
      <c r="D262" s="55">
        <v>2</v>
      </c>
      <c r="E262" s="56" t="s">
        <v>2427</v>
      </c>
      <c r="F262" s="126" t="s">
        <v>22</v>
      </c>
      <c r="G262" s="126" t="s">
        <v>1664</v>
      </c>
      <c r="H262" s="127">
        <v>104</v>
      </c>
      <c r="I262" s="49" t="s">
        <v>2679</v>
      </c>
      <c r="J262" s="52">
        <v>3</v>
      </c>
      <c r="K262" s="49"/>
      <c r="L262" s="49" t="s">
        <v>2691</v>
      </c>
      <c r="M262" s="76">
        <v>45429</v>
      </c>
      <c r="N262" s="128">
        <f>+VLOOKUP(B264,BOM!$A$8:$AB$1078,25,0)</f>
        <v>4</v>
      </c>
      <c r="O262" s="129" t="str">
        <f>+VLOOKUP(B264,BOM!$A$8:$AB$1078,26,0)</f>
        <v>1x0 + 2x4</v>
      </c>
      <c r="P262" s="10" t="str">
        <f t="shared" si="11"/>
        <v/>
      </c>
    </row>
    <row r="263" spans="1:16" ht="15">
      <c r="A263" s="153">
        <v>261</v>
      </c>
      <c r="B263" s="53" t="s">
        <v>646</v>
      </c>
      <c r="C263" s="126" t="s">
        <v>647</v>
      </c>
      <c r="D263" s="55">
        <v>1</v>
      </c>
      <c r="E263" s="79">
        <v>5</v>
      </c>
      <c r="F263" s="126" t="s">
        <v>22</v>
      </c>
      <c r="G263" s="126" t="s">
        <v>1664</v>
      </c>
      <c r="H263" s="127">
        <v>104</v>
      </c>
      <c r="I263" s="49" t="s">
        <v>2692</v>
      </c>
      <c r="J263" s="52">
        <v>3</v>
      </c>
      <c r="K263" s="49"/>
      <c r="L263" s="49" t="s">
        <v>2693</v>
      </c>
      <c r="M263" s="76">
        <v>45429</v>
      </c>
      <c r="N263" s="128">
        <f>+VLOOKUP(B265,BOM!$A$8:$AB$1078,25,0)</f>
        <v>2</v>
      </c>
      <c r="O263" s="129">
        <f>+VLOOKUP(B265,BOM!$A$8:$AB$1078,26,0)</f>
        <v>4</v>
      </c>
      <c r="P263" s="10" t="str">
        <f t="shared" si="11"/>
        <v/>
      </c>
    </row>
    <row r="264" spans="1:16" ht="15">
      <c r="A264" s="153">
        <v>262</v>
      </c>
      <c r="B264" s="53" t="s">
        <v>655</v>
      </c>
      <c r="C264" s="126" t="s">
        <v>656</v>
      </c>
      <c r="D264" s="55">
        <v>2</v>
      </c>
      <c r="E264" s="79" t="s">
        <v>2427</v>
      </c>
      <c r="F264" s="126" t="s">
        <v>22</v>
      </c>
      <c r="G264" s="126" t="s">
        <v>1664</v>
      </c>
      <c r="H264" s="127">
        <v>16</v>
      </c>
      <c r="I264" s="49" t="s">
        <v>2679</v>
      </c>
      <c r="J264" s="52">
        <v>3</v>
      </c>
      <c r="K264" s="49"/>
      <c r="L264" s="49" t="s">
        <v>2694</v>
      </c>
      <c r="M264" s="76">
        <v>45429</v>
      </c>
      <c r="N264" s="128">
        <f>+VLOOKUP(B266,BOM!$A$8:$AB$1078,25,0)</f>
        <v>2</v>
      </c>
      <c r="O264" s="129">
        <f>+VLOOKUP(B266,BOM!$A$8:$AB$1078,26,0)</f>
        <v>4</v>
      </c>
      <c r="P264" s="10" t="str">
        <f t="shared" si="11"/>
        <v>ok</v>
      </c>
    </row>
    <row r="265" spans="1:16" ht="15">
      <c r="A265" s="153">
        <v>263</v>
      </c>
      <c r="B265" s="53" t="s">
        <v>504</v>
      </c>
      <c r="C265" s="126" t="s">
        <v>506</v>
      </c>
      <c r="D265" s="55">
        <v>1</v>
      </c>
      <c r="E265" s="79" t="s">
        <v>2427</v>
      </c>
      <c r="F265" s="126" t="s">
        <v>22</v>
      </c>
      <c r="G265" s="126" t="s">
        <v>1664</v>
      </c>
      <c r="H265" s="127">
        <v>8</v>
      </c>
      <c r="I265" s="49" t="s">
        <v>2679</v>
      </c>
      <c r="J265" s="52">
        <v>4</v>
      </c>
      <c r="K265" s="49"/>
      <c r="L265" s="49" t="s">
        <v>2695</v>
      </c>
      <c r="M265" s="76">
        <v>45429</v>
      </c>
      <c r="N265" s="128">
        <f>+VLOOKUP(B267,BOM!$A$8:$AB$1078,25,0)</f>
        <v>160</v>
      </c>
      <c r="O265" s="129" t="str">
        <f>+VLOOKUP(B267,BOM!$A$8:$AB$1078,26,0)</f>
        <v>50x2 + 30x4 + 13x5 + 28x6</v>
      </c>
      <c r="P265" s="10" t="str">
        <f t="shared" si="11"/>
        <v/>
      </c>
    </row>
    <row r="266" spans="1:16" ht="15">
      <c r="A266" s="153">
        <v>264</v>
      </c>
      <c r="B266" s="53" t="s">
        <v>522</v>
      </c>
      <c r="C266" s="126" t="s">
        <v>521</v>
      </c>
      <c r="D266" s="55">
        <v>2</v>
      </c>
      <c r="E266" s="56" t="s">
        <v>2427</v>
      </c>
      <c r="F266" s="126" t="s">
        <v>22</v>
      </c>
      <c r="G266" s="126" t="s">
        <v>1664</v>
      </c>
      <c r="H266" s="127">
        <v>8</v>
      </c>
      <c r="I266" s="49" t="s">
        <v>2679</v>
      </c>
      <c r="J266" s="52">
        <v>4</v>
      </c>
      <c r="K266" s="49"/>
      <c r="L266" s="188" t="s">
        <v>2696</v>
      </c>
      <c r="M266" s="76">
        <v>45429</v>
      </c>
      <c r="N266" s="128">
        <f>+VLOOKUP(B268,BOM!$A$8:$AB$1078,25,0)</f>
        <v>3</v>
      </c>
      <c r="O266" s="129">
        <f>+VLOOKUP(B268,BOM!$A$8:$AB$1078,26,0)</f>
        <v>4</v>
      </c>
      <c r="P266" s="10" t="str">
        <f t="shared" si="11"/>
        <v/>
      </c>
    </row>
    <row r="267" spans="1:16" ht="15">
      <c r="A267" s="153">
        <v>265</v>
      </c>
      <c r="B267" s="53" t="s">
        <v>612</v>
      </c>
      <c r="C267" s="126" t="s">
        <v>614</v>
      </c>
      <c r="D267" s="55">
        <v>21</v>
      </c>
      <c r="E267" s="56" t="s">
        <v>2427</v>
      </c>
      <c r="F267" s="126" t="s">
        <v>22</v>
      </c>
      <c r="G267" s="126" t="s">
        <v>1686</v>
      </c>
      <c r="H267" s="127">
        <v>1072</v>
      </c>
      <c r="I267" s="49" t="s">
        <v>2679</v>
      </c>
      <c r="J267" s="52">
        <v>4</v>
      </c>
      <c r="K267" s="49"/>
      <c r="L267" s="49" t="s">
        <v>2697</v>
      </c>
      <c r="M267" s="76">
        <v>45429</v>
      </c>
      <c r="N267" s="128">
        <f>+VLOOKUP(B269,BOM!$A$8:$AB$1078,25,0)</f>
        <v>14</v>
      </c>
      <c r="O267" s="129" t="str">
        <f>+VLOOKUP(B269,BOM!$A$8:$AB$1078,26,0)</f>
        <v>2x4 + 10x6</v>
      </c>
      <c r="P267" s="10" t="str">
        <f t="shared" ref="P267:P298" si="12">+IF(N267=D269,"ok","")</f>
        <v/>
      </c>
    </row>
    <row r="268" spans="1:16" ht="15" customHeight="1">
      <c r="A268" s="153">
        <v>266</v>
      </c>
      <c r="B268" s="53" t="s">
        <v>496</v>
      </c>
      <c r="C268" s="126" t="s">
        <v>498</v>
      </c>
      <c r="D268" s="55">
        <v>0</v>
      </c>
      <c r="E268" s="79" t="s">
        <v>2427</v>
      </c>
      <c r="F268" s="126" t="s">
        <v>22</v>
      </c>
      <c r="G268" s="126" t="s">
        <v>1664</v>
      </c>
      <c r="H268" s="127">
        <v>32</v>
      </c>
      <c r="I268" s="49" t="s">
        <v>2679</v>
      </c>
      <c r="J268" s="52">
        <v>5</v>
      </c>
      <c r="K268" s="49"/>
      <c r="L268" s="49" t="s">
        <v>2698</v>
      </c>
      <c r="M268" s="76">
        <v>45429</v>
      </c>
      <c r="N268" s="128">
        <f>+VLOOKUP(B270,BOM!$A$8:$AB$1078,25,0)</f>
        <v>11</v>
      </c>
      <c r="O268" s="129">
        <f>+VLOOKUP(B270,BOM!$A$8:$AB$1078,26,0)</f>
        <v>4</v>
      </c>
      <c r="P268" s="10" t="str">
        <f t="shared" si="12"/>
        <v/>
      </c>
    </row>
    <row r="269" spans="1:16" ht="15">
      <c r="A269" s="153">
        <v>267</v>
      </c>
      <c r="B269" s="53" t="s">
        <v>583</v>
      </c>
      <c r="C269" s="126" t="s">
        <v>584</v>
      </c>
      <c r="D269" s="55">
        <v>2</v>
      </c>
      <c r="E269" s="56" t="s">
        <v>2427</v>
      </c>
      <c r="F269" s="126" t="s">
        <v>22</v>
      </c>
      <c r="G269" s="126" t="s">
        <v>1664</v>
      </c>
      <c r="H269" s="127">
        <v>176</v>
      </c>
      <c r="I269" s="49" t="s">
        <v>2679</v>
      </c>
      <c r="J269" s="52">
        <v>5</v>
      </c>
      <c r="K269" s="49"/>
      <c r="L269" s="49" t="s">
        <v>2699</v>
      </c>
      <c r="M269" s="76">
        <v>45429</v>
      </c>
      <c r="N269" s="128">
        <f>+VLOOKUP(B271,BOM!$A$8:$AB$1078,25,0)</f>
        <v>3</v>
      </c>
      <c r="O269" s="129" t="str">
        <f>+VLOOKUP(B271,BOM!$A$8:$AB$1078,26,0)</f>
        <v>1x4 + 1x5</v>
      </c>
      <c r="P269" s="10" t="str">
        <f t="shared" si="12"/>
        <v/>
      </c>
    </row>
    <row r="270" spans="1:16" ht="15">
      <c r="A270" s="153">
        <v>268</v>
      </c>
      <c r="B270" s="53" t="s">
        <v>269</v>
      </c>
      <c r="C270" s="126" t="s">
        <v>270</v>
      </c>
      <c r="D270" s="55">
        <v>10</v>
      </c>
      <c r="E270" s="79" t="s">
        <v>2427</v>
      </c>
      <c r="F270" s="126" t="s">
        <v>22</v>
      </c>
      <c r="G270" s="126" t="s">
        <v>1664</v>
      </c>
      <c r="H270" s="127">
        <v>80</v>
      </c>
      <c r="I270" s="49" t="s">
        <v>2700</v>
      </c>
      <c r="J270" s="52">
        <v>1</v>
      </c>
      <c r="K270" s="49"/>
      <c r="L270" s="49" t="s">
        <v>2701</v>
      </c>
      <c r="M270" s="76">
        <v>45429</v>
      </c>
      <c r="N270" s="128">
        <f>+VLOOKUP(B272,BOM!$A$8:$AB$1078,25,0)</f>
        <v>5</v>
      </c>
      <c r="O270" s="129">
        <f>+VLOOKUP(B272,BOM!$A$8:$AB$1078,26,0)</f>
        <v>5</v>
      </c>
      <c r="P270" s="10" t="str">
        <f t="shared" si="12"/>
        <v/>
      </c>
    </row>
    <row r="271" spans="1:16" ht="15">
      <c r="A271" s="153">
        <v>269</v>
      </c>
      <c r="B271" s="53" t="s">
        <v>603</v>
      </c>
      <c r="C271" s="126" t="s">
        <v>604</v>
      </c>
      <c r="D271" s="55">
        <v>1</v>
      </c>
      <c r="E271" s="79" t="s">
        <v>2427</v>
      </c>
      <c r="F271" s="126" t="s">
        <v>22</v>
      </c>
      <c r="G271" s="126" t="s">
        <v>1664</v>
      </c>
      <c r="H271" s="127">
        <v>8</v>
      </c>
      <c r="I271" s="49" t="s">
        <v>2700</v>
      </c>
      <c r="J271" s="52">
        <v>2</v>
      </c>
      <c r="K271" s="49"/>
      <c r="L271" s="49" t="s">
        <v>2702</v>
      </c>
      <c r="M271" s="76">
        <v>45429</v>
      </c>
      <c r="N271" s="128">
        <f>+VLOOKUP(B273,BOM!$A$8:$AB$1078,25,0)</f>
        <v>2</v>
      </c>
      <c r="O271" s="129">
        <f>+VLOOKUP(B273,BOM!$A$8:$AB$1078,26,0)</f>
        <v>5</v>
      </c>
      <c r="P271" s="10" t="str">
        <f t="shared" si="12"/>
        <v/>
      </c>
    </row>
    <row r="272" spans="1:16" ht="15">
      <c r="A272" s="153">
        <v>270</v>
      </c>
      <c r="B272" s="53" t="s">
        <v>507</v>
      </c>
      <c r="C272" s="126" t="s">
        <v>21</v>
      </c>
      <c r="D272" s="55">
        <v>4</v>
      </c>
      <c r="E272" s="79" t="s">
        <v>2437</v>
      </c>
      <c r="F272" s="126" t="s">
        <v>22</v>
      </c>
      <c r="G272" s="126" t="s">
        <v>1664</v>
      </c>
      <c r="H272" s="127">
        <v>32</v>
      </c>
      <c r="I272" s="49" t="s">
        <v>2692</v>
      </c>
      <c r="J272" s="52">
        <v>1</v>
      </c>
      <c r="K272" s="49"/>
      <c r="L272" s="49" t="s">
        <v>2703</v>
      </c>
      <c r="M272" s="76">
        <v>45429</v>
      </c>
      <c r="N272" s="128">
        <f>+VLOOKUP(B274,BOM!$A$8:$AB$1078,25,0)</f>
        <v>5</v>
      </c>
      <c r="O272" s="129">
        <f>+VLOOKUP(B274,BOM!$A$8:$AB$1078,26,0)</f>
        <v>5</v>
      </c>
      <c r="P272" s="10" t="str">
        <f t="shared" si="12"/>
        <v/>
      </c>
    </row>
    <row r="273" spans="1:16" ht="15">
      <c r="A273" s="153">
        <v>271</v>
      </c>
      <c r="B273" s="53" t="s">
        <v>639</v>
      </c>
      <c r="C273" s="126" t="s">
        <v>611</v>
      </c>
      <c r="D273" s="55">
        <v>1</v>
      </c>
      <c r="E273" s="79" t="s">
        <v>2437</v>
      </c>
      <c r="F273" s="126" t="s">
        <v>22</v>
      </c>
      <c r="G273" s="126" t="s">
        <v>1664</v>
      </c>
      <c r="H273" s="127">
        <v>8</v>
      </c>
      <c r="I273" s="49" t="s">
        <v>2692</v>
      </c>
      <c r="J273" s="52">
        <v>1</v>
      </c>
      <c r="K273" s="49"/>
      <c r="L273" s="49" t="s">
        <v>2704</v>
      </c>
      <c r="M273" s="76">
        <v>45429</v>
      </c>
      <c r="N273" s="128">
        <f>+VLOOKUP(B275,BOM!$A$8:$AB$1078,25,0)</f>
        <v>16</v>
      </c>
      <c r="O273" s="129" t="str">
        <f>+VLOOKUP(B275,BOM!$A$8:$AB$1078,26,0)</f>
        <v>2x5 + 11x6 + 1xC</v>
      </c>
      <c r="P273" s="10" t="str">
        <f t="shared" si="12"/>
        <v/>
      </c>
    </row>
    <row r="274" spans="1:16" ht="15">
      <c r="A274" s="153">
        <v>272</v>
      </c>
      <c r="B274" s="53" t="s">
        <v>734</v>
      </c>
      <c r="C274" s="126" t="s">
        <v>735</v>
      </c>
      <c r="D274" s="55">
        <v>4</v>
      </c>
      <c r="E274" s="56" t="s">
        <v>2437</v>
      </c>
      <c r="F274" s="126" t="s">
        <v>22</v>
      </c>
      <c r="G274" s="126" t="s">
        <v>1664</v>
      </c>
      <c r="H274" s="127">
        <v>32</v>
      </c>
      <c r="I274" s="49" t="s">
        <v>2692</v>
      </c>
      <c r="J274" s="52">
        <v>1</v>
      </c>
      <c r="K274" s="49"/>
      <c r="L274" s="49" t="s">
        <v>2705</v>
      </c>
      <c r="M274" s="76">
        <v>45429</v>
      </c>
      <c r="N274" s="128">
        <f>+VLOOKUP(B276,BOM!$A$8:$AB$1078,25,0)</f>
        <v>3</v>
      </c>
      <c r="O274" s="129" t="str">
        <f>+VLOOKUP(B276,BOM!$A$8:$AB$1078,26,0)</f>
        <v>1x4 + 1x5</v>
      </c>
      <c r="P274" s="10" t="str">
        <f t="shared" si="12"/>
        <v/>
      </c>
    </row>
    <row r="275" spans="1:16" ht="15">
      <c r="A275" s="153">
        <v>273</v>
      </c>
      <c r="B275" s="53" t="s">
        <v>601</v>
      </c>
      <c r="C275" s="126" t="s">
        <v>602</v>
      </c>
      <c r="D275" s="55">
        <v>2</v>
      </c>
      <c r="E275" s="79" t="s">
        <v>2437</v>
      </c>
      <c r="F275" s="126" t="s">
        <v>22</v>
      </c>
      <c r="G275" s="126" t="s">
        <v>1664</v>
      </c>
      <c r="H275" s="127">
        <v>88</v>
      </c>
      <c r="I275" s="49" t="s">
        <v>2692</v>
      </c>
      <c r="J275" s="52">
        <v>1</v>
      </c>
      <c r="K275" s="49"/>
      <c r="L275" s="49" t="s">
        <v>2706</v>
      </c>
      <c r="M275" s="76">
        <v>45429</v>
      </c>
      <c r="N275" s="128">
        <f>+VLOOKUP(B277,BOM!$A$8:$AB$1078,25,0)</f>
        <v>6</v>
      </c>
      <c r="O275" s="129" t="str">
        <f>+VLOOKUP(B277,BOM!$A$8:$AB$1078,26,0)</f>
        <v>4x5 + 1x6</v>
      </c>
      <c r="P275" s="10" t="str">
        <f t="shared" si="12"/>
        <v/>
      </c>
    </row>
    <row r="276" spans="1:16" ht="15">
      <c r="A276" s="153">
        <v>274</v>
      </c>
      <c r="B276" s="53" t="s">
        <v>603</v>
      </c>
      <c r="C276" s="126" t="s">
        <v>604</v>
      </c>
      <c r="D276" s="55">
        <v>1</v>
      </c>
      <c r="E276" s="79" t="s">
        <v>2437</v>
      </c>
      <c r="F276" s="126" t="s">
        <v>22</v>
      </c>
      <c r="G276" s="126" t="s">
        <v>1664</v>
      </c>
      <c r="H276" s="127">
        <v>8</v>
      </c>
      <c r="I276" s="49" t="s">
        <v>2692</v>
      </c>
      <c r="J276" s="52">
        <v>1</v>
      </c>
      <c r="K276" s="49"/>
      <c r="L276" s="49" t="s">
        <v>2707</v>
      </c>
      <c r="M276" s="76">
        <v>45429</v>
      </c>
      <c r="N276" s="128">
        <f>+VLOOKUP(B278,BOM!$A$8:$AB$1078,25,0)</f>
        <v>2</v>
      </c>
      <c r="O276" s="129">
        <f>+VLOOKUP(B278,BOM!$A$8:$AB$1078,26,0)</f>
        <v>5</v>
      </c>
      <c r="P276" s="10" t="str">
        <f t="shared" si="12"/>
        <v/>
      </c>
    </row>
    <row r="277" spans="1:16" ht="15">
      <c r="A277" s="153">
        <v>275</v>
      </c>
      <c r="B277" s="53" t="s">
        <v>661</v>
      </c>
      <c r="C277" s="126" t="s">
        <v>662</v>
      </c>
      <c r="D277" s="55">
        <v>4</v>
      </c>
      <c r="E277" s="79" t="s">
        <v>2437</v>
      </c>
      <c r="F277" s="126" t="s">
        <v>22</v>
      </c>
      <c r="G277" s="126" t="s">
        <v>1664</v>
      </c>
      <c r="H277" s="127">
        <v>32</v>
      </c>
      <c r="I277" s="49" t="s">
        <v>2692</v>
      </c>
      <c r="J277" s="52">
        <v>1</v>
      </c>
      <c r="K277" s="49"/>
      <c r="L277" s="49" t="s">
        <v>2708</v>
      </c>
      <c r="M277" s="76">
        <v>45429</v>
      </c>
      <c r="N277" s="128">
        <f>+VLOOKUP(B279,BOM!$A$8:$AB$1078,25,0)</f>
        <v>3</v>
      </c>
      <c r="O277" s="129" t="str">
        <f>+VLOOKUP(B279,BOM!$A$8:$AB$1078,26,0)</f>
        <v>6x0 + 2x5</v>
      </c>
      <c r="P277" s="10" t="str">
        <f t="shared" si="12"/>
        <v/>
      </c>
    </row>
    <row r="278" spans="1:16" ht="15">
      <c r="A278" s="153">
        <v>276</v>
      </c>
      <c r="B278" s="53" t="s">
        <v>508</v>
      </c>
      <c r="C278" s="126" t="s">
        <v>21</v>
      </c>
      <c r="D278" s="55">
        <v>1</v>
      </c>
      <c r="E278" s="79" t="s">
        <v>2437</v>
      </c>
      <c r="F278" s="126" t="s">
        <v>22</v>
      </c>
      <c r="G278" s="126" t="s">
        <v>1664</v>
      </c>
      <c r="H278" s="127">
        <v>8</v>
      </c>
      <c r="I278" s="49" t="s">
        <v>2692</v>
      </c>
      <c r="J278" s="52">
        <v>2</v>
      </c>
      <c r="K278" s="49"/>
      <c r="L278" s="49" t="s">
        <v>2709</v>
      </c>
      <c r="M278" s="76">
        <v>45429</v>
      </c>
      <c r="N278" s="128">
        <f>+VLOOKUP(B280,BOM!$A$8:$AB$1078,25,0)</f>
        <v>2</v>
      </c>
      <c r="O278" s="129">
        <f>+VLOOKUP(B280,BOM!$A$8:$AB$1078,26,0)</f>
        <v>5</v>
      </c>
      <c r="P278" s="10" t="str">
        <f t="shared" si="12"/>
        <v/>
      </c>
    </row>
    <row r="279" spans="1:16" ht="15">
      <c r="A279" s="153">
        <v>277</v>
      </c>
      <c r="B279" s="59" t="s">
        <v>585</v>
      </c>
      <c r="C279" s="126" t="s">
        <v>587</v>
      </c>
      <c r="D279" s="55">
        <v>2</v>
      </c>
      <c r="E279" s="56" t="s">
        <v>2437</v>
      </c>
      <c r="F279" s="126" t="s">
        <v>22</v>
      </c>
      <c r="G279" s="126" t="s">
        <v>1664</v>
      </c>
      <c r="H279" s="127">
        <v>48</v>
      </c>
      <c r="I279" s="49" t="s">
        <v>2692</v>
      </c>
      <c r="J279" s="52">
        <v>2</v>
      </c>
      <c r="K279" s="49"/>
      <c r="L279" s="49" t="s">
        <v>2710</v>
      </c>
      <c r="M279" s="76">
        <v>45429</v>
      </c>
      <c r="N279" s="128">
        <f>+VLOOKUP(B281,BOM!$A$8:$AB$1078,25,0)</f>
        <v>4</v>
      </c>
      <c r="O279" s="129">
        <f>+VLOOKUP(B281,BOM!$A$8:$AB$1078,26,0)</f>
        <v>5</v>
      </c>
      <c r="P279" s="10" t="str">
        <f t="shared" si="12"/>
        <v/>
      </c>
    </row>
    <row r="280" spans="1:16" ht="15">
      <c r="A280" s="153">
        <v>278</v>
      </c>
      <c r="B280" s="64" t="s">
        <v>756</v>
      </c>
      <c r="C280" s="126" t="s">
        <v>492</v>
      </c>
      <c r="D280" s="55">
        <v>1</v>
      </c>
      <c r="E280" s="77" t="s">
        <v>2437</v>
      </c>
      <c r="F280" s="126" t="s">
        <v>22</v>
      </c>
      <c r="G280" s="126" t="s">
        <v>1664</v>
      </c>
      <c r="H280" s="127">
        <v>8</v>
      </c>
      <c r="I280" s="49" t="s">
        <v>2692</v>
      </c>
      <c r="J280" s="52">
        <v>2</v>
      </c>
      <c r="K280" s="49"/>
      <c r="L280" s="49" t="s">
        <v>2711</v>
      </c>
      <c r="M280" s="76">
        <v>45429</v>
      </c>
      <c r="N280" s="128">
        <f>+VLOOKUP(B282,BOM!$A$8:$AB$1078,25,0)</f>
        <v>4</v>
      </c>
      <c r="O280" s="129">
        <f>+VLOOKUP(B282,BOM!$A$8:$AB$1078,26,0)</f>
        <v>5</v>
      </c>
      <c r="P280" s="10" t="str">
        <f t="shared" si="12"/>
        <v/>
      </c>
    </row>
    <row r="281" spans="1:16" ht="15">
      <c r="A281" s="153">
        <v>279</v>
      </c>
      <c r="B281" s="53" t="s">
        <v>615</v>
      </c>
      <c r="C281" s="126" t="s">
        <v>616</v>
      </c>
      <c r="D281" s="55">
        <v>2</v>
      </c>
      <c r="E281" s="79" t="s">
        <v>2385</v>
      </c>
      <c r="F281" s="126" t="s">
        <v>22</v>
      </c>
      <c r="G281" s="126" t="s">
        <v>1664</v>
      </c>
      <c r="H281" s="127">
        <v>16</v>
      </c>
      <c r="I281" s="49" t="s">
        <v>2692</v>
      </c>
      <c r="J281" s="52">
        <v>3</v>
      </c>
      <c r="K281" s="49"/>
      <c r="L281" s="49" t="s">
        <v>2712</v>
      </c>
      <c r="M281" s="76">
        <v>45429</v>
      </c>
      <c r="N281" s="128">
        <f>+VLOOKUP(B283,BOM!$A$8:$AB$1078,25,0)</f>
        <v>4</v>
      </c>
      <c r="O281" s="129" t="str">
        <f>+VLOOKUP(B283,BOM!$A$8:$AB$1078,26,0)</f>
        <v>1x0 + 2x5</v>
      </c>
      <c r="P281" s="10" t="str">
        <f t="shared" si="12"/>
        <v/>
      </c>
    </row>
    <row r="282" spans="1:16" ht="15">
      <c r="A282" s="153">
        <v>280</v>
      </c>
      <c r="B282" s="59" t="s">
        <v>615</v>
      </c>
      <c r="C282" s="126" t="s">
        <v>616</v>
      </c>
      <c r="D282" s="55">
        <v>1</v>
      </c>
      <c r="E282" s="79" t="s">
        <v>2437</v>
      </c>
      <c r="F282" s="126" t="s">
        <v>22</v>
      </c>
      <c r="G282" s="126" t="s">
        <v>1664</v>
      </c>
      <c r="H282" s="127">
        <v>16</v>
      </c>
      <c r="I282" s="49" t="s">
        <v>2692</v>
      </c>
      <c r="J282" s="52">
        <v>3</v>
      </c>
      <c r="K282" s="49"/>
      <c r="L282" s="49" t="s">
        <v>2713</v>
      </c>
      <c r="M282" s="76">
        <v>45429</v>
      </c>
      <c r="N282" s="128">
        <f>+VLOOKUP(B284,BOM!$A$8:$AB$1078,25,0)</f>
        <v>5</v>
      </c>
      <c r="O282" s="129" t="str">
        <f>+VLOOKUP(B284,BOM!$A$8:$AB$1078,26,0)</f>
        <v>4xB + 4x5</v>
      </c>
      <c r="P282" s="10" t="str">
        <f t="shared" si="12"/>
        <v/>
      </c>
    </row>
    <row r="283" spans="1:16" ht="15">
      <c r="A283" s="153">
        <v>281</v>
      </c>
      <c r="B283" s="53" t="s">
        <v>628</v>
      </c>
      <c r="C283" s="126" t="s">
        <v>611</v>
      </c>
      <c r="D283" s="55">
        <v>2</v>
      </c>
      <c r="E283" s="47" t="s">
        <v>2437</v>
      </c>
      <c r="F283" s="126" t="s">
        <v>22</v>
      </c>
      <c r="G283" s="126" t="s">
        <v>1664</v>
      </c>
      <c r="H283" s="127">
        <v>32</v>
      </c>
      <c r="I283" s="49" t="s">
        <v>2692</v>
      </c>
      <c r="J283" s="52">
        <v>3</v>
      </c>
      <c r="K283" s="49"/>
      <c r="L283" s="49" t="s">
        <v>2714</v>
      </c>
      <c r="M283" s="76">
        <v>45429</v>
      </c>
      <c r="N283" s="128">
        <f>+VLOOKUP(B285,BOM!$A$8:$AB$1078,25,0)</f>
        <v>9</v>
      </c>
      <c r="O283" s="129" t="str">
        <f>+VLOOKUP(B285,BOM!$A$8:$AB$1078,26,0)</f>
        <v>2x3 + 2x5</v>
      </c>
      <c r="P283" s="10" t="str">
        <f t="shared" si="12"/>
        <v/>
      </c>
    </row>
    <row r="284" spans="1:16" ht="15">
      <c r="A284" s="153">
        <v>282</v>
      </c>
      <c r="B284" s="53" t="s">
        <v>666</v>
      </c>
      <c r="C284" s="126" t="s">
        <v>667</v>
      </c>
      <c r="D284" s="55">
        <v>4</v>
      </c>
      <c r="E284" s="47" t="s">
        <v>2437</v>
      </c>
      <c r="F284" s="126" t="s">
        <v>22</v>
      </c>
      <c r="G284" s="126" t="s">
        <v>1664</v>
      </c>
      <c r="H284" s="127">
        <v>32</v>
      </c>
      <c r="I284" s="49" t="s">
        <v>2692</v>
      </c>
      <c r="J284" s="52">
        <v>3</v>
      </c>
      <c r="K284" s="49"/>
      <c r="L284" s="49" t="s">
        <v>2715</v>
      </c>
      <c r="M284" s="76">
        <v>45429</v>
      </c>
      <c r="N284" s="128">
        <f>+VLOOKUP(B286,BOM!$A$8:$AB$1078,25,0)</f>
        <v>9</v>
      </c>
      <c r="O284" s="129" t="str">
        <f>+VLOOKUP(B286,BOM!$A$8:$AB$1078,26,0)</f>
        <v>4x3 + 4x5</v>
      </c>
      <c r="P284" s="10" t="str">
        <f t="shared" si="12"/>
        <v/>
      </c>
    </row>
    <row r="285" spans="1:16" ht="15">
      <c r="A285" s="153">
        <v>283</v>
      </c>
      <c r="B285" s="59" t="s">
        <v>747</v>
      </c>
      <c r="C285" s="126" t="s">
        <v>748</v>
      </c>
      <c r="D285" s="55">
        <v>2</v>
      </c>
      <c r="E285" s="56" t="s">
        <v>2437</v>
      </c>
      <c r="F285" s="126" t="s">
        <v>22</v>
      </c>
      <c r="G285" s="126" t="s">
        <v>1664</v>
      </c>
      <c r="H285" s="127">
        <v>32</v>
      </c>
      <c r="I285" s="49" t="s">
        <v>2692</v>
      </c>
      <c r="J285" s="52">
        <v>3</v>
      </c>
      <c r="K285" s="49"/>
      <c r="L285" s="49" t="s">
        <v>2716</v>
      </c>
      <c r="M285" s="76">
        <v>45429</v>
      </c>
      <c r="N285" s="128">
        <f>+VLOOKUP(B287,BOM!$A$8:$AB$1078,25,0)</f>
        <v>2</v>
      </c>
      <c r="O285" s="129">
        <f>+VLOOKUP(B287,BOM!$A$8:$AB$1078,26,0)</f>
        <v>5</v>
      </c>
      <c r="P285" s="10" t="str">
        <f t="shared" si="12"/>
        <v/>
      </c>
    </row>
    <row r="286" spans="1:16" ht="15">
      <c r="A286" s="153">
        <v>284</v>
      </c>
      <c r="B286" s="59" t="s">
        <v>750</v>
      </c>
      <c r="C286" s="126" t="s">
        <v>492</v>
      </c>
      <c r="D286" s="55">
        <v>4</v>
      </c>
      <c r="E286" s="81" t="s">
        <v>2437</v>
      </c>
      <c r="F286" s="126" t="s">
        <v>22</v>
      </c>
      <c r="G286" s="126" t="s">
        <v>1664</v>
      </c>
      <c r="H286" s="127">
        <v>128</v>
      </c>
      <c r="I286" s="49" t="s">
        <v>2692</v>
      </c>
      <c r="J286" s="52">
        <v>3</v>
      </c>
      <c r="K286" s="49"/>
      <c r="L286" s="49" t="s">
        <v>2717</v>
      </c>
      <c r="M286" s="76">
        <v>45429</v>
      </c>
      <c r="N286" s="128">
        <f>+VLOOKUP(B288,BOM!$A$8:$AB$1078,25,0)</f>
        <v>4</v>
      </c>
      <c r="O286" s="129" t="str">
        <f>+VLOOKUP(B288,BOM!$A$8:$AB$1078,26,0)</f>
        <v>2x5 + 1xC</v>
      </c>
      <c r="P286" s="10" t="str">
        <f t="shared" si="12"/>
        <v/>
      </c>
    </row>
    <row r="287" spans="1:16" ht="15">
      <c r="A287" s="153">
        <v>285</v>
      </c>
      <c r="B287" s="59" t="s">
        <v>1742</v>
      </c>
      <c r="C287" s="126" t="s">
        <v>1743</v>
      </c>
      <c r="D287" s="55">
        <v>1</v>
      </c>
      <c r="E287" s="81" t="s">
        <v>2437</v>
      </c>
      <c r="F287" s="126" t="s">
        <v>22</v>
      </c>
      <c r="G287" s="126" t="s">
        <v>1664</v>
      </c>
      <c r="H287" s="127">
        <v>8</v>
      </c>
      <c r="I287" s="49" t="s">
        <v>2692</v>
      </c>
      <c r="J287" s="52">
        <v>4</v>
      </c>
      <c r="K287" s="49"/>
      <c r="L287" s="49" t="s">
        <v>2718</v>
      </c>
      <c r="M287" s="76">
        <v>45429</v>
      </c>
      <c r="N287" s="128">
        <f>+VLOOKUP(B289,BOM!$A$8:$AB$1078,25,0)</f>
        <v>5</v>
      </c>
      <c r="O287" s="129" t="str">
        <f>+VLOOKUP(B289,BOM!$A$8:$AB$1078,26,0)</f>
        <v>1xc+5</v>
      </c>
      <c r="P287" s="10" t="str">
        <f t="shared" si="12"/>
        <v/>
      </c>
    </row>
    <row r="288" spans="1:16" ht="15">
      <c r="A288" s="153">
        <v>286</v>
      </c>
      <c r="B288" s="59" t="s">
        <v>513</v>
      </c>
      <c r="C288" s="126" t="s">
        <v>514</v>
      </c>
      <c r="D288" s="55">
        <v>2</v>
      </c>
      <c r="E288" s="81" t="s">
        <v>2437</v>
      </c>
      <c r="F288" s="126" t="s">
        <v>22</v>
      </c>
      <c r="G288" s="126" t="s">
        <v>1664</v>
      </c>
      <c r="H288" s="127">
        <v>8</v>
      </c>
      <c r="I288" s="49" t="s">
        <v>2692</v>
      </c>
      <c r="J288" s="52">
        <v>4</v>
      </c>
      <c r="K288" s="49"/>
      <c r="L288" s="49" t="s">
        <v>2719</v>
      </c>
      <c r="M288" s="76">
        <v>45429</v>
      </c>
      <c r="N288" s="128">
        <f>+VLOOKUP(B290,BOM!$A$8:$AB$1078,25,0)</f>
        <v>19</v>
      </c>
      <c r="O288" s="129" t="str">
        <f>+VLOOKUP(B290,BOM!$A$8:$AB$1078,26,0)</f>
        <v>4x2 + 1x5 + 6x6</v>
      </c>
      <c r="P288" s="10" t="str">
        <f t="shared" si="12"/>
        <v/>
      </c>
    </row>
    <row r="289" spans="1:16" ht="15">
      <c r="A289" s="153">
        <v>287</v>
      </c>
      <c r="B289" s="59" t="s">
        <v>523</v>
      </c>
      <c r="C289" s="126" t="s">
        <v>21</v>
      </c>
      <c r="D289" s="55">
        <v>2</v>
      </c>
      <c r="E289" s="56" t="s">
        <v>2437</v>
      </c>
      <c r="F289" s="126" t="s">
        <v>22</v>
      </c>
      <c r="G289" s="126" t="s">
        <v>1664</v>
      </c>
      <c r="H289" s="127">
        <v>48</v>
      </c>
      <c r="I289" s="49" t="s">
        <v>2692</v>
      </c>
      <c r="J289" s="52">
        <v>4</v>
      </c>
      <c r="K289" s="49"/>
      <c r="L289" s="49" t="s">
        <v>2720</v>
      </c>
      <c r="M289" s="76">
        <v>45429</v>
      </c>
      <c r="N289" s="128">
        <f>+VLOOKUP(B291,BOM!$A$8:$AB$1078,25,0)</f>
        <v>4</v>
      </c>
      <c r="O289" s="129">
        <f>+VLOOKUP(B291,BOM!$A$8:$AB$1078,26,0)</f>
        <v>5</v>
      </c>
      <c r="P289" s="10" t="str">
        <f t="shared" si="12"/>
        <v/>
      </c>
    </row>
    <row r="290" spans="1:16" ht="15">
      <c r="A290" s="153">
        <v>288</v>
      </c>
      <c r="B290" s="53" t="s">
        <v>547</v>
      </c>
      <c r="C290" s="126" t="s">
        <v>548</v>
      </c>
      <c r="D290" s="55">
        <v>3</v>
      </c>
      <c r="E290" s="56" t="s">
        <v>2437</v>
      </c>
      <c r="F290" s="126" t="s">
        <v>22</v>
      </c>
      <c r="G290" s="126" t="s">
        <v>1664</v>
      </c>
      <c r="H290" s="127">
        <v>80</v>
      </c>
      <c r="I290" s="49" t="s">
        <v>2692</v>
      </c>
      <c r="J290" s="52">
        <v>4</v>
      </c>
      <c r="K290" s="49"/>
      <c r="L290" s="49" t="s">
        <v>2721</v>
      </c>
      <c r="M290" s="76">
        <v>45429</v>
      </c>
      <c r="N290" s="128">
        <f>+VLOOKUP(B292,BOM!$A$8:$AB$1078,25,0)</f>
        <v>3</v>
      </c>
      <c r="O290" s="129">
        <f>+VLOOKUP(B292,BOM!$A$8:$AB$1078,26,0)</f>
        <v>5</v>
      </c>
      <c r="P290" s="10" t="str">
        <f t="shared" si="12"/>
        <v/>
      </c>
    </row>
    <row r="291" spans="1:16" ht="15">
      <c r="A291" s="153">
        <v>289</v>
      </c>
      <c r="B291" s="59" t="s">
        <v>570</v>
      </c>
      <c r="C291" s="126" t="s">
        <v>572</v>
      </c>
      <c r="D291" s="55">
        <v>3</v>
      </c>
      <c r="E291" s="81" t="s">
        <v>2437</v>
      </c>
      <c r="F291" s="126" t="s">
        <v>22</v>
      </c>
      <c r="G291" s="126" t="s">
        <v>1664</v>
      </c>
      <c r="H291" s="127">
        <v>24</v>
      </c>
      <c r="I291" s="49" t="s">
        <v>2692</v>
      </c>
      <c r="J291" s="52">
        <v>4</v>
      </c>
      <c r="K291" s="49"/>
      <c r="L291" s="49" t="s">
        <v>2722</v>
      </c>
      <c r="M291" s="76">
        <v>45429</v>
      </c>
      <c r="N291" s="128">
        <f>+VLOOKUP(B293,BOM!$A$8:$AB$1078,25,0)</f>
        <v>2</v>
      </c>
      <c r="O291" s="129">
        <f>+VLOOKUP(B293,BOM!$A$8:$AB$1078,26,0)</f>
        <v>5</v>
      </c>
      <c r="P291" s="10" t="str">
        <f t="shared" si="12"/>
        <v/>
      </c>
    </row>
    <row r="292" spans="1:16" ht="15">
      <c r="A292" s="153">
        <v>290</v>
      </c>
      <c r="B292" s="59" t="s">
        <v>509</v>
      </c>
      <c r="C292" s="126" t="s">
        <v>21</v>
      </c>
      <c r="D292" s="55">
        <v>2</v>
      </c>
      <c r="E292" s="56" t="s">
        <v>2437</v>
      </c>
      <c r="F292" s="126" t="s">
        <v>22</v>
      </c>
      <c r="G292" s="126" t="s">
        <v>1664</v>
      </c>
      <c r="H292" s="127">
        <v>16</v>
      </c>
      <c r="I292" s="49" t="s">
        <v>2692</v>
      </c>
      <c r="J292" s="52">
        <v>5</v>
      </c>
      <c r="K292" s="49"/>
      <c r="L292" s="49" t="s">
        <v>2723</v>
      </c>
      <c r="M292" s="76">
        <v>45429</v>
      </c>
      <c r="N292" s="128">
        <f>+VLOOKUP(B294,BOM!$A$8:$AB$1078,25,0)</f>
        <v>11</v>
      </c>
      <c r="O292" s="129" t="str">
        <f>+VLOOKUP(B294,BOM!$A$8:$AB$1078,26,0)</f>
        <v>3x2 + 2x5 + 7xD</v>
      </c>
      <c r="P292" s="10" t="str">
        <f t="shared" si="12"/>
        <v/>
      </c>
    </row>
    <row r="293" spans="1:16" ht="15">
      <c r="A293" s="153">
        <v>291</v>
      </c>
      <c r="B293" s="59" t="s">
        <v>1579</v>
      </c>
      <c r="C293" s="126" t="s">
        <v>492</v>
      </c>
      <c r="D293" s="55">
        <v>1</v>
      </c>
      <c r="E293" s="47" t="s">
        <v>2437</v>
      </c>
      <c r="F293" s="126" t="s">
        <v>22</v>
      </c>
      <c r="G293" s="126" t="s">
        <v>1664</v>
      </c>
      <c r="H293" s="127">
        <v>8</v>
      </c>
      <c r="I293" s="49" t="s">
        <v>2692</v>
      </c>
      <c r="J293" s="52">
        <v>5</v>
      </c>
      <c r="K293" s="49"/>
      <c r="L293" s="49" t="s">
        <v>2724</v>
      </c>
      <c r="M293" s="76">
        <v>45429</v>
      </c>
      <c r="N293" s="128">
        <f>+VLOOKUP(B295,BOM!$A$8:$AB$1078,25,0)</f>
        <v>160</v>
      </c>
      <c r="O293" s="129" t="str">
        <f>+VLOOKUP(B295,BOM!$A$8:$AB$1078,26,0)</f>
        <v>50x2 + 30x4 + 13x5 + 28x6</v>
      </c>
      <c r="P293" s="10" t="str">
        <f t="shared" si="12"/>
        <v/>
      </c>
    </row>
    <row r="294" spans="1:16" ht="15">
      <c r="A294" s="153">
        <v>292</v>
      </c>
      <c r="B294" s="59" t="s">
        <v>573</v>
      </c>
      <c r="C294" s="126" t="s">
        <v>575</v>
      </c>
      <c r="D294" s="55">
        <v>2</v>
      </c>
      <c r="E294" s="52" t="s">
        <v>2437</v>
      </c>
      <c r="F294" s="126" t="s">
        <v>22</v>
      </c>
      <c r="G294" s="126" t="s">
        <v>1664</v>
      </c>
      <c r="H294" s="127">
        <v>8</v>
      </c>
      <c r="I294" s="49" t="s">
        <v>2692</v>
      </c>
      <c r="J294" s="52">
        <v>5</v>
      </c>
      <c r="K294" s="49"/>
      <c r="L294" s="49" t="s">
        <v>2725</v>
      </c>
      <c r="M294" s="76">
        <v>45429</v>
      </c>
      <c r="N294" s="128">
        <f>+VLOOKUP(B296,BOM!$A$8:$AB$1078,25,0)</f>
        <v>38</v>
      </c>
      <c r="O294" s="129" t="str">
        <f>+VLOOKUP(B296,BOM!$A$8:$AB$1078,26,0)</f>
        <v>19x2 + 1x4 + 1x5 + 3x6</v>
      </c>
      <c r="P294" s="10" t="str">
        <f t="shared" si="12"/>
        <v/>
      </c>
    </row>
    <row r="295" spans="1:16" ht="15">
      <c r="A295" s="153">
        <v>293</v>
      </c>
      <c r="B295" s="59" t="s">
        <v>612</v>
      </c>
      <c r="C295" s="126" t="s">
        <v>614</v>
      </c>
      <c r="D295" s="55">
        <v>15</v>
      </c>
      <c r="E295" s="56" t="s">
        <v>2437</v>
      </c>
      <c r="F295" s="126" t="s">
        <v>22</v>
      </c>
      <c r="G295" s="126" t="s">
        <v>1686</v>
      </c>
      <c r="H295" s="127">
        <v>1072</v>
      </c>
      <c r="I295" s="49" t="s">
        <v>2692</v>
      </c>
      <c r="J295" s="52">
        <v>5</v>
      </c>
      <c r="K295" s="49"/>
      <c r="L295" s="49" t="s">
        <v>2726</v>
      </c>
      <c r="M295" s="76">
        <v>45429</v>
      </c>
      <c r="N295" s="128">
        <f>+VLOOKUP(B297,BOM!$A$8:$AB$1078,25,0)</f>
        <v>5</v>
      </c>
      <c r="O295" s="129" t="str">
        <f>+VLOOKUP(B297,BOM!$A$8:$AB$1078,26,0)</f>
        <v>1xc+5</v>
      </c>
      <c r="P295" s="10" t="str">
        <f t="shared" si="12"/>
        <v/>
      </c>
    </row>
    <row r="296" spans="1:16" ht="15">
      <c r="A296" s="153">
        <v>294</v>
      </c>
      <c r="B296" s="59" t="s">
        <v>559</v>
      </c>
      <c r="C296" s="126" t="s">
        <v>560</v>
      </c>
      <c r="D296" s="55">
        <v>3</v>
      </c>
      <c r="E296" s="81" t="s">
        <v>2437</v>
      </c>
      <c r="F296" s="126" t="s">
        <v>22</v>
      </c>
      <c r="G296" s="126" t="s">
        <v>1686</v>
      </c>
      <c r="H296" s="127">
        <v>960</v>
      </c>
      <c r="I296" s="49" t="s">
        <v>2692</v>
      </c>
      <c r="J296" s="52"/>
      <c r="K296" s="49"/>
      <c r="L296" s="49" t="s">
        <v>2727</v>
      </c>
      <c r="M296" s="76">
        <v>45429</v>
      </c>
      <c r="N296" s="128">
        <f>+VLOOKUP(B298,BOM!$A$8:$AB$1078,25,0)</f>
        <v>5</v>
      </c>
      <c r="O296" s="129">
        <f>+VLOOKUP(B298,BOM!$A$8:$AB$1078,26,0)</f>
        <v>5</v>
      </c>
      <c r="P296" s="10" t="str">
        <f t="shared" si="12"/>
        <v/>
      </c>
    </row>
    <row r="297" spans="1:16" ht="15">
      <c r="A297" s="153">
        <v>295</v>
      </c>
      <c r="B297" s="59" t="s">
        <v>523</v>
      </c>
      <c r="C297" s="126" t="s">
        <v>21</v>
      </c>
      <c r="D297" s="55">
        <v>1</v>
      </c>
      <c r="E297" s="81">
        <v>6</v>
      </c>
      <c r="F297" s="126" t="s">
        <v>22</v>
      </c>
      <c r="G297" s="126" t="s">
        <v>1664</v>
      </c>
      <c r="H297" s="127">
        <v>48</v>
      </c>
      <c r="I297" s="49" t="s">
        <v>2728</v>
      </c>
      <c r="J297" s="52">
        <v>4</v>
      </c>
      <c r="K297" s="49"/>
      <c r="L297" s="49" t="s">
        <v>2729</v>
      </c>
      <c r="M297" s="76">
        <v>45429</v>
      </c>
      <c r="N297" s="128">
        <f>+VLOOKUP(B299,BOM!$A$8:$AB$1078,25,0)</f>
        <v>2</v>
      </c>
      <c r="O297" s="129">
        <f>+VLOOKUP(B299,BOM!$A$8:$AB$1078,26,0)</f>
        <v>5</v>
      </c>
      <c r="P297" s="10" t="str">
        <f t="shared" si="12"/>
        <v/>
      </c>
    </row>
    <row r="298" spans="1:16" ht="15">
      <c r="A298" s="153">
        <v>296</v>
      </c>
      <c r="B298" s="59" t="s">
        <v>608</v>
      </c>
      <c r="C298" s="126" t="s">
        <v>609</v>
      </c>
      <c r="D298" s="55">
        <v>4</v>
      </c>
      <c r="E298" s="81" t="s">
        <v>2437</v>
      </c>
      <c r="F298" s="126" t="s">
        <v>22</v>
      </c>
      <c r="G298" s="126" t="s">
        <v>1664</v>
      </c>
      <c r="H298" s="127">
        <v>32</v>
      </c>
      <c r="I298" s="49" t="s">
        <v>2730</v>
      </c>
      <c r="J298" s="52">
        <v>2</v>
      </c>
      <c r="K298" s="49"/>
      <c r="L298" s="49" t="s">
        <v>2731</v>
      </c>
      <c r="M298" s="76">
        <v>45429</v>
      </c>
      <c r="N298" s="128">
        <f>+VLOOKUP(B300,BOM!$A$8:$AB$1078,25,0)</f>
        <v>3</v>
      </c>
      <c r="O298" s="129">
        <f>+VLOOKUP(B300,BOM!$A$8:$AB$1078,26,0)</f>
        <v>5</v>
      </c>
      <c r="P298" s="10" t="str">
        <f t="shared" si="12"/>
        <v/>
      </c>
    </row>
    <row r="299" spans="1:16" ht="15">
      <c r="A299" s="153">
        <v>297</v>
      </c>
      <c r="B299" s="59" t="s">
        <v>760</v>
      </c>
      <c r="C299" s="126" t="s">
        <v>762</v>
      </c>
      <c r="D299" s="55">
        <v>1</v>
      </c>
      <c r="E299" s="81" t="s">
        <v>2437</v>
      </c>
      <c r="F299" s="126" t="s">
        <v>22</v>
      </c>
      <c r="G299" s="126" t="s">
        <v>1664</v>
      </c>
      <c r="H299" s="127">
        <v>8</v>
      </c>
      <c r="I299" s="49" t="s">
        <v>2730</v>
      </c>
      <c r="J299" s="52">
        <v>2</v>
      </c>
      <c r="K299" s="49"/>
      <c r="L299" s="49" t="s">
        <v>2732</v>
      </c>
      <c r="M299" s="76">
        <v>45429</v>
      </c>
      <c r="N299" s="128">
        <f>+VLOOKUP(B301,BOM!$A$8:$AB$1078,25,0)</f>
        <v>1</v>
      </c>
      <c r="O299" s="129">
        <f>+VLOOKUP(B301,BOM!$A$8:$AB$1078,26,0)</f>
        <v>5</v>
      </c>
      <c r="P299" s="10" t="str">
        <f t="shared" ref="P299:P313" si="13">+IF(N299=D301,"ok","")</f>
        <v>ok</v>
      </c>
    </row>
    <row r="300" spans="1:16" ht="15">
      <c r="A300" s="153">
        <v>298</v>
      </c>
      <c r="B300" s="59" t="s">
        <v>541</v>
      </c>
      <c r="C300" s="126" t="s">
        <v>21</v>
      </c>
      <c r="D300" s="55">
        <v>2</v>
      </c>
      <c r="E300" s="81" t="s">
        <v>2437</v>
      </c>
      <c r="F300" s="126" t="s">
        <v>22</v>
      </c>
      <c r="G300" s="126" t="s">
        <v>1664</v>
      </c>
      <c r="H300" s="127">
        <v>8</v>
      </c>
      <c r="I300" s="49" t="s">
        <v>2730</v>
      </c>
      <c r="J300" s="52">
        <v>3</v>
      </c>
      <c r="K300" s="49"/>
      <c r="L300" s="49" t="s">
        <v>2733</v>
      </c>
      <c r="M300" s="76">
        <v>45429</v>
      </c>
      <c r="N300" s="128">
        <f>+VLOOKUP(B302,BOM!$A$8:$AB$1078,25,0)</f>
        <v>2</v>
      </c>
      <c r="O300" s="129">
        <f>+VLOOKUP(B302,BOM!$A$8:$AB$1078,26,0)</f>
        <v>4</v>
      </c>
      <c r="P300" s="10" t="str">
        <f t="shared" si="13"/>
        <v/>
      </c>
    </row>
    <row r="301" spans="1:16" ht="15">
      <c r="A301" s="153">
        <v>299</v>
      </c>
      <c r="B301" s="59" t="s">
        <v>697</v>
      </c>
      <c r="C301" s="126" t="s">
        <v>699</v>
      </c>
      <c r="D301" s="55">
        <v>1</v>
      </c>
      <c r="E301" s="81" t="s">
        <v>2437</v>
      </c>
      <c r="F301" s="126" t="s">
        <v>22</v>
      </c>
      <c r="G301" s="126" t="s">
        <v>1664</v>
      </c>
      <c r="H301" s="127">
        <v>8</v>
      </c>
      <c r="I301" s="49" t="s">
        <v>2730</v>
      </c>
      <c r="J301" s="52">
        <v>4</v>
      </c>
      <c r="K301" s="49"/>
      <c r="L301" s="49" t="s">
        <v>2734</v>
      </c>
      <c r="M301" s="76">
        <v>45429</v>
      </c>
      <c r="N301" s="128">
        <f>+VLOOKUP(B303,BOM!$A$8:$AB$1078,25,0)</f>
        <v>3</v>
      </c>
      <c r="O301" s="129">
        <f>+VLOOKUP(B303,BOM!$A$8:$AB$1078,26,0)</f>
        <v>6</v>
      </c>
      <c r="P301" s="10" t="str">
        <f t="shared" si="13"/>
        <v/>
      </c>
    </row>
    <row r="302" spans="1:16" ht="15" customHeight="1">
      <c r="A302" s="153">
        <v>300</v>
      </c>
      <c r="B302" s="59" t="s">
        <v>561</v>
      </c>
      <c r="C302" s="126" t="s">
        <v>521</v>
      </c>
      <c r="D302" s="55">
        <v>1</v>
      </c>
      <c r="E302" s="52" t="s">
        <v>2443</v>
      </c>
      <c r="F302" s="126" t="s">
        <v>22</v>
      </c>
      <c r="G302" s="126" t="s">
        <v>1664</v>
      </c>
      <c r="H302" s="127">
        <v>8</v>
      </c>
      <c r="I302" s="49" t="s">
        <v>2679</v>
      </c>
      <c r="J302" s="52">
        <v>5</v>
      </c>
      <c r="K302" s="49"/>
      <c r="L302" s="49" t="s">
        <v>2735</v>
      </c>
      <c r="M302" s="76">
        <v>45429</v>
      </c>
      <c r="N302" s="128">
        <f>+VLOOKUP(B304,BOM!$A$8:$AB$1078,25,0)</f>
        <v>2</v>
      </c>
      <c r="O302" s="129">
        <f>+VLOOKUP(B304,BOM!$A$8:$AB$1078,26,0)</f>
        <v>6</v>
      </c>
      <c r="P302" s="10" t="str">
        <f t="shared" si="13"/>
        <v/>
      </c>
    </row>
    <row r="303" spans="1:16" ht="15">
      <c r="A303" s="153">
        <v>301</v>
      </c>
      <c r="B303" s="53" t="s">
        <v>1765</v>
      </c>
      <c r="C303" s="126" t="s">
        <v>1766</v>
      </c>
      <c r="D303" s="55">
        <v>2</v>
      </c>
      <c r="E303" s="52" t="s">
        <v>2443</v>
      </c>
      <c r="F303" s="126" t="s">
        <v>22</v>
      </c>
      <c r="G303" s="126" t="s">
        <v>1664</v>
      </c>
      <c r="H303" s="127">
        <v>16</v>
      </c>
      <c r="I303" s="49" t="s">
        <v>2736</v>
      </c>
      <c r="J303" s="52">
        <v>1</v>
      </c>
      <c r="K303" s="49"/>
      <c r="L303" s="49" t="s">
        <v>2737</v>
      </c>
      <c r="M303" s="76">
        <v>45429</v>
      </c>
      <c r="N303" s="128">
        <f>+VLOOKUP(B305,BOM!$A$8:$AB$1078,25,0)</f>
        <v>2</v>
      </c>
      <c r="O303" s="129">
        <f>+VLOOKUP(B305,BOM!$A$8:$AB$1078,26,0)</f>
        <v>6</v>
      </c>
      <c r="P303" s="10" t="str">
        <f t="shared" si="13"/>
        <v/>
      </c>
    </row>
    <row r="304" spans="1:16" ht="15">
      <c r="A304" s="153">
        <v>302</v>
      </c>
      <c r="B304" s="53" t="s">
        <v>408</v>
      </c>
      <c r="C304" s="126" t="s">
        <v>410</v>
      </c>
      <c r="D304" s="55">
        <v>1</v>
      </c>
      <c r="E304" s="81" t="s">
        <v>2443</v>
      </c>
      <c r="F304" s="126" t="s">
        <v>22</v>
      </c>
      <c r="G304" s="126" t="s">
        <v>1664</v>
      </c>
      <c r="H304" s="127">
        <v>8</v>
      </c>
      <c r="I304" s="49" t="s">
        <v>2736</v>
      </c>
      <c r="J304" s="52">
        <v>1</v>
      </c>
      <c r="K304" s="49"/>
      <c r="L304" s="49" t="s">
        <v>2738</v>
      </c>
      <c r="M304" s="76">
        <v>45429</v>
      </c>
      <c r="N304" s="128">
        <f>+VLOOKUP(B306,BOM!$A$8:$AB$1078,25,0)</f>
        <v>2</v>
      </c>
      <c r="O304" s="129">
        <f>+VLOOKUP(B306,BOM!$A$8:$AB$1078,26,0)</f>
        <v>6</v>
      </c>
      <c r="P304" s="10" t="str">
        <f t="shared" si="13"/>
        <v/>
      </c>
    </row>
    <row r="305" spans="1:16" ht="15">
      <c r="A305" s="153">
        <v>303</v>
      </c>
      <c r="B305" s="59" t="s">
        <v>752</v>
      </c>
      <c r="C305" s="126" t="s">
        <v>489</v>
      </c>
      <c r="D305" s="55">
        <v>1</v>
      </c>
      <c r="E305" s="56" t="s">
        <v>2443</v>
      </c>
      <c r="F305" s="126" t="s">
        <v>22</v>
      </c>
      <c r="G305" s="126" t="s">
        <v>1664</v>
      </c>
      <c r="H305" s="127">
        <v>112</v>
      </c>
      <c r="I305" s="49" t="s">
        <v>2736</v>
      </c>
      <c r="J305" s="52">
        <v>1</v>
      </c>
      <c r="K305" s="49"/>
      <c r="L305" s="49" t="s">
        <v>2739</v>
      </c>
      <c r="M305" s="76">
        <v>45429</v>
      </c>
      <c r="N305" s="128">
        <f>+VLOOKUP(B307,BOM!$A$8:$AB$1078,25,0)</f>
        <v>3</v>
      </c>
      <c r="O305" s="129">
        <f>+VLOOKUP(B307,BOM!$A$8:$AB$1078,26,0)</f>
        <v>6</v>
      </c>
      <c r="P305" s="10" t="str">
        <f t="shared" si="13"/>
        <v/>
      </c>
    </row>
    <row r="306" spans="1:16" ht="15">
      <c r="A306" s="153">
        <v>304</v>
      </c>
      <c r="B306" s="59" t="s">
        <v>466</v>
      </c>
      <c r="C306" s="126" t="s">
        <v>468</v>
      </c>
      <c r="D306" s="55">
        <v>1</v>
      </c>
      <c r="E306" s="81" t="s">
        <v>2443</v>
      </c>
      <c r="F306" s="126" t="s">
        <v>22</v>
      </c>
      <c r="G306" s="126" t="s">
        <v>1664</v>
      </c>
      <c r="H306" s="127">
        <v>8</v>
      </c>
      <c r="I306" s="49" t="s">
        <v>2736</v>
      </c>
      <c r="J306" s="52">
        <v>2</v>
      </c>
      <c r="K306" s="49"/>
      <c r="L306" s="49" t="s">
        <v>2740</v>
      </c>
      <c r="M306" s="76">
        <v>45429</v>
      </c>
      <c r="N306" s="128">
        <f>+VLOOKUP(B308,BOM!$A$8:$AB$1078,25,0)</f>
        <v>3</v>
      </c>
      <c r="O306" s="129">
        <f>+VLOOKUP(B308,BOM!$A$8:$AB$1078,26,0)</f>
        <v>6</v>
      </c>
      <c r="P306" s="10" t="str">
        <f t="shared" si="13"/>
        <v/>
      </c>
    </row>
    <row r="307" spans="1:16" ht="15" customHeight="1">
      <c r="A307" s="153">
        <v>305</v>
      </c>
      <c r="B307" s="59" t="s">
        <v>488</v>
      </c>
      <c r="C307" s="126" t="s">
        <v>489</v>
      </c>
      <c r="D307" s="55">
        <v>2</v>
      </c>
      <c r="E307" s="81" t="s">
        <v>2443</v>
      </c>
      <c r="F307" s="126" t="s">
        <v>22</v>
      </c>
      <c r="G307" s="126" t="s">
        <v>1664</v>
      </c>
      <c r="H307" s="127">
        <v>16</v>
      </c>
      <c r="I307" s="49" t="s">
        <v>2736</v>
      </c>
      <c r="J307" s="52">
        <v>2</v>
      </c>
      <c r="K307" s="49"/>
      <c r="L307" s="49" t="s">
        <v>2741</v>
      </c>
      <c r="M307" s="76">
        <v>45429</v>
      </c>
      <c r="N307" s="128">
        <f>+VLOOKUP(B309,BOM!$A$8:$AB$1078,25,0)</f>
        <v>3</v>
      </c>
      <c r="O307" s="129">
        <f>+VLOOKUP(B309,BOM!$A$8:$AB$1078,26,0)</f>
        <v>6</v>
      </c>
      <c r="P307" s="10" t="str">
        <f t="shared" si="13"/>
        <v/>
      </c>
    </row>
    <row r="308" spans="1:16" ht="15">
      <c r="A308" s="153">
        <v>306</v>
      </c>
      <c r="B308" s="59" t="s">
        <v>490</v>
      </c>
      <c r="C308" s="126" t="s">
        <v>485</v>
      </c>
      <c r="D308" s="55">
        <v>2</v>
      </c>
      <c r="E308" s="81" t="s">
        <v>2443</v>
      </c>
      <c r="F308" s="126" t="s">
        <v>22</v>
      </c>
      <c r="G308" s="126" t="s">
        <v>1664</v>
      </c>
      <c r="H308" s="127">
        <v>48</v>
      </c>
      <c r="I308" s="49" t="s">
        <v>2736</v>
      </c>
      <c r="J308" s="52">
        <v>2</v>
      </c>
      <c r="K308" s="49"/>
      <c r="L308" s="49" t="s">
        <v>2742</v>
      </c>
      <c r="M308" s="76">
        <v>45429</v>
      </c>
      <c r="N308" s="128">
        <f>+VLOOKUP(B310,BOM!$A$8:$AB$1078,25,0)</f>
        <v>3</v>
      </c>
      <c r="O308" s="129">
        <f>+VLOOKUP(B310,BOM!$A$8:$AB$1078,26,0)</f>
        <v>6</v>
      </c>
      <c r="P308" s="10" t="str">
        <f t="shared" si="13"/>
        <v/>
      </c>
    </row>
    <row r="309" spans="1:16" ht="15">
      <c r="A309" s="153">
        <v>307</v>
      </c>
      <c r="B309" s="59" t="s">
        <v>491</v>
      </c>
      <c r="C309" s="126" t="s">
        <v>492</v>
      </c>
      <c r="D309" s="55">
        <v>2</v>
      </c>
      <c r="E309" s="81" t="s">
        <v>2443</v>
      </c>
      <c r="F309" s="126" t="s">
        <v>22</v>
      </c>
      <c r="G309" s="126" t="s">
        <v>1664</v>
      </c>
      <c r="H309" s="127">
        <v>16</v>
      </c>
      <c r="I309" s="49" t="s">
        <v>2736</v>
      </c>
      <c r="J309" s="52">
        <v>2</v>
      </c>
      <c r="K309" s="49"/>
      <c r="L309" s="49" t="s">
        <v>2743</v>
      </c>
      <c r="M309" s="76">
        <v>45429</v>
      </c>
      <c r="N309" s="128">
        <f>+VLOOKUP(B311,BOM!$A$8:$AB$1078,25,0)</f>
        <v>11</v>
      </c>
      <c r="O309" s="129">
        <f>+VLOOKUP(B311,BOM!$A$8:$AB$1078,26,0)</f>
        <v>6</v>
      </c>
      <c r="P309" s="10" t="str">
        <f t="shared" si="13"/>
        <v/>
      </c>
    </row>
    <row r="310" spans="1:16" ht="15">
      <c r="A310" s="153">
        <v>308</v>
      </c>
      <c r="B310" s="59" t="s">
        <v>499</v>
      </c>
      <c r="C310" s="126" t="s">
        <v>500</v>
      </c>
      <c r="D310" s="55">
        <v>2</v>
      </c>
      <c r="E310" s="81" t="s">
        <v>2443</v>
      </c>
      <c r="F310" s="126" t="s">
        <v>22</v>
      </c>
      <c r="G310" s="126" t="s">
        <v>1664</v>
      </c>
      <c r="H310" s="127">
        <v>8</v>
      </c>
      <c r="I310" s="49" t="s">
        <v>2736</v>
      </c>
      <c r="J310" s="52">
        <v>3</v>
      </c>
      <c r="K310" s="49"/>
      <c r="L310" s="49" t="s">
        <v>2744</v>
      </c>
      <c r="M310" s="76">
        <v>45429</v>
      </c>
      <c r="N310" s="128">
        <f>+VLOOKUP(B312,BOM!$A$8:$AB$1078,25,0)</f>
        <v>87</v>
      </c>
      <c r="O310" s="129" t="str">
        <f>+VLOOKUP(B312,BOM!$A$8:$AB$1078,26,0)</f>
        <v>54x0 + 6x3 + 3x4 + 6x6 + 4xC</v>
      </c>
      <c r="P310" s="10" t="str">
        <f t="shared" si="13"/>
        <v/>
      </c>
    </row>
    <row r="311" spans="1:16" ht="15">
      <c r="A311" s="153">
        <v>309</v>
      </c>
      <c r="B311" s="59" t="s">
        <v>2289</v>
      </c>
      <c r="C311" s="126" t="s">
        <v>2290</v>
      </c>
      <c r="D311" s="55">
        <v>10</v>
      </c>
      <c r="E311" s="81" t="s">
        <v>2443</v>
      </c>
      <c r="F311" s="126" t="s">
        <v>22</v>
      </c>
      <c r="G311" s="126" t="s">
        <v>1664</v>
      </c>
      <c r="H311" s="127">
        <v>80</v>
      </c>
      <c r="I311" s="49" t="s">
        <v>2736</v>
      </c>
      <c r="J311" s="52">
        <v>3</v>
      </c>
      <c r="K311" s="49"/>
      <c r="L311" s="49" t="s">
        <v>2745</v>
      </c>
      <c r="M311" s="76">
        <v>45429</v>
      </c>
      <c r="N311" s="128">
        <f>+VLOOKUP(B313,BOM!$A$8:$AB$1078,25,0)</f>
        <v>3</v>
      </c>
      <c r="O311" s="129" t="str">
        <f>+VLOOKUP(B313,BOM!$A$8:$AB$1078,26,0)</f>
        <v>1x0 + 1x6</v>
      </c>
      <c r="P311" s="10" t="str">
        <f t="shared" si="13"/>
        <v/>
      </c>
    </row>
    <row r="312" spans="1:16" ht="15">
      <c r="A312" s="153">
        <v>310</v>
      </c>
      <c r="B312" s="59" t="s">
        <v>621</v>
      </c>
      <c r="C312" s="126" t="s">
        <v>622</v>
      </c>
      <c r="D312" s="55">
        <v>4</v>
      </c>
      <c r="E312" s="81" t="s">
        <v>2443</v>
      </c>
      <c r="F312" s="126" t="s">
        <v>22</v>
      </c>
      <c r="G312" s="126" t="s">
        <v>1664</v>
      </c>
      <c r="H312" s="127">
        <v>64</v>
      </c>
      <c r="I312" s="49" t="s">
        <v>2736</v>
      </c>
      <c r="J312" s="52">
        <v>3</v>
      </c>
      <c r="K312" s="49"/>
      <c r="L312" s="49" t="s">
        <v>2746</v>
      </c>
      <c r="M312" s="76">
        <v>45429</v>
      </c>
      <c r="N312" s="128">
        <f>+VLOOKUP(B314,BOM!$A$8:$AB$1078,25,0)</f>
        <v>5</v>
      </c>
      <c r="O312" s="129">
        <f>+VLOOKUP(B314,BOM!$A$8:$AB$1078,26,0)</f>
        <v>6</v>
      </c>
      <c r="P312" s="10" t="str">
        <f t="shared" si="13"/>
        <v/>
      </c>
    </row>
    <row r="313" spans="1:16" ht="15">
      <c r="A313" s="153">
        <v>311</v>
      </c>
      <c r="B313" s="59" t="s">
        <v>706</v>
      </c>
      <c r="C313" s="126" t="s">
        <v>695</v>
      </c>
      <c r="D313" s="55">
        <v>1</v>
      </c>
      <c r="E313" s="81" t="s">
        <v>2443</v>
      </c>
      <c r="F313" s="126" t="s">
        <v>22</v>
      </c>
      <c r="G313" s="126" t="s">
        <v>1664</v>
      </c>
      <c r="H313" s="127">
        <v>40</v>
      </c>
      <c r="I313" s="49" t="s">
        <v>2736</v>
      </c>
      <c r="J313" s="52">
        <v>3</v>
      </c>
      <c r="K313" s="49"/>
      <c r="L313" s="49" t="s">
        <v>2747</v>
      </c>
      <c r="M313" s="76">
        <v>45429</v>
      </c>
      <c r="N313" s="128">
        <f>+VLOOKUP(B315,BOM!$A$8:$AB$1078,25,0)</f>
        <v>3</v>
      </c>
      <c r="O313" s="129">
        <f>+VLOOKUP(B315,BOM!$A$8:$AB$1078,26,0)</f>
        <v>6</v>
      </c>
      <c r="P313" s="10" t="str">
        <f t="shared" si="13"/>
        <v/>
      </c>
    </row>
    <row r="314" spans="1:16" ht="15">
      <c r="A314" s="153">
        <v>312</v>
      </c>
      <c r="B314" s="59" t="s">
        <v>2308</v>
      </c>
      <c r="C314" s="126" t="s">
        <v>2309</v>
      </c>
      <c r="D314" s="55">
        <v>4</v>
      </c>
      <c r="E314" s="81" t="s">
        <v>2443</v>
      </c>
      <c r="F314" s="126" t="s">
        <v>22</v>
      </c>
      <c r="G314" s="126" t="s">
        <v>1664</v>
      </c>
      <c r="H314" s="127">
        <v>40</v>
      </c>
      <c r="I314" s="49" t="s">
        <v>2736</v>
      </c>
      <c r="J314" s="52">
        <v>3</v>
      </c>
      <c r="K314" s="49"/>
      <c r="L314" s="49" t="s">
        <v>2748</v>
      </c>
      <c r="M314" s="76"/>
      <c r="N314" s="128">
        <f>+VLOOKUP(B316,BOM!$A$8:$AB$1078,25,0)</f>
        <v>19</v>
      </c>
      <c r="O314" s="129" t="str">
        <f>+VLOOKUP(B316,BOM!$A$8:$AB$1078,26,0)</f>
        <v>4x2 + 1x5 + 6x6</v>
      </c>
    </row>
    <row r="315" spans="1:16" ht="15">
      <c r="A315" s="153">
        <v>313</v>
      </c>
      <c r="B315" s="53" t="s">
        <v>556</v>
      </c>
      <c r="C315" s="126" t="s">
        <v>558</v>
      </c>
      <c r="D315" s="55">
        <v>2</v>
      </c>
      <c r="E315" s="56" t="s">
        <v>2443</v>
      </c>
      <c r="F315" s="126" t="s">
        <v>22</v>
      </c>
      <c r="G315" s="126" t="s">
        <v>1664</v>
      </c>
      <c r="H315" s="127">
        <v>160</v>
      </c>
      <c r="I315" s="49" t="s">
        <v>2736</v>
      </c>
      <c r="J315" s="52">
        <v>4</v>
      </c>
      <c r="K315" s="49"/>
      <c r="L315" s="49" t="s">
        <v>2749</v>
      </c>
      <c r="M315" s="76">
        <v>45429</v>
      </c>
      <c r="N315" s="128">
        <f>+VLOOKUP(B317,BOM!$A$8:$AB$1078,25,0)</f>
        <v>160</v>
      </c>
      <c r="O315" s="129" t="str">
        <f>+VLOOKUP(B317,BOM!$A$8:$AB$1078,26,0)</f>
        <v>50x2 + 30x4 + 13x5 + 28x6</v>
      </c>
      <c r="P315" s="10" t="str">
        <f t="shared" ref="P315:P338" si="14">+IF(N315=D317,"ok","")</f>
        <v/>
      </c>
    </row>
    <row r="316" spans="1:16" ht="15">
      <c r="A316" s="153">
        <v>314</v>
      </c>
      <c r="B316" s="59" t="s">
        <v>547</v>
      </c>
      <c r="C316" s="126" t="s">
        <v>548</v>
      </c>
      <c r="D316" s="55">
        <v>11</v>
      </c>
      <c r="E316" s="56" t="s">
        <v>2443</v>
      </c>
      <c r="F316" s="126" t="s">
        <v>22</v>
      </c>
      <c r="G316" s="126" t="s">
        <v>1664</v>
      </c>
      <c r="H316" s="127">
        <v>80</v>
      </c>
      <c r="I316" s="49" t="s">
        <v>2736</v>
      </c>
      <c r="J316" s="52">
        <v>4</v>
      </c>
      <c r="K316" s="49"/>
      <c r="L316" s="49" t="s">
        <v>2750</v>
      </c>
      <c r="M316" s="76">
        <v>45429</v>
      </c>
      <c r="N316" s="128">
        <f>+VLOOKUP(B318,BOM!$A$8:$AB$1078,25,0)</f>
        <v>13</v>
      </c>
      <c r="O316" s="129" t="str">
        <f>+VLOOKUP(B318,BOM!$A$8:$AB$1078,26,0)</f>
        <v>3x6 + 8xD</v>
      </c>
      <c r="P316" s="10" t="str">
        <f t="shared" si="14"/>
        <v/>
      </c>
    </row>
    <row r="317" spans="1:16" ht="15">
      <c r="A317" s="153">
        <v>315</v>
      </c>
      <c r="B317" s="53" t="s">
        <v>612</v>
      </c>
      <c r="C317" s="126" t="s">
        <v>614</v>
      </c>
      <c r="D317" s="55">
        <v>22</v>
      </c>
      <c r="E317" s="81" t="s">
        <v>2443</v>
      </c>
      <c r="F317" s="126" t="s">
        <v>22</v>
      </c>
      <c r="G317" s="126" t="s">
        <v>1686</v>
      </c>
      <c r="H317" s="127">
        <v>1072</v>
      </c>
      <c r="I317" s="49" t="s">
        <v>2736</v>
      </c>
      <c r="J317" s="52">
        <v>4</v>
      </c>
      <c r="K317" s="49"/>
      <c r="L317" s="49" t="s">
        <v>2751</v>
      </c>
      <c r="M317" s="76">
        <v>45429</v>
      </c>
      <c r="N317" s="128">
        <f>+VLOOKUP(B319,BOM!$A$8:$AB$1078,25,0)</f>
        <v>15</v>
      </c>
      <c r="O317" s="129">
        <f>+VLOOKUP(B319,BOM!$A$8:$AB$1078,26,0)</f>
        <v>6</v>
      </c>
      <c r="P317" s="10" t="str">
        <f t="shared" si="14"/>
        <v/>
      </c>
    </row>
    <row r="318" spans="1:16" ht="15">
      <c r="A318" s="153">
        <v>316</v>
      </c>
      <c r="B318" s="53" t="s">
        <v>581</v>
      </c>
      <c r="C318" s="126" t="s">
        <v>582</v>
      </c>
      <c r="D318" s="55">
        <v>3</v>
      </c>
      <c r="E318" s="81" t="s">
        <v>2443</v>
      </c>
      <c r="F318" s="126" t="s">
        <v>22</v>
      </c>
      <c r="G318" s="126" t="s">
        <v>1664</v>
      </c>
      <c r="H318" s="127">
        <v>64</v>
      </c>
      <c r="I318" s="49" t="s">
        <v>2730</v>
      </c>
      <c r="J318" s="52">
        <v>1</v>
      </c>
      <c r="K318" s="49"/>
      <c r="L318" s="49" t="s">
        <v>2752</v>
      </c>
      <c r="M318" s="76">
        <v>45429</v>
      </c>
      <c r="N318" s="128">
        <f>+VLOOKUP(B320,BOM!$A$8:$AB$1078,25,0)</f>
        <v>11</v>
      </c>
      <c r="O318" s="129">
        <f>+VLOOKUP(B320,BOM!$A$8:$AB$1078,26,0)</f>
        <v>6</v>
      </c>
      <c r="P318" s="10" t="str">
        <f t="shared" si="14"/>
        <v/>
      </c>
    </row>
    <row r="319" spans="1:16" ht="15">
      <c r="A319" s="153">
        <v>317</v>
      </c>
      <c r="B319" s="59" t="s">
        <v>588</v>
      </c>
      <c r="C319" s="126" t="s">
        <v>589</v>
      </c>
      <c r="D319" s="123">
        <v>13</v>
      </c>
      <c r="E319" s="56" t="s">
        <v>2443</v>
      </c>
      <c r="F319" s="126" t="s">
        <v>22</v>
      </c>
      <c r="G319" s="126" t="s">
        <v>1664</v>
      </c>
      <c r="H319" s="127">
        <v>104</v>
      </c>
      <c r="I319" s="49" t="s">
        <v>2730</v>
      </c>
      <c r="J319" s="52">
        <v>1</v>
      </c>
      <c r="K319" s="49"/>
      <c r="L319" s="49" t="s">
        <v>2753</v>
      </c>
      <c r="M319" s="76">
        <v>45702</v>
      </c>
      <c r="N319" s="128">
        <f>+VLOOKUP(B321,BOM!$A$8:$AB$1078,25,0)</f>
        <v>4</v>
      </c>
      <c r="O319" s="129">
        <f>+VLOOKUP(B321,BOM!$A$8:$AB$1078,26,0)</f>
        <v>6</v>
      </c>
      <c r="P319" s="10" t="str">
        <f t="shared" si="14"/>
        <v/>
      </c>
    </row>
    <row r="320" spans="1:16" ht="15">
      <c r="A320" s="153">
        <v>318</v>
      </c>
      <c r="B320" s="59" t="s">
        <v>592</v>
      </c>
      <c r="C320" s="126" t="s">
        <v>593</v>
      </c>
      <c r="D320" s="55">
        <v>10</v>
      </c>
      <c r="E320" s="52" t="s">
        <v>2443</v>
      </c>
      <c r="F320" s="126" t="s">
        <v>22</v>
      </c>
      <c r="G320" s="126" t="s">
        <v>1664</v>
      </c>
      <c r="H320" s="127">
        <v>312</v>
      </c>
      <c r="I320" s="49" t="s">
        <v>2730</v>
      </c>
      <c r="J320" s="52">
        <v>1</v>
      </c>
      <c r="K320" s="49"/>
      <c r="L320" s="49" t="s">
        <v>2754</v>
      </c>
      <c r="M320" s="76">
        <v>45702</v>
      </c>
      <c r="N320" s="128">
        <f>+VLOOKUP(B322,BOM!$A$8:$AB$1078,25,0)</f>
        <v>14</v>
      </c>
      <c r="O320" s="129" t="str">
        <f>+VLOOKUP(B322,BOM!$A$8:$AB$1078,26,0)</f>
        <v>2x4 + 10x6</v>
      </c>
      <c r="P320" s="10" t="str">
        <f t="shared" si="14"/>
        <v/>
      </c>
    </row>
    <row r="321" spans="1:16" ht="15">
      <c r="A321" s="153">
        <v>319</v>
      </c>
      <c r="B321" s="53" t="s">
        <v>595</v>
      </c>
      <c r="C321" s="126" t="s">
        <v>597</v>
      </c>
      <c r="D321" s="52">
        <v>3</v>
      </c>
      <c r="E321" s="81" t="s">
        <v>2443</v>
      </c>
      <c r="F321" s="126" t="s">
        <v>22</v>
      </c>
      <c r="G321" s="126" t="s">
        <v>1664</v>
      </c>
      <c r="H321" s="127">
        <v>24</v>
      </c>
      <c r="I321" s="49" t="s">
        <v>2730</v>
      </c>
      <c r="J321" s="52">
        <v>1</v>
      </c>
      <c r="K321" s="49"/>
      <c r="L321" s="49" t="s">
        <v>2755</v>
      </c>
      <c r="M321" s="76">
        <v>45702</v>
      </c>
      <c r="N321" s="128">
        <f>+VLOOKUP(B323,BOM!$A$8:$AB$1078,25,0)</f>
        <v>6</v>
      </c>
      <c r="O321" s="129" t="str">
        <f>+VLOOKUP(B323,BOM!$A$8:$AB$1078,26,0)</f>
        <v>4x5 + 1x6</v>
      </c>
      <c r="P321" s="10" t="str">
        <f t="shared" si="14"/>
        <v/>
      </c>
    </row>
    <row r="322" spans="1:16" ht="15">
      <c r="A322" s="153">
        <v>320</v>
      </c>
      <c r="B322" s="53" t="s">
        <v>583</v>
      </c>
      <c r="C322" s="126" t="s">
        <v>584</v>
      </c>
      <c r="D322" s="52">
        <v>10</v>
      </c>
      <c r="E322" s="81" t="s">
        <v>2443</v>
      </c>
      <c r="F322" s="126" t="s">
        <v>22</v>
      </c>
      <c r="G322" s="126" t="s">
        <v>1664</v>
      </c>
      <c r="H322" s="127">
        <v>176</v>
      </c>
      <c r="I322" s="49" t="s">
        <v>2730</v>
      </c>
      <c r="J322" s="52">
        <v>1</v>
      </c>
      <c r="K322" s="49"/>
      <c r="L322" s="49" t="s">
        <v>2756</v>
      </c>
      <c r="M322" s="76">
        <v>45434</v>
      </c>
      <c r="N322" s="128">
        <f>+VLOOKUP(B324,BOM!$A$8:$AB$1078,25,0)</f>
        <v>5</v>
      </c>
      <c r="O322" s="129">
        <f>+VLOOKUP(B324,BOM!$A$8:$AB$1078,26,0)</f>
        <v>6</v>
      </c>
      <c r="P322" s="10" t="str">
        <f t="shared" si="14"/>
        <v/>
      </c>
    </row>
    <row r="323" spans="1:16" ht="15">
      <c r="A323" s="153">
        <v>321</v>
      </c>
      <c r="B323" s="53" t="s">
        <v>661</v>
      </c>
      <c r="C323" s="126" t="s">
        <v>662</v>
      </c>
      <c r="D323" s="52">
        <v>1</v>
      </c>
      <c r="E323" s="81" t="s">
        <v>2443</v>
      </c>
      <c r="F323" s="126" t="s">
        <v>22</v>
      </c>
      <c r="G323" s="126" t="s">
        <v>1664</v>
      </c>
      <c r="H323" s="127">
        <v>32</v>
      </c>
      <c r="I323" s="49" t="s">
        <v>2730</v>
      </c>
      <c r="J323" s="52">
        <v>1</v>
      </c>
      <c r="K323" s="49"/>
      <c r="L323" s="49" t="s">
        <v>2757</v>
      </c>
      <c r="M323" s="76">
        <v>45434</v>
      </c>
      <c r="N323" s="128">
        <f>+VLOOKUP(B325,BOM!$A$8:$AB$1078,25,0)</f>
        <v>16</v>
      </c>
      <c r="O323" s="129" t="str">
        <f>+VLOOKUP(B325,BOM!$A$8:$AB$1078,26,0)</f>
        <v>2x5 + 11x6 + 1xC</v>
      </c>
      <c r="P323" s="10" t="str">
        <f t="shared" si="14"/>
        <v/>
      </c>
    </row>
    <row r="324" spans="1:16" ht="15">
      <c r="A324" s="153">
        <v>322</v>
      </c>
      <c r="B324" s="59" t="s">
        <v>605</v>
      </c>
      <c r="C324" s="126" t="s">
        <v>607</v>
      </c>
      <c r="D324" s="55">
        <v>4</v>
      </c>
      <c r="E324" s="79" t="s">
        <v>2443</v>
      </c>
      <c r="F324" s="126" t="s">
        <v>22</v>
      </c>
      <c r="G324" s="126" t="s">
        <v>1664</v>
      </c>
      <c r="H324" s="127">
        <v>32</v>
      </c>
      <c r="I324" s="49" t="s">
        <v>2730</v>
      </c>
      <c r="J324" s="52">
        <v>2</v>
      </c>
      <c r="K324" s="49"/>
      <c r="L324" s="49" t="s">
        <v>2758</v>
      </c>
      <c r="M324" s="76">
        <v>45429</v>
      </c>
      <c r="N324" s="128">
        <f>+VLOOKUP(B326,BOM!$A$8:$AB$1078,25,0)</f>
        <v>2</v>
      </c>
      <c r="O324" s="129">
        <f>+VLOOKUP(B326,BOM!$A$8:$AB$1078,26,0)</f>
        <v>6</v>
      </c>
      <c r="P324" s="10" t="str">
        <f t="shared" si="14"/>
        <v/>
      </c>
    </row>
    <row r="325" spans="1:16" ht="15">
      <c r="A325" s="153">
        <v>323</v>
      </c>
      <c r="B325" s="59" t="s">
        <v>601</v>
      </c>
      <c r="C325" s="126" t="s">
        <v>602</v>
      </c>
      <c r="D325" s="55">
        <v>11</v>
      </c>
      <c r="E325" s="79" t="s">
        <v>2443</v>
      </c>
      <c r="F325" s="126" t="s">
        <v>22</v>
      </c>
      <c r="G325" s="126" t="s">
        <v>1664</v>
      </c>
      <c r="H325" s="127">
        <v>88</v>
      </c>
      <c r="I325" s="49" t="s">
        <v>2730</v>
      </c>
      <c r="J325" s="52">
        <v>2</v>
      </c>
      <c r="K325" s="49"/>
      <c r="L325" s="49" t="s">
        <v>2759</v>
      </c>
      <c r="M325" s="76">
        <v>45429</v>
      </c>
      <c r="N325" s="128">
        <f>+VLOOKUP(B327,BOM!$A$8:$AB$1078,25,0)</f>
        <v>5</v>
      </c>
      <c r="O325" s="129">
        <f>+VLOOKUP(B327,BOM!$A$8:$AB$1078,26,0)</f>
        <v>6</v>
      </c>
      <c r="P325" s="10" t="str">
        <f t="shared" si="14"/>
        <v/>
      </c>
    </row>
    <row r="326" spans="1:16" ht="15">
      <c r="A326" s="153">
        <v>324</v>
      </c>
      <c r="B326" s="53" t="s">
        <v>619</v>
      </c>
      <c r="C326" s="126" t="s">
        <v>620</v>
      </c>
      <c r="D326" s="55">
        <v>1</v>
      </c>
      <c r="E326" s="81" t="s">
        <v>2443</v>
      </c>
      <c r="F326" s="126" t="s">
        <v>22</v>
      </c>
      <c r="G326" s="126" t="s">
        <v>1664</v>
      </c>
      <c r="H326" s="127">
        <v>8</v>
      </c>
      <c r="I326" s="49" t="s">
        <v>2730</v>
      </c>
      <c r="J326" s="52">
        <v>3</v>
      </c>
      <c r="K326" s="49"/>
      <c r="L326" s="49" t="s">
        <v>2760</v>
      </c>
      <c r="M326" s="76">
        <v>45429</v>
      </c>
      <c r="N326" s="128">
        <f>+VLOOKUP(B328,BOM!$A$8:$AB$1078,25,0)</f>
        <v>3</v>
      </c>
      <c r="O326" s="129">
        <f>+VLOOKUP(B328,BOM!$A$8:$AB$1078,26,0)</f>
        <v>6</v>
      </c>
      <c r="P326" s="10" t="str">
        <f t="shared" si="14"/>
        <v/>
      </c>
    </row>
    <row r="327" spans="1:16" ht="15">
      <c r="A327" s="153">
        <v>325</v>
      </c>
      <c r="B327" s="53" t="s">
        <v>623</v>
      </c>
      <c r="C327" s="126" t="s">
        <v>616</v>
      </c>
      <c r="D327" s="55">
        <v>4</v>
      </c>
      <c r="E327" s="81" t="s">
        <v>2443</v>
      </c>
      <c r="F327" s="126" t="s">
        <v>22</v>
      </c>
      <c r="G327" s="126" t="s">
        <v>1664</v>
      </c>
      <c r="H327" s="127">
        <v>32</v>
      </c>
      <c r="I327" s="49" t="s">
        <v>2730</v>
      </c>
      <c r="J327" s="52">
        <v>3</v>
      </c>
      <c r="K327" s="49"/>
      <c r="L327" s="49" t="s">
        <v>2761</v>
      </c>
      <c r="M327" s="76">
        <v>45429</v>
      </c>
      <c r="N327" s="128">
        <f>+VLOOKUP(B329,BOM!$A$8:$AB$1078,25,0)</f>
        <v>3</v>
      </c>
      <c r="O327" s="129">
        <f>+VLOOKUP(B329,BOM!$A$8:$AB$1078,26,0)</f>
        <v>6</v>
      </c>
      <c r="P327" s="10" t="str">
        <f t="shared" si="14"/>
        <v/>
      </c>
    </row>
    <row r="328" spans="1:16" ht="15">
      <c r="A328" s="153">
        <v>326</v>
      </c>
      <c r="B328" s="53" t="s">
        <v>703</v>
      </c>
      <c r="C328" s="126" t="s">
        <v>704</v>
      </c>
      <c r="D328" s="55">
        <v>2</v>
      </c>
      <c r="E328" s="81" t="s">
        <v>2443</v>
      </c>
      <c r="F328" s="126" t="s">
        <v>22</v>
      </c>
      <c r="G328" s="126" t="s">
        <v>1664</v>
      </c>
      <c r="H328" s="127">
        <v>16</v>
      </c>
      <c r="I328" s="49" t="s">
        <v>2730</v>
      </c>
      <c r="J328" s="52">
        <v>4</v>
      </c>
      <c r="K328" s="49"/>
      <c r="L328" s="49" t="s">
        <v>2762</v>
      </c>
      <c r="M328" s="76">
        <v>45429</v>
      </c>
      <c r="N328" s="128">
        <f>+VLOOKUP(B330,BOM!$A$8:$AB$1078,25,0)</f>
        <v>9</v>
      </c>
      <c r="O328" s="129">
        <f>+VLOOKUP(B330,BOM!$A$8:$AB$1078,26,0)</f>
        <v>6</v>
      </c>
      <c r="P328" s="10" t="str">
        <f t="shared" si="14"/>
        <v/>
      </c>
    </row>
    <row r="329" spans="1:16" ht="15">
      <c r="A329" s="153">
        <v>327</v>
      </c>
      <c r="B329" s="53" t="s">
        <v>713</v>
      </c>
      <c r="C329" s="126" t="s">
        <v>715</v>
      </c>
      <c r="D329" s="55">
        <v>2</v>
      </c>
      <c r="E329" s="81" t="s">
        <v>2443</v>
      </c>
      <c r="F329" s="126" t="s">
        <v>22</v>
      </c>
      <c r="G329" s="126" t="s">
        <v>1664</v>
      </c>
      <c r="H329" s="127">
        <v>8</v>
      </c>
      <c r="I329" s="49" t="s">
        <v>2730</v>
      </c>
      <c r="J329" s="52">
        <v>5</v>
      </c>
      <c r="K329" s="49"/>
      <c r="L329" s="49" t="s">
        <v>2763</v>
      </c>
      <c r="M329" s="76">
        <v>45429</v>
      </c>
      <c r="N329" s="128">
        <f>+VLOOKUP(B331,BOM!$A$8:$AB$1078,25,0)</f>
        <v>11</v>
      </c>
      <c r="O329" s="129">
        <f>+VLOOKUP(B331,BOM!$A$8:$AB$1078,26,0)</f>
        <v>6</v>
      </c>
      <c r="P329" s="10" t="str">
        <f t="shared" si="14"/>
        <v/>
      </c>
    </row>
    <row r="330" spans="1:16" ht="15">
      <c r="A330" s="153">
        <v>328</v>
      </c>
      <c r="B330" s="53" t="s">
        <v>2312</v>
      </c>
      <c r="C330" s="126" t="s">
        <v>2314</v>
      </c>
      <c r="D330" s="55">
        <v>8</v>
      </c>
      <c r="E330" s="81" t="s">
        <v>2443</v>
      </c>
      <c r="F330" s="126" t="s">
        <v>22</v>
      </c>
      <c r="G330" s="126" t="s">
        <v>1664</v>
      </c>
      <c r="H330" s="127">
        <v>64</v>
      </c>
      <c r="I330" s="49" t="s">
        <v>2730</v>
      </c>
      <c r="J330" s="52">
        <v>5</v>
      </c>
      <c r="K330" s="49"/>
      <c r="L330" s="49" t="s">
        <v>2764</v>
      </c>
      <c r="M330" s="76">
        <v>45429</v>
      </c>
      <c r="N330" s="128">
        <f>+VLOOKUP(B332,BOM!$A$8:$AB$1078,25,0)</f>
        <v>4</v>
      </c>
      <c r="O330" s="129">
        <f>+VLOOKUP(B332,BOM!$A$8:$AB$1078,26,0)</f>
        <v>6</v>
      </c>
      <c r="P330" s="10" t="str">
        <f t="shared" si="14"/>
        <v/>
      </c>
    </row>
    <row r="331" spans="1:16" ht="15">
      <c r="A331" s="153">
        <v>329</v>
      </c>
      <c r="B331" s="53" t="s">
        <v>716</v>
      </c>
      <c r="C331" s="126" t="s">
        <v>717</v>
      </c>
      <c r="D331" s="55">
        <v>10</v>
      </c>
      <c r="E331" s="81" t="s">
        <v>2443</v>
      </c>
      <c r="F331" s="126" t="s">
        <v>22</v>
      </c>
      <c r="G331" s="126" t="s">
        <v>1664</v>
      </c>
      <c r="H331" s="127">
        <v>80</v>
      </c>
      <c r="I331" s="49" t="s">
        <v>2730</v>
      </c>
      <c r="J331" s="52">
        <v>5</v>
      </c>
      <c r="K331" s="49"/>
      <c r="L331" s="49" t="s">
        <v>2765</v>
      </c>
      <c r="M331" s="76">
        <v>45429</v>
      </c>
      <c r="N331" s="128">
        <f>+VLOOKUP(B333,BOM!$A$8:$AB$1078,25,0)</f>
        <v>14</v>
      </c>
      <c r="O331" s="129" t="str">
        <f>+VLOOKUP(B333,BOM!$A$8:$AB$1078,26,0)</f>
        <v xml:space="preserve">3xC + 2X0 </v>
      </c>
      <c r="P331" s="10" t="str">
        <f t="shared" si="14"/>
        <v/>
      </c>
    </row>
    <row r="332" spans="1:16" ht="15">
      <c r="A332" s="153">
        <v>330</v>
      </c>
      <c r="B332" s="53" t="s">
        <v>736</v>
      </c>
      <c r="C332" s="126" t="s">
        <v>737</v>
      </c>
      <c r="D332" s="55">
        <v>3</v>
      </c>
      <c r="E332" s="81" t="s">
        <v>2443</v>
      </c>
      <c r="F332" s="126" t="s">
        <v>22</v>
      </c>
      <c r="G332" s="126" t="s">
        <v>1664</v>
      </c>
      <c r="H332" s="127">
        <v>24</v>
      </c>
      <c r="I332" s="49" t="s">
        <v>2730</v>
      </c>
      <c r="J332" s="52">
        <v>5</v>
      </c>
      <c r="K332" s="49"/>
      <c r="L332" s="49" t="s">
        <v>2766</v>
      </c>
      <c r="M332" s="76">
        <v>45429</v>
      </c>
      <c r="N332" s="128">
        <f>+VLOOKUP(B334,BOM!$A$8:$AB$1078,25,0)</f>
        <v>3</v>
      </c>
      <c r="O332" s="129">
        <f>+VLOOKUP(B334,BOM!$A$8:$AB$1078,26,0)</f>
        <v>7</v>
      </c>
      <c r="P332" s="10" t="str">
        <f t="shared" si="14"/>
        <v/>
      </c>
    </row>
    <row r="333" spans="1:16" ht="15">
      <c r="A333" s="153">
        <v>331</v>
      </c>
      <c r="B333" s="53" t="s">
        <v>692</v>
      </c>
      <c r="C333" s="126" t="s">
        <v>693</v>
      </c>
      <c r="D333" s="55">
        <v>7</v>
      </c>
      <c r="E333" s="81" t="s">
        <v>2443</v>
      </c>
      <c r="F333" s="126" t="s">
        <v>22</v>
      </c>
      <c r="G333" s="126" t="s">
        <v>1664</v>
      </c>
      <c r="H333" s="127">
        <v>160</v>
      </c>
      <c r="I333" s="49" t="s">
        <v>2767</v>
      </c>
      <c r="J333" s="52">
        <v>3</v>
      </c>
      <c r="K333" s="49"/>
      <c r="L333" s="49" t="s">
        <v>2768</v>
      </c>
      <c r="M333" s="76">
        <v>45429</v>
      </c>
      <c r="N333" s="128">
        <f>+VLOOKUP(B335,BOM!$A$8:$AB$1078,25,0)</f>
        <v>4</v>
      </c>
      <c r="O333" s="129">
        <f>+VLOOKUP(B335,BOM!$A$8:$AB$1078,26,0)</f>
        <v>7</v>
      </c>
      <c r="P333" s="10" t="str">
        <f t="shared" si="14"/>
        <v/>
      </c>
    </row>
    <row r="334" spans="1:16" ht="15" customHeight="1">
      <c r="A334" s="153">
        <v>332</v>
      </c>
      <c r="B334" s="53" t="s">
        <v>493</v>
      </c>
      <c r="C334" s="126" t="s">
        <v>495</v>
      </c>
      <c r="D334" s="55">
        <v>2</v>
      </c>
      <c r="E334" s="81" t="s">
        <v>2595</v>
      </c>
      <c r="F334" s="126" t="s">
        <v>22</v>
      </c>
      <c r="G334" s="126" t="s">
        <v>1664</v>
      </c>
      <c r="H334" s="127">
        <v>16</v>
      </c>
      <c r="I334" s="49" t="s">
        <v>2769</v>
      </c>
      <c r="J334" s="52">
        <v>4</v>
      </c>
      <c r="K334" s="49"/>
      <c r="L334" s="49" t="s">
        <v>2770</v>
      </c>
      <c r="M334" s="76">
        <v>45429</v>
      </c>
      <c r="N334" s="128">
        <f>+VLOOKUP(B336,BOM!$A$8:$AB$1078,25,0)</f>
        <v>4</v>
      </c>
      <c r="O334" s="129" t="str">
        <f>+VLOOKUP(B336,BOM!$A$8:$AB$1078,26,0)</f>
        <v>1xB + 2xC</v>
      </c>
      <c r="P334" s="10" t="str">
        <f t="shared" si="14"/>
        <v/>
      </c>
    </row>
    <row r="335" spans="1:16" ht="15">
      <c r="A335" s="153">
        <v>333</v>
      </c>
      <c r="B335" s="53" t="s">
        <v>2334</v>
      </c>
      <c r="C335" s="126" t="s">
        <v>232</v>
      </c>
      <c r="D335" s="55">
        <v>3</v>
      </c>
      <c r="E335" s="81" t="s">
        <v>2595</v>
      </c>
      <c r="F335" s="126" t="s">
        <v>22</v>
      </c>
      <c r="G335" s="126" t="s">
        <v>1664</v>
      </c>
      <c r="H335" s="127">
        <v>24</v>
      </c>
      <c r="I335" s="49" t="s">
        <v>2769</v>
      </c>
      <c r="J335" s="52">
        <v>4</v>
      </c>
      <c r="K335" s="49"/>
      <c r="L335" s="49" t="s">
        <v>2771</v>
      </c>
      <c r="M335" s="76">
        <v>45429</v>
      </c>
      <c r="N335" s="128">
        <f>+VLOOKUP(B337,BOM!$A$8:$AB$1078,25,0)</f>
        <v>5</v>
      </c>
      <c r="O335" s="129" t="str">
        <f>+VLOOKUP(B337,BOM!$A$8:$AB$1078,26,0)</f>
        <v>4xB + 4x5</v>
      </c>
      <c r="P335" s="10" t="str">
        <f t="shared" si="14"/>
        <v/>
      </c>
    </row>
    <row r="336" spans="1:16" ht="15">
      <c r="A336" s="153">
        <v>334</v>
      </c>
      <c r="B336" s="53" t="s">
        <v>527</v>
      </c>
      <c r="C336" s="126" t="s">
        <v>529</v>
      </c>
      <c r="D336" s="55">
        <v>1</v>
      </c>
      <c r="E336" s="81" t="s">
        <v>2388</v>
      </c>
      <c r="F336" s="126" t="s">
        <v>22</v>
      </c>
      <c r="G336" s="126" t="s">
        <v>1664</v>
      </c>
      <c r="H336" s="127">
        <v>16</v>
      </c>
      <c r="I336" s="49" t="s">
        <v>2772</v>
      </c>
      <c r="J336" s="52">
        <v>1</v>
      </c>
      <c r="K336" s="49"/>
      <c r="L336" s="49" t="s">
        <v>2773</v>
      </c>
      <c r="M336" s="76">
        <v>45429</v>
      </c>
      <c r="N336" s="128">
        <f>+VLOOKUP(B338,BOM!$A$8:$AB$1078,25,0)</f>
        <v>17</v>
      </c>
      <c r="O336" s="129" t="str">
        <f>+VLOOKUP(B338,BOM!$A$8:$AB$1078,26,0)</f>
        <v>2xA + 12xC</v>
      </c>
      <c r="P336" s="10" t="str">
        <f t="shared" si="14"/>
        <v/>
      </c>
    </row>
    <row r="337" spans="1:16" ht="15">
      <c r="A337" s="153">
        <v>335</v>
      </c>
      <c r="B337" s="53" t="s">
        <v>666</v>
      </c>
      <c r="C337" s="126" t="s">
        <v>667</v>
      </c>
      <c r="D337" s="55">
        <v>4</v>
      </c>
      <c r="E337" s="81" t="s">
        <v>2388</v>
      </c>
      <c r="F337" s="126" t="s">
        <v>22</v>
      </c>
      <c r="G337" s="126" t="s">
        <v>1664</v>
      </c>
      <c r="H337" s="127">
        <v>32</v>
      </c>
      <c r="I337" s="49" t="s">
        <v>2772</v>
      </c>
      <c r="J337" s="52">
        <v>1</v>
      </c>
      <c r="K337" s="49"/>
      <c r="L337" s="49" t="s">
        <v>2774</v>
      </c>
      <c r="M337" s="76">
        <v>45429</v>
      </c>
      <c r="N337" s="128">
        <f>+VLOOKUP(B339,BOM!$A$8:$AB$1078,25,0)</f>
        <v>5</v>
      </c>
      <c r="O337" s="129" t="str">
        <f>+VLOOKUP(B339,BOM!$A$8:$AB$1078,26,0)</f>
        <v>2xA + 2xC</v>
      </c>
      <c r="P337" s="10" t="str">
        <f t="shared" si="14"/>
        <v/>
      </c>
    </row>
    <row r="338" spans="1:16" ht="15">
      <c r="A338" s="153">
        <v>336</v>
      </c>
      <c r="B338" s="53" t="s">
        <v>240</v>
      </c>
      <c r="C338" s="126" t="s">
        <v>242</v>
      </c>
      <c r="D338" s="55">
        <v>2</v>
      </c>
      <c r="E338" s="81" t="s">
        <v>2388</v>
      </c>
      <c r="F338" s="126" t="s">
        <v>22</v>
      </c>
      <c r="G338" s="126" t="s">
        <v>1664</v>
      </c>
      <c r="H338" s="127">
        <v>128</v>
      </c>
      <c r="I338" s="49" t="s">
        <v>2772</v>
      </c>
      <c r="J338" s="52">
        <v>2</v>
      </c>
      <c r="K338" s="49"/>
      <c r="L338" s="49" t="s">
        <v>2775</v>
      </c>
      <c r="M338" s="76">
        <v>45429</v>
      </c>
      <c r="N338" s="128">
        <f>+VLOOKUP(B340,BOM!$A$8:$AB$1078,25,0)</f>
        <v>3</v>
      </c>
      <c r="O338" s="129" t="str">
        <f>+VLOOKUP(B340,BOM!$A$8:$AB$1078,26,0)</f>
        <v>2xA + 2xC</v>
      </c>
      <c r="P338" s="10" t="str">
        <f t="shared" si="14"/>
        <v/>
      </c>
    </row>
    <row r="339" spans="1:16" ht="15">
      <c r="A339" s="153">
        <v>337</v>
      </c>
      <c r="B339" s="53" t="s">
        <v>243</v>
      </c>
      <c r="C339" s="126" t="s">
        <v>242</v>
      </c>
      <c r="D339" s="55">
        <v>2</v>
      </c>
      <c r="E339" s="81" t="s">
        <v>2388</v>
      </c>
      <c r="F339" s="126" t="s">
        <v>22</v>
      </c>
      <c r="G339" s="126" t="s">
        <v>1664</v>
      </c>
      <c r="H339" s="127">
        <v>24</v>
      </c>
      <c r="I339" s="49" t="s">
        <v>2772</v>
      </c>
      <c r="J339" s="52">
        <v>2</v>
      </c>
      <c r="K339" s="49"/>
      <c r="L339" s="49" t="s">
        <v>2776</v>
      </c>
      <c r="M339" s="82"/>
    </row>
    <row r="340" spans="1:16" ht="15">
      <c r="A340" s="153">
        <v>338</v>
      </c>
      <c r="B340" s="59" t="s">
        <v>245</v>
      </c>
      <c r="C340" s="126" t="s">
        <v>242</v>
      </c>
      <c r="D340" s="55">
        <v>2</v>
      </c>
      <c r="E340" s="81" t="s">
        <v>2388</v>
      </c>
      <c r="F340" s="126" t="s">
        <v>22</v>
      </c>
      <c r="G340" s="126" t="s">
        <v>1664</v>
      </c>
      <c r="H340" s="127">
        <v>16</v>
      </c>
      <c r="I340" s="49" t="s">
        <v>2772</v>
      </c>
      <c r="J340" s="52">
        <v>2</v>
      </c>
      <c r="K340" s="49"/>
      <c r="L340" s="49" t="s">
        <v>2777</v>
      </c>
      <c r="M340" s="76">
        <v>45702</v>
      </c>
      <c r="N340" s="128">
        <f>+VLOOKUP(B342,BOM!$A$8:$AB$1078,25,0)</f>
        <v>6</v>
      </c>
      <c r="O340" s="129" t="str">
        <f>+VLOOKUP(B342,BOM!$A$8:$AB$1078,26,0)</f>
        <v>2xC+A</v>
      </c>
      <c r="P340" s="10" t="str">
        <f t="shared" ref="P340:P352" si="15">+IF(N340=D342,"ok","")</f>
        <v/>
      </c>
    </row>
    <row r="341" spans="1:16" ht="15">
      <c r="A341" s="153">
        <v>339</v>
      </c>
      <c r="B341" s="53" t="s">
        <v>248</v>
      </c>
      <c r="C341" s="126" t="s">
        <v>242</v>
      </c>
      <c r="D341" s="52">
        <v>2</v>
      </c>
      <c r="E341" s="81" t="s">
        <v>2388</v>
      </c>
      <c r="F341" s="126" t="s">
        <v>22</v>
      </c>
      <c r="G341" s="126" t="s">
        <v>1664</v>
      </c>
      <c r="H341" s="127">
        <v>48</v>
      </c>
      <c r="I341" s="49" t="s">
        <v>2772</v>
      </c>
      <c r="J341" s="52">
        <v>2</v>
      </c>
      <c r="K341" s="49"/>
      <c r="L341" s="49" t="s">
        <v>2778</v>
      </c>
      <c r="M341" s="76">
        <v>45702</v>
      </c>
      <c r="N341" s="128">
        <f>+VLOOKUP(B343,BOM!$A$8:$AB$1078,25,0)</f>
        <v>3</v>
      </c>
      <c r="O341" s="129" t="str">
        <f>+VLOOKUP(B343,BOM!$A$8:$AB$1078,26,0)</f>
        <v>A</v>
      </c>
      <c r="P341" s="10" t="str">
        <f t="shared" si="15"/>
        <v/>
      </c>
    </row>
    <row r="342" spans="1:16" ht="15">
      <c r="A342" s="153">
        <v>340</v>
      </c>
      <c r="B342" s="53" t="s">
        <v>250</v>
      </c>
      <c r="C342" s="126" t="s">
        <v>242</v>
      </c>
      <c r="D342" s="52">
        <v>2</v>
      </c>
      <c r="E342" s="81" t="s">
        <v>2388</v>
      </c>
      <c r="F342" s="126" t="s">
        <v>22</v>
      </c>
      <c r="G342" s="126" t="s">
        <v>1664</v>
      </c>
      <c r="H342" s="127">
        <v>48</v>
      </c>
      <c r="I342" s="49" t="s">
        <v>2772</v>
      </c>
      <c r="J342" s="52">
        <v>2</v>
      </c>
      <c r="K342" s="49"/>
      <c r="L342" s="49" t="s">
        <v>2779</v>
      </c>
      <c r="M342" s="76">
        <v>45702</v>
      </c>
      <c r="N342" s="128">
        <f>+VLOOKUP(B344,BOM!$A$8:$AB$1078,25,0)</f>
        <v>3</v>
      </c>
      <c r="O342" s="129" t="str">
        <f>+VLOOKUP(B344,BOM!$A$8:$AB$1078,26,0)</f>
        <v>B</v>
      </c>
      <c r="P342" s="10" t="str">
        <f t="shared" si="15"/>
        <v/>
      </c>
    </row>
    <row r="343" spans="1:16" ht="15">
      <c r="A343" s="153">
        <v>341</v>
      </c>
      <c r="B343" s="53" t="s">
        <v>252</v>
      </c>
      <c r="C343" s="126" t="s">
        <v>242</v>
      </c>
      <c r="D343" s="52">
        <v>2</v>
      </c>
      <c r="E343" s="81" t="s">
        <v>2388</v>
      </c>
      <c r="F343" s="126" t="s">
        <v>22</v>
      </c>
      <c r="G343" s="126" t="s">
        <v>1664</v>
      </c>
      <c r="H343" s="127">
        <v>32</v>
      </c>
      <c r="I343" s="49" t="s">
        <v>2772</v>
      </c>
      <c r="J343" s="52">
        <v>2</v>
      </c>
      <c r="K343" s="49"/>
      <c r="L343" s="49" t="s">
        <v>2780</v>
      </c>
      <c r="M343" s="76">
        <v>45702</v>
      </c>
      <c r="N343" s="128">
        <f>+VLOOKUP(B345,BOM!$A$8:$AB$1078,25,0)</f>
        <v>2</v>
      </c>
      <c r="O343" s="129" t="str">
        <f>+VLOOKUP(B345,BOM!$A$8:$AB$1078,26,0)</f>
        <v>A</v>
      </c>
      <c r="P343" s="10" t="str">
        <f t="shared" si="15"/>
        <v/>
      </c>
    </row>
    <row r="344" spans="1:16" ht="15">
      <c r="A344" s="153">
        <v>342</v>
      </c>
      <c r="B344" s="53" t="s">
        <v>258</v>
      </c>
      <c r="C344" s="126" t="s">
        <v>260</v>
      </c>
      <c r="D344" s="52">
        <v>2</v>
      </c>
      <c r="E344" s="81" t="s">
        <v>2388</v>
      </c>
      <c r="F344" s="126" t="s">
        <v>22</v>
      </c>
      <c r="G344" s="126" t="s">
        <v>1664</v>
      </c>
      <c r="H344" s="127">
        <v>16</v>
      </c>
      <c r="I344" s="49" t="s">
        <v>2772</v>
      </c>
      <c r="J344" s="52">
        <v>2</v>
      </c>
      <c r="K344" s="49"/>
      <c r="L344" s="49" t="s">
        <v>2781</v>
      </c>
      <c r="M344" s="76">
        <v>45702</v>
      </c>
      <c r="N344" s="128">
        <f>+VLOOKUP(B346,BOM!$A$8:$AB$1078,25,0)</f>
        <v>2</v>
      </c>
      <c r="O344" s="129" t="str">
        <f>+VLOOKUP(B346,BOM!$A$8:$AB$1078,26,0)</f>
        <v>A</v>
      </c>
      <c r="P344" s="10" t="str">
        <f t="shared" si="15"/>
        <v/>
      </c>
    </row>
    <row r="345" spans="1:16" ht="15">
      <c r="A345" s="153">
        <v>343</v>
      </c>
      <c r="B345" s="53" t="s">
        <v>501</v>
      </c>
      <c r="C345" s="126" t="s">
        <v>503</v>
      </c>
      <c r="D345" s="52">
        <v>1</v>
      </c>
      <c r="E345" s="81" t="s">
        <v>2388</v>
      </c>
      <c r="F345" s="126" t="s">
        <v>22</v>
      </c>
      <c r="G345" s="126" t="s">
        <v>1664</v>
      </c>
      <c r="H345" s="127">
        <v>8</v>
      </c>
      <c r="I345" s="49" t="s">
        <v>2772</v>
      </c>
      <c r="J345" s="52">
        <v>3</v>
      </c>
      <c r="K345" s="49"/>
      <c r="L345" s="49" t="s">
        <v>2782</v>
      </c>
      <c r="M345" s="76">
        <v>45702</v>
      </c>
      <c r="N345" s="128">
        <f>+VLOOKUP(B347,BOM!$A$8:$AB$1078,25,0)</f>
        <v>5</v>
      </c>
      <c r="O345" s="129" t="str">
        <f>+VLOOKUP(B347,BOM!$A$8:$AB$1078,26,0)</f>
        <v>2x3 + 2xA</v>
      </c>
      <c r="P345" s="10" t="str">
        <f t="shared" si="15"/>
        <v/>
      </c>
    </row>
    <row r="346" spans="1:16" ht="15">
      <c r="A346" s="153">
        <v>344</v>
      </c>
      <c r="B346" s="53" t="s">
        <v>552</v>
      </c>
      <c r="C346" s="126" t="s">
        <v>21</v>
      </c>
      <c r="D346" s="52">
        <v>1</v>
      </c>
      <c r="E346" s="81" t="s">
        <v>2388</v>
      </c>
      <c r="F346" s="126" t="s">
        <v>22</v>
      </c>
      <c r="G346" s="126" t="s">
        <v>1664</v>
      </c>
      <c r="H346" s="127">
        <v>8</v>
      </c>
      <c r="I346" s="49" t="s">
        <v>2772</v>
      </c>
      <c r="J346" s="52">
        <v>3</v>
      </c>
      <c r="K346" s="49"/>
      <c r="L346" s="49" t="s">
        <v>2783</v>
      </c>
      <c r="M346" s="76">
        <v>45702</v>
      </c>
      <c r="N346" s="128">
        <f>+VLOOKUP(B348,BOM!$A$8:$AB$1078,25,0)</f>
        <v>7</v>
      </c>
      <c r="O346" s="129" t="str">
        <f>+VLOOKUP(B348,BOM!$A$8:$AB$1078,26,0)</f>
        <v>4xA+2x3</v>
      </c>
      <c r="P346" s="10" t="str">
        <f t="shared" si="15"/>
        <v/>
      </c>
    </row>
    <row r="347" spans="1:16" ht="15">
      <c r="A347" s="153">
        <v>345</v>
      </c>
      <c r="B347" s="53" t="s">
        <v>642</v>
      </c>
      <c r="C347" s="126" t="s">
        <v>643</v>
      </c>
      <c r="D347" s="52">
        <v>2</v>
      </c>
      <c r="E347" s="81" t="s">
        <v>2388</v>
      </c>
      <c r="F347" s="126" t="s">
        <v>22</v>
      </c>
      <c r="G347" s="126" t="s">
        <v>1664</v>
      </c>
      <c r="H347" s="127">
        <v>16</v>
      </c>
      <c r="I347" s="49" t="s">
        <v>2772</v>
      </c>
      <c r="J347" s="52">
        <v>3</v>
      </c>
      <c r="K347" s="49"/>
      <c r="L347" s="49" t="s">
        <v>2784</v>
      </c>
      <c r="M347" s="76">
        <v>45429</v>
      </c>
      <c r="N347" s="128">
        <f>+VLOOKUP(B349,BOM!$A$8:$AB$1078,25,0)</f>
        <v>7</v>
      </c>
      <c r="O347" s="129" t="str">
        <f>+VLOOKUP(B349,BOM!$A$8:$AB$1078,26,0)</f>
        <v>4x3 + 2xA</v>
      </c>
      <c r="P347" s="10" t="str">
        <f t="shared" si="15"/>
        <v/>
      </c>
    </row>
    <row r="348" spans="1:16" ht="15">
      <c r="A348" s="153">
        <v>346</v>
      </c>
      <c r="B348" s="53" t="s">
        <v>652</v>
      </c>
      <c r="C348" s="126" t="s">
        <v>654</v>
      </c>
      <c r="D348" s="52">
        <v>4</v>
      </c>
      <c r="E348" s="81" t="s">
        <v>2388</v>
      </c>
      <c r="F348" s="126" t="s">
        <v>22</v>
      </c>
      <c r="G348" s="126" t="s">
        <v>1664</v>
      </c>
      <c r="H348" s="127">
        <v>48</v>
      </c>
      <c r="I348" s="49" t="s">
        <v>2772</v>
      </c>
      <c r="J348" s="52">
        <v>3</v>
      </c>
      <c r="K348" s="49"/>
      <c r="L348" s="49" t="s">
        <v>2785</v>
      </c>
      <c r="M348" s="76">
        <v>45429</v>
      </c>
      <c r="N348" s="128">
        <f>+VLOOKUP(B350,BOM!$A$8:$AB$1078,25,0)</f>
        <v>31</v>
      </c>
      <c r="O348" s="129" t="str">
        <f>+VLOOKUP(B350,BOM!$A$8:$AB$1078,26,0)</f>
        <v>10x3 + 8xA + 8xB</v>
      </c>
      <c r="P348" s="10" t="str">
        <f t="shared" si="15"/>
        <v/>
      </c>
    </row>
    <row r="349" spans="1:16" ht="15">
      <c r="A349" s="153">
        <v>347</v>
      </c>
      <c r="B349" s="59" t="s">
        <v>670</v>
      </c>
      <c r="C349" s="126" t="s">
        <v>671</v>
      </c>
      <c r="D349" s="55">
        <v>2</v>
      </c>
      <c r="E349" s="81" t="s">
        <v>2388</v>
      </c>
      <c r="F349" s="126" t="s">
        <v>22</v>
      </c>
      <c r="G349" s="126" t="s">
        <v>1664</v>
      </c>
      <c r="H349" s="127">
        <v>32</v>
      </c>
      <c r="I349" s="49" t="s">
        <v>2772</v>
      </c>
      <c r="J349" s="52">
        <v>3</v>
      </c>
      <c r="K349" s="49"/>
      <c r="L349" s="49" t="s">
        <v>2786</v>
      </c>
      <c r="M349" s="76">
        <v>45429</v>
      </c>
      <c r="N349" s="128">
        <f>+VLOOKUP(B351,BOM!$A$8:$AB$1078,25,0)</f>
        <v>9</v>
      </c>
      <c r="O349" s="129" t="str">
        <f>+VLOOKUP(B351,BOM!$A$8:$AB$1078,26,0)</f>
        <v>4xA+2x3</v>
      </c>
      <c r="P349" s="10" t="str">
        <f t="shared" si="15"/>
        <v/>
      </c>
    </row>
    <row r="350" spans="1:16" ht="15">
      <c r="A350" s="153">
        <v>348</v>
      </c>
      <c r="B350" s="53" t="s">
        <v>728</v>
      </c>
      <c r="C350" s="126" t="s">
        <v>643</v>
      </c>
      <c r="D350" s="55">
        <v>18</v>
      </c>
      <c r="E350" s="81" t="s">
        <v>2388</v>
      </c>
      <c r="F350" s="126" t="s">
        <v>22</v>
      </c>
      <c r="G350" s="126" t="s">
        <v>1686</v>
      </c>
      <c r="H350" s="127">
        <v>80</v>
      </c>
      <c r="I350" s="49" t="s">
        <v>2772</v>
      </c>
      <c r="J350" s="52">
        <v>3</v>
      </c>
      <c r="K350" s="49"/>
      <c r="L350" s="49" t="s">
        <v>2787</v>
      </c>
      <c r="M350" s="76">
        <v>45429</v>
      </c>
      <c r="N350" s="128">
        <f>+VLOOKUP(B352,BOM!$A$8:$AB$1078,25,0)</f>
        <v>3</v>
      </c>
      <c r="O350" s="129">
        <f>+VLOOKUP(B352,BOM!$A$8:$AB$1078,26,0)</f>
        <v>3</v>
      </c>
      <c r="P350" s="10" t="str">
        <f t="shared" si="15"/>
        <v/>
      </c>
    </row>
    <row r="351" spans="1:16" ht="15">
      <c r="A351" s="153">
        <v>349</v>
      </c>
      <c r="B351" s="59" t="s">
        <v>631</v>
      </c>
      <c r="C351" s="126" t="s">
        <v>632</v>
      </c>
      <c r="D351" s="55">
        <v>4</v>
      </c>
      <c r="E351" s="81" t="s">
        <v>2388</v>
      </c>
      <c r="F351" s="126" t="s">
        <v>22</v>
      </c>
      <c r="G351" s="126" t="s">
        <v>1664</v>
      </c>
      <c r="H351" s="127">
        <v>64</v>
      </c>
      <c r="I351" s="49" t="s">
        <v>2772</v>
      </c>
      <c r="J351" s="52">
        <v>4</v>
      </c>
      <c r="K351" s="49"/>
      <c r="L351" s="49" t="s">
        <v>2788</v>
      </c>
      <c r="M351" s="76">
        <v>45429</v>
      </c>
      <c r="N351" s="128">
        <f>+VLOOKUP(B353,BOM!$A$8:$AB$1078,25,0)</f>
        <v>1</v>
      </c>
      <c r="O351" s="129" t="str">
        <f>+VLOOKUP(B353,BOM!$A$8:$AB$1078,26,0)</f>
        <v>C</v>
      </c>
      <c r="P351" s="10" t="str">
        <f t="shared" si="15"/>
        <v>ok</v>
      </c>
    </row>
    <row r="352" spans="1:16" ht="15">
      <c r="A352" s="153">
        <v>350</v>
      </c>
      <c r="B352" s="59" t="s">
        <v>719</v>
      </c>
      <c r="C352" s="126" t="s">
        <v>673</v>
      </c>
      <c r="D352" s="55">
        <v>2</v>
      </c>
      <c r="E352" s="81" t="s">
        <v>2388</v>
      </c>
      <c r="F352" s="126" t="s">
        <v>22</v>
      </c>
      <c r="G352" s="126" t="s">
        <v>1664</v>
      </c>
      <c r="H352" s="127">
        <v>16</v>
      </c>
      <c r="I352" s="49" t="s">
        <v>2772</v>
      </c>
      <c r="J352" s="52">
        <v>5</v>
      </c>
      <c r="K352" s="49"/>
      <c r="L352" s="49" t="s">
        <v>2789</v>
      </c>
      <c r="M352" s="76">
        <v>45702</v>
      </c>
      <c r="N352" s="128">
        <f>+VLOOKUP(B354,BOM!$A$8:$AB$1078,25,0)</f>
        <v>17</v>
      </c>
      <c r="O352" s="129" t="str">
        <f>+VLOOKUP(B354,BOM!$A$8:$AB$1078,26,0)</f>
        <v>2xA + 12xC</v>
      </c>
      <c r="P352" s="10" t="str">
        <f t="shared" si="15"/>
        <v/>
      </c>
    </row>
    <row r="353" spans="1:16" ht="15">
      <c r="A353" s="153">
        <v>351</v>
      </c>
      <c r="B353" s="59" t="s">
        <v>1855</v>
      </c>
      <c r="C353" s="126" t="s">
        <v>1856</v>
      </c>
      <c r="D353" s="55">
        <v>1</v>
      </c>
      <c r="E353" s="81" t="s">
        <v>2391</v>
      </c>
      <c r="F353" s="126" t="s">
        <v>22</v>
      </c>
      <c r="G353" s="126" t="s">
        <v>1664</v>
      </c>
      <c r="H353" s="127">
        <v>0</v>
      </c>
      <c r="I353" s="49" t="s">
        <v>2634</v>
      </c>
      <c r="J353" s="52">
        <v>5</v>
      </c>
      <c r="K353" s="49"/>
      <c r="L353" s="49" t="s">
        <v>2790</v>
      </c>
      <c r="M353" s="82"/>
    </row>
    <row r="354" spans="1:16" ht="15">
      <c r="A354" s="153">
        <v>352</v>
      </c>
      <c r="B354" s="53" t="s">
        <v>240</v>
      </c>
      <c r="C354" s="126" t="s">
        <v>242</v>
      </c>
      <c r="D354" s="52">
        <v>13</v>
      </c>
      <c r="E354" s="81" t="s">
        <v>2391</v>
      </c>
      <c r="F354" s="126" t="s">
        <v>22</v>
      </c>
      <c r="G354" s="126" t="s">
        <v>1664</v>
      </c>
      <c r="H354" s="127">
        <v>128</v>
      </c>
      <c r="I354" s="49" t="s">
        <v>2791</v>
      </c>
      <c r="J354" s="52">
        <v>1</v>
      </c>
      <c r="K354" s="49"/>
      <c r="L354" s="49" t="s">
        <v>2792</v>
      </c>
      <c r="M354" s="76">
        <v>45429</v>
      </c>
      <c r="N354" s="128">
        <f>+VLOOKUP(B356,BOM!$A$8:$AB$1078,25,0)</f>
        <v>2</v>
      </c>
      <c r="O354" s="129" t="str">
        <f>+VLOOKUP(B356,BOM!$A$8:$AB$1078,26,0)</f>
        <v>C</v>
      </c>
      <c r="P354" s="10" t="str">
        <f t="shared" ref="P354:P361" si="16">+IF(N354=D356,"ok","")</f>
        <v/>
      </c>
    </row>
    <row r="355" spans="1:16" ht="15">
      <c r="A355" s="153">
        <v>353</v>
      </c>
      <c r="B355" s="64" t="s">
        <v>109</v>
      </c>
      <c r="C355" s="126" t="s">
        <v>111</v>
      </c>
      <c r="D355" s="55">
        <v>1</v>
      </c>
      <c r="E355" s="81" t="s">
        <v>2391</v>
      </c>
      <c r="F355" s="126" t="s">
        <v>22</v>
      </c>
      <c r="G355" s="126" t="s">
        <v>1664</v>
      </c>
      <c r="H355" s="127">
        <v>16</v>
      </c>
      <c r="I355" s="49" t="s">
        <v>2791</v>
      </c>
      <c r="J355" s="52">
        <v>1</v>
      </c>
      <c r="K355" s="49"/>
      <c r="L355" s="49" t="s">
        <v>2793</v>
      </c>
      <c r="M355" s="76">
        <v>45429</v>
      </c>
      <c r="N355" s="128">
        <f>+VLOOKUP(B357,BOM!$A$8:$AB$1078,25,0)</f>
        <v>4</v>
      </c>
      <c r="O355" s="129" t="str">
        <f>+VLOOKUP(B357,BOM!$A$8:$AB$1078,26,0)</f>
        <v>C</v>
      </c>
      <c r="P355" s="10" t="str">
        <f t="shared" si="16"/>
        <v/>
      </c>
    </row>
    <row r="356" spans="1:16" ht="15">
      <c r="A356" s="153">
        <v>354</v>
      </c>
      <c r="B356" s="53" t="s">
        <v>246</v>
      </c>
      <c r="C356" s="126" t="s">
        <v>242</v>
      </c>
      <c r="D356" s="55">
        <v>1</v>
      </c>
      <c r="E356" s="79" t="s">
        <v>2391</v>
      </c>
      <c r="F356" s="126" t="s">
        <v>22</v>
      </c>
      <c r="G356" s="126" t="s">
        <v>1664</v>
      </c>
      <c r="H356" s="127">
        <v>24</v>
      </c>
      <c r="I356" s="49" t="s">
        <v>2791</v>
      </c>
      <c r="J356" s="52">
        <v>1</v>
      </c>
      <c r="K356" s="49"/>
      <c r="L356" s="49" t="s">
        <v>2794</v>
      </c>
      <c r="M356" s="76">
        <v>45429</v>
      </c>
      <c r="N356" s="128">
        <f>+VLOOKUP(B358,BOM!$A$8:$AB$1078,25,0)</f>
        <v>3</v>
      </c>
      <c r="O356" s="129" t="str">
        <f>+VLOOKUP(B358,BOM!$A$8:$AB$1078,26,0)</f>
        <v>D</v>
      </c>
      <c r="P356" s="10" t="str">
        <f t="shared" si="16"/>
        <v/>
      </c>
    </row>
    <row r="357" spans="1:16" ht="15">
      <c r="A357" s="153">
        <v>355</v>
      </c>
      <c r="B357" s="53" t="s">
        <v>251</v>
      </c>
      <c r="C357" s="126" t="s">
        <v>242</v>
      </c>
      <c r="D357" s="55">
        <v>3</v>
      </c>
      <c r="E357" s="47" t="s">
        <v>2391</v>
      </c>
      <c r="F357" s="126" t="s">
        <v>22</v>
      </c>
      <c r="G357" s="126" t="s">
        <v>1664</v>
      </c>
      <c r="H357" s="127">
        <v>16</v>
      </c>
      <c r="I357" s="49" t="s">
        <v>2791</v>
      </c>
      <c r="J357" s="52">
        <v>1</v>
      </c>
      <c r="K357" s="49"/>
      <c r="L357" s="49" t="s">
        <v>2795</v>
      </c>
      <c r="M357" s="76">
        <v>45429</v>
      </c>
      <c r="N357" s="128">
        <f>+VLOOKUP(B359,BOM!$A$8:$AB$1078,25,0)</f>
        <v>5</v>
      </c>
      <c r="O357" s="129" t="str">
        <f>+VLOOKUP(B359,BOM!$A$8:$AB$1078,26,0)</f>
        <v>2xA + 2xC</v>
      </c>
      <c r="P357" s="10" t="str">
        <f t="shared" si="16"/>
        <v/>
      </c>
    </row>
    <row r="358" spans="1:16" ht="15">
      <c r="A358" s="153">
        <v>356</v>
      </c>
      <c r="B358" s="53" t="s">
        <v>754</v>
      </c>
      <c r="C358" s="126" t="s">
        <v>492</v>
      </c>
      <c r="D358" s="55">
        <v>2</v>
      </c>
      <c r="E358" s="47" t="s">
        <v>2391</v>
      </c>
      <c r="F358" s="126" t="s">
        <v>22</v>
      </c>
      <c r="G358" s="126" t="s">
        <v>1664</v>
      </c>
      <c r="H358" s="127">
        <v>16</v>
      </c>
      <c r="I358" s="49" t="s">
        <v>2791</v>
      </c>
      <c r="J358" s="52">
        <v>1</v>
      </c>
      <c r="K358" s="49"/>
      <c r="L358" s="49" t="s">
        <v>2796</v>
      </c>
      <c r="M358" s="76">
        <v>45429</v>
      </c>
      <c r="N358" s="128">
        <f>+VLOOKUP(B360,BOM!$A$8:$AB$1078,25,0)</f>
        <v>3</v>
      </c>
      <c r="O358" s="129" t="str">
        <f>+VLOOKUP(B360,BOM!$A$8:$AB$1078,26,0)</f>
        <v>2xA + 2xC</v>
      </c>
      <c r="P358" s="10" t="str">
        <f t="shared" si="16"/>
        <v/>
      </c>
    </row>
    <row r="359" spans="1:16" ht="15">
      <c r="A359" s="153">
        <v>357</v>
      </c>
      <c r="B359" s="59" t="s">
        <v>243</v>
      </c>
      <c r="C359" s="126" t="s">
        <v>242</v>
      </c>
      <c r="D359" s="55">
        <v>2</v>
      </c>
      <c r="E359" s="81" t="s">
        <v>2391</v>
      </c>
      <c r="F359" s="126" t="s">
        <v>22</v>
      </c>
      <c r="G359" s="126" t="s">
        <v>1664</v>
      </c>
      <c r="H359" s="127">
        <v>24</v>
      </c>
      <c r="I359" s="49" t="s">
        <v>2791</v>
      </c>
      <c r="J359" s="52">
        <v>2</v>
      </c>
      <c r="K359" s="49"/>
      <c r="L359" s="49" t="s">
        <v>2797</v>
      </c>
      <c r="M359" s="76">
        <v>45429</v>
      </c>
      <c r="N359" s="128">
        <f>+VLOOKUP(B361,BOM!$A$8:$AB$1078,25,0)</f>
        <v>7</v>
      </c>
      <c r="O359" s="129" t="str">
        <f>+VLOOKUP(B361,BOM!$A$8:$AB$1078,26,0)</f>
        <v>2xA + 6xC</v>
      </c>
      <c r="P359" s="10" t="str">
        <f t="shared" si="16"/>
        <v/>
      </c>
    </row>
    <row r="360" spans="1:16" ht="15">
      <c r="A360" s="153">
        <v>358</v>
      </c>
      <c r="B360" s="53" t="s">
        <v>245</v>
      </c>
      <c r="C360" s="126" t="s">
        <v>242</v>
      </c>
      <c r="D360" s="55">
        <v>1</v>
      </c>
      <c r="E360" s="81">
        <v>2</v>
      </c>
      <c r="F360" s="126" t="s">
        <v>22</v>
      </c>
      <c r="G360" s="126" t="s">
        <v>1664</v>
      </c>
      <c r="H360" s="127">
        <v>16</v>
      </c>
      <c r="I360" s="49" t="s">
        <v>2791</v>
      </c>
      <c r="J360" s="52">
        <v>2</v>
      </c>
      <c r="K360" s="49"/>
      <c r="L360" s="49" t="s">
        <v>2798</v>
      </c>
      <c r="M360" s="76">
        <v>45429</v>
      </c>
      <c r="N360" s="128">
        <f>+VLOOKUP(B362,BOM!$A$8:$AB$1078,25,0)</f>
        <v>6</v>
      </c>
      <c r="O360" s="129" t="str">
        <f>+VLOOKUP(B362,BOM!$A$8:$AB$1078,26,0)</f>
        <v>2xC+A</v>
      </c>
      <c r="P360" s="10" t="str">
        <f t="shared" si="16"/>
        <v/>
      </c>
    </row>
    <row r="361" spans="1:16" ht="15">
      <c r="A361" s="153">
        <v>359</v>
      </c>
      <c r="B361" s="53" t="s">
        <v>248</v>
      </c>
      <c r="C361" s="126" t="s">
        <v>242</v>
      </c>
      <c r="D361" s="55">
        <v>4</v>
      </c>
      <c r="E361" s="81" t="s">
        <v>2391</v>
      </c>
      <c r="F361" s="126" t="s">
        <v>22</v>
      </c>
      <c r="G361" s="126" t="s">
        <v>1664</v>
      </c>
      <c r="H361" s="127">
        <v>48</v>
      </c>
      <c r="I361" s="49" t="s">
        <v>2791</v>
      </c>
      <c r="J361" s="52">
        <v>2</v>
      </c>
      <c r="K361" s="49"/>
      <c r="L361" s="49" t="s">
        <v>2799</v>
      </c>
      <c r="M361" s="76">
        <v>45429</v>
      </c>
      <c r="N361" s="128">
        <f>+VLOOKUP(B363,BOM!$A$8:$AB$1078,25,0)</f>
        <v>2</v>
      </c>
      <c r="O361" s="129" t="str">
        <f>+VLOOKUP(B363,BOM!$A$8:$AB$1078,26,0)</f>
        <v>C</v>
      </c>
      <c r="P361" s="10" t="str">
        <f t="shared" si="16"/>
        <v/>
      </c>
    </row>
    <row r="362" spans="1:16" ht="15">
      <c r="A362" s="153">
        <v>360</v>
      </c>
      <c r="B362" s="53" t="s">
        <v>250</v>
      </c>
      <c r="C362" s="126" t="s">
        <v>242</v>
      </c>
      <c r="D362" s="55">
        <v>3</v>
      </c>
      <c r="E362" s="81" t="s">
        <v>2391</v>
      </c>
      <c r="F362" s="126" t="s">
        <v>22</v>
      </c>
      <c r="G362" s="126" t="s">
        <v>1664</v>
      </c>
      <c r="H362" s="127">
        <v>48</v>
      </c>
      <c r="I362" s="49" t="s">
        <v>2791</v>
      </c>
      <c r="J362" s="52">
        <v>2</v>
      </c>
      <c r="K362" s="49"/>
      <c r="L362" s="49" t="s">
        <v>2800</v>
      </c>
      <c r="M362" s="82"/>
    </row>
    <row r="363" spans="1:16" ht="15">
      <c r="A363" s="153">
        <v>361</v>
      </c>
      <c r="B363" s="53" t="s">
        <v>264</v>
      </c>
      <c r="C363" s="126" t="s">
        <v>265</v>
      </c>
      <c r="D363" s="55">
        <v>1</v>
      </c>
      <c r="E363" s="81" t="s">
        <v>2391</v>
      </c>
      <c r="F363" s="126" t="s">
        <v>22</v>
      </c>
      <c r="G363" s="126" t="s">
        <v>1664</v>
      </c>
      <c r="H363" s="127">
        <v>8</v>
      </c>
      <c r="I363" s="49" t="s">
        <v>2791</v>
      </c>
      <c r="J363" s="52">
        <v>2</v>
      </c>
      <c r="K363" s="49"/>
      <c r="L363" s="49" t="s">
        <v>2801</v>
      </c>
      <c r="M363" s="76">
        <v>45429</v>
      </c>
      <c r="N363" s="128">
        <f>+VLOOKUP(B365,BOM!$A$8:$AB$1078,25,0)</f>
        <v>5</v>
      </c>
      <c r="O363" s="129" t="str">
        <f>+VLOOKUP(B365,BOM!$A$8:$AB$1078,26,0)</f>
        <v>C</v>
      </c>
      <c r="P363" s="10" t="str">
        <f t="shared" ref="P363:P370" si="17">+IF(N363=D365,"ok","")</f>
        <v/>
      </c>
    </row>
    <row r="364" spans="1:16" ht="15">
      <c r="A364" s="153">
        <v>362</v>
      </c>
      <c r="B364" s="53" t="s">
        <v>469</v>
      </c>
      <c r="C364" s="126" t="s">
        <v>471</v>
      </c>
      <c r="D364" s="52">
        <v>2</v>
      </c>
      <c r="E364" s="81" t="s">
        <v>2391</v>
      </c>
      <c r="F364" s="126" t="s">
        <v>22</v>
      </c>
      <c r="G364" s="126" t="s">
        <v>1664</v>
      </c>
      <c r="H364" s="127">
        <v>16</v>
      </c>
      <c r="I364" s="49" t="s">
        <v>2791</v>
      </c>
      <c r="J364" s="52">
        <v>3</v>
      </c>
      <c r="K364" s="49"/>
      <c r="L364" s="49" t="s">
        <v>2802</v>
      </c>
      <c r="M364" s="76">
        <v>45533</v>
      </c>
      <c r="N364" s="128">
        <f>+VLOOKUP(B366,BOM!$A$8:$AB$1078,25,0)</f>
        <v>4</v>
      </c>
      <c r="O364" s="129" t="str">
        <f>+VLOOKUP(B366,BOM!$A$8:$AB$1078,26,0)</f>
        <v>C</v>
      </c>
      <c r="P364" s="10" t="str">
        <f t="shared" si="17"/>
        <v/>
      </c>
    </row>
    <row r="365" spans="1:16" ht="15">
      <c r="A365" s="153">
        <v>363</v>
      </c>
      <c r="B365" s="59" t="s">
        <v>476</v>
      </c>
      <c r="C365" s="126" t="s">
        <v>477</v>
      </c>
      <c r="D365" s="55">
        <v>4</v>
      </c>
      <c r="E365" s="81" t="s">
        <v>2391</v>
      </c>
      <c r="F365" s="126" t="s">
        <v>22</v>
      </c>
      <c r="G365" s="126" t="s">
        <v>1664</v>
      </c>
      <c r="H365" s="127">
        <v>32</v>
      </c>
      <c r="I365" s="49" t="s">
        <v>2791</v>
      </c>
      <c r="J365" s="52">
        <v>3</v>
      </c>
      <c r="K365" s="49"/>
      <c r="L365" s="49" t="s">
        <v>2803</v>
      </c>
      <c r="M365" s="76">
        <v>45429</v>
      </c>
      <c r="N365" s="128">
        <f>+VLOOKUP(B367,BOM!$A$8:$AB$1078,25,0)</f>
        <v>3</v>
      </c>
      <c r="O365" s="129" t="str">
        <f>+VLOOKUP(B367,BOM!$A$8:$AB$1078,26,0)</f>
        <v>C</v>
      </c>
      <c r="P365" s="10" t="str">
        <f t="shared" si="17"/>
        <v/>
      </c>
    </row>
    <row r="366" spans="1:16" ht="15">
      <c r="A366" s="153">
        <v>364</v>
      </c>
      <c r="B366" s="53" t="s">
        <v>484</v>
      </c>
      <c r="C366" s="126" t="s">
        <v>485</v>
      </c>
      <c r="D366" s="55">
        <v>3</v>
      </c>
      <c r="E366" s="81" t="s">
        <v>2391</v>
      </c>
      <c r="F366" s="126" t="s">
        <v>22</v>
      </c>
      <c r="G366" s="126" t="s">
        <v>1664</v>
      </c>
      <c r="H366" s="127">
        <v>40</v>
      </c>
      <c r="I366" s="49" t="s">
        <v>2791</v>
      </c>
      <c r="J366" s="52">
        <v>3</v>
      </c>
      <c r="K366" s="49"/>
      <c r="L366" s="49" t="s">
        <v>2804</v>
      </c>
      <c r="M366" s="76">
        <v>45429</v>
      </c>
      <c r="N366" s="128">
        <f>+VLOOKUP(B368,BOM!$A$8:$AB$1078,25,0)</f>
        <v>4</v>
      </c>
      <c r="O366" s="129" t="str">
        <f>+VLOOKUP(B368,BOM!$A$8:$AB$1078,26,0)</f>
        <v>1xB + 2xC</v>
      </c>
      <c r="P366" s="10" t="str">
        <f t="shared" si="17"/>
        <v/>
      </c>
    </row>
    <row r="367" spans="1:16" ht="15">
      <c r="A367" s="153">
        <v>365</v>
      </c>
      <c r="B367" s="59" t="s">
        <v>486</v>
      </c>
      <c r="C367" s="126" t="s">
        <v>485</v>
      </c>
      <c r="D367" s="55">
        <v>2</v>
      </c>
      <c r="E367" s="81" t="s">
        <v>2391</v>
      </c>
      <c r="F367" s="126" t="s">
        <v>22</v>
      </c>
      <c r="G367" s="126" t="s">
        <v>1664</v>
      </c>
      <c r="H367" s="127">
        <v>232</v>
      </c>
      <c r="I367" s="49" t="s">
        <v>2791</v>
      </c>
      <c r="J367" s="52">
        <v>3</v>
      </c>
      <c r="K367" s="49"/>
      <c r="L367" s="49" t="s">
        <v>2805</v>
      </c>
      <c r="M367" s="76">
        <v>45429</v>
      </c>
      <c r="N367" s="128">
        <f>+VLOOKUP(B369,BOM!$A$8:$AB$1078,25,0)</f>
        <v>2</v>
      </c>
      <c r="O367" s="129" t="str">
        <f>+VLOOKUP(B369,BOM!$A$8:$AB$1078,26,0)</f>
        <v>C</v>
      </c>
      <c r="P367" s="10" t="str">
        <f t="shared" si="17"/>
        <v/>
      </c>
    </row>
    <row r="368" spans="1:16" ht="15">
      <c r="A368" s="153">
        <v>366</v>
      </c>
      <c r="B368" s="53" t="s">
        <v>527</v>
      </c>
      <c r="C368" s="126" t="s">
        <v>529</v>
      </c>
      <c r="D368" s="55">
        <v>2</v>
      </c>
      <c r="E368" s="81" t="s">
        <v>2391</v>
      </c>
      <c r="F368" s="126" t="s">
        <v>22</v>
      </c>
      <c r="G368" s="126" t="s">
        <v>1664</v>
      </c>
      <c r="H368" s="127">
        <v>16</v>
      </c>
      <c r="I368" s="49" t="s">
        <v>2791</v>
      </c>
      <c r="J368" s="52">
        <v>4</v>
      </c>
      <c r="K368" s="49"/>
      <c r="L368" s="49" t="s">
        <v>2806</v>
      </c>
      <c r="M368" s="76">
        <v>45429</v>
      </c>
      <c r="N368" s="128">
        <f>+VLOOKUP(B370,BOM!$A$8:$AB$1078,25,0)</f>
        <v>3</v>
      </c>
      <c r="O368" s="129" t="str">
        <f>+VLOOKUP(B370,BOM!$A$8:$AB$1078,26,0)</f>
        <v>C</v>
      </c>
      <c r="P368" s="10" t="str">
        <f t="shared" si="17"/>
        <v/>
      </c>
    </row>
    <row r="369" spans="1:16" ht="15">
      <c r="A369" s="153">
        <v>367</v>
      </c>
      <c r="B369" s="53" t="s">
        <v>542</v>
      </c>
      <c r="C369" s="126" t="s">
        <v>543</v>
      </c>
      <c r="D369" s="55">
        <v>1</v>
      </c>
      <c r="E369" s="81" t="s">
        <v>2391</v>
      </c>
      <c r="F369" s="126" t="s">
        <v>22</v>
      </c>
      <c r="G369" s="126" t="s">
        <v>1664</v>
      </c>
      <c r="H369" s="127">
        <v>8</v>
      </c>
      <c r="I369" s="49" t="s">
        <v>2791</v>
      </c>
      <c r="J369" s="52">
        <v>4</v>
      </c>
      <c r="K369" s="49"/>
      <c r="L369" s="49" t="s">
        <v>2807</v>
      </c>
      <c r="M369" s="76">
        <v>45429</v>
      </c>
      <c r="N369" s="128">
        <f>+VLOOKUP(B371,BOM!$A$8:$AB$1078,25,0)</f>
        <v>14</v>
      </c>
      <c r="O369" s="129" t="str">
        <f>+VLOOKUP(B371,BOM!$A$8:$AB$1078,26,0)</f>
        <v xml:space="preserve">3xC + 2X0 </v>
      </c>
      <c r="P369" s="10" t="str">
        <f t="shared" si="17"/>
        <v/>
      </c>
    </row>
    <row r="370" spans="1:16" ht="15">
      <c r="A370" s="153">
        <v>368</v>
      </c>
      <c r="B370" s="53" t="s">
        <v>758</v>
      </c>
      <c r="C370" s="126" t="s">
        <v>759</v>
      </c>
      <c r="D370" s="55">
        <v>2</v>
      </c>
      <c r="E370" s="81" t="s">
        <v>2391</v>
      </c>
      <c r="F370" s="126" t="s">
        <v>22</v>
      </c>
      <c r="G370" s="126" t="s">
        <v>1664</v>
      </c>
      <c r="H370" s="127">
        <v>16</v>
      </c>
      <c r="I370" s="49" t="s">
        <v>2791</v>
      </c>
      <c r="J370" s="52">
        <v>4</v>
      </c>
      <c r="K370" s="49"/>
      <c r="L370" s="49" t="s">
        <v>2808</v>
      </c>
      <c r="M370" s="76">
        <v>45429</v>
      </c>
      <c r="N370" s="128">
        <f>+VLOOKUP(B372,BOM!$A$8:$AB$1078,25,0)</f>
        <v>11</v>
      </c>
      <c r="O370" s="129" t="str">
        <f>+VLOOKUP(B372,BOM!$A$8:$AB$1078,26,0)</f>
        <v>3x2 + 2x5 + 7xD</v>
      </c>
      <c r="P370" s="10" t="str">
        <f t="shared" si="17"/>
        <v/>
      </c>
    </row>
    <row r="371" spans="1:16" ht="15">
      <c r="A371" s="153">
        <v>369</v>
      </c>
      <c r="B371" s="53" t="s">
        <v>692</v>
      </c>
      <c r="C371" s="126" t="s">
        <v>693</v>
      </c>
      <c r="D371" s="55">
        <v>3</v>
      </c>
      <c r="E371" s="81" t="s">
        <v>2391</v>
      </c>
      <c r="F371" s="126" t="s">
        <v>22</v>
      </c>
      <c r="G371" s="126" t="s">
        <v>1664</v>
      </c>
      <c r="H371" s="127">
        <v>160</v>
      </c>
      <c r="I371" s="49" t="s">
        <v>2791</v>
      </c>
      <c r="J371" s="52">
        <v>4</v>
      </c>
      <c r="K371" s="49"/>
      <c r="L371" s="49" t="s">
        <v>2809</v>
      </c>
      <c r="M371" s="124">
        <v>45702</v>
      </c>
      <c r="O371" s="122"/>
    </row>
    <row r="372" spans="1:16" ht="15">
      <c r="A372" s="153">
        <v>370</v>
      </c>
      <c r="B372" s="59" t="s">
        <v>573</v>
      </c>
      <c r="C372" s="126" t="s">
        <v>575</v>
      </c>
      <c r="D372" s="55">
        <v>7</v>
      </c>
      <c r="E372" s="81" t="s">
        <v>2391</v>
      </c>
      <c r="F372" s="126" t="s">
        <v>22</v>
      </c>
      <c r="G372" s="126" t="s">
        <v>1664</v>
      </c>
      <c r="H372" s="127">
        <v>8</v>
      </c>
      <c r="I372" s="49" t="s">
        <v>2791</v>
      </c>
      <c r="J372" s="52">
        <v>5</v>
      </c>
      <c r="K372" s="49"/>
      <c r="L372" s="49" t="s">
        <v>2810</v>
      </c>
      <c r="M372" s="76">
        <v>45429</v>
      </c>
      <c r="N372" s="128">
        <f>+VLOOKUP(B374,BOM!$A$8:$AB$1078,25,0)</f>
        <v>16</v>
      </c>
      <c r="O372" s="129" t="str">
        <f>+VLOOKUP(B374,BOM!$A$8:$AB$1078,26,0)</f>
        <v>2x5 + 11x6 + 1xC</v>
      </c>
      <c r="P372" s="10" t="str">
        <f t="shared" ref="P372:P379" si="18">+IF(N372=D374,"ok","")</f>
        <v/>
      </c>
    </row>
    <row r="373" spans="1:16" ht="15">
      <c r="A373" s="153">
        <v>371</v>
      </c>
      <c r="B373" s="59" t="s">
        <v>581</v>
      </c>
      <c r="C373" s="54" t="s">
        <v>582</v>
      </c>
      <c r="D373" s="55">
        <v>8</v>
      </c>
      <c r="E373" s="81" t="s">
        <v>2391</v>
      </c>
      <c r="F373" s="49" t="s">
        <v>22</v>
      </c>
      <c r="G373" s="126" t="s">
        <v>1664</v>
      </c>
      <c r="H373" s="127">
        <v>64</v>
      </c>
      <c r="I373" s="49" t="s">
        <v>2811</v>
      </c>
      <c r="J373" s="52">
        <v>1</v>
      </c>
      <c r="K373" s="49"/>
      <c r="L373" s="49" t="s">
        <v>2812</v>
      </c>
      <c r="M373" s="76">
        <v>45429</v>
      </c>
      <c r="N373" s="128">
        <f>+VLOOKUP(B375,BOM!$A$8:$AB$1078,25,0)</f>
        <v>9</v>
      </c>
      <c r="O373" s="129" t="str">
        <f>+VLOOKUP(B375,BOM!$A$8:$AB$1078,26,0)</f>
        <v>D</v>
      </c>
      <c r="P373" s="10" t="str">
        <f t="shared" si="18"/>
        <v/>
      </c>
    </row>
    <row r="374" spans="1:16" ht="15">
      <c r="A374" s="153">
        <v>372</v>
      </c>
      <c r="B374" s="59" t="s">
        <v>601</v>
      </c>
      <c r="C374" s="126" t="s">
        <v>602</v>
      </c>
      <c r="D374" s="55">
        <v>1</v>
      </c>
      <c r="E374" s="81" t="s">
        <v>2391</v>
      </c>
      <c r="F374" s="126" t="s">
        <v>22</v>
      </c>
      <c r="G374" s="126" t="s">
        <v>1664</v>
      </c>
      <c r="H374" s="127">
        <v>88</v>
      </c>
      <c r="I374" s="49" t="s">
        <v>2811</v>
      </c>
      <c r="J374" s="52">
        <v>1</v>
      </c>
      <c r="K374" s="49"/>
      <c r="L374" s="49" t="s">
        <v>2813</v>
      </c>
      <c r="M374" s="76">
        <v>45429</v>
      </c>
      <c r="N374" s="128">
        <f>+VLOOKUP(B376,BOM!$A$8:$AB$1078,25,0)</f>
        <v>87</v>
      </c>
      <c r="O374" s="129" t="str">
        <f>+VLOOKUP(B376,BOM!$A$8:$AB$1078,26,0)</f>
        <v>54x0 + 6x3 + 3x4 + 6x6 + 4xC</v>
      </c>
      <c r="P374" s="10" t="str">
        <f t="shared" si="18"/>
        <v/>
      </c>
    </row>
    <row r="375" spans="1:16" ht="15">
      <c r="A375" s="153">
        <v>373</v>
      </c>
      <c r="B375" s="59" t="s">
        <v>590</v>
      </c>
      <c r="C375" s="126" t="s">
        <v>591</v>
      </c>
      <c r="D375" s="55">
        <v>16</v>
      </c>
      <c r="E375" s="81" t="s">
        <v>2391</v>
      </c>
      <c r="F375" s="126" t="s">
        <v>22</v>
      </c>
      <c r="G375" s="126" t="s">
        <v>1664</v>
      </c>
      <c r="H375" s="127">
        <v>80</v>
      </c>
      <c r="I375" s="49" t="s">
        <v>2811</v>
      </c>
      <c r="J375" s="52">
        <v>1</v>
      </c>
      <c r="K375" s="49"/>
      <c r="L375" s="49" t="s">
        <v>2814</v>
      </c>
      <c r="M375" s="76">
        <v>45429</v>
      </c>
      <c r="N375" s="128">
        <f>+VLOOKUP(B377,BOM!$A$8:$AB$1078,25,0)</f>
        <v>7</v>
      </c>
      <c r="O375" s="129" t="str">
        <f>+VLOOKUP(B377,BOM!$A$8:$AB$1078,26,0)</f>
        <v>D</v>
      </c>
      <c r="P375" s="10" t="str">
        <f t="shared" si="18"/>
        <v/>
      </c>
    </row>
    <row r="376" spans="1:16" ht="15">
      <c r="A376" s="153">
        <v>374</v>
      </c>
      <c r="B376" s="59" t="s">
        <v>621</v>
      </c>
      <c r="C376" s="126" t="s">
        <v>622</v>
      </c>
      <c r="D376" s="55">
        <v>4</v>
      </c>
      <c r="E376" s="81" t="s">
        <v>2391</v>
      </c>
      <c r="F376" s="126" t="s">
        <v>22</v>
      </c>
      <c r="G376" s="126" t="s">
        <v>1664</v>
      </c>
      <c r="H376" s="127">
        <v>64</v>
      </c>
      <c r="I376" s="49" t="s">
        <v>2811</v>
      </c>
      <c r="J376" s="52">
        <v>1</v>
      </c>
      <c r="K376" s="49"/>
      <c r="L376" s="49" t="s">
        <v>2815</v>
      </c>
      <c r="M376" s="76">
        <v>45533</v>
      </c>
      <c r="N376" s="128">
        <f>+VLOOKUP(B378,BOM!$A$8:$AB$1078,25,0)</f>
        <v>5</v>
      </c>
      <c r="O376" s="129" t="str">
        <f>+VLOOKUP(B378,BOM!$A$8:$AB$1078,26,0)</f>
        <v>2x3 + 2xC</v>
      </c>
      <c r="P376" s="10" t="str">
        <f t="shared" si="18"/>
        <v/>
      </c>
    </row>
    <row r="377" spans="1:16" ht="15">
      <c r="A377" s="153">
        <v>375</v>
      </c>
      <c r="B377" s="53" t="s">
        <v>617</v>
      </c>
      <c r="C377" s="126" t="s">
        <v>618</v>
      </c>
      <c r="D377" s="55">
        <v>6</v>
      </c>
      <c r="E377" s="81" t="s">
        <v>2391</v>
      </c>
      <c r="F377" s="126" t="s">
        <v>22</v>
      </c>
      <c r="G377" s="126" t="s">
        <v>1664</v>
      </c>
      <c r="H377" s="127">
        <v>48</v>
      </c>
      <c r="I377" s="49" t="s">
        <v>2811</v>
      </c>
      <c r="J377" s="52">
        <v>1</v>
      </c>
      <c r="K377" s="49"/>
      <c r="L377" s="49" t="s">
        <v>2816</v>
      </c>
      <c r="M377" s="76">
        <v>45429</v>
      </c>
      <c r="N377" s="128">
        <f>+VLOOKUP(B379,BOM!$A$8:$AB$1078,25,0)</f>
        <v>1</v>
      </c>
      <c r="O377" s="129" t="str">
        <f>+VLOOKUP(B379,BOM!$A$8:$AB$1078,26,0)</f>
        <v>C</v>
      </c>
      <c r="P377" s="10" t="str">
        <f t="shared" si="18"/>
        <v>ok</v>
      </c>
    </row>
    <row r="378" spans="1:16" ht="15">
      <c r="A378" s="153">
        <v>376</v>
      </c>
      <c r="B378" s="53" t="s">
        <v>649</v>
      </c>
      <c r="C378" s="126" t="s">
        <v>651</v>
      </c>
      <c r="D378" s="55">
        <v>2</v>
      </c>
      <c r="E378" s="81" t="s">
        <v>2391</v>
      </c>
      <c r="F378" s="126" t="s">
        <v>22</v>
      </c>
      <c r="G378" s="126" t="s">
        <v>1664</v>
      </c>
      <c r="H378" s="127">
        <v>16</v>
      </c>
      <c r="I378" s="49" t="s">
        <v>2811</v>
      </c>
      <c r="J378" s="52">
        <v>1</v>
      </c>
      <c r="K378" s="49"/>
      <c r="L378" s="49" t="s">
        <v>2817</v>
      </c>
      <c r="M378" s="76">
        <v>45429</v>
      </c>
      <c r="N378" s="128">
        <f>+VLOOKUP(B380,BOM!$A$8:$AB$1078,25,0)</f>
        <v>3</v>
      </c>
      <c r="O378" s="129" t="str">
        <f>+VLOOKUP(B380,BOM!$A$8:$AB$1078,26,0)</f>
        <v>C</v>
      </c>
      <c r="P378" s="10" t="str">
        <f t="shared" si="18"/>
        <v/>
      </c>
    </row>
    <row r="379" spans="1:16" ht="15">
      <c r="A379" s="153">
        <v>377</v>
      </c>
      <c r="B379" s="53" t="s">
        <v>2353</v>
      </c>
      <c r="C379" s="126" t="s">
        <v>2354</v>
      </c>
      <c r="D379" s="55">
        <v>1</v>
      </c>
      <c r="E379" s="81" t="s">
        <v>2391</v>
      </c>
      <c r="F379" s="126" t="s">
        <v>22</v>
      </c>
      <c r="G379" s="126" t="s">
        <v>1664</v>
      </c>
      <c r="H379" s="127">
        <v>8</v>
      </c>
      <c r="I379" s="49" t="s">
        <v>2811</v>
      </c>
      <c r="J379" s="52">
        <v>1</v>
      </c>
      <c r="K379" s="49"/>
      <c r="L379" s="49" t="s">
        <v>2818</v>
      </c>
      <c r="M379" s="76">
        <v>45429</v>
      </c>
      <c r="N379" s="128">
        <f>+VLOOKUP(B381,BOM!$A$8:$AB$1078,25,0)</f>
        <v>3</v>
      </c>
      <c r="O379" s="129" t="str">
        <f>+VLOOKUP(B381,BOM!$A$8:$AB$1078,26,0)</f>
        <v>C</v>
      </c>
      <c r="P379" s="10" t="str">
        <f t="shared" si="18"/>
        <v/>
      </c>
    </row>
    <row r="380" spans="1:16" ht="15">
      <c r="A380" s="153">
        <v>378</v>
      </c>
      <c r="B380" s="53" t="s">
        <v>659</v>
      </c>
      <c r="C380" s="126" t="s">
        <v>660</v>
      </c>
      <c r="D380" s="55">
        <v>2</v>
      </c>
      <c r="E380" s="81" t="s">
        <v>2391</v>
      </c>
      <c r="F380" s="126" t="s">
        <v>22</v>
      </c>
      <c r="G380" s="126" t="s">
        <v>1664</v>
      </c>
      <c r="H380" s="127">
        <v>16</v>
      </c>
      <c r="I380" s="49" t="s">
        <v>2811</v>
      </c>
      <c r="J380" s="52">
        <v>2</v>
      </c>
      <c r="K380" s="49"/>
      <c r="L380" s="49" t="s">
        <v>2819</v>
      </c>
      <c r="M380" s="124">
        <v>45702</v>
      </c>
      <c r="N380" s="128">
        <f>+VLOOKUP(B382,BOM!$A$8:$AB$1078,25,0)</f>
        <v>4</v>
      </c>
      <c r="O380" s="129" t="str">
        <f>+VLOOKUP(B382,BOM!$A$8:$AB$1078,26,0)</f>
        <v>D</v>
      </c>
    </row>
    <row r="381" spans="1:16" ht="15">
      <c r="A381" s="153">
        <v>379</v>
      </c>
      <c r="B381" s="59" t="s">
        <v>674</v>
      </c>
      <c r="C381" s="126" t="s">
        <v>675</v>
      </c>
      <c r="D381" s="55">
        <v>2</v>
      </c>
      <c r="E381" s="81" t="s">
        <v>2391</v>
      </c>
      <c r="F381" s="126" t="s">
        <v>22</v>
      </c>
      <c r="G381" s="126" t="s">
        <v>1664</v>
      </c>
      <c r="H381" s="127">
        <v>16</v>
      </c>
      <c r="I381" s="49" t="s">
        <v>2811</v>
      </c>
      <c r="J381" s="52">
        <v>2</v>
      </c>
      <c r="K381" s="49"/>
      <c r="L381" s="49" t="s">
        <v>2820</v>
      </c>
      <c r="M381" s="124">
        <v>45702</v>
      </c>
      <c r="N381" s="128">
        <f>+VLOOKUP(B383,BOM!$A$8:$AB$1078,25,0)</f>
        <v>2</v>
      </c>
      <c r="O381" s="129" t="str">
        <f>+VLOOKUP(B383,BOM!$A$8:$AB$1078,26,0)</f>
        <v>C</v>
      </c>
      <c r="P381" s="10" t="str">
        <f t="shared" ref="P381:P388" si="19">+IF(N381=D383,"ok","")</f>
        <v/>
      </c>
    </row>
    <row r="382" spans="1:16" ht="15">
      <c r="A382" s="153">
        <v>380</v>
      </c>
      <c r="B382" s="59" t="s">
        <v>700</v>
      </c>
      <c r="C382" s="126" t="s">
        <v>702</v>
      </c>
      <c r="D382" s="55">
        <v>3</v>
      </c>
      <c r="E382" s="56" t="s">
        <v>2391</v>
      </c>
      <c r="F382" s="126" t="s">
        <v>22</v>
      </c>
      <c r="G382" s="126" t="s">
        <v>1664</v>
      </c>
      <c r="H382" s="127">
        <v>24</v>
      </c>
      <c r="I382" s="49" t="s">
        <v>2811</v>
      </c>
      <c r="J382" s="52">
        <v>2</v>
      </c>
      <c r="K382" s="49"/>
      <c r="L382" s="49" t="s">
        <v>2821</v>
      </c>
      <c r="M382" s="76">
        <v>45429</v>
      </c>
      <c r="N382" s="128">
        <f>+VLOOKUP(B384,BOM!$A$8:$AB$1078,25,0)</f>
        <v>2</v>
      </c>
      <c r="O382" s="129" t="str">
        <f>+VLOOKUP(B384,BOM!$A$8:$AB$1078,26,0)</f>
        <v>C</v>
      </c>
      <c r="P382" s="10" t="str">
        <f t="shared" si="19"/>
        <v/>
      </c>
    </row>
    <row r="383" spans="1:16" ht="15">
      <c r="A383" s="153">
        <v>381</v>
      </c>
      <c r="B383" s="53" t="s">
        <v>1295</v>
      </c>
      <c r="C383" s="126" t="s">
        <v>1297</v>
      </c>
      <c r="D383" s="55">
        <v>1</v>
      </c>
      <c r="E383" s="81" t="s">
        <v>2391</v>
      </c>
      <c r="F383" s="126" t="s">
        <v>22</v>
      </c>
      <c r="G383" s="126" t="s">
        <v>1664</v>
      </c>
      <c r="H383" s="127">
        <v>32</v>
      </c>
      <c r="I383" s="49" t="s">
        <v>2811</v>
      </c>
      <c r="J383" s="52">
        <v>2</v>
      </c>
      <c r="K383" s="49"/>
      <c r="L383" s="49" t="s">
        <v>2822</v>
      </c>
      <c r="M383" s="76">
        <v>45429</v>
      </c>
      <c r="N383" s="128">
        <f>+VLOOKUP(B385,BOM!$A$8:$AB$1078,25,0)</f>
        <v>4</v>
      </c>
      <c r="O383" s="129" t="str">
        <f>+VLOOKUP(B385,BOM!$A$8:$AB$1078,26,0)</f>
        <v>2x5 + 1xC</v>
      </c>
      <c r="P383" s="10" t="str">
        <f t="shared" si="19"/>
        <v/>
      </c>
    </row>
    <row r="384" spans="1:16" ht="15">
      <c r="A384" s="153">
        <v>382</v>
      </c>
      <c r="B384" s="53" t="s">
        <v>1298</v>
      </c>
      <c r="C384" s="126" t="s">
        <v>1134</v>
      </c>
      <c r="D384" s="55">
        <v>1</v>
      </c>
      <c r="E384" s="81" t="s">
        <v>2391</v>
      </c>
      <c r="F384" s="126" t="s">
        <v>22</v>
      </c>
      <c r="G384" s="126" t="s">
        <v>1664</v>
      </c>
      <c r="H384" s="127">
        <v>32</v>
      </c>
      <c r="I384" s="49" t="s">
        <v>2811</v>
      </c>
      <c r="J384" s="52">
        <v>2</v>
      </c>
      <c r="K384" s="49"/>
      <c r="L384" s="49" t="s">
        <v>2823</v>
      </c>
      <c r="M384" s="76">
        <v>45429</v>
      </c>
      <c r="N384" s="128">
        <f>+VLOOKUP(B386,BOM!$A$8:$AB$1078,25,0)</f>
        <v>1</v>
      </c>
      <c r="O384" s="129" t="str">
        <f>+VLOOKUP(B386,BOM!$A$8:$AB$1078,26,0)</f>
        <v>C</v>
      </c>
      <c r="P384" s="10" t="str">
        <f t="shared" si="19"/>
        <v>ok</v>
      </c>
    </row>
    <row r="385" spans="1:16" ht="15">
      <c r="A385" s="153">
        <v>383</v>
      </c>
      <c r="B385" s="53" t="s">
        <v>513</v>
      </c>
      <c r="C385" s="126" t="s">
        <v>514</v>
      </c>
      <c r="D385" s="55">
        <v>1</v>
      </c>
      <c r="E385" s="81" t="s">
        <v>2391</v>
      </c>
      <c r="F385" s="126" t="s">
        <v>22</v>
      </c>
      <c r="G385" s="126" t="s">
        <v>1664</v>
      </c>
      <c r="H385" s="127">
        <v>8</v>
      </c>
      <c r="I385" s="49" t="s">
        <v>2811</v>
      </c>
      <c r="J385" s="52">
        <v>3</v>
      </c>
      <c r="K385" s="49"/>
      <c r="L385" s="49" t="s">
        <v>2824</v>
      </c>
      <c r="M385" s="76">
        <v>45429</v>
      </c>
      <c r="N385" s="128">
        <f>+VLOOKUP(B387,BOM!$A$8:$AB$1078,25,0)</f>
        <v>2</v>
      </c>
      <c r="O385" s="129" t="str">
        <f>+VLOOKUP(B387,BOM!$A$8:$AB$1078,26,0)</f>
        <v>C</v>
      </c>
      <c r="P385" s="10" t="str">
        <f t="shared" si="19"/>
        <v/>
      </c>
    </row>
    <row r="386" spans="1:16" ht="15">
      <c r="A386" s="153">
        <v>384</v>
      </c>
      <c r="B386" s="53" t="s">
        <v>2355</v>
      </c>
      <c r="C386" s="126" t="s">
        <v>2357</v>
      </c>
      <c r="D386" s="55">
        <v>1</v>
      </c>
      <c r="E386" s="81" t="s">
        <v>2391</v>
      </c>
      <c r="F386" s="126" t="s">
        <v>22</v>
      </c>
      <c r="G386" s="126" t="s">
        <v>1664</v>
      </c>
      <c r="H386" s="127">
        <v>8</v>
      </c>
      <c r="I386" s="49" t="s">
        <v>2825</v>
      </c>
      <c r="J386" s="52">
        <v>2</v>
      </c>
      <c r="K386" s="49"/>
      <c r="L386" s="49" t="s">
        <v>2826</v>
      </c>
      <c r="M386" s="76">
        <v>45429</v>
      </c>
      <c r="N386" s="128">
        <f>+VLOOKUP(B388,BOM!$A$8:$AB$1078,25,0)</f>
        <v>2</v>
      </c>
      <c r="O386" s="129" t="str">
        <f>+VLOOKUP(B388,BOM!$A$8:$AB$1078,26,0)</f>
        <v>C</v>
      </c>
      <c r="P386" s="10" t="str">
        <f t="shared" si="19"/>
        <v/>
      </c>
    </row>
    <row r="387" spans="1:16" ht="15">
      <c r="A387" s="153">
        <v>385</v>
      </c>
      <c r="B387" s="53" t="s">
        <v>1734</v>
      </c>
      <c r="C387" s="126" t="s">
        <v>1731</v>
      </c>
      <c r="D387" s="55">
        <v>1</v>
      </c>
      <c r="E387" s="81" t="s">
        <v>2391</v>
      </c>
      <c r="F387" s="126" t="s">
        <v>22</v>
      </c>
      <c r="G387" s="126" t="s">
        <v>1664</v>
      </c>
      <c r="H387" s="127">
        <v>16</v>
      </c>
      <c r="I387" s="49" t="s">
        <v>2827</v>
      </c>
      <c r="J387" s="52">
        <v>4</v>
      </c>
      <c r="K387" s="49"/>
      <c r="L387" s="49" t="s">
        <v>2828</v>
      </c>
      <c r="M387" s="76">
        <v>45429</v>
      </c>
      <c r="N387" s="128">
        <f>+VLOOKUP(B389,BOM!$A$8:$AB$1078,25,0)</f>
        <v>2</v>
      </c>
      <c r="O387" s="129" t="str">
        <f>+VLOOKUP(B389,BOM!$A$8:$AB$1078,26,0)</f>
        <v>C</v>
      </c>
      <c r="P387" s="10" t="str">
        <f t="shared" si="19"/>
        <v>ok</v>
      </c>
    </row>
    <row r="388" spans="1:16" ht="15">
      <c r="A388" s="153">
        <v>386</v>
      </c>
      <c r="B388" s="59" t="s">
        <v>1738</v>
      </c>
      <c r="C388" s="126" t="s">
        <v>1731</v>
      </c>
      <c r="D388" s="55">
        <v>1</v>
      </c>
      <c r="E388" s="81" t="s">
        <v>2391</v>
      </c>
      <c r="F388" s="126" t="s">
        <v>22</v>
      </c>
      <c r="G388" s="126" t="s">
        <v>1664</v>
      </c>
      <c r="H388" s="127">
        <v>16</v>
      </c>
      <c r="I388" s="49" t="s">
        <v>2827</v>
      </c>
      <c r="J388" s="52">
        <v>4</v>
      </c>
      <c r="K388" s="49"/>
      <c r="L388" s="49" t="s">
        <v>2829</v>
      </c>
      <c r="M388" s="76">
        <v>45429</v>
      </c>
      <c r="N388" s="128">
        <f>+VLOOKUP(B390,BOM!$A$8:$AB$1078,25,0)</f>
        <v>2</v>
      </c>
      <c r="O388" s="129" t="str">
        <f>+VLOOKUP(B390,BOM!$A$8:$AB$1078,26,0)</f>
        <v>C</v>
      </c>
      <c r="P388" s="10" t="str">
        <f t="shared" si="19"/>
        <v/>
      </c>
    </row>
    <row r="389" spans="1:16" ht="15">
      <c r="A389" s="153">
        <v>387</v>
      </c>
      <c r="B389" s="53" t="s">
        <v>1751</v>
      </c>
      <c r="C389" s="126" t="s">
        <v>1752</v>
      </c>
      <c r="D389" s="55">
        <v>2</v>
      </c>
      <c r="E389" s="81" t="s">
        <v>2391</v>
      </c>
      <c r="F389" s="126" t="s">
        <v>22</v>
      </c>
      <c r="G389" s="126" t="s">
        <v>1664</v>
      </c>
      <c r="H389" s="127">
        <v>16</v>
      </c>
      <c r="I389" s="49" t="s">
        <v>2827</v>
      </c>
      <c r="J389" s="52">
        <v>4</v>
      </c>
      <c r="K389" s="49"/>
      <c r="L389" s="49" t="s">
        <v>2830</v>
      </c>
      <c r="M389" s="82"/>
    </row>
    <row r="390" spans="1:16" ht="15">
      <c r="A390" s="153">
        <v>388</v>
      </c>
      <c r="B390" s="53" t="s">
        <v>1927</v>
      </c>
      <c r="C390" s="126" t="s">
        <v>1928</v>
      </c>
      <c r="D390" s="55">
        <v>1</v>
      </c>
      <c r="E390" s="81" t="s">
        <v>2391</v>
      </c>
      <c r="F390" s="126" t="s">
        <v>22</v>
      </c>
      <c r="G390" s="126" t="s">
        <v>1664</v>
      </c>
      <c r="H390" s="127">
        <v>16</v>
      </c>
      <c r="I390" s="49" t="s">
        <v>2827</v>
      </c>
      <c r="J390" s="52">
        <v>4</v>
      </c>
      <c r="K390" s="49"/>
      <c r="L390" s="49" t="s">
        <v>2831</v>
      </c>
      <c r="M390" s="76">
        <v>45429</v>
      </c>
      <c r="N390" s="128">
        <f>+VLOOKUP(B392,BOM!$A$8:$AB$1078,25,0)</f>
        <v>2</v>
      </c>
      <c r="O390" s="129" t="str">
        <f>+VLOOKUP(B392,BOM!$A$8:$AB$1078,26,0)</f>
        <v>C</v>
      </c>
      <c r="P390" s="10" t="str">
        <f t="shared" ref="P390:P397" si="20">+IF(N390=D392,"ok","")</f>
        <v/>
      </c>
    </row>
    <row r="391" spans="1:16" ht="15">
      <c r="A391" s="153">
        <v>389</v>
      </c>
      <c r="B391" s="64" t="s">
        <v>2086</v>
      </c>
      <c r="C391" s="126" t="s">
        <v>2087</v>
      </c>
      <c r="D391" s="55">
        <v>1</v>
      </c>
      <c r="E391" s="81" t="s">
        <v>2391</v>
      </c>
      <c r="F391" s="126" t="s">
        <v>22</v>
      </c>
      <c r="G391" s="126" t="s">
        <v>1664</v>
      </c>
      <c r="H391" s="127">
        <v>16</v>
      </c>
      <c r="I391" s="49" t="s">
        <v>2827</v>
      </c>
      <c r="J391" s="52">
        <v>4</v>
      </c>
      <c r="K391" s="49"/>
      <c r="L391" s="49" t="s">
        <v>2832</v>
      </c>
      <c r="M391" s="76">
        <v>45429</v>
      </c>
      <c r="N391" s="128">
        <f>+VLOOKUP(B393,BOM!$A$8:$AB$1078,25,0)</f>
        <v>3</v>
      </c>
      <c r="O391" s="129" t="str">
        <f>+VLOOKUP(B393,BOM!$A$8:$AB$1078,26,0)</f>
        <v>C</v>
      </c>
      <c r="P391" s="10" t="str">
        <f t="shared" si="20"/>
        <v/>
      </c>
    </row>
    <row r="392" spans="1:16" ht="15">
      <c r="A392" s="153">
        <v>390</v>
      </c>
      <c r="B392" s="53" t="s">
        <v>2154</v>
      </c>
      <c r="C392" s="126" t="s">
        <v>1928</v>
      </c>
      <c r="D392" s="55">
        <v>1</v>
      </c>
      <c r="E392" s="81" t="s">
        <v>2391</v>
      </c>
      <c r="F392" s="126" t="s">
        <v>22</v>
      </c>
      <c r="G392" s="126" t="s">
        <v>1664</v>
      </c>
      <c r="H392" s="127">
        <v>16</v>
      </c>
      <c r="I392" s="49" t="s">
        <v>2827</v>
      </c>
      <c r="J392" s="52">
        <v>4</v>
      </c>
      <c r="K392" s="49"/>
      <c r="L392" s="49" t="s">
        <v>2833</v>
      </c>
      <c r="M392" s="76">
        <v>45429</v>
      </c>
      <c r="N392" s="128" t="str">
        <f>+VLOOKUP(B394,BOM!$A$8:$AB$1078,25,0)</f>
        <v/>
      </c>
      <c r="O392" s="129" t="str">
        <f>+VLOOKUP(B394,BOM!$A$8:$AB$1078,26,0)</f>
        <v/>
      </c>
      <c r="P392" s="10" t="str">
        <f t="shared" si="20"/>
        <v/>
      </c>
    </row>
    <row r="393" spans="1:16" ht="15">
      <c r="A393" s="153">
        <v>391</v>
      </c>
      <c r="B393" s="59" t="s">
        <v>2292</v>
      </c>
      <c r="C393" s="126" t="s">
        <v>2264</v>
      </c>
      <c r="D393" s="55">
        <v>2</v>
      </c>
      <c r="E393" s="81" t="s">
        <v>2391</v>
      </c>
      <c r="F393" s="126" t="s">
        <v>22</v>
      </c>
      <c r="G393" s="126" t="s">
        <v>1664</v>
      </c>
      <c r="H393" s="127">
        <v>24</v>
      </c>
      <c r="I393" s="49" t="s">
        <v>2827</v>
      </c>
      <c r="J393" s="52">
        <v>4</v>
      </c>
      <c r="K393" s="49"/>
      <c r="L393" s="49" t="s">
        <v>2834</v>
      </c>
      <c r="M393" s="124">
        <v>45702</v>
      </c>
      <c r="N393" s="128">
        <f>+VLOOKUP(B395,BOM!$A$8:$AB$1078,25,0)</f>
        <v>2</v>
      </c>
      <c r="O393" s="129">
        <f>+VLOOKUP(B395,BOM!$A$8:$AB$1078,26,0)</f>
        <v>0</v>
      </c>
      <c r="P393" s="10" t="str">
        <f t="shared" si="20"/>
        <v>ok</v>
      </c>
    </row>
    <row r="394" spans="1:16" ht="15">
      <c r="A394" s="153">
        <v>392</v>
      </c>
      <c r="B394" s="53" t="s">
        <v>576</v>
      </c>
      <c r="C394" s="126" t="s">
        <v>578</v>
      </c>
      <c r="D394" s="55">
        <v>2</v>
      </c>
      <c r="E394" s="81" t="s">
        <v>2427</v>
      </c>
      <c r="F394" s="126" t="s">
        <v>22</v>
      </c>
      <c r="G394" s="126" t="s">
        <v>1664</v>
      </c>
      <c r="H394" s="127">
        <v>16</v>
      </c>
      <c r="I394" s="49" t="s">
        <v>2827</v>
      </c>
      <c r="J394" s="52"/>
      <c r="K394" s="49"/>
      <c r="L394" s="49" t="s">
        <v>2835</v>
      </c>
      <c r="M394" s="124">
        <v>45702</v>
      </c>
      <c r="N394" s="128" t="e">
        <f>+VLOOKUP(B396,BOM!$A$8:$AB$1078,25,0)</f>
        <v>#N/A</v>
      </c>
      <c r="O394" s="129" t="e">
        <f>+VLOOKUP(B396,BOM!$A$8:$AB$1078,26,0)</f>
        <v>#N/A</v>
      </c>
      <c r="P394" s="10" t="e">
        <f t="shared" si="20"/>
        <v>#N/A</v>
      </c>
    </row>
    <row r="395" spans="1:16" ht="15">
      <c r="A395" s="153">
        <v>393</v>
      </c>
      <c r="B395" s="53" t="s">
        <v>2366</v>
      </c>
      <c r="C395" s="126" t="s">
        <v>2367</v>
      </c>
      <c r="D395" s="55">
        <v>2</v>
      </c>
      <c r="E395" s="81" t="s">
        <v>2385</v>
      </c>
      <c r="F395" s="126" t="s">
        <v>22</v>
      </c>
      <c r="G395" s="126" t="s">
        <v>1667</v>
      </c>
      <c r="H395" s="127">
        <v>0</v>
      </c>
      <c r="I395" s="49" t="s">
        <v>2836</v>
      </c>
      <c r="J395" s="52"/>
      <c r="K395" s="49"/>
      <c r="L395" s="49" t="s">
        <v>2837</v>
      </c>
      <c r="M395" s="124">
        <v>45702</v>
      </c>
      <c r="N395" s="128">
        <f>+VLOOKUP(B397,BOM!$A$8:$AB$1078,25,0)</f>
        <v>7</v>
      </c>
      <c r="O395" s="129" t="str">
        <f>+VLOOKUP(B397,BOM!$A$8:$AB$1078,26,0)</f>
        <v xml:space="preserve">4x0 </v>
      </c>
      <c r="P395" s="10" t="str">
        <f t="shared" si="20"/>
        <v/>
      </c>
    </row>
    <row r="396" spans="1:16" ht="15">
      <c r="A396" s="153">
        <v>394</v>
      </c>
      <c r="B396" s="53" t="s">
        <v>2838</v>
      </c>
      <c r="C396" s="126" t="s">
        <v>480</v>
      </c>
      <c r="D396" s="55">
        <v>1</v>
      </c>
      <c r="E396" s="81">
        <v>6</v>
      </c>
      <c r="F396" s="126" t="s">
        <v>22</v>
      </c>
      <c r="G396" s="126" t="s">
        <v>1667</v>
      </c>
      <c r="H396" s="127">
        <v>0</v>
      </c>
      <c r="I396" s="49"/>
      <c r="J396" s="52"/>
      <c r="K396" s="49"/>
      <c r="L396" s="49" t="s">
        <v>2839</v>
      </c>
      <c r="M396" s="124">
        <v>45702</v>
      </c>
      <c r="N396" s="128">
        <f>+VLOOKUP(B398,BOM!$A$8:$AB$1078,25,0)</f>
        <v>9</v>
      </c>
      <c r="O396" s="129">
        <f>+VLOOKUP(B398,BOM!$A$8:$AB$1078,26,0)</f>
        <v>2</v>
      </c>
      <c r="P396" s="10" t="str">
        <f t="shared" si="20"/>
        <v/>
      </c>
    </row>
    <row r="397" spans="1:16" ht="15">
      <c r="A397" s="153">
        <v>395</v>
      </c>
      <c r="B397" s="53" t="s">
        <v>694</v>
      </c>
      <c r="C397" s="126" t="s">
        <v>695</v>
      </c>
      <c r="D397" s="55">
        <v>2</v>
      </c>
      <c r="E397" s="81">
        <v>6</v>
      </c>
      <c r="F397" s="126" t="s">
        <v>22</v>
      </c>
      <c r="G397" s="126" t="s">
        <v>1664</v>
      </c>
      <c r="H397" s="127">
        <v>32</v>
      </c>
      <c r="I397" s="49" t="s">
        <v>2634</v>
      </c>
      <c r="J397" s="52">
        <v>4</v>
      </c>
      <c r="K397" s="49"/>
      <c r="L397" s="10" t="s">
        <v>2840</v>
      </c>
      <c r="M397" s="148">
        <v>45429</v>
      </c>
      <c r="N397" s="128">
        <f>+VLOOKUP(B399,BOM!$A$8:$AB$1078,25,0)</f>
        <v>9</v>
      </c>
      <c r="O397" s="129">
        <f>+VLOOKUP(B399,BOM!$A$8:$AB$1078,26,0)</f>
        <v>2</v>
      </c>
      <c r="P397" s="10" t="str">
        <f t="shared" si="20"/>
        <v/>
      </c>
    </row>
    <row r="398" spans="1:16" ht="15">
      <c r="A398" s="153">
        <v>396</v>
      </c>
      <c r="B398" s="53" t="s">
        <v>533</v>
      </c>
      <c r="C398" s="126" t="s">
        <v>534</v>
      </c>
      <c r="D398" s="55">
        <v>3</v>
      </c>
      <c r="E398" s="81">
        <v>5</v>
      </c>
      <c r="F398" s="126" t="s">
        <v>22</v>
      </c>
      <c r="G398" s="126" t="s">
        <v>1686</v>
      </c>
      <c r="H398" s="127">
        <v>112</v>
      </c>
      <c r="I398" s="49" t="s">
        <v>2643</v>
      </c>
      <c r="J398" s="52">
        <v>4</v>
      </c>
      <c r="K398" s="49"/>
      <c r="L398" s="10" t="s">
        <v>2841</v>
      </c>
      <c r="M398" s="75"/>
    </row>
    <row r="399" spans="1:16" ht="15">
      <c r="A399" s="153">
        <v>397</v>
      </c>
      <c r="B399" s="53" t="s">
        <v>533</v>
      </c>
      <c r="C399" s="126" t="s">
        <v>534</v>
      </c>
      <c r="D399" s="55">
        <v>1</v>
      </c>
      <c r="E399" s="81">
        <v>6</v>
      </c>
      <c r="F399" s="126" t="s">
        <v>22</v>
      </c>
      <c r="G399" s="126" t="s">
        <v>1686</v>
      </c>
      <c r="H399" s="127">
        <v>112</v>
      </c>
      <c r="I399" s="49" t="s">
        <v>2643</v>
      </c>
      <c r="J399" s="52">
        <v>4</v>
      </c>
      <c r="K399" s="49"/>
      <c r="L399" s="10" t="s">
        <v>2842</v>
      </c>
      <c r="M399" s="149">
        <v>45702</v>
      </c>
      <c r="N399" s="128">
        <f>+VLOOKUP(B401,BOM!$A$8:$AB$1078,25,0)</f>
        <v>87</v>
      </c>
      <c r="O399" s="129" t="str">
        <f>+VLOOKUP(B401,BOM!$A$8:$AB$1078,26,0)</f>
        <v>54x0 + 6x3 + 3x4 + 6x6 + 4xC</v>
      </c>
      <c r="P399" s="10" t="str">
        <f t="shared" ref="P399:P405" si="21">+IF(N399=D401,"ok","")</f>
        <v/>
      </c>
    </row>
    <row r="400" spans="1:16" ht="15">
      <c r="A400" s="153">
        <v>398</v>
      </c>
      <c r="B400" s="64" t="s">
        <v>523</v>
      </c>
      <c r="C400" s="126" t="s">
        <v>21</v>
      </c>
      <c r="D400" s="55">
        <v>1</v>
      </c>
      <c r="E400" s="81" t="s">
        <v>2391</v>
      </c>
      <c r="F400" s="126" t="s">
        <v>22</v>
      </c>
      <c r="G400" s="126" t="s">
        <v>1664</v>
      </c>
      <c r="H400" s="127">
        <v>48</v>
      </c>
      <c r="I400" s="49" t="s">
        <v>2728</v>
      </c>
      <c r="J400" s="52">
        <v>4</v>
      </c>
      <c r="K400" s="49"/>
      <c r="L400" s="10" t="s">
        <v>2843</v>
      </c>
      <c r="M400" s="149">
        <v>45702</v>
      </c>
      <c r="N400" s="128">
        <f>+VLOOKUP(B402,BOM!$A$8:$AB$1078,25,0)</f>
        <v>2</v>
      </c>
      <c r="O400" s="129" t="str">
        <f>+VLOOKUP(B402,BOM!$A$8:$AB$1078,26,0)</f>
        <v>C</v>
      </c>
      <c r="P400" s="10" t="str">
        <f t="shared" si="21"/>
        <v/>
      </c>
    </row>
    <row r="401" spans="1:16" ht="15">
      <c r="A401" s="153">
        <v>399</v>
      </c>
      <c r="B401" s="53" t="s">
        <v>621</v>
      </c>
      <c r="C401" s="126" t="s">
        <v>622</v>
      </c>
      <c r="D401" s="52">
        <v>2</v>
      </c>
      <c r="E401" s="81">
        <v>5</v>
      </c>
      <c r="F401" s="126" t="s">
        <v>22</v>
      </c>
      <c r="G401" s="126" t="s">
        <v>1664</v>
      </c>
      <c r="H401" s="127">
        <v>64</v>
      </c>
      <c r="I401" s="49" t="s">
        <v>2811</v>
      </c>
      <c r="J401" s="52">
        <v>1</v>
      </c>
      <c r="K401" s="49"/>
      <c r="L401" s="10" t="s">
        <v>2844</v>
      </c>
      <c r="M401" s="149">
        <v>45702</v>
      </c>
      <c r="N401" s="128" t="str">
        <f>+VLOOKUP(B403,BOM!$A$8:$AB$1078,25,0)</f>
        <v/>
      </c>
      <c r="O401" s="129" t="str">
        <f>+VLOOKUP(B403,BOM!$A$8:$AB$1078,26,0)</f>
        <v/>
      </c>
      <c r="P401" s="10" t="str">
        <f t="shared" si="21"/>
        <v/>
      </c>
    </row>
    <row r="402" spans="1:16" ht="15">
      <c r="A402" s="153">
        <v>400</v>
      </c>
      <c r="B402" s="53" t="s">
        <v>1403</v>
      </c>
      <c r="C402" s="126" t="s">
        <v>1732</v>
      </c>
      <c r="D402" s="52">
        <v>1</v>
      </c>
      <c r="E402" s="81" t="s">
        <v>2391</v>
      </c>
      <c r="F402" s="126" t="s">
        <v>1733</v>
      </c>
      <c r="G402" s="126" t="s">
        <v>1664</v>
      </c>
      <c r="H402" s="127">
        <v>8</v>
      </c>
      <c r="I402" s="49" t="s">
        <v>2791</v>
      </c>
      <c r="J402" s="52">
        <v>4</v>
      </c>
      <c r="K402" s="49"/>
      <c r="L402" s="10" t="s">
        <v>2845</v>
      </c>
      <c r="M402" s="149">
        <v>45702</v>
      </c>
      <c r="N402" s="128" t="str">
        <f>+VLOOKUP(B404,BOM!$A$8:$AB$1078,25,0)</f>
        <v/>
      </c>
      <c r="O402" s="129" t="str">
        <f>+VLOOKUP(B404,BOM!$A$8:$AB$1078,26,0)</f>
        <v/>
      </c>
      <c r="P402" s="10" t="str">
        <f t="shared" si="21"/>
        <v/>
      </c>
    </row>
    <row r="403" spans="1:16" ht="15">
      <c r="A403" s="153">
        <v>401</v>
      </c>
      <c r="B403" s="53" t="s">
        <v>849</v>
      </c>
      <c r="C403" s="126" t="s">
        <v>852</v>
      </c>
      <c r="D403" s="52">
        <v>1</v>
      </c>
      <c r="E403" s="81">
        <v>2</v>
      </c>
      <c r="F403" s="126" t="s">
        <v>853</v>
      </c>
      <c r="G403" s="126" t="s">
        <v>1664</v>
      </c>
      <c r="H403" s="127">
        <v>92192</v>
      </c>
      <c r="I403" s="49"/>
      <c r="J403" s="52"/>
      <c r="K403" s="49"/>
      <c r="L403" s="10" t="s">
        <v>2846</v>
      </c>
      <c r="M403" s="149">
        <v>45702</v>
      </c>
      <c r="N403" s="128" t="e">
        <f>+VLOOKUP(B405,BOM!$A$8:$AB$1078,25,0)</f>
        <v>#N/A</v>
      </c>
      <c r="O403" s="129" t="e">
        <f>+VLOOKUP(B405,BOM!$A$8:$AB$1078,26,0)</f>
        <v>#N/A</v>
      </c>
      <c r="P403" s="10" t="e">
        <f t="shared" si="21"/>
        <v>#N/A</v>
      </c>
    </row>
    <row r="404" spans="1:16" ht="15">
      <c r="A404" s="153">
        <v>402</v>
      </c>
      <c r="B404" s="53" t="s">
        <v>19</v>
      </c>
      <c r="C404" s="126" t="s">
        <v>21</v>
      </c>
      <c r="D404" s="52">
        <v>1</v>
      </c>
      <c r="E404" s="81" t="s">
        <v>2437</v>
      </c>
      <c r="F404" s="126" t="s">
        <v>22</v>
      </c>
      <c r="G404" s="126" t="s">
        <v>1664</v>
      </c>
      <c r="H404" s="127">
        <v>8</v>
      </c>
      <c r="I404" s="49" t="s">
        <v>2692</v>
      </c>
      <c r="J404" s="52">
        <v>3</v>
      </c>
      <c r="K404" s="49"/>
      <c r="L404" s="10" t="s">
        <v>2847</v>
      </c>
      <c r="M404" s="149">
        <v>45702</v>
      </c>
      <c r="N404" s="128" t="e">
        <f>+VLOOKUP(B406,BOM!$A$8:$AB$1078,25,0)</f>
        <v>#N/A</v>
      </c>
      <c r="O404" s="129" t="e">
        <f>+VLOOKUP(B406,BOM!$A$8:$AB$1078,26,0)</f>
        <v>#N/A</v>
      </c>
      <c r="P404" s="10" t="e">
        <f t="shared" si="21"/>
        <v>#N/A</v>
      </c>
    </row>
    <row r="405" spans="1:16" ht="15">
      <c r="A405" s="153"/>
      <c r="B405" s="53"/>
      <c r="C405" s="126"/>
      <c r="D405" s="52"/>
      <c r="E405" s="81"/>
      <c r="F405" s="126"/>
      <c r="G405" s="126"/>
      <c r="H405" s="127"/>
      <c r="I405" s="49"/>
      <c r="J405" s="52"/>
      <c r="K405" s="49"/>
      <c r="L405" s="10" t="s">
        <v>2848</v>
      </c>
      <c r="M405" s="149">
        <v>45702</v>
      </c>
      <c r="N405" s="128" t="e">
        <f>+VLOOKUP(B407,BOM!$A$8:$AB$1078,25,0)</f>
        <v>#N/A</v>
      </c>
      <c r="O405" s="129" t="e">
        <f>+VLOOKUP(B407,BOM!$A$8:$AB$1078,26,0)</f>
        <v>#N/A</v>
      </c>
      <c r="P405" s="10" t="e">
        <f t="shared" si="21"/>
        <v>#N/A</v>
      </c>
    </row>
    <row r="406" spans="1:16" ht="15">
      <c r="A406" s="153"/>
      <c r="B406" s="53"/>
      <c r="C406" s="126"/>
      <c r="D406" s="52"/>
      <c r="E406" s="81"/>
      <c r="F406" s="126"/>
      <c r="G406" s="126"/>
      <c r="H406" s="127"/>
      <c r="I406" s="49"/>
      <c r="J406" s="52"/>
      <c r="K406" s="49"/>
      <c r="L406" s="10" t="s">
        <v>2849</v>
      </c>
      <c r="M406" s="75"/>
    </row>
    <row r="407" spans="1:16" ht="15">
      <c r="A407" s="153"/>
      <c r="B407" s="53"/>
      <c r="C407" s="126"/>
      <c r="D407" s="52"/>
      <c r="E407" s="81"/>
      <c r="F407" s="126"/>
      <c r="G407" s="126"/>
      <c r="H407" s="127"/>
      <c r="I407" s="49"/>
      <c r="J407" s="52"/>
      <c r="K407" s="49"/>
      <c r="L407" s="10" t="s">
        <v>2850</v>
      </c>
      <c r="M407" s="75"/>
    </row>
    <row r="408" spans="1:16" ht="15">
      <c r="A408" s="153"/>
      <c r="B408" s="53"/>
      <c r="C408" s="126"/>
      <c r="D408" s="52"/>
      <c r="E408" s="81"/>
      <c r="F408" s="126"/>
      <c r="G408" s="126"/>
      <c r="H408" s="127"/>
      <c r="I408" s="49"/>
      <c r="J408" s="52"/>
      <c r="K408" s="49"/>
      <c r="L408" s="10" t="s">
        <v>2851</v>
      </c>
      <c r="M408" s="75"/>
    </row>
    <row r="409" spans="1:16" ht="15">
      <c r="A409" s="153"/>
      <c r="B409" s="53"/>
      <c r="C409" s="126"/>
      <c r="D409" s="52"/>
      <c r="E409" s="81"/>
      <c r="F409" s="126"/>
      <c r="G409" s="126"/>
      <c r="H409" s="127"/>
      <c r="I409" s="49"/>
      <c r="J409" s="52"/>
      <c r="K409" s="49"/>
      <c r="L409" s="10" t="s">
        <v>2852</v>
      </c>
      <c r="M409" s="75"/>
    </row>
    <row r="410" spans="1:16" ht="15">
      <c r="A410" s="153"/>
      <c r="B410" s="162"/>
      <c r="C410" s="163"/>
      <c r="D410" s="164"/>
      <c r="E410" s="165"/>
      <c r="F410" s="163"/>
      <c r="G410" s="163"/>
      <c r="H410" s="166"/>
      <c r="I410" s="167"/>
      <c r="J410" s="164"/>
      <c r="K410" s="167"/>
      <c r="L410" s="10" t="s">
        <v>2853</v>
      </c>
      <c r="M410" s="75"/>
    </row>
    <row r="411" spans="1:16" ht="15">
      <c r="B411" s="197"/>
      <c r="C411" s="218"/>
      <c r="D411" s="52"/>
      <c r="E411" s="81"/>
      <c r="F411" s="218"/>
      <c r="G411" s="218"/>
      <c r="H411" s="219"/>
      <c r="I411" s="49"/>
      <c r="J411" s="52"/>
      <c r="K411" s="49"/>
      <c r="L411" s="10"/>
    </row>
    <row r="412" spans="1:16" ht="15">
      <c r="B412" s="197"/>
      <c r="C412" s="218"/>
      <c r="D412" s="52"/>
      <c r="E412" s="81"/>
      <c r="F412" s="218"/>
      <c r="G412" s="218"/>
      <c r="H412" s="219"/>
      <c r="I412" s="49"/>
      <c r="J412" s="52"/>
      <c r="K412" s="49"/>
      <c r="L412" s="10"/>
    </row>
    <row r="413" spans="1:16" ht="15">
      <c r="B413" s="197"/>
      <c r="C413" s="218"/>
      <c r="D413" s="52"/>
      <c r="E413" s="81"/>
      <c r="F413" s="218"/>
      <c r="G413" s="218"/>
      <c r="H413" s="219"/>
      <c r="I413" s="49"/>
      <c r="J413" s="52"/>
      <c r="K413" s="49"/>
      <c r="L413" s="10"/>
    </row>
    <row r="414" spans="1:16" ht="15">
      <c r="B414" s="197"/>
      <c r="C414" s="218"/>
      <c r="D414" s="52"/>
      <c r="E414" s="81"/>
      <c r="F414" s="218"/>
      <c r="G414" s="218"/>
      <c r="H414" s="219"/>
      <c r="I414" s="49"/>
      <c r="J414" s="52"/>
      <c r="K414" s="49"/>
      <c r="L414" s="10"/>
    </row>
    <row r="415" spans="1:16" ht="15">
      <c r="B415" s="197"/>
      <c r="C415" s="218"/>
      <c r="D415" s="52"/>
      <c r="E415" s="81"/>
      <c r="F415" s="218"/>
      <c r="G415" s="218"/>
      <c r="H415" s="219"/>
      <c r="I415" s="49"/>
      <c r="J415" s="52"/>
      <c r="K415" s="49"/>
      <c r="L415" s="10"/>
    </row>
    <row r="416" spans="1:16" ht="15">
      <c r="B416" s="197"/>
      <c r="C416" s="218"/>
      <c r="D416" s="52"/>
      <c r="E416" s="81"/>
      <c r="F416" s="218"/>
      <c r="G416" s="218"/>
      <c r="H416" s="219"/>
      <c r="I416" s="49"/>
      <c r="J416" s="52"/>
      <c r="K416" s="49"/>
      <c r="L416" s="10"/>
    </row>
    <row r="417" spans="2:12" ht="15">
      <c r="B417" s="197"/>
      <c r="C417" s="218"/>
      <c r="D417" s="52"/>
      <c r="E417" s="81"/>
      <c r="F417" s="218"/>
      <c r="G417" s="218"/>
      <c r="H417" s="219"/>
      <c r="I417" s="49"/>
      <c r="J417" s="52"/>
      <c r="K417" s="49"/>
      <c r="L417" s="10"/>
    </row>
    <row r="418" spans="2:12" ht="15">
      <c r="B418" s="197"/>
      <c r="C418" s="218"/>
      <c r="D418" s="52"/>
      <c r="E418" s="81"/>
      <c r="F418" s="218"/>
      <c r="G418" s="218"/>
      <c r="H418" s="219"/>
      <c r="I418" s="49"/>
      <c r="J418" s="52"/>
      <c r="K418" s="49"/>
      <c r="L418" s="10"/>
    </row>
    <row r="419" spans="2:12" ht="15">
      <c r="B419" s="197"/>
      <c r="C419" s="218"/>
      <c r="D419" s="52"/>
      <c r="E419" s="81"/>
      <c r="F419" s="218"/>
      <c r="G419" s="218"/>
      <c r="H419" s="219"/>
      <c r="I419" s="49"/>
      <c r="J419" s="52"/>
      <c r="K419" s="49"/>
      <c r="L419" s="10"/>
    </row>
    <row r="420" spans="2:12" ht="15">
      <c r="B420" s="197"/>
      <c r="C420" s="218"/>
      <c r="D420" s="52"/>
      <c r="E420" s="81"/>
      <c r="F420" s="218"/>
      <c r="G420" s="218"/>
      <c r="H420" s="219"/>
      <c r="I420" s="49"/>
      <c r="J420" s="52"/>
      <c r="K420" s="49"/>
      <c r="L420" s="10"/>
    </row>
    <row r="421" spans="2:12" ht="15">
      <c r="B421" s="197"/>
      <c r="C421" s="218"/>
      <c r="D421" s="52"/>
      <c r="E421" s="81"/>
      <c r="F421" s="218"/>
      <c r="G421" s="218"/>
      <c r="H421" s="219"/>
      <c r="I421" s="49"/>
      <c r="J421" s="52"/>
      <c r="K421" s="49"/>
      <c r="L421" s="10"/>
    </row>
    <row r="422" spans="2:12" ht="15">
      <c r="B422" s="197"/>
      <c r="C422" s="218"/>
      <c r="D422" s="52"/>
      <c r="E422" s="81"/>
      <c r="F422" s="218"/>
      <c r="G422" s="218"/>
      <c r="H422" s="219"/>
      <c r="I422" s="49"/>
      <c r="J422" s="52"/>
      <c r="K422" s="49"/>
      <c r="L422" s="10"/>
    </row>
    <row r="423" spans="2:12" ht="15">
      <c r="B423" s="197"/>
      <c r="C423" s="218"/>
      <c r="D423" s="52"/>
      <c r="E423" s="81"/>
      <c r="F423" s="218"/>
      <c r="G423" s="218"/>
      <c r="H423" s="219"/>
      <c r="I423" s="49"/>
      <c r="J423" s="52"/>
      <c r="K423" s="49"/>
      <c r="L423" s="10"/>
    </row>
    <row r="424" spans="2:12" ht="15">
      <c r="B424" s="197"/>
      <c r="C424" s="218"/>
      <c r="D424" s="52"/>
      <c r="E424" s="81"/>
      <c r="F424" s="218"/>
      <c r="G424" s="218"/>
      <c r="H424" s="219"/>
      <c r="I424" s="49"/>
      <c r="J424" s="52"/>
      <c r="K424" s="49"/>
      <c r="L424" s="10"/>
    </row>
    <row r="425" spans="2:12" ht="15">
      <c r="B425" s="197"/>
      <c r="C425" s="218"/>
      <c r="D425" s="52"/>
      <c r="E425" s="81"/>
      <c r="F425" s="218"/>
      <c r="G425" s="218"/>
      <c r="H425" s="219"/>
      <c r="I425" s="49"/>
      <c r="J425" s="52"/>
      <c r="K425" s="49"/>
      <c r="L425" s="10"/>
    </row>
    <row r="426" spans="2:12" ht="15">
      <c r="B426" s="197"/>
      <c r="C426" s="218"/>
      <c r="D426" s="52"/>
      <c r="E426" s="81"/>
      <c r="F426" s="218"/>
      <c r="G426" s="218"/>
      <c r="H426" s="219"/>
      <c r="I426" s="49"/>
      <c r="J426" s="52"/>
      <c r="K426" s="49"/>
      <c r="L426" s="10"/>
    </row>
    <row r="427" spans="2:12" ht="15">
      <c r="B427" s="197"/>
      <c r="C427" s="218"/>
      <c r="D427" s="52"/>
      <c r="E427" s="81"/>
      <c r="F427" s="218"/>
      <c r="G427" s="218"/>
      <c r="H427" s="219"/>
      <c r="I427" s="49"/>
      <c r="J427" s="52"/>
      <c r="K427" s="49"/>
      <c r="L427" s="10"/>
    </row>
    <row r="428" spans="2:12" ht="15">
      <c r="B428" s="197"/>
      <c r="C428" s="218"/>
      <c r="D428" s="52"/>
      <c r="E428" s="81"/>
      <c r="F428" s="218"/>
      <c r="G428" s="218"/>
      <c r="H428" s="219"/>
      <c r="I428" s="49"/>
      <c r="J428" s="52"/>
      <c r="K428" s="49"/>
      <c r="L428" s="10"/>
    </row>
    <row r="429" spans="2:12" ht="15">
      <c r="B429" s="197"/>
      <c r="C429" s="218"/>
      <c r="D429" s="52"/>
      <c r="E429" s="81"/>
      <c r="F429" s="218"/>
      <c r="G429" s="218"/>
      <c r="H429" s="219"/>
      <c r="I429" s="49"/>
      <c r="J429" s="52"/>
      <c r="K429" s="49"/>
      <c r="L429" s="10"/>
    </row>
    <row r="430" spans="2:12" ht="15">
      <c r="B430" s="197"/>
      <c r="C430" s="218"/>
      <c r="D430" s="52"/>
      <c r="E430" s="81"/>
      <c r="F430" s="218"/>
      <c r="G430" s="218"/>
      <c r="H430" s="219"/>
      <c r="I430" s="49"/>
      <c r="J430" s="52"/>
      <c r="K430" s="49"/>
      <c r="L430" s="10"/>
    </row>
    <row r="431" spans="2:12" ht="15">
      <c r="B431" s="197"/>
      <c r="C431" s="218"/>
      <c r="D431" s="52"/>
      <c r="E431" s="81"/>
      <c r="F431" s="218"/>
      <c r="G431" s="218"/>
      <c r="H431" s="219"/>
      <c r="I431" s="49"/>
      <c r="J431" s="52"/>
      <c r="K431" s="49"/>
      <c r="L431" s="10"/>
    </row>
    <row r="432" spans="2:12" ht="15">
      <c r="B432" s="197"/>
      <c r="C432" s="218"/>
      <c r="D432" s="52"/>
      <c r="E432" s="81"/>
      <c r="F432" s="218"/>
      <c r="G432" s="218"/>
      <c r="H432" s="219"/>
      <c r="I432" s="49"/>
      <c r="J432" s="52"/>
      <c r="K432" s="49"/>
      <c r="L432" s="10"/>
    </row>
    <row r="433" spans="2:12" ht="15">
      <c r="B433" s="197"/>
      <c r="C433" s="218"/>
      <c r="D433" s="52"/>
      <c r="E433" s="81"/>
      <c r="F433" s="218"/>
      <c r="G433" s="218"/>
      <c r="H433" s="219"/>
      <c r="I433" s="49"/>
      <c r="J433" s="52"/>
      <c r="K433" s="49"/>
      <c r="L433" s="10"/>
    </row>
    <row r="434" spans="2:12" ht="15">
      <c r="B434" s="197"/>
      <c r="C434" s="218"/>
      <c r="D434" s="52"/>
      <c r="E434" s="81"/>
      <c r="F434" s="218"/>
      <c r="G434" s="218"/>
      <c r="H434" s="219"/>
      <c r="I434" s="49"/>
      <c r="J434" s="52"/>
      <c r="K434" s="49"/>
      <c r="L434" s="10"/>
    </row>
    <row r="435" spans="2:12" ht="15">
      <c r="B435" s="197"/>
      <c r="C435" s="218"/>
      <c r="D435" s="52"/>
      <c r="E435" s="81"/>
      <c r="F435" s="218"/>
      <c r="G435" s="218"/>
      <c r="H435" s="219"/>
      <c r="I435" s="49"/>
      <c r="J435" s="52"/>
      <c r="K435" s="49"/>
      <c r="L435" s="10"/>
    </row>
    <row r="436" spans="2:12" ht="15">
      <c r="B436" s="197"/>
      <c r="C436" s="218"/>
      <c r="D436" s="52"/>
      <c r="E436" s="81"/>
      <c r="F436" s="218"/>
      <c r="G436" s="218"/>
      <c r="H436" s="219"/>
      <c r="I436" s="49"/>
      <c r="J436" s="52"/>
      <c r="K436" s="49"/>
      <c r="L436" s="10"/>
    </row>
    <row r="437" spans="2:12" ht="15">
      <c r="B437" s="197"/>
      <c r="C437" s="218"/>
      <c r="D437" s="52"/>
      <c r="E437" s="81"/>
      <c r="F437" s="218"/>
      <c r="G437" s="218"/>
      <c r="H437" s="219"/>
      <c r="I437" s="49"/>
      <c r="J437" s="52"/>
      <c r="K437" s="49"/>
      <c r="L437" s="10"/>
    </row>
    <row r="438" spans="2:12" ht="15">
      <c r="B438" s="197"/>
      <c r="C438" s="218"/>
      <c r="D438" s="52"/>
      <c r="E438" s="81"/>
      <c r="F438" s="218"/>
      <c r="G438" s="218"/>
      <c r="H438" s="219"/>
      <c r="I438" s="49"/>
      <c r="J438" s="52"/>
      <c r="K438" s="49"/>
      <c r="L438" s="10"/>
    </row>
    <row r="439" spans="2:12" ht="15">
      <c r="B439" s="197"/>
      <c r="C439" s="218"/>
      <c r="D439" s="52"/>
      <c r="E439" s="81"/>
      <c r="F439" s="218"/>
      <c r="G439" s="218"/>
      <c r="H439" s="219"/>
      <c r="I439" s="49"/>
      <c r="J439" s="52"/>
      <c r="K439" s="49"/>
      <c r="L439" s="10"/>
    </row>
    <row r="440" spans="2:12" ht="15">
      <c r="B440" s="197"/>
      <c r="C440" s="218"/>
      <c r="D440" s="52"/>
      <c r="E440" s="81"/>
      <c r="F440" s="218"/>
      <c r="G440" s="218"/>
      <c r="H440" s="219"/>
      <c r="I440" s="49"/>
      <c r="J440" s="52"/>
      <c r="K440" s="49"/>
      <c r="L440" s="10"/>
    </row>
    <row r="441" spans="2:12" ht="15">
      <c r="B441" s="197"/>
      <c r="C441" s="218"/>
      <c r="D441" s="52"/>
      <c r="E441" s="81"/>
      <c r="F441" s="218"/>
      <c r="G441" s="218"/>
      <c r="H441" s="219"/>
      <c r="I441" s="49"/>
      <c r="J441" s="52"/>
      <c r="K441" s="49"/>
      <c r="L441" s="10"/>
    </row>
    <row r="442" spans="2:12" ht="15">
      <c r="B442" s="197"/>
      <c r="C442" s="218"/>
      <c r="D442" s="52"/>
      <c r="E442" s="81"/>
      <c r="F442" s="218"/>
      <c r="G442" s="218"/>
      <c r="H442" s="219"/>
      <c r="I442" s="49"/>
      <c r="J442" s="52"/>
      <c r="K442" s="49"/>
      <c r="L442" s="10"/>
    </row>
    <row r="443" spans="2:12" ht="15">
      <c r="B443" s="197"/>
      <c r="C443" s="218"/>
      <c r="D443" s="52"/>
      <c r="E443" s="81"/>
      <c r="F443" s="218"/>
      <c r="G443" s="218"/>
      <c r="H443" s="219"/>
      <c r="I443" s="49"/>
      <c r="J443" s="52"/>
      <c r="K443" s="49"/>
      <c r="L443" s="10"/>
    </row>
    <row r="444" spans="2:12" ht="15">
      <c r="B444" s="197"/>
      <c r="C444" s="218"/>
      <c r="D444" s="52"/>
      <c r="E444" s="81"/>
      <c r="F444" s="218"/>
      <c r="G444" s="218"/>
      <c r="H444" s="219"/>
      <c r="I444" s="49"/>
      <c r="J444" s="52"/>
      <c r="K444" s="49"/>
      <c r="L444" s="10"/>
    </row>
    <row r="445" spans="2:12" ht="15">
      <c r="B445" s="197"/>
      <c r="C445" s="218"/>
      <c r="D445" s="52"/>
      <c r="E445" s="81"/>
      <c r="F445" s="218"/>
      <c r="G445" s="218"/>
      <c r="H445" s="219"/>
      <c r="I445" s="49"/>
      <c r="J445" s="52"/>
      <c r="K445" s="49"/>
      <c r="L445" s="10"/>
    </row>
    <row r="446" spans="2:12" ht="15">
      <c r="B446" s="197"/>
      <c r="C446" s="218"/>
      <c r="D446" s="52"/>
      <c r="E446" s="81"/>
      <c r="F446" s="218"/>
      <c r="G446" s="218"/>
      <c r="H446" s="219"/>
      <c r="I446" s="49"/>
      <c r="J446" s="52"/>
      <c r="K446" s="49"/>
      <c r="L446" s="10"/>
    </row>
    <row r="447" spans="2:12" ht="15">
      <c r="B447" s="197"/>
      <c r="C447" s="218"/>
      <c r="D447" s="52"/>
      <c r="E447" s="81"/>
      <c r="F447" s="218"/>
      <c r="G447" s="218"/>
      <c r="H447" s="219"/>
      <c r="I447" s="49"/>
      <c r="J447" s="52"/>
      <c r="K447" s="49"/>
      <c r="L447" s="10"/>
    </row>
    <row r="448" spans="2:12" ht="15">
      <c r="B448" s="197"/>
      <c r="C448" s="218"/>
      <c r="D448" s="52"/>
      <c r="E448" s="81"/>
      <c r="F448" s="218"/>
      <c r="G448" s="218"/>
      <c r="H448" s="219"/>
      <c r="I448" s="49"/>
      <c r="J448" s="52"/>
      <c r="K448" s="49"/>
      <c r="L448" s="10"/>
    </row>
    <row r="449" spans="2:12" ht="15">
      <c r="B449" s="197"/>
      <c r="C449" s="218"/>
      <c r="D449" s="52"/>
      <c r="E449" s="81"/>
      <c r="F449" s="218"/>
      <c r="G449" s="218"/>
      <c r="H449" s="219"/>
      <c r="I449" s="49"/>
      <c r="J449" s="52"/>
      <c r="K449" s="49"/>
      <c r="L449" s="10"/>
    </row>
    <row r="450" spans="2:12" ht="15">
      <c r="B450" s="198"/>
      <c r="C450" s="220"/>
      <c r="D450" s="164"/>
      <c r="E450" s="165"/>
      <c r="F450" s="220"/>
      <c r="G450" s="220"/>
      <c r="H450" s="221"/>
      <c r="I450" s="167"/>
      <c r="J450" s="164"/>
      <c r="K450" s="167"/>
      <c r="L450" s="10"/>
    </row>
  </sheetData>
  <conditionalFormatting sqref="B27:B28">
    <cfRule type="duplicateValues" dxfId="759" priority="47"/>
  </conditionalFormatting>
  <conditionalFormatting sqref="B55">
    <cfRule type="duplicateValues" dxfId="758" priority="52"/>
  </conditionalFormatting>
  <conditionalFormatting sqref="B63:B64">
    <cfRule type="duplicateValues" dxfId="757" priority="1"/>
  </conditionalFormatting>
  <conditionalFormatting sqref="B72">
    <cfRule type="duplicateValues" dxfId="756" priority="24"/>
  </conditionalFormatting>
  <conditionalFormatting sqref="B100">
    <cfRule type="duplicateValues" dxfId="755" priority="42"/>
  </conditionalFormatting>
  <conditionalFormatting sqref="B168:B177">
    <cfRule type="duplicateValues" dxfId="754" priority="21"/>
  </conditionalFormatting>
  <conditionalFormatting sqref="B178">
    <cfRule type="duplicateValues" dxfId="753" priority="20"/>
  </conditionalFormatting>
  <conditionalFormatting sqref="B182">
    <cfRule type="duplicateValues" dxfId="752" priority="36"/>
  </conditionalFormatting>
  <conditionalFormatting sqref="B183">
    <cfRule type="duplicateValues" dxfId="751" priority="19"/>
  </conditionalFormatting>
  <conditionalFormatting sqref="B184:B185">
    <cfRule type="duplicateValues" dxfId="750" priority="18"/>
  </conditionalFormatting>
  <conditionalFormatting sqref="B186">
    <cfRule type="duplicateValues" dxfId="749" priority="17"/>
  </conditionalFormatting>
  <conditionalFormatting sqref="B190">
    <cfRule type="duplicateValues" dxfId="748" priority="15"/>
  </conditionalFormatting>
  <conditionalFormatting sqref="B191 B187:B189">
    <cfRule type="duplicateValues" dxfId="747" priority="16"/>
  </conditionalFormatting>
  <conditionalFormatting sqref="B204:B217">
    <cfRule type="duplicateValues" dxfId="746" priority="51"/>
  </conditionalFormatting>
  <conditionalFormatting sqref="B207">
    <cfRule type="duplicateValues" dxfId="745" priority="32"/>
    <cfRule type="duplicateValues" dxfId="744" priority="33"/>
  </conditionalFormatting>
  <conditionalFormatting sqref="B208">
    <cfRule type="duplicateValues" dxfId="743" priority="34"/>
    <cfRule type="duplicateValues" dxfId="742" priority="35"/>
  </conditionalFormatting>
  <conditionalFormatting sqref="B212">
    <cfRule type="duplicateValues" dxfId="741" priority="46"/>
  </conditionalFormatting>
  <conditionalFormatting sqref="B215">
    <cfRule type="duplicateValues" dxfId="740" priority="31"/>
  </conditionalFormatting>
  <conditionalFormatting sqref="B221:B223">
    <cfRule type="duplicateValues" dxfId="739" priority="30"/>
  </conditionalFormatting>
  <conditionalFormatting sqref="B225">
    <cfRule type="duplicateValues" dxfId="738" priority="40"/>
  </conditionalFormatting>
  <conditionalFormatting sqref="B230 B232">
    <cfRule type="duplicateValues" dxfId="737" priority="44"/>
  </conditionalFormatting>
  <conditionalFormatting sqref="B231">
    <cfRule type="duplicateValues" dxfId="736" priority="37"/>
  </conditionalFormatting>
  <conditionalFormatting sqref="B237">
    <cfRule type="duplicateValues" dxfId="735" priority="28"/>
  </conditionalFormatting>
  <conditionalFormatting sqref="B238">
    <cfRule type="duplicateValues" dxfId="734" priority="29"/>
  </conditionalFormatting>
  <conditionalFormatting sqref="B246">
    <cfRule type="duplicateValues" dxfId="733" priority="27"/>
  </conditionalFormatting>
  <conditionalFormatting sqref="B248">
    <cfRule type="duplicateValues" dxfId="732" priority="26"/>
  </conditionalFormatting>
  <conditionalFormatting sqref="B255">
    <cfRule type="duplicateValues" dxfId="731" priority="25"/>
  </conditionalFormatting>
  <conditionalFormatting sqref="B257">
    <cfRule type="duplicateValues" dxfId="730" priority="160"/>
  </conditionalFormatting>
  <conditionalFormatting sqref="B265">
    <cfRule type="duplicateValues" dxfId="729" priority="38"/>
  </conditionalFormatting>
  <conditionalFormatting sqref="B268">
    <cfRule type="duplicateValues" dxfId="728" priority="43"/>
  </conditionalFormatting>
  <conditionalFormatting sqref="B274">
    <cfRule type="duplicateValues" dxfId="727" priority="48"/>
  </conditionalFormatting>
  <conditionalFormatting sqref="B334">
    <cfRule type="duplicateValues" dxfId="726" priority="45"/>
  </conditionalFormatting>
  <conditionalFormatting sqref="B339:B398">
    <cfRule type="duplicateValues" dxfId="725" priority="383"/>
  </conditionalFormatting>
  <conditionalFormatting sqref="B399:B401">
    <cfRule type="duplicateValues" dxfId="724" priority="7"/>
    <cfRule type="duplicateValues" dxfId="723" priority="8"/>
  </conditionalFormatting>
  <conditionalFormatting sqref="B404:B410">
    <cfRule type="duplicateValues" dxfId="722" priority="407"/>
    <cfRule type="duplicateValues" dxfId="721" priority="408"/>
  </conditionalFormatting>
  <conditionalFormatting sqref="B411:B1048576 B402:B403 B335:B398 B224 B28:B39 B233:B236 B269:B273 B258:B264 B266:B267 B206:B220 B239:B245 B247 B249:B254 B179:B181 B2:B26 B256 B73:B99 B226:B229 B275:B333 B41:B54 B56:B62 B65:B71 B101:B167 B192:B203">
    <cfRule type="duplicateValues" dxfId="720" priority="50"/>
  </conditionalFormatting>
  <conditionalFormatting sqref="O1 O411:O1048576 P2:P410">
    <cfRule type="cellIs" dxfId="719" priority="9" operator="equal">
      <formula>"ok"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0" fitToHeight="10" orientation="landscape" r:id="rId1"/>
  <headerFooter>
    <oddHeader>&amp;L&amp;"Arial"&amp;8&amp;K000000INTERNAL&amp;1#</oddHeader>
    <oddFooter>&amp;CFecha rev – Planeamiento – CC:8760 – KSU: 4.2- Interno
&amp;R &amp;P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450"/>
  <sheetViews>
    <sheetView zoomScale="87" zoomScaleNormal="85" workbookViewId="0">
      <pane xSplit="2" ySplit="2" topLeftCell="D45" activePane="bottomRight" state="frozen"/>
      <selection pane="bottomRight" activeCell="I54" sqref="I54"/>
      <selection pane="bottomLeft" activeCell="I69" sqref="I69"/>
      <selection pane="topRight" activeCell="I69" sqref="I69"/>
    </sheetView>
  </sheetViews>
  <sheetFormatPr defaultColWidth="9.140625" defaultRowHeight="14.45"/>
  <cols>
    <col min="1" max="1" width="4.28515625" style="65" customWidth="1"/>
    <col min="2" max="2" width="20.140625" style="66" customWidth="1"/>
    <col min="3" max="3" width="52.140625" style="10" bestFit="1" customWidth="1"/>
    <col min="4" max="4" width="14.85546875" style="65" customWidth="1"/>
    <col min="5" max="5" width="15.140625" style="10" customWidth="1"/>
    <col min="6" max="6" width="16.28515625" style="10" customWidth="1"/>
    <col min="7" max="7" width="15.7109375" style="10" customWidth="1"/>
    <col min="8" max="8" width="19.7109375" style="65" customWidth="1"/>
    <col min="9" max="9" width="27.7109375" style="10" customWidth="1"/>
    <col min="10" max="10" width="8.5703125" style="65" customWidth="1"/>
    <col min="11" max="11" width="22.85546875" style="10" customWidth="1"/>
    <col min="12" max="12" width="25.5703125" style="75" hidden="1" customWidth="1"/>
    <col min="13" max="13" width="7.7109375" style="10" hidden="1" customWidth="1"/>
    <col min="14" max="14" width="30.42578125" style="10" hidden="1" customWidth="1"/>
    <col min="15" max="15" width="16.5703125" style="10" hidden="1" customWidth="1"/>
    <col min="16" max="16384" width="9.140625" style="10"/>
  </cols>
  <sheetData>
    <row r="1" spans="1:16">
      <c r="A1" s="70" t="s">
        <v>2854</v>
      </c>
      <c r="B1" s="71"/>
      <c r="C1" s="71"/>
      <c r="D1" s="72"/>
      <c r="E1" s="71"/>
      <c r="F1" s="71"/>
      <c r="G1" s="71"/>
      <c r="H1" s="71"/>
      <c r="I1" s="71"/>
      <c r="J1" s="73" t="s">
        <v>2371</v>
      </c>
      <c r="K1" s="74">
        <f>+BOM!D2</f>
        <v>45953</v>
      </c>
    </row>
    <row r="2" spans="1:16" ht="39.75" customHeight="1">
      <c r="A2" s="152" t="s">
        <v>2372</v>
      </c>
      <c r="B2" s="154" t="s">
        <v>2373</v>
      </c>
      <c r="C2" s="155" t="s">
        <v>2374</v>
      </c>
      <c r="D2" s="156" t="s">
        <v>2375</v>
      </c>
      <c r="E2" s="157" t="s">
        <v>2376</v>
      </c>
      <c r="F2" s="158" t="s">
        <v>2377</v>
      </c>
      <c r="G2" s="159" t="s">
        <v>2378</v>
      </c>
      <c r="H2" s="160" t="s">
        <v>2379</v>
      </c>
      <c r="I2" s="159" t="s">
        <v>2380</v>
      </c>
      <c r="J2" s="159" t="s">
        <v>2381</v>
      </c>
      <c r="K2" s="161" t="s">
        <v>2382</v>
      </c>
      <c r="L2" s="185" t="s">
        <v>2383</v>
      </c>
      <c r="M2" s="51" t="s">
        <v>2384</v>
      </c>
    </row>
    <row r="3" spans="1:16" ht="15">
      <c r="A3" s="153">
        <v>1</v>
      </c>
      <c r="B3" s="53" t="s">
        <v>1763</v>
      </c>
      <c r="C3" s="126" t="s">
        <v>287</v>
      </c>
      <c r="D3" s="55">
        <v>1</v>
      </c>
      <c r="E3" s="47" t="s">
        <v>2385</v>
      </c>
      <c r="F3" s="126" t="s">
        <v>289</v>
      </c>
      <c r="G3" s="126" t="s">
        <v>1667</v>
      </c>
      <c r="H3" s="127">
        <v>1</v>
      </c>
      <c r="I3" s="49" t="s">
        <v>2855</v>
      </c>
      <c r="J3" s="52"/>
      <c r="K3" s="49"/>
      <c r="L3" s="49" t="s">
        <v>2856</v>
      </c>
      <c r="M3" s="76">
        <v>45429</v>
      </c>
      <c r="N3" s="128">
        <f>+VLOOKUP(B3,BOM!$A$8:$AB$1078,27,0)</f>
        <v>1</v>
      </c>
      <c r="O3" s="129">
        <f>+VLOOKUP(B3,BOM!$A$8:$AB$1078,28,0)</f>
        <v>0</v>
      </c>
      <c r="P3" s="10">
        <v>1</v>
      </c>
    </row>
    <row r="4" spans="1:16" ht="15">
      <c r="A4" s="153">
        <v>2</v>
      </c>
      <c r="B4" s="59" t="s">
        <v>1710</v>
      </c>
      <c r="C4" s="126" t="s">
        <v>193</v>
      </c>
      <c r="D4" s="55">
        <v>1</v>
      </c>
      <c r="E4" s="52" t="s">
        <v>2388</v>
      </c>
      <c r="F4" s="126" t="s">
        <v>195</v>
      </c>
      <c r="G4" s="126" t="s">
        <v>1667</v>
      </c>
      <c r="H4" s="127">
        <v>1</v>
      </c>
      <c r="I4" s="49" t="s">
        <v>2389</v>
      </c>
      <c r="J4" s="52"/>
      <c r="K4" s="49" t="s">
        <v>2857</v>
      </c>
      <c r="L4" s="49" t="s">
        <v>2858</v>
      </c>
      <c r="M4" s="76">
        <v>45429</v>
      </c>
      <c r="N4" s="128">
        <f>+VLOOKUP(B4,BOM!$A$8:$AB$1078,27,0)</f>
        <v>1</v>
      </c>
      <c r="O4" s="129" t="str">
        <f>+VLOOKUP(B4,BOM!$A$8:$AB$1078,28,0)</f>
        <v>A</v>
      </c>
      <c r="P4" s="10" t="str">
        <f t="shared" ref="P4:P35" si="0">+IF(N4=D4,"ok","")</f>
        <v>ok</v>
      </c>
    </row>
    <row r="5" spans="1:16" ht="15">
      <c r="A5" s="153">
        <v>3</v>
      </c>
      <c r="B5" s="53" t="s">
        <v>2349</v>
      </c>
      <c r="C5" s="126" t="s">
        <v>2351</v>
      </c>
      <c r="D5" s="55">
        <v>1</v>
      </c>
      <c r="E5" s="52" t="s">
        <v>2391</v>
      </c>
      <c r="F5" s="126" t="s">
        <v>2352</v>
      </c>
      <c r="G5" s="126" t="s">
        <v>1667</v>
      </c>
      <c r="H5" s="127">
        <v>1</v>
      </c>
      <c r="I5" s="49" t="s">
        <v>2449</v>
      </c>
      <c r="J5" s="52"/>
      <c r="K5" s="49"/>
      <c r="L5" s="49" t="s">
        <v>2859</v>
      </c>
      <c r="M5" s="76">
        <v>45429</v>
      </c>
      <c r="N5" s="128">
        <f>+VLOOKUP(B5,BOM!$A$8:$AB$1078,27,0)</f>
        <v>1</v>
      </c>
      <c r="O5" s="129" t="str">
        <f>+VLOOKUP(B5,BOM!$A$8:$AB$1078,28,0)</f>
        <v>C</v>
      </c>
      <c r="P5" s="10" t="str">
        <f t="shared" si="0"/>
        <v>ok</v>
      </c>
    </row>
    <row r="6" spans="1:16" ht="15">
      <c r="A6" s="153">
        <v>4</v>
      </c>
      <c r="B6" s="53" t="s">
        <v>67</v>
      </c>
      <c r="C6" s="126" t="s">
        <v>69</v>
      </c>
      <c r="D6" s="55">
        <v>1</v>
      </c>
      <c r="E6" s="52" t="s">
        <v>2391</v>
      </c>
      <c r="F6" s="126" t="s">
        <v>70</v>
      </c>
      <c r="G6" s="126" t="s">
        <v>1667</v>
      </c>
      <c r="H6" s="127">
        <v>1</v>
      </c>
      <c r="I6" s="49" t="s">
        <v>2392</v>
      </c>
      <c r="J6" s="52"/>
      <c r="K6" s="49"/>
      <c r="L6" s="49" t="s">
        <v>2860</v>
      </c>
      <c r="M6" s="76">
        <v>45429</v>
      </c>
      <c r="N6" s="128">
        <f>+VLOOKUP(B6,BOM!$A$8:$AB$1078,27,0)</f>
        <v>1</v>
      </c>
      <c r="O6" s="129" t="str">
        <f>+VLOOKUP(B6,BOM!$A$8:$AB$1078,28,0)</f>
        <v>C</v>
      </c>
      <c r="P6" s="10" t="str">
        <f t="shared" si="0"/>
        <v>ok</v>
      </c>
    </row>
    <row r="7" spans="1:16" ht="15">
      <c r="A7" s="153">
        <v>5</v>
      </c>
      <c r="B7" s="53" t="s">
        <v>1725</v>
      </c>
      <c r="C7" s="126" t="s">
        <v>1726</v>
      </c>
      <c r="D7" s="55">
        <v>7</v>
      </c>
      <c r="E7" s="52" t="s">
        <v>2394</v>
      </c>
      <c r="F7" s="126" t="s">
        <v>230</v>
      </c>
      <c r="G7" s="126" t="s">
        <v>1667</v>
      </c>
      <c r="H7" s="127">
        <v>7</v>
      </c>
      <c r="I7" s="49" t="s">
        <v>2395</v>
      </c>
      <c r="J7" s="52"/>
      <c r="K7" s="49"/>
      <c r="L7" s="49" t="s">
        <v>2861</v>
      </c>
      <c r="M7" s="76">
        <v>45429</v>
      </c>
      <c r="N7" s="128">
        <f>+VLOOKUP(B7,BOM!$A$8:$AB$1078,27,0)</f>
        <v>7</v>
      </c>
      <c r="O7" s="129">
        <f>+VLOOKUP(B7,BOM!$A$8:$AB$1078,28,0)</f>
        <v>4</v>
      </c>
      <c r="P7" s="10" t="str">
        <f t="shared" si="0"/>
        <v>ok</v>
      </c>
    </row>
    <row r="8" spans="1:16" ht="15">
      <c r="A8" s="153">
        <v>6</v>
      </c>
      <c r="B8" s="53" t="s">
        <v>190</v>
      </c>
      <c r="C8" s="126" t="s">
        <v>191</v>
      </c>
      <c r="D8" s="55">
        <v>1</v>
      </c>
      <c r="E8" s="52" t="s">
        <v>2385</v>
      </c>
      <c r="F8" s="126" t="s">
        <v>18</v>
      </c>
      <c r="G8" s="126" t="s">
        <v>1667</v>
      </c>
      <c r="H8" s="127">
        <v>1</v>
      </c>
      <c r="I8" s="49" t="s">
        <v>2386</v>
      </c>
      <c r="J8" s="52" t="s">
        <v>2397</v>
      </c>
      <c r="K8" s="139"/>
      <c r="L8" s="139" t="s">
        <v>2862</v>
      </c>
      <c r="M8" s="76">
        <v>45429</v>
      </c>
      <c r="N8" s="128">
        <f>+VLOOKUP(B8,BOM!$A$8:$AB$1078,27,0)</f>
        <v>1</v>
      </c>
      <c r="O8" s="129">
        <f>+VLOOKUP(B8,BOM!$A$8:$AB$1078,28,0)</f>
        <v>0</v>
      </c>
      <c r="P8" s="10" t="str">
        <f t="shared" si="0"/>
        <v>ok</v>
      </c>
    </row>
    <row r="9" spans="1:16" ht="15">
      <c r="A9" s="153">
        <v>7</v>
      </c>
      <c r="B9" s="53" t="s">
        <v>253</v>
      </c>
      <c r="C9" s="126" t="s">
        <v>254</v>
      </c>
      <c r="D9" s="55">
        <v>1</v>
      </c>
      <c r="E9" s="52" t="s">
        <v>2385</v>
      </c>
      <c r="F9" s="126" t="s">
        <v>18</v>
      </c>
      <c r="G9" s="126" t="s">
        <v>1667</v>
      </c>
      <c r="H9" s="127">
        <v>1</v>
      </c>
      <c r="I9" s="49" t="s">
        <v>2386</v>
      </c>
      <c r="J9" s="52" t="s">
        <v>2397</v>
      </c>
      <c r="K9" s="49"/>
      <c r="L9" s="49" t="s">
        <v>2863</v>
      </c>
      <c r="M9" s="76">
        <v>45429</v>
      </c>
      <c r="N9" s="128">
        <f>+VLOOKUP(B9,BOM!$A$8:$AB$1078,27,0)</f>
        <v>1</v>
      </c>
      <c r="O9" s="129">
        <f>+VLOOKUP(B9,BOM!$A$8:$AB$1078,28,0)</f>
        <v>0</v>
      </c>
      <c r="P9" s="10" t="str">
        <f t="shared" si="0"/>
        <v>ok</v>
      </c>
    </row>
    <row r="10" spans="1:16" ht="15">
      <c r="A10" s="153">
        <v>8</v>
      </c>
      <c r="B10" s="53" t="s">
        <v>280</v>
      </c>
      <c r="C10" s="126" t="s">
        <v>282</v>
      </c>
      <c r="D10" s="55">
        <v>1</v>
      </c>
      <c r="E10" s="52" t="s">
        <v>2385</v>
      </c>
      <c r="F10" s="126" t="s">
        <v>18</v>
      </c>
      <c r="G10" s="126" t="s">
        <v>1667</v>
      </c>
      <c r="H10" s="127">
        <v>1</v>
      </c>
      <c r="I10" s="49" t="s">
        <v>2386</v>
      </c>
      <c r="J10" s="52" t="s">
        <v>2397</v>
      </c>
      <c r="K10" s="49"/>
      <c r="L10" s="49" t="s">
        <v>2864</v>
      </c>
      <c r="M10" s="76">
        <v>45429</v>
      </c>
      <c r="N10" s="128">
        <f>+VLOOKUP(B10,BOM!$A$8:$AB$1078,27,0)</f>
        <v>1</v>
      </c>
      <c r="O10" s="129">
        <f>+VLOOKUP(B10,BOM!$A$8:$AB$1078,28,0)</f>
        <v>0</v>
      </c>
      <c r="P10" s="10" t="str">
        <f t="shared" si="0"/>
        <v>ok</v>
      </c>
    </row>
    <row r="11" spans="1:16" ht="15">
      <c r="A11" s="153">
        <v>9</v>
      </c>
      <c r="B11" s="53" t="s">
        <v>283</v>
      </c>
      <c r="C11" s="126" t="s">
        <v>284</v>
      </c>
      <c r="D11" s="55">
        <v>1</v>
      </c>
      <c r="E11" s="52" t="s">
        <v>2385</v>
      </c>
      <c r="F11" s="126" t="s">
        <v>18</v>
      </c>
      <c r="G11" s="126" t="s">
        <v>1667</v>
      </c>
      <c r="H11" s="127">
        <v>1</v>
      </c>
      <c r="I11" s="49" t="s">
        <v>2386</v>
      </c>
      <c r="J11" s="52" t="s">
        <v>2397</v>
      </c>
      <c r="K11" s="49"/>
      <c r="L11" s="49" t="s">
        <v>2865</v>
      </c>
      <c r="M11" s="76">
        <v>45429</v>
      </c>
      <c r="N11" s="128">
        <f>+VLOOKUP(B11,BOM!$A$8:$AB$1078,27,0)</f>
        <v>1</v>
      </c>
      <c r="O11" s="129">
        <f>+VLOOKUP(B11,BOM!$A$8:$AB$1078,28,0)</f>
        <v>0</v>
      </c>
      <c r="P11" s="10" t="str">
        <f t="shared" si="0"/>
        <v>ok</v>
      </c>
    </row>
    <row r="12" spans="1:16" ht="15">
      <c r="A12" s="153">
        <v>10</v>
      </c>
      <c r="B12" s="53" t="s">
        <v>290</v>
      </c>
      <c r="C12" s="126" t="s">
        <v>292</v>
      </c>
      <c r="D12" s="55">
        <v>2</v>
      </c>
      <c r="E12" s="52" t="s">
        <v>2385</v>
      </c>
      <c r="F12" s="126" t="s">
        <v>18</v>
      </c>
      <c r="G12" s="126" t="s">
        <v>1667</v>
      </c>
      <c r="H12" s="127">
        <v>2</v>
      </c>
      <c r="I12" s="49" t="s">
        <v>2386</v>
      </c>
      <c r="J12" s="52" t="s">
        <v>2397</v>
      </c>
      <c r="K12" s="49"/>
      <c r="L12" s="49" t="s">
        <v>2866</v>
      </c>
      <c r="M12" s="76">
        <v>45429</v>
      </c>
      <c r="N12" s="128">
        <f>+VLOOKUP(B12,BOM!$A$8:$AB$1078,27,0)</f>
        <v>2</v>
      </c>
      <c r="O12" s="129">
        <f>+VLOOKUP(B12,BOM!$A$8:$AB$1078,28,0)</f>
        <v>0</v>
      </c>
      <c r="P12" s="10" t="str">
        <f t="shared" si="0"/>
        <v>ok</v>
      </c>
    </row>
    <row r="13" spans="1:16" ht="15">
      <c r="A13" s="153">
        <v>11</v>
      </c>
      <c r="B13" s="53" t="s">
        <v>309</v>
      </c>
      <c r="C13" s="126" t="s">
        <v>310</v>
      </c>
      <c r="D13" s="55">
        <v>2</v>
      </c>
      <c r="E13" s="52" t="s">
        <v>2385</v>
      </c>
      <c r="F13" s="126" t="s">
        <v>18</v>
      </c>
      <c r="G13" s="126" t="s">
        <v>1667</v>
      </c>
      <c r="H13" s="127">
        <v>2</v>
      </c>
      <c r="I13" s="49" t="s">
        <v>2386</v>
      </c>
      <c r="J13" s="52" t="s">
        <v>2397</v>
      </c>
      <c r="K13" s="49"/>
      <c r="L13" s="49" t="s">
        <v>2867</v>
      </c>
      <c r="M13" s="76">
        <v>45429</v>
      </c>
      <c r="N13" s="128">
        <f>+VLOOKUP(B13,BOM!$A$8:$AB$1078,27,0)</f>
        <v>2</v>
      </c>
      <c r="O13" s="129">
        <f>+VLOOKUP(B13,BOM!$A$8:$AB$1078,28,0)</f>
        <v>0</v>
      </c>
      <c r="P13" s="10" t="str">
        <f t="shared" si="0"/>
        <v>ok</v>
      </c>
    </row>
    <row r="14" spans="1:16" ht="15">
      <c r="A14" s="153">
        <v>12</v>
      </c>
      <c r="B14" s="53" t="s">
        <v>311</v>
      </c>
      <c r="C14" s="126" t="s">
        <v>313</v>
      </c>
      <c r="D14" s="55">
        <v>1</v>
      </c>
      <c r="E14" s="52" t="s">
        <v>2385</v>
      </c>
      <c r="F14" s="126" t="s">
        <v>18</v>
      </c>
      <c r="G14" s="126" t="s">
        <v>1667</v>
      </c>
      <c r="H14" s="127">
        <v>1</v>
      </c>
      <c r="I14" s="49" t="s">
        <v>2386</v>
      </c>
      <c r="J14" s="52" t="s">
        <v>2397</v>
      </c>
      <c r="K14" s="49"/>
      <c r="L14" s="49" t="s">
        <v>2868</v>
      </c>
      <c r="M14" s="76">
        <v>45429</v>
      </c>
      <c r="N14" s="128">
        <f>+VLOOKUP(B14,BOM!$A$8:$AB$1078,27,0)</f>
        <v>1</v>
      </c>
      <c r="O14" s="129">
        <f>+VLOOKUP(B14,BOM!$A$8:$AB$1078,28,0)</f>
        <v>0</v>
      </c>
      <c r="P14" s="10" t="str">
        <f t="shared" si="0"/>
        <v>ok</v>
      </c>
    </row>
    <row r="15" spans="1:16" ht="15">
      <c r="A15" s="153">
        <v>13</v>
      </c>
      <c r="B15" s="53" t="s">
        <v>1779</v>
      </c>
      <c r="C15" s="126" t="s">
        <v>1780</v>
      </c>
      <c r="D15" s="55">
        <v>1</v>
      </c>
      <c r="E15" s="56" t="s">
        <v>2385</v>
      </c>
      <c r="F15" s="126" t="s">
        <v>18</v>
      </c>
      <c r="G15" s="126" t="s">
        <v>1667</v>
      </c>
      <c r="H15" s="127">
        <v>1</v>
      </c>
      <c r="I15" s="49" t="s">
        <v>2386</v>
      </c>
      <c r="J15" s="52" t="s">
        <v>2397</v>
      </c>
      <c r="K15" s="49" t="s">
        <v>2869</v>
      </c>
      <c r="L15" s="49" t="s">
        <v>2870</v>
      </c>
      <c r="M15" s="76">
        <v>45429</v>
      </c>
      <c r="N15" s="128">
        <f>+VLOOKUP(B15,BOM!$A$8:$AB$1078,27,0)</f>
        <v>1</v>
      </c>
      <c r="O15" s="129">
        <f>+VLOOKUP(B15,BOM!$A$8:$AB$1078,28,0)</f>
        <v>0</v>
      </c>
      <c r="P15" s="10" t="str">
        <f t="shared" si="0"/>
        <v>ok</v>
      </c>
    </row>
    <row r="16" spans="1:16" ht="15">
      <c r="A16" s="153">
        <v>14</v>
      </c>
      <c r="B16" s="60" t="s">
        <v>401</v>
      </c>
      <c r="C16" s="126" t="s">
        <v>403</v>
      </c>
      <c r="D16" s="55">
        <v>1</v>
      </c>
      <c r="E16" s="56" t="s">
        <v>2385</v>
      </c>
      <c r="F16" s="126" t="s">
        <v>18</v>
      </c>
      <c r="G16" s="126" t="s">
        <v>1667</v>
      </c>
      <c r="H16" s="127">
        <v>1</v>
      </c>
      <c r="I16" s="49" t="s">
        <v>2386</v>
      </c>
      <c r="J16" s="52" t="s">
        <v>2397</v>
      </c>
      <c r="K16" s="49"/>
      <c r="L16" s="49" t="s">
        <v>2871</v>
      </c>
      <c r="M16" s="76">
        <v>45429</v>
      </c>
      <c r="N16" s="128">
        <f>+VLOOKUP(B16,BOM!$A$8:$AB$1078,27,0)</f>
        <v>1</v>
      </c>
      <c r="O16" s="129">
        <f>+VLOOKUP(B16,BOM!$A$8:$AB$1078,28,0)</f>
        <v>0</v>
      </c>
      <c r="P16" s="10" t="str">
        <f t="shared" si="0"/>
        <v>ok</v>
      </c>
    </row>
    <row r="17" spans="1:16" ht="15">
      <c r="A17" s="153">
        <v>15</v>
      </c>
      <c r="B17" s="53" t="s">
        <v>406</v>
      </c>
      <c r="C17" s="126" t="s">
        <v>407</v>
      </c>
      <c r="D17" s="52">
        <v>1</v>
      </c>
      <c r="E17" s="81" t="s">
        <v>2385</v>
      </c>
      <c r="F17" s="126" t="s">
        <v>18</v>
      </c>
      <c r="G17" s="126" t="s">
        <v>1667</v>
      </c>
      <c r="H17" s="127">
        <v>1</v>
      </c>
      <c r="I17" s="49" t="s">
        <v>2386</v>
      </c>
      <c r="J17" s="52" t="s">
        <v>2397</v>
      </c>
      <c r="K17" s="49"/>
      <c r="L17" s="49" t="s">
        <v>2872</v>
      </c>
      <c r="M17" s="76">
        <v>45702</v>
      </c>
      <c r="N17" s="128">
        <f>+VLOOKUP(B17,BOM!$A$8:$AB$1078,27,0)</f>
        <v>1</v>
      </c>
      <c r="O17" s="129">
        <f>+VLOOKUP(B17,BOM!$A$8:$AB$1078,28,0)</f>
        <v>0</v>
      </c>
      <c r="P17" s="10" t="str">
        <f t="shared" si="0"/>
        <v>ok</v>
      </c>
    </row>
    <row r="18" spans="1:16" ht="15">
      <c r="A18" s="153">
        <v>16</v>
      </c>
      <c r="B18" s="53" t="s">
        <v>429</v>
      </c>
      <c r="C18" s="126" t="s">
        <v>431</v>
      </c>
      <c r="D18" s="55">
        <v>1</v>
      </c>
      <c r="E18" s="52" t="s">
        <v>2385</v>
      </c>
      <c r="F18" s="126" t="s">
        <v>18</v>
      </c>
      <c r="G18" s="126" t="s">
        <v>1667</v>
      </c>
      <c r="H18" s="127">
        <v>1</v>
      </c>
      <c r="I18" s="49" t="s">
        <v>2386</v>
      </c>
      <c r="J18" s="52" t="s">
        <v>2397</v>
      </c>
      <c r="K18" s="49"/>
      <c r="L18" s="49" t="s">
        <v>2873</v>
      </c>
      <c r="M18" s="76">
        <v>45429</v>
      </c>
      <c r="N18" s="128">
        <f>+VLOOKUP(B18,BOM!$A$8:$AB$1078,27,0)</f>
        <v>1</v>
      </c>
      <c r="O18" s="129">
        <f>+VLOOKUP(B18,BOM!$A$8:$AB$1078,28,0)</f>
        <v>0</v>
      </c>
      <c r="P18" s="10" t="str">
        <f t="shared" si="0"/>
        <v>ok</v>
      </c>
    </row>
    <row r="19" spans="1:16" ht="15">
      <c r="A19" s="153">
        <v>17</v>
      </c>
      <c r="B19" s="53" t="s">
        <v>437</v>
      </c>
      <c r="C19" s="126" t="s">
        <v>439</v>
      </c>
      <c r="D19" s="55">
        <v>1</v>
      </c>
      <c r="E19" s="52" t="s">
        <v>2385</v>
      </c>
      <c r="F19" s="126" t="s">
        <v>18</v>
      </c>
      <c r="G19" s="126" t="s">
        <v>1667</v>
      </c>
      <c r="H19" s="127">
        <v>1</v>
      </c>
      <c r="I19" s="49" t="s">
        <v>2386</v>
      </c>
      <c r="J19" s="52" t="s">
        <v>2397</v>
      </c>
      <c r="K19" s="49"/>
      <c r="L19" s="49" t="s">
        <v>2874</v>
      </c>
      <c r="M19" s="76">
        <v>45429</v>
      </c>
      <c r="N19" s="128">
        <f>+VLOOKUP(B19,BOM!$A$8:$AB$1078,27,0)</f>
        <v>1</v>
      </c>
      <c r="O19" s="129">
        <f>+VLOOKUP(B19,BOM!$A$8:$AB$1078,28,0)</f>
        <v>0</v>
      </c>
      <c r="P19" s="10" t="str">
        <f t="shared" si="0"/>
        <v>ok</v>
      </c>
    </row>
    <row r="20" spans="1:16" ht="15">
      <c r="A20" s="153">
        <v>18</v>
      </c>
      <c r="B20" s="53" t="s">
        <v>1800</v>
      </c>
      <c r="C20" s="126" t="s">
        <v>1801</v>
      </c>
      <c r="D20" s="52">
        <v>1</v>
      </c>
      <c r="E20" s="81" t="s">
        <v>2385</v>
      </c>
      <c r="F20" s="126" t="s">
        <v>18</v>
      </c>
      <c r="G20" s="126" t="s">
        <v>1667</v>
      </c>
      <c r="H20" s="127">
        <v>1</v>
      </c>
      <c r="I20" s="49" t="s">
        <v>2386</v>
      </c>
      <c r="J20" s="52" t="s">
        <v>2397</v>
      </c>
      <c r="K20" s="68"/>
      <c r="L20" s="68" t="s">
        <v>2875</v>
      </c>
      <c r="M20" s="76">
        <v>45702</v>
      </c>
      <c r="N20" s="128">
        <f>+VLOOKUP(B20,BOM!$A$8:$AB$1078,27,0)</f>
        <v>1</v>
      </c>
      <c r="O20" s="129">
        <f>+VLOOKUP(B20,BOM!$A$8:$AB$1078,28,0)</f>
        <v>0</v>
      </c>
      <c r="P20" s="10" t="str">
        <f t="shared" si="0"/>
        <v>ok</v>
      </c>
    </row>
    <row r="21" spans="1:16" ht="15">
      <c r="A21" s="153">
        <v>19</v>
      </c>
      <c r="B21" s="53" t="s">
        <v>472</v>
      </c>
      <c r="C21" s="126" t="s">
        <v>474</v>
      </c>
      <c r="D21" s="55">
        <v>2</v>
      </c>
      <c r="E21" s="52" t="s">
        <v>2385</v>
      </c>
      <c r="F21" s="126" t="s">
        <v>18</v>
      </c>
      <c r="G21" s="126" t="s">
        <v>1667</v>
      </c>
      <c r="H21" s="127">
        <v>2</v>
      </c>
      <c r="I21" s="49" t="s">
        <v>2386</v>
      </c>
      <c r="J21" s="52" t="s">
        <v>2397</v>
      </c>
      <c r="K21" s="49"/>
      <c r="L21" s="49" t="s">
        <v>2876</v>
      </c>
      <c r="M21" s="76">
        <v>45429</v>
      </c>
      <c r="N21" s="128">
        <f>+VLOOKUP(B21,BOM!$A$8:$AB$1078,27,0)</f>
        <v>2</v>
      </c>
      <c r="O21" s="129">
        <f>+VLOOKUP(B21,BOM!$A$8:$AB$1078,28,0)</f>
        <v>0</v>
      </c>
      <c r="P21" s="10" t="str">
        <f t="shared" si="0"/>
        <v>ok</v>
      </c>
    </row>
    <row r="22" spans="1:16" ht="15">
      <c r="A22" s="153">
        <v>20</v>
      </c>
      <c r="B22" s="53" t="s">
        <v>178</v>
      </c>
      <c r="C22" s="126" t="s">
        <v>179</v>
      </c>
      <c r="D22" s="55">
        <v>1</v>
      </c>
      <c r="E22" s="52" t="s">
        <v>2385</v>
      </c>
      <c r="F22" s="126" t="s">
        <v>18</v>
      </c>
      <c r="G22" s="126" t="s">
        <v>1667</v>
      </c>
      <c r="H22" s="127">
        <v>1</v>
      </c>
      <c r="I22" s="49" t="s">
        <v>2386</v>
      </c>
      <c r="J22" s="52" t="s">
        <v>2411</v>
      </c>
      <c r="K22" s="49"/>
      <c r="L22" s="49" t="s">
        <v>2877</v>
      </c>
      <c r="M22" s="76">
        <v>45429</v>
      </c>
      <c r="N22" s="128">
        <f>+VLOOKUP(B22,BOM!$A$8:$AB$1078,27,0)</f>
        <v>1</v>
      </c>
      <c r="O22" s="129">
        <f>+VLOOKUP(B22,BOM!$A$8:$AB$1078,28,0)</f>
        <v>1</v>
      </c>
      <c r="P22" s="10" t="str">
        <f t="shared" si="0"/>
        <v>ok</v>
      </c>
    </row>
    <row r="23" spans="1:16" ht="15" customHeight="1">
      <c r="A23" s="153">
        <v>21</v>
      </c>
      <c r="B23" s="53" t="s">
        <v>180</v>
      </c>
      <c r="C23" s="126" t="s">
        <v>182</v>
      </c>
      <c r="D23" s="55">
        <v>1</v>
      </c>
      <c r="E23" s="52" t="s">
        <v>2385</v>
      </c>
      <c r="F23" s="126" t="s">
        <v>18</v>
      </c>
      <c r="G23" s="126" t="s">
        <v>1667</v>
      </c>
      <c r="H23" s="127">
        <v>1</v>
      </c>
      <c r="I23" s="49" t="s">
        <v>2386</v>
      </c>
      <c r="J23" s="52" t="s">
        <v>2411</v>
      </c>
      <c r="K23" s="49"/>
      <c r="L23" s="49" t="s">
        <v>2878</v>
      </c>
      <c r="M23" s="76">
        <v>45429</v>
      </c>
      <c r="N23" s="128">
        <f>+VLOOKUP(B23,BOM!$A$8:$AB$1078,27,0)</f>
        <v>1</v>
      </c>
      <c r="O23" s="129">
        <f>+VLOOKUP(B23,BOM!$A$8:$AB$1078,28,0)</f>
        <v>1</v>
      </c>
      <c r="P23" s="10" t="str">
        <f t="shared" si="0"/>
        <v>ok</v>
      </c>
    </row>
    <row r="24" spans="1:16" ht="15">
      <c r="A24" s="153">
        <v>22</v>
      </c>
      <c r="B24" s="53" t="s">
        <v>40</v>
      </c>
      <c r="C24" s="126" t="s">
        <v>42</v>
      </c>
      <c r="D24" s="55">
        <v>1</v>
      </c>
      <c r="E24" s="52" t="s">
        <v>2385</v>
      </c>
      <c r="F24" s="126" t="s">
        <v>18</v>
      </c>
      <c r="G24" s="126" t="s">
        <v>1667</v>
      </c>
      <c r="H24" s="127">
        <v>1</v>
      </c>
      <c r="I24" s="49" t="s">
        <v>2386</v>
      </c>
      <c r="J24" s="52" t="s">
        <v>2414</v>
      </c>
      <c r="K24" s="49"/>
      <c r="L24" s="49" t="s">
        <v>2879</v>
      </c>
      <c r="M24" s="76">
        <v>45429</v>
      </c>
      <c r="N24" s="128">
        <f>+VLOOKUP(B24,BOM!$A$8:$AB$1078,27,0)</f>
        <v>1</v>
      </c>
      <c r="O24" s="129">
        <f>+VLOOKUP(B24,BOM!$A$8:$AB$1078,28,0)</f>
        <v>0</v>
      </c>
      <c r="P24" s="10" t="str">
        <f t="shared" si="0"/>
        <v>ok</v>
      </c>
    </row>
    <row r="25" spans="1:16" ht="15">
      <c r="A25" s="153">
        <v>23</v>
      </c>
      <c r="B25" s="53" t="s">
        <v>43</v>
      </c>
      <c r="C25" s="126" t="s">
        <v>44</v>
      </c>
      <c r="D25" s="52">
        <v>1</v>
      </c>
      <c r="E25" s="81" t="s">
        <v>2385</v>
      </c>
      <c r="F25" s="126" t="s">
        <v>18</v>
      </c>
      <c r="G25" s="126" t="s">
        <v>1667</v>
      </c>
      <c r="H25" s="127">
        <v>1</v>
      </c>
      <c r="I25" s="49" t="s">
        <v>2386</v>
      </c>
      <c r="J25" s="52" t="s">
        <v>2414</v>
      </c>
      <c r="K25" s="49"/>
      <c r="L25" s="49" t="s">
        <v>2880</v>
      </c>
      <c r="M25" s="76">
        <v>45702</v>
      </c>
      <c r="N25" s="128">
        <f>+VLOOKUP(B25,BOM!$A$8:$AB$1078,27,0)</f>
        <v>1</v>
      </c>
      <c r="O25" s="129">
        <f>+VLOOKUP(B25,BOM!$A$8:$AB$1078,28,0)</f>
        <v>0</v>
      </c>
      <c r="P25" s="10" t="str">
        <f t="shared" si="0"/>
        <v>ok</v>
      </c>
    </row>
    <row r="26" spans="1:16" ht="15" customHeight="1">
      <c r="A26" s="153">
        <v>24</v>
      </c>
      <c r="B26" s="53" t="s">
        <v>301</v>
      </c>
      <c r="C26" s="126" t="s">
        <v>302</v>
      </c>
      <c r="D26" s="55">
        <v>1</v>
      </c>
      <c r="E26" s="52" t="s">
        <v>2417</v>
      </c>
      <c r="F26" s="126" t="s">
        <v>18</v>
      </c>
      <c r="G26" s="126" t="s">
        <v>1667</v>
      </c>
      <c r="H26" s="127">
        <v>1</v>
      </c>
      <c r="I26" s="49" t="s">
        <v>2418</v>
      </c>
      <c r="J26" s="52" t="s">
        <v>2397</v>
      </c>
      <c r="K26" s="49"/>
      <c r="L26" s="49" t="s">
        <v>2881</v>
      </c>
      <c r="M26" s="76">
        <v>45429</v>
      </c>
      <c r="N26" s="128">
        <f>+VLOOKUP(B26,BOM!$A$8:$AB$1078,27,0)</f>
        <v>1</v>
      </c>
      <c r="O26" s="129">
        <f>+VLOOKUP(B26,BOM!$A$8:$AB$1078,28,0)</f>
        <v>2</v>
      </c>
      <c r="P26" s="10" t="str">
        <f t="shared" si="0"/>
        <v>ok</v>
      </c>
    </row>
    <row r="27" spans="1:16" ht="15">
      <c r="A27" s="153">
        <v>25</v>
      </c>
      <c r="B27" s="53" t="s">
        <v>1689</v>
      </c>
      <c r="C27" s="126" t="s">
        <v>113</v>
      </c>
      <c r="D27" s="52">
        <v>1</v>
      </c>
      <c r="E27" s="81" t="s">
        <v>2417</v>
      </c>
      <c r="F27" s="126" t="s">
        <v>18</v>
      </c>
      <c r="G27" s="126" t="s">
        <v>1667</v>
      </c>
      <c r="H27" s="127">
        <v>1</v>
      </c>
      <c r="I27" s="49" t="s">
        <v>2418</v>
      </c>
      <c r="J27" s="52" t="s">
        <v>2411</v>
      </c>
      <c r="K27" s="49"/>
      <c r="L27" s="49" t="s">
        <v>2882</v>
      </c>
      <c r="M27" s="76">
        <v>45702</v>
      </c>
      <c r="N27" s="128">
        <f>+VLOOKUP(B27,BOM!$A$8:$AB$1078,27,0)</f>
        <v>1</v>
      </c>
      <c r="O27" s="129">
        <f>+VLOOKUP(B27,BOM!$A$8:$AB$1078,28,0)</f>
        <v>2</v>
      </c>
      <c r="P27" s="10" t="str">
        <f t="shared" si="0"/>
        <v>ok</v>
      </c>
    </row>
    <row r="28" spans="1:16" ht="15">
      <c r="A28" s="153">
        <v>26</v>
      </c>
      <c r="B28" s="53" t="s">
        <v>1688</v>
      </c>
      <c r="C28" s="126" t="s">
        <v>993</v>
      </c>
      <c r="D28" s="52">
        <v>1</v>
      </c>
      <c r="E28" s="81" t="s">
        <v>2417</v>
      </c>
      <c r="F28" s="126" t="s">
        <v>18</v>
      </c>
      <c r="G28" s="126" t="s">
        <v>1667</v>
      </c>
      <c r="H28" s="127">
        <v>1</v>
      </c>
      <c r="I28" s="49" t="s">
        <v>2418</v>
      </c>
      <c r="J28" s="52" t="s">
        <v>2414</v>
      </c>
      <c r="K28" s="49"/>
      <c r="L28" s="49" t="s">
        <v>2883</v>
      </c>
      <c r="M28" s="76">
        <v>45702</v>
      </c>
      <c r="N28" s="128">
        <f>+VLOOKUP(B28,BOM!$A$8:$AB$1078,27,0)</f>
        <v>1</v>
      </c>
      <c r="O28" s="129">
        <f>+VLOOKUP(B28,BOM!$A$8:$AB$1078,28,0)</f>
        <v>2</v>
      </c>
      <c r="P28" s="10" t="str">
        <f t="shared" si="0"/>
        <v>ok</v>
      </c>
    </row>
    <row r="29" spans="1:16" ht="15">
      <c r="A29" s="153">
        <v>27</v>
      </c>
      <c r="B29" s="53" t="s">
        <v>1753</v>
      </c>
      <c r="C29" s="126" t="s">
        <v>1754</v>
      </c>
      <c r="D29" s="52">
        <v>2</v>
      </c>
      <c r="E29" s="81" t="s">
        <v>2417</v>
      </c>
      <c r="F29" s="126" t="s">
        <v>18</v>
      </c>
      <c r="G29" s="126" t="s">
        <v>1667</v>
      </c>
      <c r="H29" s="127">
        <v>2</v>
      </c>
      <c r="I29" s="49" t="s">
        <v>2418</v>
      </c>
      <c r="J29" s="52" t="s">
        <v>2414</v>
      </c>
      <c r="K29" s="49"/>
      <c r="L29" s="49" t="s">
        <v>2884</v>
      </c>
      <c r="M29" s="76">
        <v>45702</v>
      </c>
      <c r="N29" s="128">
        <f>+VLOOKUP(B29,BOM!$A$8:$AB$1078,27,0)</f>
        <v>2</v>
      </c>
      <c r="O29" s="129">
        <f>+VLOOKUP(B29,BOM!$A$8:$AB$1078,28,0)</f>
        <v>2</v>
      </c>
      <c r="P29" s="10" t="str">
        <f t="shared" si="0"/>
        <v>ok</v>
      </c>
    </row>
    <row r="30" spans="1:16" ht="15">
      <c r="A30" s="153">
        <v>28</v>
      </c>
      <c r="B30" s="53" t="s">
        <v>1755</v>
      </c>
      <c r="C30" s="126" t="s">
        <v>263</v>
      </c>
      <c r="D30" s="52">
        <v>1</v>
      </c>
      <c r="E30" s="81" t="s">
        <v>2417</v>
      </c>
      <c r="F30" s="126" t="s">
        <v>18</v>
      </c>
      <c r="G30" s="126" t="s">
        <v>1667</v>
      </c>
      <c r="H30" s="127" t="s">
        <v>1663</v>
      </c>
      <c r="I30" s="49" t="s">
        <v>2418</v>
      </c>
      <c r="J30" s="52" t="s">
        <v>2414</v>
      </c>
      <c r="K30" s="49"/>
      <c r="L30" s="49" t="s">
        <v>2885</v>
      </c>
      <c r="M30" s="76">
        <v>45702</v>
      </c>
      <c r="N30" s="128" t="str">
        <f>+VLOOKUP(B30,BOM!$A$8:$AB$1078,27,0)</f>
        <v/>
      </c>
      <c r="O30" s="129" t="str">
        <f>+VLOOKUP(B30,BOM!$A$8:$AB$1078,28,0)</f>
        <v/>
      </c>
      <c r="P30" s="10" t="str">
        <f t="shared" si="0"/>
        <v/>
      </c>
    </row>
    <row r="31" spans="1:16" ht="15">
      <c r="A31" s="153">
        <v>29</v>
      </c>
      <c r="B31" s="53" t="s">
        <v>1789</v>
      </c>
      <c r="C31" s="126" t="s">
        <v>1788</v>
      </c>
      <c r="D31" s="52">
        <v>1</v>
      </c>
      <c r="E31" s="81" t="s">
        <v>2417</v>
      </c>
      <c r="F31" s="126" t="s">
        <v>18</v>
      </c>
      <c r="G31" s="126" t="s">
        <v>1667</v>
      </c>
      <c r="H31" s="127">
        <v>1</v>
      </c>
      <c r="I31" s="49" t="s">
        <v>2418</v>
      </c>
      <c r="J31" s="52" t="s">
        <v>2414</v>
      </c>
      <c r="K31" s="49"/>
      <c r="L31" s="49" t="s">
        <v>2886</v>
      </c>
      <c r="M31" s="76">
        <v>45702</v>
      </c>
      <c r="N31" s="128">
        <f>+VLOOKUP(B31,BOM!$A$8:$AB$1078,27,0)</f>
        <v>1</v>
      </c>
      <c r="O31" s="129">
        <f>+VLOOKUP(B31,BOM!$A$8:$AB$1078,28,0)</f>
        <v>2</v>
      </c>
      <c r="P31" s="10" t="str">
        <f t="shared" si="0"/>
        <v>ok</v>
      </c>
    </row>
    <row r="32" spans="1:16" ht="15" customHeight="1">
      <c r="A32" s="153">
        <v>30</v>
      </c>
      <c r="B32" s="53" t="s">
        <v>464</v>
      </c>
      <c r="C32" s="126" t="s">
        <v>465</v>
      </c>
      <c r="D32" s="55">
        <v>2</v>
      </c>
      <c r="E32" s="52" t="s">
        <v>2394</v>
      </c>
      <c r="F32" s="126" t="s">
        <v>18</v>
      </c>
      <c r="G32" s="126" t="s">
        <v>1667</v>
      </c>
      <c r="H32" s="127">
        <v>2</v>
      </c>
      <c r="I32" s="49" t="s">
        <v>2425</v>
      </c>
      <c r="J32" s="52" t="s">
        <v>2414</v>
      </c>
      <c r="K32" s="49"/>
      <c r="L32" s="49" t="s">
        <v>2887</v>
      </c>
      <c r="M32" s="76">
        <v>45429</v>
      </c>
      <c r="N32" s="128">
        <f>+VLOOKUP(B32,BOM!$A$8:$AB$1078,27,0)</f>
        <v>2</v>
      </c>
      <c r="O32" s="129">
        <f>+VLOOKUP(B32,BOM!$A$8:$AB$1078,28,0)</f>
        <v>3</v>
      </c>
      <c r="P32" s="10" t="str">
        <f t="shared" si="0"/>
        <v>ok</v>
      </c>
    </row>
    <row r="33" spans="1:16" ht="15">
      <c r="A33" s="153">
        <v>31</v>
      </c>
      <c r="B33" s="53" t="s">
        <v>1692</v>
      </c>
      <c r="C33" s="126" t="s">
        <v>1693</v>
      </c>
      <c r="D33" s="55">
        <v>1</v>
      </c>
      <c r="E33" s="52" t="s">
        <v>2427</v>
      </c>
      <c r="F33" s="126" t="s">
        <v>18</v>
      </c>
      <c r="G33" s="126" t="s">
        <v>1667</v>
      </c>
      <c r="H33" s="127">
        <v>1</v>
      </c>
      <c r="I33" s="49" t="s">
        <v>2428</v>
      </c>
      <c r="J33" s="52" t="s">
        <v>2397</v>
      </c>
      <c r="K33" s="49"/>
      <c r="L33" s="49" t="s">
        <v>2888</v>
      </c>
      <c r="M33" s="76">
        <v>45429</v>
      </c>
      <c r="N33" s="128">
        <f>+VLOOKUP(B33,BOM!$A$8:$AB$1078,27,0)</f>
        <v>1</v>
      </c>
      <c r="O33" s="129">
        <f>+VLOOKUP(B33,BOM!$A$8:$AB$1078,28,0)</f>
        <v>4</v>
      </c>
      <c r="P33" s="10" t="str">
        <f t="shared" si="0"/>
        <v>ok</v>
      </c>
    </row>
    <row r="34" spans="1:16" ht="15" customHeight="1">
      <c r="A34" s="153">
        <v>32</v>
      </c>
      <c r="B34" s="53" t="s">
        <v>375</v>
      </c>
      <c r="C34" s="126" t="s">
        <v>376</v>
      </c>
      <c r="D34" s="55">
        <v>2</v>
      </c>
      <c r="E34" s="52" t="s">
        <v>2427</v>
      </c>
      <c r="F34" s="126" t="s">
        <v>18</v>
      </c>
      <c r="G34" s="126" t="s">
        <v>1667</v>
      </c>
      <c r="H34" s="127">
        <v>2</v>
      </c>
      <c r="I34" s="49" t="s">
        <v>2428</v>
      </c>
      <c r="J34" s="52" t="s">
        <v>2397</v>
      </c>
      <c r="K34" s="49"/>
      <c r="L34" s="49" t="s">
        <v>2889</v>
      </c>
      <c r="M34" s="76">
        <v>45429</v>
      </c>
      <c r="N34" s="128">
        <f>+VLOOKUP(B34,BOM!$A$8:$AB$1078,27,0)</f>
        <v>2</v>
      </c>
      <c r="O34" s="129">
        <f>+VLOOKUP(B34,BOM!$A$8:$AB$1078,28,0)</f>
        <v>4</v>
      </c>
      <c r="P34" s="10" t="str">
        <f t="shared" si="0"/>
        <v>ok</v>
      </c>
    </row>
    <row r="35" spans="1:16" ht="15">
      <c r="A35" s="153">
        <v>33</v>
      </c>
      <c r="B35" s="53" t="s">
        <v>741</v>
      </c>
      <c r="C35" s="126" t="s">
        <v>41</v>
      </c>
      <c r="D35" s="55">
        <v>1</v>
      </c>
      <c r="E35" s="52" t="s">
        <v>2427</v>
      </c>
      <c r="F35" s="126" t="s">
        <v>18</v>
      </c>
      <c r="G35" s="126" t="s">
        <v>1667</v>
      </c>
      <c r="H35" s="127">
        <v>1</v>
      </c>
      <c r="I35" s="49" t="s">
        <v>2428</v>
      </c>
      <c r="J35" s="52" t="s">
        <v>2397</v>
      </c>
      <c r="K35" s="49"/>
      <c r="L35" s="49" t="s">
        <v>2890</v>
      </c>
      <c r="M35" s="76">
        <v>45429</v>
      </c>
      <c r="N35" s="128">
        <f>+VLOOKUP(B35,BOM!$A$8:$AB$1078,27,0)</f>
        <v>1</v>
      </c>
      <c r="O35" s="129">
        <f>+VLOOKUP(B35,BOM!$A$8:$AB$1078,28,0)</f>
        <v>4</v>
      </c>
      <c r="P35" s="10" t="str">
        <f t="shared" si="0"/>
        <v>ok</v>
      </c>
    </row>
    <row r="36" spans="1:16" ht="15">
      <c r="A36" s="153">
        <v>34</v>
      </c>
      <c r="B36" s="53" t="s">
        <v>271</v>
      </c>
      <c r="C36" s="126" t="s">
        <v>273</v>
      </c>
      <c r="D36" s="55">
        <v>1</v>
      </c>
      <c r="E36" s="56" t="s">
        <v>2427</v>
      </c>
      <c r="F36" s="126" t="s">
        <v>18</v>
      </c>
      <c r="G36" s="126" t="s">
        <v>1667</v>
      </c>
      <c r="H36" s="127">
        <v>1</v>
      </c>
      <c r="I36" s="49" t="s">
        <v>2428</v>
      </c>
      <c r="J36" s="52" t="s">
        <v>2411</v>
      </c>
      <c r="K36" s="49"/>
      <c r="L36" s="49" t="s">
        <v>2891</v>
      </c>
      <c r="M36" s="76">
        <v>45429</v>
      </c>
      <c r="N36" s="128">
        <f>+VLOOKUP(B36,BOM!$A$8:$AB$1078,27,0)</f>
        <v>1</v>
      </c>
      <c r="O36" s="129">
        <f>+VLOOKUP(B36,BOM!$A$8:$AB$1078,28,0)</f>
        <v>4</v>
      </c>
      <c r="P36" s="10" t="str">
        <f t="shared" ref="P36:P67" si="1">+IF(N36=D36,"ok","")</f>
        <v>ok</v>
      </c>
    </row>
    <row r="37" spans="1:16" ht="15">
      <c r="A37" s="153">
        <v>35</v>
      </c>
      <c r="B37" s="53" t="s">
        <v>370</v>
      </c>
      <c r="C37" s="126" t="s">
        <v>372</v>
      </c>
      <c r="D37" s="55">
        <v>1</v>
      </c>
      <c r="E37" s="52" t="s">
        <v>2427</v>
      </c>
      <c r="F37" s="126" t="s">
        <v>18</v>
      </c>
      <c r="G37" s="126" t="s">
        <v>1667</v>
      </c>
      <c r="H37" s="127">
        <v>1</v>
      </c>
      <c r="I37" s="49" t="s">
        <v>2428</v>
      </c>
      <c r="J37" s="52" t="s">
        <v>2411</v>
      </c>
      <c r="K37" s="49"/>
      <c r="L37" s="49" t="s">
        <v>2892</v>
      </c>
      <c r="M37" s="76">
        <v>45429</v>
      </c>
      <c r="N37" s="128">
        <f>+VLOOKUP(B37,BOM!$A$8:$AB$1078,27,0)</f>
        <v>1</v>
      </c>
      <c r="O37" s="129">
        <f>+VLOOKUP(B37,BOM!$A$8:$AB$1078,28,0)</f>
        <v>4</v>
      </c>
      <c r="P37" s="10" t="str">
        <f t="shared" si="1"/>
        <v>ok</v>
      </c>
    </row>
    <row r="38" spans="1:16" ht="15">
      <c r="A38" s="153">
        <v>36</v>
      </c>
      <c r="B38" s="146" t="s">
        <v>373</v>
      </c>
      <c r="C38" s="126" t="s">
        <v>374</v>
      </c>
      <c r="D38" s="55">
        <v>1</v>
      </c>
      <c r="E38" s="52" t="s">
        <v>2427</v>
      </c>
      <c r="F38" s="126" t="s">
        <v>18</v>
      </c>
      <c r="G38" s="126" t="s">
        <v>1667</v>
      </c>
      <c r="H38" s="127">
        <v>1</v>
      </c>
      <c r="I38" s="49" t="s">
        <v>2428</v>
      </c>
      <c r="J38" s="52" t="s">
        <v>2411</v>
      </c>
      <c r="K38" s="49"/>
      <c r="L38" s="49" t="s">
        <v>2893</v>
      </c>
      <c r="M38" s="76">
        <v>45429</v>
      </c>
      <c r="N38" s="128">
        <f>+VLOOKUP(B38,BOM!$A$8:$AB$1078,27,0)</f>
        <v>1</v>
      </c>
      <c r="O38" s="129">
        <f>+VLOOKUP(B38,BOM!$A$8:$AB$1078,28,0)</f>
        <v>4</v>
      </c>
      <c r="P38" s="10" t="str">
        <f t="shared" si="1"/>
        <v>ok</v>
      </c>
    </row>
    <row r="39" spans="1:16" ht="15">
      <c r="A39" s="153">
        <v>37</v>
      </c>
      <c r="B39" s="53" t="s">
        <v>1690</v>
      </c>
      <c r="C39" s="126" t="s">
        <v>1691</v>
      </c>
      <c r="D39" s="55">
        <v>1</v>
      </c>
      <c r="E39" s="52" t="s">
        <v>2427</v>
      </c>
      <c r="F39" s="126" t="s">
        <v>18</v>
      </c>
      <c r="G39" s="126" t="s">
        <v>1667</v>
      </c>
      <c r="H39" s="127">
        <v>1</v>
      </c>
      <c r="I39" s="49" t="s">
        <v>2428</v>
      </c>
      <c r="J39" s="52" t="s">
        <v>2414</v>
      </c>
      <c r="K39" s="49" t="s">
        <v>2894</v>
      </c>
      <c r="L39" s="49" t="s">
        <v>2895</v>
      </c>
      <c r="M39" s="76">
        <v>45429</v>
      </c>
      <c r="N39" s="128">
        <f>+VLOOKUP(B39,BOM!$A$8:$AB$1078,27,0)</f>
        <v>1</v>
      </c>
      <c r="O39" s="129">
        <f>+VLOOKUP(B39,BOM!$A$8:$AB$1078,28,0)</f>
        <v>2</v>
      </c>
      <c r="P39" s="10" t="str">
        <f t="shared" si="1"/>
        <v>ok</v>
      </c>
    </row>
    <row r="40" spans="1:16" ht="15" customHeight="1">
      <c r="A40" s="153">
        <v>38</v>
      </c>
      <c r="B40" s="53" t="s">
        <v>176</v>
      </c>
      <c r="C40" s="126" t="s">
        <v>177</v>
      </c>
      <c r="D40" s="55">
        <v>1</v>
      </c>
      <c r="E40" s="52" t="s">
        <v>2437</v>
      </c>
      <c r="F40" s="126" t="s">
        <v>18</v>
      </c>
      <c r="G40" s="126" t="s">
        <v>1667</v>
      </c>
      <c r="H40" s="127">
        <v>1</v>
      </c>
      <c r="I40" s="49" t="s">
        <v>2438</v>
      </c>
      <c r="J40" s="52"/>
      <c r="K40" s="49" t="s">
        <v>2439</v>
      </c>
      <c r="L40" s="49" t="s">
        <v>2896</v>
      </c>
      <c r="M40" s="76">
        <v>45429</v>
      </c>
      <c r="N40" s="128">
        <f>+VLOOKUP(B40,BOM!$A$8:$AB$1078,27,0)</f>
        <v>1</v>
      </c>
      <c r="O40" s="129">
        <f>+VLOOKUP(B40,BOM!$A$8:$AB$1078,28,0)</f>
        <v>5</v>
      </c>
      <c r="P40" s="10" t="str">
        <f t="shared" si="1"/>
        <v>ok</v>
      </c>
    </row>
    <row r="41" spans="1:16" ht="15">
      <c r="A41" s="153">
        <v>39</v>
      </c>
      <c r="B41" s="53" t="s">
        <v>530</v>
      </c>
      <c r="C41" s="126" t="s">
        <v>532</v>
      </c>
      <c r="D41" s="55">
        <v>1</v>
      </c>
      <c r="E41" s="52" t="s">
        <v>2437</v>
      </c>
      <c r="F41" s="126" t="s">
        <v>18</v>
      </c>
      <c r="G41" s="126" t="s">
        <v>1667</v>
      </c>
      <c r="H41" s="127">
        <v>1</v>
      </c>
      <c r="I41" s="49" t="s">
        <v>2438</v>
      </c>
      <c r="J41" s="52"/>
      <c r="K41" s="49" t="s">
        <v>2441</v>
      </c>
      <c r="L41" s="49" t="s">
        <v>2897</v>
      </c>
      <c r="M41" s="76">
        <v>45429</v>
      </c>
      <c r="N41" s="128">
        <f>+VLOOKUP(B41,BOM!$A$8:$AB$1078,27,0)</f>
        <v>1</v>
      </c>
      <c r="O41" s="129">
        <f>+VLOOKUP(B41,BOM!$A$8:$AB$1078,28,0)</f>
        <v>5</v>
      </c>
      <c r="P41" s="10" t="str">
        <f t="shared" si="1"/>
        <v>ok</v>
      </c>
    </row>
    <row r="42" spans="1:16" ht="15">
      <c r="A42" s="153">
        <v>40</v>
      </c>
      <c r="B42" s="53" t="s">
        <v>353</v>
      </c>
      <c r="C42" s="126" t="s">
        <v>354</v>
      </c>
      <c r="D42" s="55">
        <v>2</v>
      </c>
      <c r="E42" s="52" t="s">
        <v>2443</v>
      </c>
      <c r="F42" s="126" t="s">
        <v>18</v>
      </c>
      <c r="G42" s="126" t="s">
        <v>1667</v>
      </c>
      <c r="H42" s="127">
        <v>2</v>
      </c>
      <c r="I42" s="49" t="s">
        <v>2444</v>
      </c>
      <c r="J42" s="52" t="s">
        <v>2397</v>
      </c>
      <c r="K42" s="49"/>
      <c r="L42" s="49" t="s">
        <v>2898</v>
      </c>
      <c r="M42" s="76">
        <v>45429</v>
      </c>
      <c r="N42" s="128">
        <f>+VLOOKUP(B42,BOM!$A$8:$AB$1078,27,0)</f>
        <v>2</v>
      </c>
      <c r="O42" s="129">
        <f>+VLOOKUP(B42,BOM!$A$8:$AB$1078,28,0)</f>
        <v>6</v>
      </c>
      <c r="P42" s="10" t="str">
        <f t="shared" si="1"/>
        <v>ok</v>
      </c>
    </row>
    <row r="43" spans="1:16" ht="15">
      <c r="A43" s="153">
        <v>41</v>
      </c>
      <c r="B43" s="53" t="s">
        <v>166</v>
      </c>
      <c r="C43" s="126" t="s">
        <v>165</v>
      </c>
      <c r="D43" s="55">
        <v>1</v>
      </c>
      <c r="E43" s="52" t="s">
        <v>2443</v>
      </c>
      <c r="F43" s="126" t="s">
        <v>18</v>
      </c>
      <c r="G43" s="126" t="s">
        <v>1667</v>
      </c>
      <c r="H43" s="127">
        <v>1</v>
      </c>
      <c r="I43" s="49" t="s">
        <v>2444</v>
      </c>
      <c r="J43" s="52" t="s">
        <v>2411</v>
      </c>
      <c r="K43" s="49"/>
      <c r="L43" s="49" t="s">
        <v>2899</v>
      </c>
      <c r="M43" s="76">
        <v>45429</v>
      </c>
      <c r="N43" s="128">
        <f>+VLOOKUP(B43,BOM!$A$8:$AB$1078,27,0)</f>
        <v>1</v>
      </c>
      <c r="O43" s="129">
        <f>+VLOOKUP(B43,BOM!$A$8:$AB$1078,28,0)</f>
        <v>6</v>
      </c>
      <c r="P43" s="10" t="str">
        <f t="shared" si="1"/>
        <v>ok</v>
      </c>
    </row>
    <row r="44" spans="1:16" ht="15">
      <c r="A44" s="153">
        <v>42</v>
      </c>
      <c r="B44" s="53" t="s">
        <v>1798</v>
      </c>
      <c r="C44" s="126" t="s">
        <v>1799</v>
      </c>
      <c r="D44" s="55">
        <v>1</v>
      </c>
      <c r="E44" s="52" t="s">
        <v>2391</v>
      </c>
      <c r="F44" s="126" t="s">
        <v>18</v>
      </c>
      <c r="G44" s="126" t="s">
        <v>1667</v>
      </c>
      <c r="H44" s="127">
        <v>1</v>
      </c>
      <c r="I44" s="49" t="s">
        <v>2447</v>
      </c>
      <c r="J44" s="52">
        <v>1</v>
      </c>
      <c r="K44" s="49"/>
      <c r="L44" s="49" t="s">
        <v>2900</v>
      </c>
      <c r="M44" s="76">
        <v>45429</v>
      </c>
      <c r="N44" s="128">
        <f>+VLOOKUP(B44,BOM!$A$8:$AB$1078,27,0)</f>
        <v>1</v>
      </c>
      <c r="O44" s="129" t="str">
        <f>+VLOOKUP(B44,BOM!$A$8:$AB$1078,28,0)</f>
        <v>C</v>
      </c>
      <c r="P44" s="10" t="str">
        <f t="shared" si="1"/>
        <v>ok</v>
      </c>
    </row>
    <row r="45" spans="1:16" ht="15">
      <c r="A45" s="153">
        <v>43</v>
      </c>
      <c r="B45" s="53" t="s">
        <v>1748</v>
      </c>
      <c r="C45" s="126" t="s">
        <v>1746</v>
      </c>
      <c r="D45" s="55">
        <v>1</v>
      </c>
      <c r="E45" s="52" t="s">
        <v>2391</v>
      </c>
      <c r="F45" s="126" t="s">
        <v>18</v>
      </c>
      <c r="G45" s="126" t="s">
        <v>1667</v>
      </c>
      <c r="H45" s="127">
        <v>1</v>
      </c>
      <c r="I45" s="49" t="s">
        <v>2449</v>
      </c>
      <c r="J45" s="52">
        <v>1</v>
      </c>
      <c r="K45" s="49" t="s">
        <v>2450</v>
      </c>
      <c r="L45" s="49" t="s">
        <v>2901</v>
      </c>
      <c r="M45" s="76">
        <v>45429</v>
      </c>
      <c r="N45" s="128">
        <f>+VLOOKUP(B45,BOM!$A$8:$AB$1078,27,0)</f>
        <v>1</v>
      </c>
      <c r="O45" s="129" t="str">
        <f>+VLOOKUP(B45,BOM!$A$8:$AB$1078,28,0)</f>
        <v>C</v>
      </c>
      <c r="P45" s="10" t="str">
        <f t="shared" si="1"/>
        <v>ok</v>
      </c>
    </row>
    <row r="46" spans="1:16" ht="15">
      <c r="A46" s="153">
        <v>44</v>
      </c>
      <c r="B46" s="53" t="s">
        <v>1749</v>
      </c>
      <c r="C46" s="126" t="s">
        <v>1746</v>
      </c>
      <c r="D46" s="55">
        <v>1</v>
      </c>
      <c r="E46" s="56" t="s">
        <v>2391</v>
      </c>
      <c r="F46" s="126" t="s">
        <v>18</v>
      </c>
      <c r="G46" s="126" t="s">
        <v>1667</v>
      </c>
      <c r="H46" s="127">
        <v>1</v>
      </c>
      <c r="I46" s="49" t="s">
        <v>2449</v>
      </c>
      <c r="J46" s="52">
        <v>1</v>
      </c>
      <c r="K46" s="49" t="s">
        <v>2450</v>
      </c>
      <c r="L46" s="49" t="s">
        <v>2902</v>
      </c>
      <c r="M46" s="76">
        <v>45429</v>
      </c>
      <c r="N46" s="128">
        <f>+VLOOKUP(B46,BOM!$A$8:$AB$1078,27,0)</f>
        <v>1</v>
      </c>
      <c r="O46" s="129" t="str">
        <f>+VLOOKUP(B46,BOM!$A$8:$AB$1078,28,0)</f>
        <v>C</v>
      </c>
      <c r="P46" s="10" t="str">
        <f t="shared" si="1"/>
        <v>ok</v>
      </c>
    </row>
    <row r="47" spans="1:16" ht="15">
      <c r="A47" s="153">
        <v>45</v>
      </c>
      <c r="B47" s="53" t="s">
        <v>1812</v>
      </c>
      <c r="C47" s="126" t="s">
        <v>1794</v>
      </c>
      <c r="D47" s="55">
        <v>1</v>
      </c>
      <c r="E47" s="52" t="s">
        <v>2391</v>
      </c>
      <c r="F47" s="126" t="s">
        <v>18</v>
      </c>
      <c r="G47" s="126" t="s">
        <v>1667</v>
      </c>
      <c r="H47" s="127">
        <v>1</v>
      </c>
      <c r="I47" s="49" t="s">
        <v>2449</v>
      </c>
      <c r="J47" s="57">
        <v>2</v>
      </c>
      <c r="K47" s="138" t="s">
        <v>2450</v>
      </c>
      <c r="L47" s="138" t="s">
        <v>2903</v>
      </c>
      <c r="M47" s="76">
        <v>45429</v>
      </c>
      <c r="N47" s="128">
        <f>+VLOOKUP(B47,BOM!$A$8:$AB$1078,27,0)</f>
        <v>1</v>
      </c>
      <c r="O47" s="129" t="str">
        <f>+VLOOKUP(B47,BOM!$A$8:$AB$1078,28,0)</f>
        <v>C</v>
      </c>
      <c r="P47" s="10" t="str">
        <f t="shared" si="1"/>
        <v>ok</v>
      </c>
    </row>
    <row r="48" spans="1:16" ht="15">
      <c r="A48" s="153">
        <v>46</v>
      </c>
      <c r="B48" s="53" t="s">
        <v>2082</v>
      </c>
      <c r="C48" s="126" t="s">
        <v>1746</v>
      </c>
      <c r="D48" s="55">
        <v>1</v>
      </c>
      <c r="E48" s="52" t="s">
        <v>2391</v>
      </c>
      <c r="F48" s="126" t="s">
        <v>18</v>
      </c>
      <c r="G48" s="126" t="s">
        <v>1667</v>
      </c>
      <c r="H48" s="127">
        <v>1</v>
      </c>
      <c r="I48" s="49" t="s">
        <v>2449</v>
      </c>
      <c r="J48" s="52">
        <v>2</v>
      </c>
      <c r="K48" s="142" t="s">
        <v>2450</v>
      </c>
      <c r="L48" s="142" t="s">
        <v>2904</v>
      </c>
      <c r="M48" s="76">
        <v>45429</v>
      </c>
      <c r="N48" s="128">
        <f>+VLOOKUP(B48,BOM!$A$8:$AB$1078,27,0)</f>
        <v>1</v>
      </c>
      <c r="O48" s="129" t="str">
        <f>+VLOOKUP(B48,BOM!$A$8:$AB$1078,28,0)</f>
        <v>C</v>
      </c>
      <c r="P48" s="10" t="str">
        <f t="shared" si="1"/>
        <v>ok</v>
      </c>
    </row>
    <row r="49" spans="1:16" ht="15">
      <c r="A49" s="153">
        <v>47</v>
      </c>
      <c r="B49" s="53" t="s">
        <v>2143</v>
      </c>
      <c r="C49" s="126" t="s">
        <v>2144</v>
      </c>
      <c r="D49" s="55">
        <v>2</v>
      </c>
      <c r="E49" s="56" t="s">
        <v>2391</v>
      </c>
      <c r="F49" s="126" t="s">
        <v>18</v>
      </c>
      <c r="G49" s="126" t="s">
        <v>1667</v>
      </c>
      <c r="H49" s="127">
        <v>2</v>
      </c>
      <c r="I49" s="49" t="s">
        <v>2449</v>
      </c>
      <c r="J49" s="52">
        <v>2</v>
      </c>
      <c r="K49" s="139" t="s">
        <v>2450</v>
      </c>
      <c r="L49" s="139" t="s">
        <v>2905</v>
      </c>
      <c r="M49" s="76">
        <v>45429</v>
      </c>
      <c r="N49" s="128">
        <f>+VLOOKUP(B49,BOM!$A$8:$AB$1078,27,0)</f>
        <v>2</v>
      </c>
      <c r="O49" s="129" t="str">
        <f>+VLOOKUP(B49,BOM!$A$8:$AB$1078,28,0)</f>
        <v>C</v>
      </c>
      <c r="P49" s="10" t="str">
        <f t="shared" si="1"/>
        <v>ok</v>
      </c>
    </row>
    <row r="50" spans="1:16" ht="15">
      <c r="A50" s="153">
        <v>48</v>
      </c>
      <c r="B50" s="53" t="s">
        <v>381</v>
      </c>
      <c r="C50" s="126" t="s">
        <v>383</v>
      </c>
      <c r="D50" s="55">
        <v>4</v>
      </c>
      <c r="E50" s="52" t="s">
        <v>2391</v>
      </c>
      <c r="F50" s="126" t="s">
        <v>18</v>
      </c>
      <c r="G50" s="126" t="s">
        <v>1667</v>
      </c>
      <c r="H50" s="127">
        <v>4</v>
      </c>
      <c r="I50" s="49" t="s">
        <v>2449</v>
      </c>
      <c r="J50" s="52" t="s">
        <v>2411</v>
      </c>
      <c r="K50" s="49" t="s">
        <v>2450</v>
      </c>
      <c r="L50" s="49" t="s">
        <v>2906</v>
      </c>
      <c r="M50" s="76">
        <v>45429</v>
      </c>
      <c r="N50" s="128">
        <f>+VLOOKUP(B50,BOM!$A$8:$AB$1078,27,0)</f>
        <v>4</v>
      </c>
      <c r="O50" s="129" t="str">
        <f>+VLOOKUP(B50,BOM!$A$8:$AB$1078,28,0)</f>
        <v>C</v>
      </c>
      <c r="P50" s="10" t="str">
        <f t="shared" si="1"/>
        <v>ok</v>
      </c>
    </row>
    <row r="51" spans="1:16" ht="15">
      <c r="A51" s="153">
        <v>49</v>
      </c>
      <c r="B51" s="53" t="s">
        <v>2190</v>
      </c>
      <c r="C51" s="126" t="s">
        <v>2191</v>
      </c>
      <c r="D51" s="55">
        <v>1</v>
      </c>
      <c r="E51" s="52" t="s">
        <v>2391</v>
      </c>
      <c r="F51" s="126" t="s">
        <v>18</v>
      </c>
      <c r="G51" s="126" t="s">
        <v>1667</v>
      </c>
      <c r="H51" s="127">
        <v>1</v>
      </c>
      <c r="I51" s="49" t="s">
        <v>2449</v>
      </c>
      <c r="J51" s="52"/>
      <c r="K51" s="139" t="s">
        <v>2450</v>
      </c>
      <c r="L51" s="139" t="s">
        <v>2907</v>
      </c>
      <c r="M51" s="76">
        <v>45429</v>
      </c>
      <c r="N51" s="128">
        <f>+VLOOKUP(B51,BOM!$A$8:$AB$1078,27,0)</f>
        <v>1</v>
      </c>
      <c r="O51" s="129" t="str">
        <f>+VLOOKUP(B51,BOM!$A$8:$AB$1078,28,0)</f>
        <v>C</v>
      </c>
      <c r="P51" s="10" t="str">
        <f t="shared" si="1"/>
        <v>ok</v>
      </c>
    </row>
    <row r="52" spans="1:16" ht="15">
      <c r="A52" s="153">
        <v>50</v>
      </c>
      <c r="B52" s="53" t="s">
        <v>255</v>
      </c>
      <c r="C52" s="126" t="s">
        <v>257</v>
      </c>
      <c r="D52" s="55">
        <v>1</v>
      </c>
      <c r="E52" s="52" t="s">
        <v>2391</v>
      </c>
      <c r="F52" s="126" t="s">
        <v>18</v>
      </c>
      <c r="G52" s="126" t="s">
        <v>1667</v>
      </c>
      <c r="H52" s="127">
        <v>1</v>
      </c>
      <c r="I52" s="49" t="s">
        <v>2447</v>
      </c>
      <c r="J52" s="52"/>
      <c r="K52" s="49"/>
      <c r="L52" s="49" t="s">
        <v>2908</v>
      </c>
      <c r="M52" s="76">
        <v>45429</v>
      </c>
      <c r="N52" s="128">
        <f>+VLOOKUP(B52,BOM!$A$8:$AB$1078,27,0)</f>
        <v>1</v>
      </c>
      <c r="O52" s="129" t="str">
        <f>+VLOOKUP(B52,BOM!$A$8:$AB$1078,28,0)</f>
        <v>C</v>
      </c>
      <c r="P52" s="10" t="str">
        <f t="shared" si="1"/>
        <v>ok</v>
      </c>
    </row>
    <row r="53" spans="1:16" ht="15">
      <c r="A53" s="153">
        <v>51</v>
      </c>
      <c r="B53" s="53" t="s">
        <v>1741</v>
      </c>
      <c r="C53" s="126" t="s">
        <v>263</v>
      </c>
      <c r="D53" s="55">
        <v>1</v>
      </c>
      <c r="E53" s="52" t="s">
        <v>2417</v>
      </c>
      <c r="F53" s="126" t="s">
        <v>18</v>
      </c>
      <c r="G53" s="126" t="s">
        <v>1667</v>
      </c>
      <c r="H53" s="127">
        <v>1</v>
      </c>
      <c r="I53" s="49" t="s">
        <v>2418</v>
      </c>
      <c r="J53" s="52"/>
      <c r="K53" s="142"/>
      <c r="L53" s="142" t="s">
        <v>2909</v>
      </c>
      <c r="M53" s="76">
        <v>45429</v>
      </c>
      <c r="N53" s="128">
        <f>+VLOOKUP(B53,BOM!$A$8:$AB$1078,27,0)</f>
        <v>1</v>
      </c>
      <c r="O53" s="129">
        <f>+VLOOKUP(B53,BOM!$A$8:$AB$1078,28,0)</f>
        <v>2</v>
      </c>
      <c r="P53" s="10" t="str">
        <f t="shared" si="1"/>
        <v>ok</v>
      </c>
    </row>
    <row r="54" spans="1:16" ht="15">
      <c r="A54" s="153">
        <v>52</v>
      </c>
      <c r="B54" s="53" t="s">
        <v>158</v>
      </c>
      <c r="C54" s="126" t="s">
        <v>159</v>
      </c>
      <c r="D54" s="55">
        <v>2</v>
      </c>
      <c r="E54" s="52" t="s">
        <v>2385</v>
      </c>
      <c r="F54" s="126" t="s">
        <v>39</v>
      </c>
      <c r="G54" s="126" t="s">
        <v>1667</v>
      </c>
      <c r="H54" s="127">
        <v>2</v>
      </c>
      <c r="I54" s="49" t="s">
        <v>2386</v>
      </c>
      <c r="J54" s="52" t="s">
        <v>2397</v>
      </c>
      <c r="K54" s="139"/>
      <c r="L54" s="190" t="s">
        <v>2910</v>
      </c>
      <c r="M54" s="76">
        <v>45429</v>
      </c>
      <c r="N54" s="128">
        <f>+VLOOKUP(B54,BOM!$A$8:$AB$1078,27,0)</f>
        <v>2</v>
      </c>
      <c r="O54" s="129">
        <f>+VLOOKUP(B54,BOM!$A$8:$AB$1078,28,0)</f>
        <v>0</v>
      </c>
      <c r="P54" s="10" t="str">
        <f t="shared" si="1"/>
        <v>ok</v>
      </c>
    </row>
    <row r="55" spans="1:16" ht="15">
      <c r="A55" s="153">
        <v>53</v>
      </c>
      <c r="B55" s="53" t="s">
        <v>276</v>
      </c>
      <c r="C55" s="126" t="s">
        <v>277</v>
      </c>
      <c r="D55" s="55">
        <v>1</v>
      </c>
      <c r="E55" s="52" t="s">
        <v>2385</v>
      </c>
      <c r="F55" s="126" t="s">
        <v>39</v>
      </c>
      <c r="G55" s="126" t="s">
        <v>1667</v>
      </c>
      <c r="H55" s="127">
        <v>1</v>
      </c>
      <c r="I55" s="49" t="s">
        <v>2386</v>
      </c>
      <c r="J55" s="57" t="s">
        <v>2397</v>
      </c>
      <c r="K55" s="138"/>
      <c r="L55" s="138" t="s">
        <v>2911</v>
      </c>
      <c r="M55" s="76">
        <v>45429</v>
      </c>
      <c r="N55" s="128">
        <f>+VLOOKUP(B55,BOM!$A$8:$AB$1078,27,0)</f>
        <v>1</v>
      </c>
      <c r="O55" s="129">
        <f>+VLOOKUP(B55,BOM!$A$8:$AB$1078,28,0)</f>
        <v>0</v>
      </c>
      <c r="P55" s="10" t="str">
        <f t="shared" si="1"/>
        <v>ok</v>
      </c>
    </row>
    <row r="56" spans="1:16" ht="15">
      <c r="A56" s="153">
        <v>54</v>
      </c>
      <c r="B56" s="53" t="s">
        <v>278</v>
      </c>
      <c r="C56" s="126" t="s">
        <v>277</v>
      </c>
      <c r="D56" s="55">
        <v>2</v>
      </c>
      <c r="E56" s="52" t="s">
        <v>2385</v>
      </c>
      <c r="F56" s="126" t="s">
        <v>39</v>
      </c>
      <c r="G56" s="126" t="s">
        <v>1667</v>
      </c>
      <c r="H56" s="127">
        <v>2</v>
      </c>
      <c r="I56" s="49" t="s">
        <v>2386</v>
      </c>
      <c r="J56" s="52" t="s">
        <v>2397</v>
      </c>
      <c r="K56" s="49" t="s">
        <v>2912</v>
      </c>
      <c r="L56" s="49" t="s">
        <v>2913</v>
      </c>
      <c r="M56" s="76">
        <v>45429</v>
      </c>
      <c r="N56" s="128">
        <f>+VLOOKUP(B56,BOM!$A$8:$AB$1078,27,0)</f>
        <v>2</v>
      </c>
      <c r="O56" s="129">
        <f>+VLOOKUP(B56,BOM!$A$8:$AB$1078,28,0)</f>
        <v>0</v>
      </c>
      <c r="P56" s="10" t="str">
        <f t="shared" si="1"/>
        <v>ok</v>
      </c>
    </row>
    <row r="57" spans="1:16" ht="15">
      <c r="A57" s="153">
        <v>55</v>
      </c>
      <c r="B57" s="53" t="s">
        <v>294</v>
      </c>
      <c r="C57" s="126" t="s">
        <v>295</v>
      </c>
      <c r="D57" s="55">
        <v>1</v>
      </c>
      <c r="E57" s="52" t="s">
        <v>2385</v>
      </c>
      <c r="F57" s="126" t="s">
        <v>39</v>
      </c>
      <c r="G57" s="126" t="s">
        <v>1667</v>
      </c>
      <c r="H57" s="127">
        <v>1</v>
      </c>
      <c r="I57" s="49" t="s">
        <v>2386</v>
      </c>
      <c r="J57" s="52" t="s">
        <v>2397</v>
      </c>
      <c r="K57" s="49"/>
      <c r="L57" s="49" t="s">
        <v>2914</v>
      </c>
      <c r="M57" s="76">
        <v>45429</v>
      </c>
      <c r="N57" s="128">
        <f>+VLOOKUP(B57,BOM!$A$8:$AB$1078,27,0)</f>
        <v>1</v>
      </c>
      <c r="O57" s="129">
        <f>+VLOOKUP(B57,BOM!$A$8:$AB$1078,28,0)</f>
        <v>0</v>
      </c>
      <c r="P57" s="10" t="str">
        <f t="shared" si="1"/>
        <v>ok</v>
      </c>
    </row>
    <row r="58" spans="1:16" ht="15">
      <c r="A58" s="153">
        <v>56</v>
      </c>
      <c r="B58" s="53" t="s">
        <v>296</v>
      </c>
      <c r="C58" s="126" t="s">
        <v>297</v>
      </c>
      <c r="D58" s="55">
        <v>1</v>
      </c>
      <c r="E58" s="52" t="s">
        <v>2385</v>
      </c>
      <c r="F58" s="126" t="s">
        <v>39</v>
      </c>
      <c r="G58" s="126" t="s">
        <v>1667</v>
      </c>
      <c r="H58" s="127">
        <v>1</v>
      </c>
      <c r="I58" s="49" t="s">
        <v>2386</v>
      </c>
      <c r="J58" s="52" t="s">
        <v>2397</v>
      </c>
      <c r="K58" s="49"/>
      <c r="L58" s="49" t="s">
        <v>2915</v>
      </c>
      <c r="M58" s="76">
        <v>45429</v>
      </c>
      <c r="N58" s="128">
        <f>+VLOOKUP(B58,BOM!$A$8:$AB$1078,27,0)</f>
        <v>1</v>
      </c>
      <c r="O58" s="129">
        <f>+VLOOKUP(B58,BOM!$A$8:$AB$1078,28,0)</f>
        <v>0</v>
      </c>
      <c r="P58" s="10" t="str">
        <f t="shared" si="1"/>
        <v>ok</v>
      </c>
    </row>
    <row r="59" spans="1:16" ht="15" customHeight="1" thickBot="1">
      <c r="A59" s="153">
        <v>57</v>
      </c>
      <c r="B59" s="53" t="s">
        <v>303</v>
      </c>
      <c r="C59" s="126" t="s">
        <v>304</v>
      </c>
      <c r="D59" s="55">
        <v>2</v>
      </c>
      <c r="E59" s="52" t="s">
        <v>2385</v>
      </c>
      <c r="F59" s="126" t="s">
        <v>39</v>
      </c>
      <c r="G59" s="126" t="s">
        <v>1667</v>
      </c>
      <c r="H59" s="127">
        <v>2</v>
      </c>
      <c r="I59" s="49" t="s">
        <v>2386</v>
      </c>
      <c r="J59" s="52" t="s">
        <v>2397</v>
      </c>
      <c r="K59" s="49"/>
      <c r="L59" s="49" t="s">
        <v>2916</v>
      </c>
      <c r="M59" s="76">
        <v>45429</v>
      </c>
      <c r="N59" s="128">
        <f>+VLOOKUP(B59,BOM!$A$8:$AB$1078,27,0)</f>
        <v>2</v>
      </c>
      <c r="O59" s="129">
        <f>+VLOOKUP(B59,BOM!$A$8:$AB$1078,28,0)</f>
        <v>0</v>
      </c>
      <c r="P59" s="10" t="str">
        <f t="shared" si="1"/>
        <v>ok</v>
      </c>
    </row>
    <row r="60" spans="1:16" ht="15" thickBot="1">
      <c r="A60" s="153">
        <v>58</v>
      </c>
      <c r="B60" s="53" t="s">
        <v>1769</v>
      </c>
      <c r="C60" s="126" t="s">
        <v>1770</v>
      </c>
      <c r="D60" s="55">
        <v>1</v>
      </c>
      <c r="E60" s="52" t="s">
        <v>2385</v>
      </c>
      <c r="F60" s="126" t="s">
        <v>39</v>
      </c>
      <c r="G60" s="126" t="s">
        <v>1667</v>
      </c>
      <c r="H60" s="127">
        <v>1</v>
      </c>
      <c r="I60" s="49" t="s">
        <v>2386</v>
      </c>
      <c r="J60" s="52" t="s">
        <v>2397</v>
      </c>
      <c r="K60" s="78"/>
      <c r="L60" s="10" t="s">
        <v>2917</v>
      </c>
      <c r="M60" s="76">
        <v>45429</v>
      </c>
      <c r="N60" s="128">
        <f>+VLOOKUP(B60,BOM!$A$8:$AB$1078,27,0)</f>
        <v>1</v>
      </c>
      <c r="O60" s="129">
        <f>+VLOOKUP(B60,BOM!$A$8:$AB$1078,28,0)</f>
        <v>0</v>
      </c>
      <c r="P60" s="10" t="str">
        <f t="shared" si="1"/>
        <v>ok</v>
      </c>
    </row>
    <row r="61" spans="1:16" ht="15">
      <c r="A61" s="153">
        <v>59</v>
      </c>
      <c r="B61" s="53" t="s">
        <v>396</v>
      </c>
      <c r="C61" s="126" t="s">
        <v>398</v>
      </c>
      <c r="D61" s="55">
        <v>1</v>
      </c>
      <c r="E61" s="52" t="s">
        <v>2385</v>
      </c>
      <c r="F61" s="126" t="s">
        <v>39</v>
      </c>
      <c r="G61" s="126" t="s">
        <v>1667</v>
      </c>
      <c r="H61" s="127">
        <v>1</v>
      </c>
      <c r="I61" s="49" t="s">
        <v>2386</v>
      </c>
      <c r="J61" s="52" t="s">
        <v>2397</v>
      </c>
      <c r="K61" s="142"/>
      <c r="L61" s="142" t="s">
        <v>2918</v>
      </c>
      <c r="M61" s="76">
        <v>45429</v>
      </c>
      <c r="N61" s="128">
        <f>+VLOOKUP(B61,BOM!$A$8:$AB$1078,27,0)</f>
        <v>1</v>
      </c>
      <c r="O61" s="129">
        <f>+VLOOKUP(B61,BOM!$A$8:$AB$1078,28,0)</f>
        <v>0</v>
      </c>
      <c r="P61" s="10" t="str">
        <f t="shared" si="1"/>
        <v>ok</v>
      </c>
    </row>
    <row r="62" spans="1:16" ht="15">
      <c r="A62" s="153">
        <v>60</v>
      </c>
      <c r="B62" s="53" t="s">
        <v>399</v>
      </c>
      <c r="C62" s="126" t="s">
        <v>400</v>
      </c>
      <c r="D62" s="55">
        <v>1</v>
      </c>
      <c r="E62" s="52" t="s">
        <v>2385</v>
      </c>
      <c r="F62" s="126" t="s">
        <v>39</v>
      </c>
      <c r="G62" s="126" t="s">
        <v>1667</v>
      </c>
      <c r="H62" s="127">
        <v>1</v>
      </c>
      <c r="I62" s="49" t="s">
        <v>2386</v>
      </c>
      <c r="J62" s="52" t="s">
        <v>2397</v>
      </c>
      <c r="K62" s="49"/>
      <c r="L62" s="49" t="s">
        <v>2919</v>
      </c>
      <c r="M62" s="76">
        <v>45429</v>
      </c>
      <c r="N62" s="128">
        <f>+VLOOKUP(B62,BOM!$A$8:$AB$1078,27,0)</f>
        <v>1</v>
      </c>
      <c r="O62" s="129">
        <f>+VLOOKUP(B62,BOM!$A$8:$AB$1078,28,0)</f>
        <v>0</v>
      </c>
      <c r="P62" s="10" t="str">
        <f t="shared" si="1"/>
        <v>ok</v>
      </c>
    </row>
    <row r="63" spans="1:16" ht="15">
      <c r="A63" s="153">
        <v>61</v>
      </c>
      <c r="B63" s="53" t="s">
        <v>1797</v>
      </c>
      <c r="C63" s="126" t="s">
        <v>38</v>
      </c>
      <c r="D63" s="55">
        <v>1</v>
      </c>
      <c r="E63" s="52" t="s">
        <v>2385</v>
      </c>
      <c r="F63" s="126" t="s">
        <v>39</v>
      </c>
      <c r="G63" s="126" t="s">
        <v>1667</v>
      </c>
      <c r="H63" s="127">
        <v>1</v>
      </c>
      <c r="I63" s="49" t="s">
        <v>2386</v>
      </c>
      <c r="J63" s="52" t="s">
        <v>2397</v>
      </c>
      <c r="K63" s="49"/>
      <c r="L63" s="49" t="s">
        <v>2920</v>
      </c>
      <c r="M63" s="76">
        <v>45429</v>
      </c>
      <c r="N63" s="128">
        <f>+VLOOKUP(B63,BOM!$A$8:$AB$1078,27,0)</f>
        <v>1</v>
      </c>
      <c r="O63" s="129">
        <f>+VLOOKUP(B63,BOM!$A$8:$AB$1078,28,0)</f>
        <v>0</v>
      </c>
      <c r="P63" s="10" t="str">
        <f t="shared" si="1"/>
        <v>ok</v>
      </c>
    </row>
    <row r="64" spans="1:16" ht="15">
      <c r="A64" s="153">
        <v>62</v>
      </c>
      <c r="B64" s="53" t="s">
        <v>1809</v>
      </c>
      <c r="C64" s="126" t="s">
        <v>1794</v>
      </c>
      <c r="D64" s="55">
        <v>2</v>
      </c>
      <c r="E64" s="52" t="s">
        <v>2385</v>
      </c>
      <c r="F64" s="126" t="s">
        <v>39</v>
      </c>
      <c r="G64" s="126" t="s">
        <v>1667</v>
      </c>
      <c r="H64" s="127">
        <v>2</v>
      </c>
      <c r="I64" s="49" t="s">
        <v>2386</v>
      </c>
      <c r="J64" s="52" t="s">
        <v>2397</v>
      </c>
      <c r="K64" s="49"/>
      <c r="L64" s="49" t="s">
        <v>2921</v>
      </c>
      <c r="M64" s="76">
        <v>45429</v>
      </c>
      <c r="N64" s="128">
        <f>+VLOOKUP(B64,BOM!$A$8:$AB$1078,27,0)</f>
        <v>2</v>
      </c>
      <c r="O64" s="129">
        <f>+VLOOKUP(B64,BOM!$A$8:$AB$1078,28,0)</f>
        <v>0</v>
      </c>
      <c r="P64" s="10" t="str">
        <f t="shared" si="1"/>
        <v>ok</v>
      </c>
    </row>
    <row r="65" spans="1:16" ht="15">
      <c r="A65" s="153">
        <v>63</v>
      </c>
      <c r="B65" s="53" t="s">
        <v>481</v>
      </c>
      <c r="C65" s="126" t="s">
        <v>483</v>
      </c>
      <c r="D65" s="55">
        <v>1</v>
      </c>
      <c r="E65" s="52" t="s">
        <v>2385</v>
      </c>
      <c r="F65" s="126" t="s">
        <v>39</v>
      </c>
      <c r="G65" s="126" t="s">
        <v>1667</v>
      </c>
      <c r="H65" s="127">
        <v>1</v>
      </c>
      <c r="I65" s="49" t="s">
        <v>2386</v>
      </c>
      <c r="J65" s="52" t="s">
        <v>2397</v>
      </c>
      <c r="K65" s="139"/>
      <c r="L65" s="139" t="s">
        <v>2922</v>
      </c>
      <c r="M65" s="76">
        <v>45429</v>
      </c>
      <c r="N65" s="128">
        <f>+VLOOKUP(B65,BOM!$A$8:$AB$1078,27,0)</f>
        <v>1</v>
      </c>
      <c r="O65" s="129">
        <f>+VLOOKUP(B65,BOM!$A$8:$AB$1078,28,0)</f>
        <v>0</v>
      </c>
      <c r="P65" s="10" t="str">
        <f t="shared" si="1"/>
        <v>ok</v>
      </c>
    </row>
    <row r="66" spans="1:16" ht="15" customHeight="1">
      <c r="A66" s="153">
        <v>64</v>
      </c>
      <c r="B66" s="53" t="s">
        <v>327</v>
      </c>
      <c r="C66" s="126" t="s">
        <v>329</v>
      </c>
      <c r="D66" s="55">
        <v>1</v>
      </c>
      <c r="E66" s="52" t="s">
        <v>2385</v>
      </c>
      <c r="F66" s="126" t="s">
        <v>39</v>
      </c>
      <c r="G66" s="126" t="s">
        <v>1667</v>
      </c>
      <c r="H66" s="127">
        <v>1</v>
      </c>
      <c r="I66" s="49" t="s">
        <v>2386</v>
      </c>
      <c r="J66" s="52" t="s">
        <v>2411</v>
      </c>
      <c r="K66" s="49"/>
      <c r="L66" s="49" t="s">
        <v>2923</v>
      </c>
      <c r="M66" s="76">
        <v>45429</v>
      </c>
      <c r="N66" s="128">
        <f>+VLOOKUP(B66,BOM!$A$8:$AB$1078,27,0)</f>
        <v>1</v>
      </c>
      <c r="O66" s="129">
        <f>+VLOOKUP(B66,BOM!$A$8:$AB$1078,28,0)</f>
        <v>0</v>
      </c>
      <c r="P66" s="10" t="str">
        <f t="shared" si="1"/>
        <v>ok</v>
      </c>
    </row>
    <row r="67" spans="1:16" ht="15">
      <c r="A67" s="153">
        <v>65</v>
      </c>
      <c r="B67" s="53" t="s">
        <v>118</v>
      </c>
      <c r="C67" s="126" t="s">
        <v>119</v>
      </c>
      <c r="D67" s="55">
        <v>2</v>
      </c>
      <c r="E67" s="52" t="s">
        <v>2385</v>
      </c>
      <c r="F67" s="126" t="s">
        <v>39</v>
      </c>
      <c r="G67" s="126" t="s">
        <v>1667</v>
      </c>
      <c r="H67" s="127">
        <v>2</v>
      </c>
      <c r="I67" s="49" t="s">
        <v>2386</v>
      </c>
      <c r="J67" s="52" t="s">
        <v>2414</v>
      </c>
      <c r="K67" s="142"/>
      <c r="L67" s="142" t="s">
        <v>2924</v>
      </c>
      <c r="M67" s="76">
        <v>45429</v>
      </c>
      <c r="N67" s="128">
        <f>+VLOOKUP(B67,BOM!$A$8:$AB$1078,27,0)</f>
        <v>2</v>
      </c>
      <c r="O67" s="129">
        <f>+VLOOKUP(B67,BOM!$A$8:$AB$1078,28,0)</f>
        <v>0</v>
      </c>
      <c r="P67" s="10" t="str">
        <f t="shared" si="1"/>
        <v>ok</v>
      </c>
    </row>
    <row r="68" spans="1:16" ht="15">
      <c r="A68" s="153">
        <v>66</v>
      </c>
      <c r="B68" s="53" t="s">
        <v>234</v>
      </c>
      <c r="C68" s="126" t="s">
        <v>236</v>
      </c>
      <c r="D68" s="55">
        <v>1</v>
      </c>
      <c r="E68" s="52" t="s">
        <v>2385</v>
      </c>
      <c r="F68" s="126" t="s">
        <v>39</v>
      </c>
      <c r="G68" s="126" t="s">
        <v>1667</v>
      </c>
      <c r="H68" s="127">
        <v>1</v>
      </c>
      <c r="I68" s="49" t="s">
        <v>2386</v>
      </c>
      <c r="J68" s="52" t="s">
        <v>2414</v>
      </c>
      <c r="K68" s="49"/>
      <c r="L68" s="49" t="s">
        <v>2925</v>
      </c>
      <c r="M68" s="76">
        <v>45429</v>
      </c>
      <c r="N68" s="128">
        <f>+VLOOKUP(B68,BOM!$A$8:$AB$1078,27,0)</f>
        <v>1</v>
      </c>
      <c r="O68" s="129">
        <f>+VLOOKUP(B68,BOM!$A$8:$AB$1078,28,0)</f>
        <v>0</v>
      </c>
      <c r="P68" s="10" t="str">
        <f t="shared" ref="P68:P80" si="2">+IF(N68=D68,"ok","")</f>
        <v>ok</v>
      </c>
    </row>
    <row r="69" spans="1:16" ht="15">
      <c r="A69" s="153">
        <v>67</v>
      </c>
      <c r="B69" s="53" t="s">
        <v>1758</v>
      </c>
      <c r="C69" s="126" t="s">
        <v>262</v>
      </c>
      <c r="D69" s="55">
        <v>1</v>
      </c>
      <c r="E69" s="52" t="s">
        <v>2417</v>
      </c>
      <c r="F69" s="126" t="s">
        <v>39</v>
      </c>
      <c r="G69" s="126" t="s">
        <v>1667</v>
      </c>
      <c r="H69" s="127">
        <v>1</v>
      </c>
      <c r="I69" s="49" t="s">
        <v>2418</v>
      </c>
      <c r="J69" s="52" t="s">
        <v>2414</v>
      </c>
      <c r="K69" s="49"/>
      <c r="L69" s="49" t="s">
        <v>2926</v>
      </c>
      <c r="M69" s="76">
        <v>45429</v>
      </c>
      <c r="N69" s="128">
        <f>+VLOOKUP(B69,BOM!$A$8:$AB$1078,27,0)</f>
        <v>1</v>
      </c>
      <c r="O69" s="129">
        <f>+VLOOKUP(B69,BOM!$A$8:$AB$1078,28,0)</f>
        <v>2</v>
      </c>
      <c r="P69" s="10" t="str">
        <f t="shared" si="2"/>
        <v>ok</v>
      </c>
    </row>
    <row r="70" spans="1:16" ht="15">
      <c r="A70" s="153">
        <v>68</v>
      </c>
      <c r="B70" s="53" t="s">
        <v>160</v>
      </c>
      <c r="C70" s="126" t="s">
        <v>162</v>
      </c>
      <c r="D70" s="55">
        <v>2</v>
      </c>
      <c r="E70" s="52" t="s">
        <v>2394</v>
      </c>
      <c r="F70" s="126" t="s">
        <v>39</v>
      </c>
      <c r="G70" s="126" t="s">
        <v>1667</v>
      </c>
      <c r="H70" s="127">
        <v>2</v>
      </c>
      <c r="I70" s="49" t="s">
        <v>2425</v>
      </c>
      <c r="J70" s="57" t="s">
        <v>2411</v>
      </c>
      <c r="K70" s="138"/>
      <c r="L70" s="138" t="s">
        <v>2927</v>
      </c>
      <c r="M70" s="76">
        <v>45533</v>
      </c>
      <c r="N70" s="128">
        <f>+VLOOKUP(B70,BOM!$A$8:$AB$1078,27,0)</f>
        <v>2</v>
      </c>
      <c r="O70" s="129">
        <f>+VLOOKUP(B70,BOM!$A$8:$AB$1078,28,0)</f>
        <v>3</v>
      </c>
      <c r="P70" s="10" t="str">
        <f t="shared" si="2"/>
        <v>ok</v>
      </c>
    </row>
    <row r="71" spans="1:16" ht="15">
      <c r="A71" s="153">
        <v>69</v>
      </c>
      <c r="B71" s="53" t="s">
        <v>204</v>
      </c>
      <c r="C71" s="126" t="s">
        <v>205</v>
      </c>
      <c r="D71" s="55">
        <v>4</v>
      </c>
      <c r="E71" s="52" t="s">
        <v>2394</v>
      </c>
      <c r="F71" s="126" t="s">
        <v>39</v>
      </c>
      <c r="G71" s="126" t="s">
        <v>1667</v>
      </c>
      <c r="H71" s="127">
        <v>4</v>
      </c>
      <c r="I71" s="49" t="s">
        <v>2425</v>
      </c>
      <c r="J71" s="52" t="s">
        <v>2411</v>
      </c>
      <c r="K71" s="49"/>
      <c r="L71" s="49" t="s">
        <v>2928</v>
      </c>
      <c r="M71" s="76">
        <v>45429</v>
      </c>
      <c r="N71" s="128">
        <f>+VLOOKUP(B71,BOM!$A$8:$AB$1078,27,0)</f>
        <v>4</v>
      </c>
      <c r="O71" s="129">
        <f>+VLOOKUP(B71,BOM!$A$8:$AB$1078,28,0)</f>
        <v>3</v>
      </c>
      <c r="P71" s="10" t="str">
        <f t="shared" si="2"/>
        <v>ok</v>
      </c>
    </row>
    <row r="72" spans="1:16" ht="15">
      <c r="A72" s="153">
        <v>70</v>
      </c>
      <c r="B72" s="53" t="s">
        <v>212</v>
      </c>
      <c r="C72" s="126" t="s">
        <v>213</v>
      </c>
      <c r="D72" s="55">
        <v>2</v>
      </c>
      <c r="E72" s="52" t="s">
        <v>2394</v>
      </c>
      <c r="F72" s="126" t="s">
        <v>39</v>
      </c>
      <c r="G72" s="126" t="s">
        <v>1667</v>
      </c>
      <c r="H72" s="127">
        <v>2</v>
      </c>
      <c r="I72" s="49" t="s">
        <v>2425</v>
      </c>
      <c r="J72" s="52" t="s">
        <v>2411</v>
      </c>
      <c r="K72" s="49"/>
      <c r="L72" s="49" t="s">
        <v>2929</v>
      </c>
      <c r="M72" s="76">
        <v>45429</v>
      </c>
      <c r="N72" s="128">
        <f>+VLOOKUP(B72,BOM!$A$8:$AB$1078,27,0)</f>
        <v>2</v>
      </c>
      <c r="O72" s="129">
        <f>+VLOOKUP(B72,BOM!$A$8:$AB$1078,28,0)</f>
        <v>3</v>
      </c>
      <c r="P72" s="10" t="str">
        <f t="shared" si="2"/>
        <v>ok</v>
      </c>
    </row>
    <row r="73" spans="1:16" ht="15">
      <c r="A73" s="153">
        <v>71</v>
      </c>
      <c r="B73" s="53" t="s">
        <v>224</v>
      </c>
      <c r="C73" s="126" t="s">
        <v>225</v>
      </c>
      <c r="D73" s="55">
        <v>2</v>
      </c>
      <c r="E73" s="52" t="s">
        <v>2394</v>
      </c>
      <c r="F73" s="126" t="s">
        <v>39</v>
      </c>
      <c r="G73" s="126" t="s">
        <v>1667</v>
      </c>
      <c r="H73" s="127">
        <v>2</v>
      </c>
      <c r="I73" s="49" t="s">
        <v>2425</v>
      </c>
      <c r="J73" s="52" t="s">
        <v>2411</v>
      </c>
      <c r="K73" s="49"/>
      <c r="L73" s="49" t="s">
        <v>2930</v>
      </c>
      <c r="M73" s="76">
        <v>45429</v>
      </c>
      <c r="N73" s="128">
        <f>+VLOOKUP(B73,BOM!$A$8:$AB$1078,27,0)</f>
        <v>2</v>
      </c>
      <c r="O73" s="129">
        <f>+VLOOKUP(B73,BOM!$A$8:$AB$1078,28,0)</f>
        <v>3</v>
      </c>
      <c r="P73" s="10" t="str">
        <f t="shared" si="2"/>
        <v>ok</v>
      </c>
    </row>
    <row r="74" spans="1:16" ht="15">
      <c r="A74" s="153">
        <v>72</v>
      </c>
      <c r="B74" s="53" t="s">
        <v>226</v>
      </c>
      <c r="C74" s="126" t="s">
        <v>225</v>
      </c>
      <c r="D74" s="55">
        <v>2</v>
      </c>
      <c r="E74" s="52" t="s">
        <v>2394</v>
      </c>
      <c r="F74" s="126" t="s">
        <v>39</v>
      </c>
      <c r="G74" s="126" t="s">
        <v>1667</v>
      </c>
      <c r="H74" s="127">
        <v>2</v>
      </c>
      <c r="I74" s="49" t="s">
        <v>2425</v>
      </c>
      <c r="J74" s="52" t="s">
        <v>2411</v>
      </c>
      <c r="K74" s="49"/>
      <c r="L74" s="49" t="s">
        <v>2931</v>
      </c>
      <c r="M74" s="76">
        <v>45429</v>
      </c>
      <c r="N74" s="128">
        <f>+VLOOKUP(B74,BOM!$A$8:$AB$1078,27,0)</f>
        <v>2</v>
      </c>
      <c r="O74" s="129">
        <f>+VLOOKUP(B74,BOM!$A$8:$AB$1078,28,0)</f>
        <v>3</v>
      </c>
      <c r="P74" s="10" t="str">
        <f t="shared" si="2"/>
        <v>ok</v>
      </c>
    </row>
    <row r="75" spans="1:16" ht="15">
      <c r="A75" s="153">
        <v>73</v>
      </c>
      <c r="B75" s="53" t="s">
        <v>237</v>
      </c>
      <c r="C75" s="126" t="s">
        <v>239</v>
      </c>
      <c r="D75" s="55">
        <v>1</v>
      </c>
      <c r="E75" s="81" t="s">
        <v>2394</v>
      </c>
      <c r="F75" s="126" t="s">
        <v>39</v>
      </c>
      <c r="G75" s="128" t="s">
        <v>1667</v>
      </c>
      <c r="H75" s="147">
        <v>1</v>
      </c>
      <c r="I75" s="49" t="s">
        <v>2425</v>
      </c>
      <c r="J75" s="52" t="s">
        <v>2411</v>
      </c>
      <c r="K75" s="49"/>
      <c r="L75" s="49" t="s">
        <v>2932</v>
      </c>
      <c r="M75" s="76">
        <v>45702</v>
      </c>
      <c r="N75" s="128">
        <f>+VLOOKUP(B75,BOM!$A$8:$AB$1078,27,0)</f>
        <v>1</v>
      </c>
      <c r="O75" s="129">
        <f>+VLOOKUP(B75,BOM!$A$8:$AB$1078,28,0)</f>
        <v>3</v>
      </c>
      <c r="P75" s="10" t="str">
        <f t="shared" si="2"/>
        <v>ok</v>
      </c>
    </row>
    <row r="76" spans="1:16" ht="15">
      <c r="A76" s="153">
        <v>74</v>
      </c>
      <c r="B76" s="53" t="s">
        <v>135</v>
      </c>
      <c r="C76" s="126" t="s">
        <v>137</v>
      </c>
      <c r="D76" s="52">
        <v>4</v>
      </c>
      <c r="E76" s="81" t="s">
        <v>2394</v>
      </c>
      <c r="F76" s="126" t="s">
        <v>39</v>
      </c>
      <c r="G76" s="126" t="s">
        <v>1667</v>
      </c>
      <c r="H76" s="127">
        <v>4</v>
      </c>
      <c r="I76" s="49" t="s">
        <v>2425</v>
      </c>
      <c r="J76" s="52" t="s">
        <v>2414</v>
      </c>
      <c r="K76" s="139"/>
      <c r="L76" s="139" t="s">
        <v>2933</v>
      </c>
      <c r="M76" s="76">
        <v>45702</v>
      </c>
      <c r="N76" s="128">
        <f>+VLOOKUP(B76,BOM!$A$8:$AB$1078,27,0)</f>
        <v>4</v>
      </c>
      <c r="O76" s="129">
        <f>+VLOOKUP(B76,BOM!$A$8:$AB$1078,28,0)</f>
        <v>3</v>
      </c>
      <c r="P76" s="10" t="str">
        <f t="shared" si="2"/>
        <v>ok</v>
      </c>
    </row>
    <row r="77" spans="1:16" ht="15">
      <c r="A77" s="153">
        <v>75</v>
      </c>
      <c r="B77" s="53" t="s">
        <v>379</v>
      </c>
      <c r="C77" s="126" t="s">
        <v>380</v>
      </c>
      <c r="D77" s="55">
        <v>1</v>
      </c>
      <c r="E77" s="79" t="s">
        <v>2394</v>
      </c>
      <c r="F77" s="126" t="s">
        <v>39</v>
      </c>
      <c r="G77" s="126" t="s">
        <v>1667</v>
      </c>
      <c r="H77" s="127">
        <v>1</v>
      </c>
      <c r="I77" s="49" t="s">
        <v>2425</v>
      </c>
      <c r="J77" s="52" t="s">
        <v>2414</v>
      </c>
      <c r="K77" s="142"/>
      <c r="L77" s="142" t="s">
        <v>2934</v>
      </c>
      <c r="M77" s="76">
        <v>45702</v>
      </c>
      <c r="N77" s="128">
        <f>+VLOOKUP(B77,BOM!$A$8:$AB$1078,27,0)</f>
        <v>1</v>
      </c>
      <c r="O77" s="129">
        <f>+VLOOKUP(B77,BOM!$A$8:$AB$1078,28,0)</f>
        <v>3</v>
      </c>
      <c r="P77" s="10" t="str">
        <f t="shared" si="2"/>
        <v>ok</v>
      </c>
    </row>
    <row r="78" spans="1:16" ht="15">
      <c r="A78" s="153">
        <v>76</v>
      </c>
      <c r="B78" s="53" t="s">
        <v>77</v>
      </c>
      <c r="C78" s="126" t="s">
        <v>79</v>
      </c>
      <c r="D78" s="55">
        <v>1</v>
      </c>
      <c r="E78" s="79" t="s">
        <v>2427</v>
      </c>
      <c r="F78" s="126" t="s">
        <v>39</v>
      </c>
      <c r="G78" s="126" t="s">
        <v>1667</v>
      </c>
      <c r="H78" s="127">
        <v>1</v>
      </c>
      <c r="I78" s="49" t="s">
        <v>2428</v>
      </c>
      <c r="J78" s="52" t="s">
        <v>2411</v>
      </c>
      <c r="K78" s="49"/>
      <c r="L78" s="49" t="s">
        <v>2935</v>
      </c>
      <c r="M78" s="76">
        <v>45702</v>
      </c>
      <c r="N78" s="128">
        <f>+VLOOKUP(B78,BOM!$A$8:$AB$1078,27,0)</f>
        <v>1</v>
      </c>
      <c r="O78" s="129">
        <f>+VLOOKUP(B78,BOM!$A$8:$AB$1078,28,0)</f>
        <v>4</v>
      </c>
      <c r="P78" s="10" t="str">
        <f t="shared" si="2"/>
        <v>ok</v>
      </c>
    </row>
    <row r="79" spans="1:16" ht="15">
      <c r="A79" s="153">
        <v>77</v>
      </c>
      <c r="B79" s="53" t="s">
        <v>83</v>
      </c>
      <c r="C79" s="126" t="s">
        <v>85</v>
      </c>
      <c r="D79" s="55">
        <v>1</v>
      </c>
      <c r="E79" s="56" t="s">
        <v>2427</v>
      </c>
      <c r="F79" s="126" t="s">
        <v>39</v>
      </c>
      <c r="G79" s="126" t="s">
        <v>1667</v>
      </c>
      <c r="H79" s="127">
        <v>1</v>
      </c>
      <c r="I79" s="49" t="s">
        <v>2428</v>
      </c>
      <c r="J79" s="52" t="s">
        <v>2414</v>
      </c>
      <c r="K79" s="49"/>
      <c r="L79" s="49" t="s">
        <v>2936</v>
      </c>
      <c r="M79" s="76">
        <v>45702</v>
      </c>
      <c r="N79" s="128">
        <f>+VLOOKUP(B79,BOM!$A$8:$AB$1078,27,0)</f>
        <v>1</v>
      </c>
      <c r="O79" s="129">
        <f>+VLOOKUP(B79,BOM!$A$8:$AB$1078,28,0)</f>
        <v>4</v>
      </c>
      <c r="P79" s="10" t="str">
        <f t="shared" si="2"/>
        <v>ok</v>
      </c>
    </row>
    <row r="80" spans="1:16" ht="15">
      <c r="A80" s="153">
        <v>78</v>
      </c>
      <c r="B80" s="53" t="s">
        <v>387</v>
      </c>
      <c r="C80" s="126" t="s">
        <v>389</v>
      </c>
      <c r="D80" s="55">
        <v>1</v>
      </c>
      <c r="E80" s="56" t="s">
        <v>2427</v>
      </c>
      <c r="F80" s="126" t="s">
        <v>39</v>
      </c>
      <c r="G80" s="126" t="s">
        <v>1667</v>
      </c>
      <c r="H80" s="127">
        <v>1</v>
      </c>
      <c r="I80" s="49" t="s">
        <v>2428</v>
      </c>
      <c r="J80" s="52" t="s">
        <v>2486</v>
      </c>
      <c r="K80" s="139"/>
      <c r="L80" s="139" t="s">
        <v>2937</v>
      </c>
      <c r="M80" s="76">
        <v>45702</v>
      </c>
      <c r="N80" s="128">
        <f>+VLOOKUP(B80,BOM!$A$8:$AB$1078,27,0)</f>
        <v>1</v>
      </c>
      <c r="O80" s="129">
        <f>+VLOOKUP(B80,BOM!$A$8:$AB$1078,28,0)</f>
        <v>4</v>
      </c>
      <c r="P80" s="10" t="str">
        <f t="shared" si="2"/>
        <v>ok</v>
      </c>
    </row>
    <row r="81" spans="1:16" ht="15">
      <c r="A81" s="153">
        <v>79</v>
      </c>
      <c r="B81" s="53" t="s">
        <v>390</v>
      </c>
      <c r="C81" s="126" t="s">
        <v>389</v>
      </c>
      <c r="D81" s="52">
        <v>1</v>
      </c>
      <c r="E81" s="81" t="s">
        <v>2427</v>
      </c>
      <c r="F81" s="126" t="s">
        <v>39</v>
      </c>
      <c r="G81" s="126" t="s">
        <v>1667</v>
      </c>
      <c r="H81" s="127">
        <v>1</v>
      </c>
      <c r="I81" s="49" t="s">
        <v>2428</v>
      </c>
      <c r="J81" s="52" t="s">
        <v>2486</v>
      </c>
      <c r="K81" s="49"/>
      <c r="L81" s="49" t="s">
        <v>2938</v>
      </c>
      <c r="M81" s="124"/>
      <c r="O81" s="122"/>
    </row>
    <row r="82" spans="1:16" ht="15">
      <c r="A82" s="153">
        <v>80</v>
      </c>
      <c r="B82" s="53" t="s">
        <v>120</v>
      </c>
      <c r="C82" s="126" t="s">
        <v>122</v>
      </c>
      <c r="D82" s="55">
        <v>2</v>
      </c>
      <c r="E82" s="56" t="s">
        <v>2437</v>
      </c>
      <c r="F82" s="126" t="s">
        <v>39</v>
      </c>
      <c r="G82" s="126" t="s">
        <v>1667</v>
      </c>
      <c r="H82" s="127">
        <v>2</v>
      </c>
      <c r="I82" s="49" t="s">
        <v>2438</v>
      </c>
      <c r="J82" s="52"/>
      <c r="K82" s="49" t="s">
        <v>2439</v>
      </c>
      <c r="L82" s="49" t="s">
        <v>2939</v>
      </c>
      <c r="M82" s="76">
        <v>45429</v>
      </c>
      <c r="N82" s="128">
        <f>+VLOOKUP(B82,BOM!$A$8:$AB$1078,27,0)</f>
        <v>2</v>
      </c>
      <c r="O82" s="129">
        <f>+VLOOKUP(B82,BOM!$A$8:$AB$1078,28,0)</f>
        <v>6</v>
      </c>
      <c r="P82" s="10" t="str">
        <f t="shared" ref="P82:P87" si="3">+IF(N82=D82,"ok","")</f>
        <v>ok</v>
      </c>
    </row>
    <row r="83" spans="1:16" ht="15">
      <c r="A83" s="153">
        <v>81</v>
      </c>
      <c r="B83" s="53" t="s">
        <v>1793</v>
      </c>
      <c r="C83" s="126" t="s">
        <v>1794</v>
      </c>
      <c r="D83" s="55">
        <v>1</v>
      </c>
      <c r="E83" s="56" t="s">
        <v>2437</v>
      </c>
      <c r="F83" s="126" t="s">
        <v>39</v>
      </c>
      <c r="G83" s="126" t="s">
        <v>1667</v>
      </c>
      <c r="H83" s="127">
        <v>1</v>
      </c>
      <c r="I83" s="49" t="s">
        <v>2438</v>
      </c>
      <c r="J83" s="52"/>
      <c r="K83" s="49"/>
      <c r="L83" s="49" t="s">
        <v>2940</v>
      </c>
      <c r="M83" s="76">
        <v>45429</v>
      </c>
      <c r="N83" s="128">
        <f>+VLOOKUP(B83,BOM!$A$8:$AB$1078,27,0)</f>
        <v>1</v>
      </c>
      <c r="O83" s="129">
        <f>+VLOOKUP(B83,BOM!$A$8:$AB$1078,28,0)</f>
        <v>5</v>
      </c>
      <c r="P83" s="10" t="str">
        <f t="shared" si="3"/>
        <v>ok</v>
      </c>
    </row>
    <row r="84" spans="1:16" ht="15">
      <c r="A84" s="153">
        <v>82</v>
      </c>
      <c r="B84" s="53" t="s">
        <v>1435</v>
      </c>
      <c r="C84" s="126" t="s">
        <v>512</v>
      </c>
      <c r="D84" s="55">
        <v>1</v>
      </c>
      <c r="E84" s="56" t="s">
        <v>2443</v>
      </c>
      <c r="F84" s="126" t="s">
        <v>39</v>
      </c>
      <c r="G84" s="126" t="s">
        <v>1667</v>
      </c>
      <c r="H84" s="127">
        <v>1</v>
      </c>
      <c r="I84" s="49" t="s">
        <v>2444</v>
      </c>
      <c r="J84" s="52" t="s">
        <v>2414</v>
      </c>
      <c r="K84" s="49"/>
      <c r="L84" s="49" t="s">
        <v>2941</v>
      </c>
      <c r="M84" s="76">
        <v>45429</v>
      </c>
      <c r="N84" s="128">
        <f>+VLOOKUP(B84,BOM!$A$8:$AB$1078,27,0)</f>
        <v>1</v>
      </c>
      <c r="O84" s="129">
        <f>+VLOOKUP(B84,BOM!$A$8:$AB$1078,28,0)</f>
        <v>7</v>
      </c>
      <c r="P84" s="10" t="str">
        <f t="shared" si="3"/>
        <v>ok</v>
      </c>
    </row>
    <row r="85" spans="1:16" ht="15">
      <c r="A85" s="153">
        <v>83</v>
      </c>
      <c r="B85" s="53" t="s">
        <v>127</v>
      </c>
      <c r="C85" s="126" t="s">
        <v>129</v>
      </c>
      <c r="D85" s="55">
        <v>2</v>
      </c>
      <c r="E85" s="56" t="s">
        <v>2388</v>
      </c>
      <c r="F85" s="126" t="s">
        <v>39</v>
      </c>
      <c r="G85" s="126" t="s">
        <v>1667</v>
      </c>
      <c r="H85" s="127">
        <v>2</v>
      </c>
      <c r="I85" s="49" t="s">
        <v>2492</v>
      </c>
      <c r="J85" s="52"/>
      <c r="K85" s="49"/>
      <c r="L85" s="49" t="s">
        <v>2942</v>
      </c>
      <c r="M85" s="76">
        <v>45429</v>
      </c>
      <c r="N85" s="128">
        <f>+VLOOKUP(B85,BOM!$A$8:$AB$1078,27,0)</f>
        <v>2</v>
      </c>
      <c r="O85" s="129" t="str">
        <f>+VLOOKUP(B85,BOM!$A$8:$AB$1078,28,0)</f>
        <v>B</v>
      </c>
      <c r="P85" s="10" t="str">
        <f t="shared" si="3"/>
        <v>ok</v>
      </c>
    </row>
    <row r="86" spans="1:16" ht="15">
      <c r="A86" s="153">
        <v>84</v>
      </c>
      <c r="B86" s="53" t="s">
        <v>130</v>
      </c>
      <c r="C86" s="126" t="s">
        <v>132</v>
      </c>
      <c r="D86" s="52">
        <v>1</v>
      </c>
      <c r="E86" s="81" t="s">
        <v>2388</v>
      </c>
      <c r="F86" s="126" t="s">
        <v>39</v>
      </c>
      <c r="G86" s="126" t="s">
        <v>1667</v>
      </c>
      <c r="H86" s="127">
        <v>1</v>
      </c>
      <c r="I86" s="49" t="s">
        <v>2492</v>
      </c>
      <c r="J86" s="52"/>
      <c r="K86" s="49">
        <v>45821</v>
      </c>
      <c r="L86" s="49" t="s">
        <v>2943</v>
      </c>
      <c r="M86" s="76">
        <v>45702</v>
      </c>
      <c r="N86" s="128">
        <f>+VLOOKUP(B86,BOM!$A$8:$AB$1078,27,0)</f>
        <v>1</v>
      </c>
      <c r="O86" s="129" t="str">
        <f>+VLOOKUP(B86,BOM!$A$8:$AB$1078,28,0)</f>
        <v>B</v>
      </c>
      <c r="P86" s="10" t="str">
        <f t="shared" si="3"/>
        <v>ok</v>
      </c>
    </row>
    <row r="87" spans="1:16" ht="15">
      <c r="A87" s="153">
        <v>85</v>
      </c>
      <c r="B87" s="53" t="s">
        <v>133</v>
      </c>
      <c r="C87" s="126" t="s">
        <v>134</v>
      </c>
      <c r="D87" s="52">
        <v>1</v>
      </c>
      <c r="E87" s="81" t="s">
        <v>2388</v>
      </c>
      <c r="F87" s="126" t="s">
        <v>39</v>
      </c>
      <c r="G87" s="126" t="s">
        <v>1667</v>
      </c>
      <c r="H87" s="127">
        <v>1</v>
      </c>
      <c r="I87" s="49" t="s">
        <v>2492</v>
      </c>
      <c r="J87" s="52"/>
      <c r="K87" s="49">
        <v>45821</v>
      </c>
      <c r="L87" s="49" t="s">
        <v>2944</v>
      </c>
      <c r="M87" s="76">
        <v>45702</v>
      </c>
      <c r="N87" s="128">
        <f>+VLOOKUP(B87,BOM!$A$8:$AB$1078,27,0)</f>
        <v>1</v>
      </c>
      <c r="O87" s="129" t="str">
        <f>+VLOOKUP(B87,BOM!$A$8:$AB$1078,28,0)</f>
        <v>B</v>
      </c>
      <c r="P87" s="10" t="str">
        <f t="shared" si="3"/>
        <v>ok</v>
      </c>
    </row>
    <row r="88" spans="1:16" ht="15">
      <c r="A88" s="153">
        <v>86</v>
      </c>
      <c r="B88" s="53" t="s">
        <v>138</v>
      </c>
      <c r="C88" s="126" t="s">
        <v>140</v>
      </c>
      <c r="D88" s="55">
        <v>2</v>
      </c>
      <c r="E88" s="77" t="s">
        <v>2388</v>
      </c>
      <c r="F88" s="126" t="s">
        <v>39</v>
      </c>
      <c r="G88" s="126" t="s">
        <v>1667</v>
      </c>
      <c r="H88" s="127">
        <v>2</v>
      </c>
      <c r="I88" s="49" t="s">
        <v>2492</v>
      </c>
      <c r="J88" s="52"/>
      <c r="K88" s="49"/>
      <c r="L88" s="49" t="s">
        <v>2945</v>
      </c>
      <c r="M88" s="76">
        <v>45429</v>
      </c>
      <c r="N88" s="128">
        <f>+VLOOKUP(B88,BOM!$A$8:$AB$1078,27,0)</f>
        <v>2</v>
      </c>
      <c r="O88" s="129" t="str">
        <f>+VLOOKUP(B88,BOM!$A$8:$AB$1078,28,0)</f>
        <v>B</v>
      </c>
      <c r="P88" s="10">
        <v>1</v>
      </c>
    </row>
    <row r="89" spans="1:16" ht="15">
      <c r="A89" s="153">
        <v>87</v>
      </c>
      <c r="B89" s="53" t="s">
        <v>141</v>
      </c>
      <c r="C89" s="126" t="s">
        <v>142</v>
      </c>
      <c r="D89" s="52">
        <v>2</v>
      </c>
      <c r="E89" s="81" t="s">
        <v>2388</v>
      </c>
      <c r="F89" s="126" t="s">
        <v>39</v>
      </c>
      <c r="G89" s="126" t="s">
        <v>1667</v>
      </c>
      <c r="H89" s="127">
        <v>2</v>
      </c>
      <c r="I89" s="49" t="s">
        <v>2492</v>
      </c>
      <c r="J89" s="52"/>
      <c r="K89" s="49"/>
      <c r="L89" s="49" t="s">
        <v>2946</v>
      </c>
      <c r="M89" s="76">
        <v>45702</v>
      </c>
      <c r="N89" s="128">
        <f>+VLOOKUP(B89,BOM!$A$8:$AB$1078,27,0)</f>
        <v>2</v>
      </c>
      <c r="O89" s="129" t="str">
        <f>+VLOOKUP(B89,BOM!$A$8:$AB$1078,28,0)</f>
        <v>B</v>
      </c>
      <c r="P89" s="10">
        <v>1</v>
      </c>
    </row>
    <row r="90" spans="1:16" ht="15">
      <c r="A90" s="153">
        <v>88</v>
      </c>
      <c r="B90" s="53" t="s">
        <v>143</v>
      </c>
      <c r="C90" s="126" t="s">
        <v>145</v>
      </c>
      <c r="D90" s="55">
        <v>2</v>
      </c>
      <c r="E90" s="77" t="s">
        <v>2388</v>
      </c>
      <c r="F90" s="126" t="s">
        <v>39</v>
      </c>
      <c r="G90" s="126" t="s">
        <v>1667</v>
      </c>
      <c r="H90" s="127">
        <v>2</v>
      </c>
      <c r="I90" s="49" t="s">
        <v>2492</v>
      </c>
      <c r="J90" s="52"/>
      <c r="K90" s="49"/>
      <c r="L90" s="49" t="s">
        <v>2947</v>
      </c>
      <c r="M90" s="76">
        <v>45429</v>
      </c>
      <c r="N90" s="128">
        <f>+VLOOKUP(B90,BOM!$A$8:$AB$1078,27,0)</f>
        <v>2</v>
      </c>
      <c r="O90" s="129" t="str">
        <f>+VLOOKUP(B90,BOM!$A$8:$AB$1078,28,0)</f>
        <v>B</v>
      </c>
      <c r="P90" s="10">
        <v>1</v>
      </c>
    </row>
    <row r="91" spans="1:16" ht="15">
      <c r="A91" s="153">
        <v>89</v>
      </c>
      <c r="B91" s="53" t="s">
        <v>146</v>
      </c>
      <c r="C91" s="126" t="s">
        <v>148</v>
      </c>
      <c r="D91" s="55">
        <v>4</v>
      </c>
      <c r="E91" s="56" t="s">
        <v>2388</v>
      </c>
      <c r="F91" s="126" t="s">
        <v>39</v>
      </c>
      <c r="G91" s="126" t="s">
        <v>1667</v>
      </c>
      <c r="H91" s="127">
        <v>4</v>
      </c>
      <c r="I91" s="49" t="s">
        <v>2492</v>
      </c>
      <c r="J91" s="52"/>
      <c r="K91" s="139" t="s">
        <v>2948</v>
      </c>
      <c r="L91" s="139" t="s">
        <v>2949</v>
      </c>
      <c r="M91" s="76">
        <v>45429</v>
      </c>
      <c r="N91" s="128">
        <f>+VLOOKUP(B91,BOM!$A$8:$AB$1078,27,0)</f>
        <v>4</v>
      </c>
      <c r="O91" s="129" t="str">
        <f>+VLOOKUP(B91,BOM!$A$8:$AB$1078,28,0)</f>
        <v>2xA+ 2xB</v>
      </c>
      <c r="P91" s="10" t="str">
        <f>+IF(N91=D91,"ok","")</f>
        <v>ok</v>
      </c>
    </row>
    <row r="92" spans="1:16" ht="15">
      <c r="A92" s="153">
        <v>90</v>
      </c>
      <c r="B92" s="53" t="s">
        <v>149</v>
      </c>
      <c r="C92" s="126" t="s">
        <v>151</v>
      </c>
      <c r="D92" s="55">
        <v>1</v>
      </c>
      <c r="E92" s="56" t="s">
        <v>2388</v>
      </c>
      <c r="F92" s="126" t="s">
        <v>39</v>
      </c>
      <c r="G92" s="126" t="s">
        <v>1667</v>
      </c>
      <c r="H92" s="127">
        <v>1</v>
      </c>
      <c r="I92" s="49" t="s">
        <v>2492</v>
      </c>
      <c r="J92" s="52"/>
      <c r="K92" s="49"/>
      <c r="L92" s="49" t="s">
        <v>2950</v>
      </c>
      <c r="M92" s="76">
        <v>45429</v>
      </c>
      <c r="N92" s="128">
        <f>+VLOOKUP(B92,BOM!$A$8:$AB$1078,27,0)</f>
        <v>1</v>
      </c>
      <c r="O92" s="129" t="str">
        <f>+VLOOKUP(B92,BOM!$A$8:$AB$1078,28,0)</f>
        <v>B</v>
      </c>
      <c r="P92" s="10" t="str">
        <f>+IF(N92=D92,"ok","")</f>
        <v>ok</v>
      </c>
    </row>
    <row r="93" spans="1:16" ht="15">
      <c r="A93" s="153">
        <v>91</v>
      </c>
      <c r="B93" s="60" t="s">
        <v>152</v>
      </c>
      <c r="C93" s="126" t="s">
        <v>154</v>
      </c>
      <c r="D93" s="52">
        <v>4</v>
      </c>
      <c r="E93" s="56" t="s">
        <v>2388</v>
      </c>
      <c r="F93" s="126" t="s">
        <v>39</v>
      </c>
      <c r="G93" s="126" t="s">
        <v>1667</v>
      </c>
      <c r="H93" s="127">
        <v>4</v>
      </c>
      <c r="I93" s="49" t="s">
        <v>2492</v>
      </c>
      <c r="J93" s="52"/>
      <c r="K93" s="49" t="s">
        <v>2948</v>
      </c>
      <c r="L93" s="49" t="s">
        <v>2951</v>
      </c>
      <c r="M93" s="124"/>
      <c r="O93" s="122"/>
    </row>
    <row r="94" spans="1:16" ht="15">
      <c r="A94" s="153">
        <v>92</v>
      </c>
      <c r="B94" s="60" t="s">
        <v>155</v>
      </c>
      <c r="C94" s="126" t="s">
        <v>157</v>
      </c>
      <c r="D94" s="52">
        <v>2</v>
      </c>
      <c r="E94" s="56" t="s">
        <v>2388</v>
      </c>
      <c r="F94" s="126" t="s">
        <v>39</v>
      </c>
      <c r="G94" s="126" t="s">
        <v>1667</v>
      </c>
      <c r="H94" s="127">
        <v>2</v>
      </c>
      <c r="I94" s="49" t="s">
        <v>2492</v>
      </c>
      <c r="J94" s="52"/>
      <c r="K94" s="49"/>
      <c r="L94" s="49" t="s">
        <v>2952</v>
      </c>
      <c r="M94" s="124"/>
      <c r="O94" s="122"/>
    </row>
    <row r="95" spans="1:16" ht="15">
      <c r="A95" s="153">
        <v>93</v>
      </c>
      <c r="B95" s="53" t="s">
        <v>196</v>
      </c>
      <c r="C95" s="126" t="s">
        <v>198</v>
      </c>
      <c r="D95" s="55">
        <v>2</v>
      </c>
      <c r="E95" s="56" t="s">
        <v>2388</v>
      </c>
      <c r="F95" s="126" t="s">
        <v>39</v>
      </c>
      <c r="G95" s="126" t="s">
        <v>1667</v>
      </c>
      <c r="H95" s="127">
        <v>2</v>
      </c>
      <c r="I95" s="49" t="s">
        <v>2389</v>
      </c>
      <c r="J95" s="52"/>
      <c r="K95" s="139"/>
      <c r="L95" s="190" t="s">
        <v>2953</v>
      </c>
      <c r="M95" s="76">
        <v>45429</v>
      </c>
      <c r="N95" s="128">
        <f>+VLOOKUP(B95,BOM!$A$8:$AB$1078,27,0)</f>
        <v>2</v>
      </c>
      <c r="O95" s="129" t="str">
        <f>+VLOOKUP(B95,BOM!$A$8:$AB$1078,28,0)</f>
        <v>A</v>
      </c>
      <c r="P95" s="10" t="str">
        <f t="shared" ref="P95:P100" si="4">+IF(N95=D95,"ok","")</f>
        <v>ok</v>
      </c>
    </row>
    <row r="96" spans="1:16" ht="15">
      <c r="A96" s="153">
        <v>94</v>
      </c>
      <c r="B96" s="53" t="s">
        <v>199</v>
      </c>
      <c r="C96" s="126" t="s">
        <v>201</v>
      </c>
      <c r="D96" s="55">
        <v>2</v>
      </c>
      <c r="E96" s="56" t="s">
        <v>2388</v>
      </c>
      <c r="F96" s="126" t="s">
        <v>39</v>
      </c>
      <c r="G96" s="126" t="s">
        <v>1667</v>
      </c>
      <c r="H96" s="127">
        <v>2</v>
      </c>
      <c r="I96" s="49" t="s">
        <v>2389</v>
      </c>
      <c r="J96" s="52"/>
      <c r="K96" s="139"/>
      <c r="L96" s="139" t="s">
        <v>2954</v>
      </c>
      <c r="M96" s="76">
        <v>45526</v>
      </c>
      <c r="N96" s="128">
        <f>+VLOOKUP(B96,BOM!$A$8:$AB$1078,27,0)</f>
        <v>2</v>
      </c>
      <c r="O96" s="129" t="str">
        <f>+VLOOKUP(B96,BOM!$A$8:$AB$1078,28,0)</f>
        <v>A</v>
      </c>
      <c r="P96" s="10" t="str">
        <f t="shared" si="4"/>
        <v>ok</v>
      </c>
    </row>
    <row r="97" spans="1:16" ht="15">
      <c r="A97" s="153">
        <v>95</v>
      </c>
      <c r="B97" s="53" t="s">
        <v>202</v>
      </c>
      <c r="C97" s="126" t="s">
        <v>203</v>
      </c>
      <c r="D97" s="52">
        <v>1</v>
      </c>
      <c r="E97" s="81" t="s">
        <v>2388</v>
      </c>
      <c r="F97" s="126" t="s">
        <v>39</v>
      </c>
      <c r="G97" s="126" t="s">
        <v>1667</v>
      </c>
      <c r="H97" s="127">
        <v>1</v>
      </c>
      <c r="I97" s="49" t="s">
        <v>2389</v>
      </c>
      <c r="J97" s="52"/>
      <c r="K97" s="49"/>
      <c r="L97" s="49" t="s">
        <v>2955</v>
      </c>
      <c r="M97" s="82"/>
      <c r="N97" s="128">
        <f>+VLOOKUP(B97,BOM!$A$8:$AB$1078,27,0)</f>
        <v>1</v>
      </c>
      <c r="O97" s="129" t="str">
        <f>+VLOOKUP(B97,BOM!$A$8:$AB$1078,28,0)</f>
        <v>A</v>
      </c>
      <c r="P97" s="10" t="str">
        <f t="shared" si="4"/>
        <v>ok</v>
      </c>
    </row>
    <row r="98" spans="1:16" ht="15">
      <c r="A98" s="153">
        <v>96</v>
      </c>
      <c r="B98" s="53" t="s">
        <v>206</v>
      </c>
      <c r="C98" s="126" t="s">
        <v>207</v>
      </c>
      <c r="D98" s="55">
        <v>2</v>
      </c>
      <c r="E98" s="56" t="s">
        <v>2388</v>
      </c>
      <c r="F98" s="126" t="s">
        <v>39</v>
      </c>
      <c r="G98" s="126" t="s">
        <v>1667</v>
      </c>
      <c r="H98" s="127">
        <v>2</v>
      </c>
      <c r="I98" s="49" t="s">
        <v>2389</v>
      </c>
      <c r="J98" s="52"/>
      <c r="K98" s="49"/>
      <c r="L98" s="49" t="s">
        <v>2956</v>
      </c>
      <c r="M98" s="76">
        <v>45429</v>
      </c>
      <c r="N98" s="128">
        <f>+VLOOKUP(B98,BOM!$A$8:$AB$1078,27,0)</f>
        <v>2</v>
      </c>
      <c r="O98" s="129" t="str">
        <f>+VLOOKUP(B98,BOM!$A$8:$AB$1078,28,0)</f>
        <v>A</v>
      </c>
      <c r="P98" s="10" t="str">
        <f t="shared" si="4"/>
        <v>ok</v>
      </c>
    </row>
    <row r="99" spans="1:16" ht="15">
      <c r="A99" s="153">
        <v>97</v>
      </c>
      <c r="B99" s="53" t="s">
        <v>208</v>
      </c>
      <c r="C99" s="126" t="s">
        <v>209</v>
      </c>
      <c r="D99" s="55">
        <v>1</v>
      </c>
      <c r="E99" s="56" t="s">
        <v>2388</v>
      </c>
      <c r="F99" s="126" t="s">
        <v>39</v>
      </c>
      <c r="G99" s="126" t="s">
        <v>1667</v>
      </c>
      <c r="H99" s="127">
        <v>1</v>
      </c>
      <c r="I99" s="49" t="s">
        <v>2389</v>
      </c>
      <c r="J99" s="52"/>
      <c r="K99" s="49"/>
      <c r="L99" s="49" t="s">
        <v>2957</v>
      </c>
      <c r="M99" s="76">
        <v>45429</v>
      </c>
      <c r="N99" s="128">
        <f>+VLOOKUP(B99,BOM!$A$8:$AB$1078,27,0)</f>
        <v>1</v>
      </c>
      <c r="O99" s="129" t="str">
        <f>+VLOOKUP(B99,BOM!$A$8:$AB$1078,28,0)</f>
        <v>A</v>
      </c>
      <c r="P99" s="10" t="str">
        <f t="shared" si="4"/>
        <v>ok</v>
      </c>
    </row>
    <row r="100" spans="1:16" ht="15" customHeight="1">
      <c r="A100" s="153">
        <v>98</v>
      </c>
      <c r="B100" s="53" t="s">
        <v>210</v>
      </c>
      <c r="C100" s="126" t="s">
        <v>211</v>
      </c>
      <c r="D100" s="55">
        <v>1</v>
      </c>
      <c r="E100" s="56" t="s">
        <v>2388</v>
      </c>
      <c r="F100" s="126" t="s">
        <v>39</v>
      </c>
      <c r="G100" s="126" t="s">
        <v>1667</v>
      </c>
      <c r="H100" s="127">
        <v>1</v>
      </c>
      <c r="I100" s="49" t="s">
        <v>2389</v>
      </c>
      <c r="J100" s="52"/>
      <c r="K100" s="142"/>
      <c r="L100" s="142" t="s">
        <v>2958</v>
      </c>
      <c r="M100" s="76">
        <v>45429</v>
      </c>
      <c r="N100" s="128">
        <f>+VLOOKUP(B100,BOM!$A$8:$AB$1078,27,0)</f>
        <v>1</v>
      </c>
      <c r="O100" s="129" t="str">
        <f>+VLOOKUP(B100,BOM!$A$8:$AB$1078,28,0)</f>
        <v>A</v>
      </c>
      <c r="P100" s="10" t="str">
        <f t="shared" si="4"/>
        <v>ok</v>
      </c>
    </row>
    <row r="101" spans="1:16" ht="15" customHeight="1">
      <c r="A101" s="153">
        <v>99</v>
      </c>
      <c r="B101" s="53" t="s">
        <v>221</v>
      </c>
      <c r="C101" s="126" t="s">
        <v>222</v>
      </c>
      <c r="D101" s="55">
        <v>4</v>
      </c>
      <c r="E101" s="77" t="s">
        <v>2388</v>
      </c>
      <c r="F101" s="126" t="s">
        <v>39</v>
      </c>
      <c r="G101" s="126" t="s">
        <v>1667</v>
      </c>
      <c r="H101" s="127">
        <v>4</v>
      </c>
      <c r="I101" s="49" t="s">
        <v>2389</v>
      </c>
      <c r="J101" s="52"/>
      <c r="K101" s="49"/>
      <c r="L101" s="49" t="s">
        <v>2959</v>
      </c>
      <c r="M101" s="76">
        <v>45429</v>
      </c>
      <c r="N101" s="128">
        <f>+VLOOKUP(B101,BOM!$A$8:$AB$1078,27,0)</f>
        <v>4</v>
      </c>
      <c r="O101" s="129" t="str">
        <f>+VLOOKUP(B101,BOM!$A$8:$AB$1078,28,0)</f>
        <v>A</v>
      </c>
      <c r="P101" s="10">
        <v>1</v>
      </c>
    </row>
    <row r="102" spans="1:16" ht="15">
      <c r="A102" s="153">
        <v>100</v>
      </c>
      <c r="B102" s="53" t="s">
        <v>223</v>
      </c>
      <c r="C102" s="126" t="s">
        <v>211</v>
      </c>
      <c r="D102" s="55">
        <v>2</v>
      </c>
      <c r="E102" s="56" t="s">
        <v>2388</v>
      </c>
      <c r="F102" s="126" t="s">
        <v>39</v>
      </c>
      <c r="G102" s="126" t="s">
        <v>1667</v>
      </c>
      <c r="H102" s="127">
        <v>2</v>
      </c>
      <c r="I102" s="49" t="s">
        <v>2389</v>
      </c>
      <c r="J102" s="52"/>
      <c r="K102" s="49"/>
      <c r="L102" s="49" t="s">
        <v>2960</v>
      </c>
      <c r="M102" s="76">
        <v>45429</v>
      </c>
      <c r="N102" s="128">
        <f>+VLOOKUP(B102,BOM!$A$8:$AB$1078,27,0)</f>
        <v>2</v>
      </c>
      <c r="O102" s="129" t="str">
        <f>+VLOOKUP(B102,BOM!$A$8:$AB$1078,28,0)</f>
        <v>A</v>
      </c>
      <c r="P102" s="10" t="str">
        <f>+IF(N102=D102,"ok","")</f>
        <v>ok</v>
      </c>
    </row>
    <row r="103" spans="1:16" ht="15">
      <c r="A103" s="153">
        <v>101</v>
      </c>
      <c r="B103" s="53" t="s">
        <v>412</v>
      </c>
      <c r="C103" s="126" t="s">
        <v>414</v>
      </c>
      <c r="D103" s="55">
        <v>1</v>
      </c>
      <c r="E103" s="77" t="s">
        <v>2391</v>
      </c>
      <c r="F103" s="126" t="s">
        <v>39</v>
      </c>
      <c r="G103" s="126" t="s">
        <v>1781</v>
      </c>
      <c r="H103" s="127">
        <v>1</v>
      </c>
      <c r="I103" s="49" t="s">
        <v>2511</v>
      </c>
      <c r="J103" s="52" t="s">
        <v>2414</v>
      </c>
      <c r="K103" s="49"/>
      <c r="L103" s="49" t="s">
        <v>2961</v>
      </c>
      <c r="M103" s="76">
        <v>45429</v>
      </c>
      <c r="N103" s="128">
        <f>+VLOOKUP(B103,BOM!$A$8:$AB$1078,27,0)</f>
        <v>1</v>
      </c>
      <c r="O103" s="129" t="str">
        <f>+VLOOKUP(B103,BOM!$A$8:$AB$1078,28,0)</f>
        <v>D</v>
      </c>
      <c r="P103" s="10">
        <v>1</v>
      </c>
    </row>
    <row r="104" spans="1:16" ht="15">
      <c r="A104" s="153">
        <v>102</v>
      </c>
      <c r="B104" s="53" t="s">
        <v>2083</v>
      </c>
      <c r="C104" s="126" t="s">
        <v>1794</v>
      </c>
      <c r="D104" s="55">
        <v>1</v>
      </c>
      <c r="E104" s="56" t="s">
        <v>2391</v>
      </c>
      <c r="F104" s="126" t="s">
        <v>39</v>
      </c>
      <c r="G104" s="126" t="s">
        <v>1667</v>
      </c>
      <c r="H104" s="127">
        <v>1</v>
      </c>
      <c r="I104" s="49" t="s">
        <v>2449</v>
      </c>
      <c r="J104" s="52">
        <v>2</v>
      </c>
      <c r="K104" s="49" t="s">
        <v>2450</v>
      </c>
      <c r="L104" s="49" t="s">
        <v>2962</v>
      </c>
      <c r="M104" s="76">
        <v>45429</v>
      </c>
      <c r="N104" s="128">
        <f>+VLOOKUP(B104,BOM!$A$8:$AB$1078,27,0)</f>
        <v>1</v>
      </c>
      <c r="O104" s="129" t="str">
        <f>+VLOOKUP(B104,BOM!$A$8:$AB$1078,28,0)</f>
        <v>C</v>
      </c>
      <c r="P104" s="10" t="str">
        <f t="shared" ref="P104:P110" si="5">+IF(N104=D104,"ok","")</f>
        <v>ok</v>
      </c>
    </row>
    <row r="105" spans="1:16" ht="15" customHeight="1">
      <c r="A105" s="153">
        <v>103</v>
      </c>
      <c r="B105" s="59" t="s">
        <v>86</v>
      </c>
      <c r="C105" s="126" t="s">
        <v>87</v>
      </c>
      <c r="D105" s="55">
        <v>1</v>
      </c>
      <c r="E105" s="56" t="s">
        <v>2391</v>
      </c>
      <c r="F105" s="126" t="s">
        <v>39</v>
      </c>
      <c r="G105" s="126" t="s">
        <v>1667</v>
      </c>
      <c r="H105" s="127">
        <v>1</v>
      </c>
      <c r="I105" s="49" t="s">
        <v>2449</v>
      </c>
      <c r="J105" s="52" t="s">
        <v>2411</v>
      </c>
      <c r="K105" s="49" t="s">
        <v>2450</v>
      </c>
      <c r="L105" s="49" t="s">
        <v>2963</v>
      </c>
      <c r="M105" s="76">
        <v>45429</v>
      </c>
      <c r="N105" s="128">
        <f>+VLOOKUP(B105,BOM!$A$8:$AB$1078,27,0)</f>
        <v>1</v>
      </c>
      <c r="O105" s="129" t="str">
        <f>+VLOOKUP(B105,BOM!$A$8:$AB$1078,28,0)</f>
        <v>C</v>
      </c>
      <c r="P105" s="10" t="str">
        <f t="shared" si="5"/>
        <v>ok</v>
      </c>
    </row>
    <row r="106" spans="1:16" ht="15">
      <c r="A106" s="153">
        <v>104</v>
      </c>
      <c r="B106" s="53" t="s">
        <v>377</v>
      </c>
      <c r="C106" s="126" t="s">
        <v>378</v>
      </c>
      <c r="D106" s="55">
        <v>2</v>
      </c>
      <c r="E106" s="56" t="s">
        <v>2391</v>
      </c>
      <c r="F106" s="126" t="s">
        <v>39</v>
      </c>
      <c r="G106" s="126" t="s">
        <v>1667</v>
      </c>
      <c r="H106" s="127">
        <v>2</v>
      </c>
      <c r="I106" s="49" t="s">
        <v>2449</v>
      </c>
      <c r="J106" s="52" t="s">
        <v>2411</v>
      </c>
      <c r="K106" s="49" t="s">
        <v>2450</v>
      </c>
      <c r="L106" s="49" t="s">
        <v>2964</v>
      </c>
      <c r="M106" s="76">
        <v>45429</v>
      </c>
      <c r="N106" s="128">
        <f>+VLOOKUP(B106,BOM!$A$8:$AB$1078,27,0)</f>
        <v>2</v>
      </c>
      <c r="O106" s="129" t="str">
        <f>+VLOOKUP(B106,BOM!$A$8:$AB$1078,28,0)</f>
        <v>C</v>
      </c>
      <c r="P106" s="10" t="str">
        <f t="shared" si="5"/>
        <v>ok</v>
      </c>
    </row>
    <row r="107" spans="1:16" ht="15" customHeight="1">
      <c r="A107" s="153">
        <v>105</v>
      </c>
      <c r="B107" s="53" t="s">
        <v>393</v>
      </c>
      <c r="C107" s="126" t="s">
        <v>395</v>
      </c>
      <c r="D107" s="55">
        <v>2</v>
      </c>
      <c r="E107" s="56" t="s">
        <v>2391</v>
      </c>
      <c r="F107" s="126" t="s">
        <v>39</v>
      </c>
      <c r="G107" s="126" t="s">
        <v>1667</v>
      </c>
      <c r="H107" s="127">
        <v>2</v>
      </c>
      <c r="I107" s="49" t="s">
        <v>2449</v>
      </c>
      <c r="J107" s="52" t="s">
        <v>2411</v>
      </c>
      <c r="K107" s="49" t="s">
        <v>2450</v>
      </c>
      <c r="L107" s="49" t="s">
        <v>2965</v>
      </c>
      <c r="M107" s="76">
        <v>45429</v>
      </c>
      <c r="N107" s="128">
        <f>+VLOOKUP(B107,BOM!$A$8:$AB$1078,27,0)</f>
        <v>2</v>
      </c>
      <c r="O107" s="129" t="str">
        <f>+VLOOKUP(B107,BOM!$A$8:$AB$1078,28,0)</f>
        <v>C</v>
      </c>
      <c r="P107" s="10" t="str">
        <f t="shared" si="5"/>
        <v>ok</v>
      </c>
    </row>
    <row r="108" spans="1:16" ht="15">
      <c r="A108" s="153">
        <v>106</v>
      </c>
      <c r="B108" s="53" t="s">
        <v>214</v>
      </c>
      <c r="C108" s="126" t="s">
        <v>216</v>
      </c>
      <c r="D108" s="55">
        <v>1</v>
      </c>
      <c r="E108" s="56" t="s">
        <v>2391</v>
      </c>
      <c r="F108" s="126" t="s">
        <v>39</v>
      </c>
      <c r="G108" s="126" t="s">
        <v>1667</v>
      </c>
      <c r="H108" s="127">
        <v>1</v>
      </c>
      <c r="I108" s="49" t="s">
        <v>2447</v>
      </c>
      <c r="J108" s="52"/>
      <c r="K108" s="49"/>
      <c r="L108" s="49" t="s">
        <v>2966</v>
      </c>
      <c r="M108" s="76">
        <v>45429</v>
      </c>
      <c r="N108" s="128">
        <f>+VLOOKUP(B108,BOM!$A$8:$AB$1078,27,0)</f>
        <v>1</v>
      </c>
      <c r="O108" s="129" t="str">
        <f>+VLOOKUP(B108,BOM!$A$8:$AB$1078,28,0)</f>
        <v>C</v>
      </c>
      <c r="P108" s="10" t="str">
        <f t="shared" si="5"/>
        <v>ok</v>
      </c>
    </row>
    <row r="109" spans="1:16" ht="15">
      <c r="A109" s="153">
        <v>107</v>
      </c>
      <c r="B109" s="53" t="s">
        <v>1720</v>
      </c>
      <c r="C109" s="126" t="s">
        <v>1721</v>
      </c>
      <c r="D109" s="55">
        <v>1</v>
      </c>
      <c r="E109" s="56" t="s">
        <v>2391</v>
      </c>
      <c r="F109" s="126" t="s">
        <v>39</v>
      </c>
      <c r="G109" s="128" t="s">
        <v>1667</v>
      </c>
      <c r="H109" s="127">
        <v>1</v>
      </c>
      <c r="I109" s="49" t="s">
        <v>2447</v>
      </c>
      <c r="J109" s="52"/>
      <c r="K109" s="49"/>
      <c r="L109" s="49" t="s">
        <v>2967</v>
      </c>
      <c r="M109" s="76">
        <v>45429</v>
      </c>
      <c r="N109" s="128">
        <f>+VLOOKUP(B109,BOM!$A$8:$AB$1078,27,0)</f>
        <v>1</v>
      </c>
      <c r="O109" s="129" t="str">
        <f>+VLOOKUP(B109,BOM!$A$8:$AB$1078,28,0)</f>
        <v>C</v>
      </c>
      <c r="P109" s="10" t="str">
        <f t="shared" si="5"/>
        <v>ok</v>
      </c>
    </row>
    <row r="110" spans="1:16" ht="15">
      <c r="A110" s="153">
        <v>108</v>
      </c>
      <c r="B110" s="53" t="s">
        <v>2142</v>
      </c>
      <c r="C110" s="126" t="s">
        <v>54</v>
      </c>
      <c r="D110" s="55">
        <v>1</v>
      </c>
      <c r="E110" s="56" t="s">
        <v>2391</v>
      </c>
      <c r="F110" s="126" t="s">
        <v>39</v>
      </c>
      <c r="G110" s="126" t="s">
        <v>1664</v>
      </c>
      <c r="H110" s="127">
        <v>8</v>
      </c>
      <c r="I110" s="49" t="s">
        <v>2511</v>
      </c>
      <c r="J110" s="52">
        <v>2</v>
      </c>
      <c r="K110" s="49"/>
      <c r="L110" s="49" t="s">
        <v>2968</v>
      </c>
      <c r="M110" s="76">
        <v>45429</v>
      </c>
      <c r="N110" s="128">
        <f>+VLOOKUP(B110,BOM!$A$8:$AB$1078,27,0)</f>
        <v>1</v>
      </c>
      <c r="O110" s="129" t="str">
        <f>+VLOOKUP(B110,BOM!$A$8:$AB$1078,28,0)</f>
        <v>D</v>
      </c>
      <c r="P110" s="10" t="str">
        <f t="shared" si="5"/>
        <v>ok</v>
      </c>
    </row>
    <row r="111" spans="1:16" ht="15">
      <c r="A111" s="153">
        <v>109</v>
      </c>
      <c r="B111" s="53" t="s">
        <v>1703</v>
      </c>
      <c r="C111" s="126" t="s">
        <v>10</v>
      </c>
      <c r="D111" s="52">
        <v>1</v>
      </c>
      <c r="E111" s="79" t="s">
        <v>2437</v>
      </c>
      <c r="F111" s="126" t="s">
        <v>1704</v>
      </c>
      <c r="G111" s="126" t="s">
        <v>1667</v>
      </c>
      <c r="H111" s="127">
        <v>1</v>
      </c>
      <c r="I111" s="49" t="s">
        <v>2438</v>
      </c>
      <c r="J111" s="52" t="s">
        <v>2411</v>
      </c>
      <c r="K111" s="68"/>
      <c r="L111" s="68" t="s">
        <v>2969</v>
      </c>
      <c r="M111" s="76">
        <v>45702</v>
      </c>
      <c r="N111" s="128">
        <f>+VLOOKUP(B111,BOM!$A$8:$AB$1078,27,0)</f>
        <v>1</v>
      </c>
      <c r="O111" s="129">
        <f>+VLOOKUP(B111,BOM!$A$8:$AB$1078,28,0)</f>
        <v>5</v>
      </c>
      <c r="P111" s="10">
        <v>1</v>
      </c>
    </row>
    <row r="112" spans="1:16" ht="15">
      <c r="A112" s="153">
        <v>110</v>
      </c>
      <c r="B112" s="53" t="s">
        <v>1795</v>
      </c>
      <c r="C112" s="126" t="s">
        <v>1796</v>
      </c>
      <c r="D112" s="55">
        <v>1</v>
      </c>
      <c r="E112" s="56" t="s">
        <v>2385</v>
      </c>
      <c r="F112" s="126" t="s">
        <v>12</v>
      </c>
      <c r="G112" s="126" t="s">
        <v>1667</v>
      </c>
      <c r="H112" s="127">
        <v>1</v>
      </c>
      <c r="I112" s="49" t="s">
        <v>2386</v>
      </c>
      <c r="J112" s="52" t="s">
        <v>2397</v>
      </c>
      <c r="K112" s="49"/>
      <c r="L112" s="49" t="s">
        <v>2970</v>
      </c>
      <c r="M112" s="76">
        <v>45429</v>
      </c>
      <c r="N112" s="128">
        <f>+VLOOKUP(B112,BOM!$A$8:$AB$1078,27,0)</f>
        <v>1</v>
      </c>
      <c r="O112" s="129">
        <f>+VLOOKUP(B112,BOM!$A$8:$AB$1078,28,0)</f>
        <v>0</v>
      </c>
      <c r="P112" s="10" t="str">
        <f t="shared" ref="P112:P136" si="6">+IF(N112=D112,"ok","")</f>
        <v>ok</v>
      </c>
    </row>
    <row r="113" spans="1:16" ht="15">
      <c r="A113" s="153">
        <v>111</v>
      </c>
      <c r="B113" s="53" t="s">
        <v>458</v>
      </c>
      <c r="C113" s="126" t="s">
        <v>460</v>
      </c>
      <c r="D113" s="55">
        <v>1</v>
      </c>
      <c r="E113" s="77" t="s">
        <v>2385</v>
      </c>
      <c r="F113" s="126" t="s">
        <v>12</v>
      </c>
      <c r="G113" s="126" t="s">
        <v>1667</v>
      </c>
      <c r="H113" s="127">
        <v>1</v>
      </c>
      <c r="I113" s="49" t="s">
        <v>2386</v>
      </c>
      <c r="J113" s="52" t="s">
        <v>2397</v>
      </c>
      <c r="K113" s="139"/>
      <c r="L113" s="139" t="s">
        <v>2971</v>
      </c>
      <c r="M113" s="76">
        <v>45702</v>
      </c>
      <c r="N113" s="128">
        <f>+VLOOKUP(B113,BOM!$A$8:$AB$1078,27,0)</f>
        <v>1</v>
      </c>
      <c r="O113" s="129">
        <f>+VLOOKUP(B113,BOM!$A$8:$AB$1078,28,0)</f>
        <v>1</v>
      </c>
      <c r="P113" s="10" t="str">
        <f t="shared" si="6"/>
        <v>ok</v>
      </c>
    </row>
    <row r="114" spans="1:16" ht="15">
      <c r="A114" s="153">
        <v>112</v>
      </c>
      <c r="B114" s="53" t="s">
        <v>743</v>
      </c>
      <c r="C114" s="126" t="s">
        <v>745</v>
      </c>
      <c r="D114" s="55">
        <v>2</v>
      </c>
      <c r="E114" s="56" t="s">
        <v>2385</v>
      </c>
      <c r="F114" s="126" t="s">
        <v>12</v>
      </c>
      <c r="G114" s="126" t="s">
        <v>1667</v>
      </c>
      <c r="H114" s="127">
        <v>2</v>
      </c>
      <c r="I114" s="49" t="s">
        <v>2386</v>
      </c>
      <c r="J114" s="52" t="s">
        <v>2397</v>
      </c>
      <c r="K114" s="139"/>
      <c r="L114" s="139" t="s">
        <v>2972</v>
      </c>
      <c r="M114" s="76">
        <v>45429</v>
      </c>
      <c r="N114" s="128">
        <f>+VLOOKUP(B114,BOM!$A$8:$AB$1078,27,0)</f>
        <v>2</v>
      </c>
      <c r="O114" s="129">
        <f>+VLOOKUP(B114,BOM!$A$8:$AB$1078,28,0)</f>
        <v>0</v>
      </c>
      <c r="P114" s="10" t="str">
        <f t="shared" si="6"/>
        <v>ok</v>
      </c>
    </row>
    <row r="115" spans="1:16" ht="15">
      <c r="A115" s="153">
        <v>113</v>
      </c>
      <c r="B115" s="53" t="s">
        <v>71</v>
      </c>
      <c r="C115" s="126" t="s">
        <v>73</v>
      </c>
      <c r="D115" s="55">
        <v>1</v>
      </c>
      <c r="E115" s="56" t="s">
        <v>2385</v>
      </c>
      <c r="F115" s="126" t="s">
        <v>12</v>
      </c>
      <c r="G115" s="126" t="s">
        <v>1667</v>
      </c>
      <c r="H115" s="127">
        <v>1</v>
      </c>
      <c r="I115" s="49" t="s">
        <v>2386</v>
      </c>
      <c r="J115" s="52" t="s">
        <v>2411</v>
      </c>
      <c r="K115" s="49"/>
      <c r="L115" s="49" t="s">
        <v>2973</v>
      </c>
      <c r="M115" s="76">
        <v>45429</v>
      </c>
      <c r="N115" s="128">
        <f>+VLOOKUP(B115,BOM!$A$8:$AB$1078,27,0)</f>
        <v>1</v>
      </c>
      <c r="O115" s="129">
        <f>+VLOOKUP(B115,BOM!$A$8:$AB$1078,28,0)</f>
        <v>0</v>
      </c>
      <c r="P115" s="10" t="str">
        <f t="shared" si="6"/>
        <v>ok</v>
      </c>
    </row>
    <row r="116" spans="1:16" ht="15">
      <c r="A116" s="153">
        <v>114</v>
      </c>
      <c r="B116" s="53" t="s">
        <v>411</v>
      </c>
      <c r="C116" s="126" t="s">
        <v>405</v>
      </c>
      <c r="D116" s="55">
        <v>1</v>
      </c>
      <c r="E116" s="56" t="s">
        <v>2385</v>
      </c>
      <c r="F116" s="126" t="s">
        <v>12</v>
      </c>
      <c r="G116" s="126" t="s">
        <v>1667</v>
      </c>
      <c r="H116" s="127">
        <v>1</v>
      </c>
      <c r="I116" s="49" t="s">
        <v>2386</v>
      </c>
      <c r="J116" s="57" t="s">
        <v>2486</v>
      </c>
      <c r="K116" s="61"/>
      <c r="L116" s="61" t="s">
        <v>2974</v>
      </c>
      <c r="M116" s="76">
        <v>45429</v>
      </c>
      <c r="N116" s="128">
        <f>+VLOOKUP(B116,BOM!$A$8:$AB$1078,27,0)</f>
        <v>1</v>
      </c>
      <c r="O116" s="129">
        <f>+VLOOKUP(B116,BOM!$A$8:$AB$1078,28,0)</f>
        <v>0</v>
      </c>
      <c r="P116" s="10" t="str">
        <f t="shared" si="6"/>
        <v>ok</v>
      </c>
    </row>
    <row r="117" spans="1:16" ht="15">
      <c r="A117" s="153">
        <v>115</v>
      </c>
      <c r="B117" s="53" t="s">
        <v>26</v>
      </c>
      <c r="C117" s="126" t="s">
        <v>27</v>
      </c>
      <c r="D117" s="55">
        <v>1</v>
      </c>
      <c r="E117" s="81" t="s">
        <v>2417</v>
      </c>
      <c r="F117" s="126" t="s">
        <v>12</v>
      </c>
      <c r="G117" s="126" t="s">
        <v>1667</v>
      </c>
      <c r="H117" s="127">
        <v>1</v>
      </c>
      <c r="I117" s="49" t="s">
        <v>2418</v>
      </c>
      <c r="J117" s="52" t="s">
        <v>2411</v>
      </c>
      <c r="K117" s="139"/>
      <c r="L117" s="139" t="s">
        <v>2975</v>
      </c>
      <c r="M117" s="76">
        <v>45702</v>
      </c>
      <c r="N117" s="128">
        <f>+VLOOKUP(B117,BOM!$A$8:$AB$1078,27,0)</f>
        <v>1</v>
      </c>
      <c r="O117" s="129">
        <f>+VLOOKUP(B117,BOM!$A$8:$AB$1078,28,0)</f>
        <v>2</v>
      </c>
      <c r="P117" s="10" t="str">
        <f t="shared" si="6"/>
        <v>ok</v>
      </c>
    </row>
    <row r="118" spans="1:16" ht="15">
      <c r="A118" s="153">
        <v>116</v>
      </c>
      <c r="B118" s="53" t="s">
        <v>28</v>
      </c>
      <c r="C118" s="126" t="s">
        <v>29</v>
      </c>
      <c r="D118" s="55">
        <v>1</v>
      </c>
      <c r="E118" s="56" t="s">
        <v>2417</v>
      </c>
      <c r="F118" s="126" t="s">
        <v>12</v>
      </c>
      <c r="G118" s="126" t="s">
        <v>1667</v>
      </c>
      <c r="H118" s="127">
        <v>1</v>
      </c>
      <c r="I118" s="49" t="s">
        <v>2418</v>
      </c>
      <c r="J118" s="52" t="s">
        <v>2411</v>
      </c>
      <c r="K118" s="139"/>
      <c r="L118" s="139" t="s">
        <v>2976</v>
      </c>
      <c r="M118" s="76">
        <v>45429</v>
      </c>
      <c r="N118" s="128">
        <f>+VLOOKUP(B118,BOM!$A$8:$AB$1078,27,0)</f>
        <v>1</v>
      </c>
      <c r="O118" s="129">
        <f>+VLOOKUP(B118,BOM!$A$8:$AB$1078,28,0)</f>
        <v>2</v>
      </c>
      <c r="P118" s="10" t="str">
        <f t="shared" si="6"/>
        <v>ok</v>
      </c>
    </row>
    <row r="119" spans="1:16" ht="15">
      <c r="A119" s="153">
        <v>117</v>
      </c>
      <c r="B119" s="59" t="s">
        <v>1705</v>
      </c>
      <c r="C119" s="126" t="s">
        <v>172</v>
      </c>
      <c r="D119" s="55">
        <v>1</v>
      </c>
      <c r="E119" s="56" t="s">
        <v>2394</v>
      </c>
      <c r="F119" s="126" t="s">
        <v>12</v>
      </c>
      <c r="G119" s="126" t="s">
        <v>1667</v>
      </c>
      <c r="H119" s="127">
        <v>1</v>
      </c>
      <c r="I119" s="49" t="s">
        <v>2425</v>
      </c>
      <c r="J119" s="52" t="s">
        <v>2414</v>
      </c>
      <c r="K119" s="139"/>
      <c r="L119" s="139" t="s">
        <v>2977</v>
      </c>
      <c r="M119" s="76">
        <v>45429</v>
      </c>
      <c r="N119" s="128">
        <f>+VLOOKUP(B119,BOM!$A$8:$AB$1078,27,0)</f>
        <v>1</v>
      </c>
      <c r="O119" s="129">
        <f>+VLOOKUP(B119,BOM!$A$8:$AB$1078,28,0)</f>
        <v>3</v>
      </c>
      <c r="P119" s="10" t="str">
        <f t="shared" si="6"/>
        <v>ok</v>
      </c>
    </row>
    <row r="120" spans="1:16" ht="15">
      <c r="A120" s="153">
        <v>118</v>
      </c>
      <c r="B120" s="53" t="s">
        <v>218</v>
      </c>
      <c r="C120" s="126" t="s">
        <v>220</v>
      </c>
      <c r="D120" s="55">
        <v>1</v>
      </c>
      <c r="E120" s="56" t="s">
        <v>2427</v>
      </c>
      <c r="F120" s="126" t="s">
        <v>12</v>
      </c>
      <c r="G120" s="126" t="s">
        <v>1667</v>
      </c>
      <c r="H120" s="127">
        <v>1</v>
      </c>
      <c r="I120" s="49" t="s">
        <v>2428</v>
      </c>
      <c r="J120" s="52" t="s">
        <v>2486</v>
      </c>
      <c r="K120" s="139"/>
      <c r="L120" s="139" t="s">
        <v>2978</v>
      </c>
      <c r="M120" s="76">
        <v>45429</v>
      </c>
      <c r="N120" s="128">
        <f>+VLOOKUP(B120,BOM!$A$8:$AB$1078,27,0)</f>
        <v>1</v>
      </c>
      <c r="O120" s="129">
        <f>+VLOOKUP(B120,BOM!$A$8:$AB$1078,28,0)</f>
        <v>4</v>
      </c>
      <c r="P120" s="10" t="str">
        <f t="shared" si="6"/>
        <v>ok</v>
      </c>
    </row>
    <row r="121" spans="1:16" ht="15">
      <c r="A121" s="153">
        <v>119</v>
      </c>
      <c r="B121" s="59" t="s">
        <v>457</v>
      </c>
      <c r="C121" s="126" t="s">
        <v>21</v>
      </c>
      <c r="D121" s="55">
        <v>1</v>
      </c>
      <c r="E121" s="56" t="s">
        <v>2437</v>
      </c>
      <c r="F121" s="126" t="s">
        <v>12</v>
      </c>
      <c r="G121" s="126" t="s">
        <v>1667</v>
      </c>
      <c r="H121" s="127">
        <v>1</v>
      </c>
      <c r="I121" s="49" t="s">
        <v>2438</v>
      </c>
      <c r="J121" s="52" t="s">
        <v>2486</v>
      </c>
      <c r="K121" s="139"/>
      <c r="L121" s="139" t="s">
        <v>2979</v>
      </c>
      <c r="M121" s="76">
        <v>45429</v>
      </c>
      <c r="N121" s="128">
        <f>+VLOOKUP(B121,BOM!$A$8:$AB$1078,27,0)</f>
        <v>1</v>
      </c>
      <c r="O121" s="129">
        <f>+VLOOKUP(B121,BOM!$A$8:$AB$1078,28,0)</f>
        <v>5</v>
      </c>
      <c r="P121" s="10" t="str">
        <f t="shared" si="6"/>
        <v>ok</v>
      </c>
    </row>
    <row r="122" spans="1:16" ht="15">
      <c r="A122" s="153">
        <v>120</v>
      </c>
      <c r="B122" s="53" t="s">
        <v>8</v>
      </c>
      <c r="C122" s="126" t="s">
        <v>11</v>
      </c>
      <c r="D122" s="55">
        <v>1</v>
      </c>
      <c r="E122" s="56" t="s">
        <v>2437</v>
      </c>
      <c r="F122" s="126" t="s">
        <v>12</v>
      </c>
      <c r="G122" s="126" t="s">
        <v>1667</v>
      </c>
      <c r="H122" s="127">
        <v>1</v>
      </c>
      <c r="I122" s="49" t="s">
        <v>2438</v>
      </c>
      <c r="J122" s="52"/>
      <c r="K122" s="139"/>
      <c r="L122" s="139" t="s">
        <v>2980</v>
      </c>
      <c r="M122" s="76">
        <v>45429</v>
      </c>
      <c r="N122" s="128">
        <f>+VLOOKUP(B122,BOM!$A$8:$AB$1078,27,0)</f>
        <v>1</v>
      </c>
      <c r="O122" s="129">
        <f>+VLOOKUP(B122,BOM!$A$8:$AB$1078,28,0)</f>
        <v>5</v>
      </c>
      <c r="P122" s="10" t="str">
        <f t="shared" si="6"/>
        <v>ok</v>
      </c>
    </row>
    <row r="123" spans="1:16" ht="15">
      <c r="A123" s="153">
        <v>121</v>
      </c>
      <c r="B123" s="53" t="s">
        <v>60</v>
      </c>
      <c r="C123" s="126" t="s">
        <v>62</v>
      </c>
      <c r="D123" s="55">
        <v>1</v>
      </c>
      <c r="E123" s="56" t="s">
        <v>2437</v>
      </c>
      <c r="F123" s="126" t="s">
        <v>12</v>
      </c>
      <c r="G123" s="126" t="s">
        <v>1667</v>
      </c>
      <c r="H123" s="127">
        <v>1</v>
      </c>
      <c r="I123" s="49" t="s">
        <v>2438</v>
      </c>
      <c r="J123" s="52"/>
      <c r="K123" s="49"/>
      <c r="L123" s="49" t="s">
        <v>2981</v>
      </c>
      <c r="M123" s="76">
        <v>45429</v>
      </c>
      <c r="N123" s="128">
        <f>+VLOOKUP(B123,BOM!$A$8:$AB$1078,27,0)</f>
        <v>1</v>
      </c>
      <c r="O123" s="129">
        <f>+VLOOKUP(B123,BOM!$A$8:$AB$1078,28,0)</f>
        <v>5</v>
      </c>
      <c r="P123" s="10" t="str">
        <f t="shared" si="6"/>
        <v>ok</v>
      </c>
    </row>
    <row r="124" spans="1:16" ht="15">
      <c r="A124" s="153">
        <v>122</v>
      </c>
      <c r="B124" s="53" t="s">
        <v>74</v>
      </c>
      <c r="C124" s="126" t="s">
        <v>76</v>
      </c>
      <c r="D124" s="55">
        <v>1</v>
      </c>
      <c r="E124" s="56" t="s">
        <v>2437</v>
      </c>
      <c r="F124" s="126" t="s">
        <v>12</v>
      </c>
      <c r="G124" s="126" t="s">
        <v>1667</v>
      </c>
      <c r="H124" s="127">
        <v>1</v>
      </c>
      <c r="I124" s="49" t="s">
        <v>2438</v>
      </c>
      <c r="J124" s="52"/>
      <c r="K124" s="139" t="s">
        <v>2439</v>
      </c>
      <c r="L124" s="139" t="s">
        <v>2982</v>
      </c>
      <c r="M124" s="76">
        <v>45429</v>
      </c>
      <c r="N124" s="128">
        <f>+VLOOKUP(B124,BOM!$A$8:$AB$1078,27,0)</f>
        <v>1</v>
      </c>
      <c r="O124" s="129">
        <f>+VLOOKUP(B124,BOM!$A$8:$AB$1078,28,0)</f>
        <v>5</v>
      </c>
      <c r="P124" s="10" t="str">
        <f t="shared" si="6"/>
        <v>ok</v>
      </c>
    </row>
    <row r="125" spans="1:16" ht="15">
      <c r="A125" s="153">
        <v>123</v>
      </c>
      <c r="B125" s="59" t="s">
        <v>80</v>
      </c>
      <c r="C125" s="126" t="s">
        <v>82</v>
      </c>
      <c r="D125" s="55">
        <v>1</v>
      </c>
      <c r="E125" s="56" t="s">
        <v>2437</v>
      </c>
      <c r="F125" s="126" t="s">
        <v>12</v>
      </c>
      <c r="G125" s="126" t="s">
        <v>1667</v>
      </c>
      <c r="H125" s="127">
        <v>1</v>
      </c>
      <c r="I125" s="49" t="s">
        <v>2438</v>
      </c>
      <c r="J125" s="52"/>
      <c r="K125" s="49" t="s">
        <v>2439</v>
      </c>
      <c r="L125" s="49" t="s">
        <v>2983</v>
      </c>
      <c r="M125" s="76">
        <v>45702</v>
      </c>
      <c r="N125" s="128">
        <f>+VLOOKUP(B125,BOM!$A$8:$AB$1078,27,0)</f>
        <v>1</v>
      </c>
      <c r="O125" s="129">
        <f>+VLOOKUP(B125,BOM!$A$8:$AB$1078,28,0)</f>
        <v>5</v>
      </c>
      <c r="P125" s="10" t="str">
        <f t="shared" si="6"/>
        <v>ok</v>
      </c>
    </row>
    <row r="126" spans="1:16" ht="15">
      <c r="A126" s="153">
        <v>124</v>
      </c>
      <c r="B126" s="59" t="s">
        <v>100</v>
      </c>
      <c r="C126" s="126" t="s">
        <v>102</v>
      </c>
      <c r="D126" s="55">
        <v>1</v>
      </c>
      <c r="E126" s="56" t="s">
        <v>2437</v>
      </c>
      <c r="F126" s="126" t="s">
        <v>12</v>
      </c>
      <c r="G126" s="126" t="s">
        <v>1667</v>
      </c>
      <c r="H126" s="127">
        <v>1</v>
      </c>
      <c r="I126" s="49" t="s">
        <v>2438</v>
      </c>
      <c r="J126" s="52"/>
      <c r="K126" s="49" t="s">
        <v>2536</v>
      </c>
      <c r="L126" s="49" t="s">
        <v>2984</v>
      </c>
      <c r="M126" s="76">
        <v>45702</v>
      </c>
      <c r="N126" s="128">
        <f>+VLOOKUP(B126,BOM!$A$8:$AB$1078,27,0)</f>
        <v>1</v>
      </c>
      <c r="O126" s="129">
        <f>+VLOOKUP(B126,BOM!$A$8:$AB$1078,28,0)</f>
        <v>5</v>
      </c>
      <c r="P126" s="10" t="str">
        <f t="shared" si="6"/>
        <v>ok</v>
      </c>
    </row>
    <row r="127" spans="1:16" ht="15">
      <c r="A127" s="153">
        <v>125</v>
      </c>
      <c r="B127" s="53" t="s">
        <v>103</v>
      </c>
      <c r="C127" s="126" t="s">
        <v>105</v>
      </c>
      <c r="D127" s="55">
        <v>1</v>
      </c>
      <c r="E127" s="56" t="s">
        <v>2437</v>
      </c>
      <c r="F127" s="126" t="s">
        <v>12</v>
      </c>
      <c r="G127" s="126" t="s">
        <v>1667</v>
      </c>
      <c r="H127" s="127">
        <v>1</v>
      </c>
      <c r="I127" s="49" t="s">
        <v>2438</v>
      </c>
      <c r="J127" s="52"/>
      <c r="K127" s="139" t="s">
        <v>2441</v>
      </c>
      <c r="L127" s="139" t="s">
        <v>2985</v>
      </c>
      <c r="M127" s="76">
        <v>45429</v>
      </c>
      <c r="N127" s="128">
        <f>+VLOOKUP(B127,BOM!$A$8:$AB$1078,27,0)</f>
        <v>1</v>
      </c>
      <c r="O127" s="129">
        <f>+VLOOKUP(B127,BOM!$A$8:$AB$1078,28,0)</f>
        <v>5</v>
      </c>
      <c r="P127" s="10" t="str">
        <f t="shared" si="6"/>
        <v>ok</v>
      </c>
    </row>
    <row r="128" spans="1:16" ht="15">
      <c r="A128" s="153">
        <v>126</v>
      </c>
      <c r="B128" s="53" t="s">
        <v>183</v>
      </c>
      <c r="C128" s="126" t="s">
        <v>185</v>
      </c>
      <c r="D128" s="55">
        <v>1</v>
      </c>
      <c r="E128" s="56" t="s">
        <v>2437</v>
      </c>
      <c r="F128" s="126" t="s">
        <v>12</v>
      </c>
      <c r="G128" s="126" t="s">
        <v>1667</v>
      </c>
      <c r="H128" s="127">
        <v>1</v>
      </c>
      <c r="I128" s="49" t="s">
        <v>2438</v>
      </c>
      <c r="J128" s="52"/>
      <c r="K128" s="139" t="s">
        <v>2439</v>
      </c>
      <c r="L128" s="139" t="s">
        <v>2986</v>
      </c>
      <c r="M128" s="76">
        <v>45429</v>
      </c>
      <c r="N128" s="128">
        <f>+VLOOKUP(B128,BOM!$A$8:$AB$1078,27,0)</f>
        <v>1</v>
      </c>
      <c r="O128" s="129">
        <f>+VLOOKUP(B128,BOM!$A$8:$AB$1078,28,0)</f>
        <v>5</v>
      </c>
      <c r="P128" s="10" t="str">
        <f t="shared" si="6"/>
        <v>ok</v>
      </c>
    </row>
    <row r="129" spans="1:16" ht="15">
      <c r="A129" s="153">
        <v>127</v>
      </c>
      <c r="B129" s="53" t="s">
        <v>443</v>
      </c>
      <c r="C129" s="126" t="s">
        <v>445</v>
      </c>
      <c r="D129" s="55">
        <v>1</v>
      </c>
      <c r="E129" s="56" t="s">
        <v>2437</v>
      </c>
      <c r="F129" s="126" t="s">
        <v>12</v>
      </c>
      <c r="G129" s="126" t="s">
        <v>1667</v>
      </c>
      <c r="H129" s="127">
        <v>1</v>
      </c>
      <c r="I129" s="49" t="s">
        <v>2438</v>
      </c>
      <c r="J129" s="52"/>
      <c r="K129" s="139" t="s">
        <v>2439</v>
      </c>
      <c r="L129" s="139" t="s">
        <v>2987</v>
      </c>
      <c r="M129" s="76">
        <v>45429</v>
      </c>
      <c r="N129" s="128">
        <f>+VLOOKUP(B129,BOM!$A$8:$AB$1078,27,0)</f>
        <v>1</v>
      </c>
      <c r="O129" s="129">
        <f>+VLOOKUP(B129,BOM!$A$8:$AB$1078,28,0)</f>
        <v>5</v>
      </c>
      <c r="P129" s="10" t="str">
        <f t="shared" si="6"/>
        <v>ok</v>
      </c>
    </row>
    <row r="130" spans="1:16" ht="15">
      <c r="A130" s="153">
        <v>128</v>
      </c>
      <c r="B130" s="59" t="s">
        <v>359</v>
      </c>
      <c r="C130" s="126" t="s">
        <v>361</v>
      </c>
      <c r="D130" s="55">
        <v>1</v>
      </c>
      <c r="E130" s="56" t="s">
        <v>2443</v>
      </c>
      <c r="F130" s="126" t="s">
        <v>12</v>
      </c>
      <c r="G130" s="126" t="s">
        <v>1667</v>
      </c>
      <c r="H130" s="127">
        <v>1</v>
      </c>
      <c r="I130" s="49" t="s">
        <v>2444</v>
      </c>
      <c r="J130" s="52" t="s">
        <v>2414</v>
      </c>
      <c r="K130" s="49"/>
      <c r="L130" s="49" t="s">
        <v>2988</v>
      </c>
      <c r="M130" s="76">
        <v>45429</v>
      </c>
      <c r="N130" s="128">
        <f>+VLOOKUP(B130,BOM!$A$8:$AB$1078,27,0)</f>
        <v>1</v>
      </c>
      <c r="O130" s="129">
        <f>+VLOOKUP(B130,BOM!$A$8:$AB$1078,28,0)</f>
        <v>6</v>
      </c>
      <c r="P130" s="10" t="str">
        <f t="shared" si="6"/>
        <v>ok</v>
      </c>
    </row>
    <row r="131" spans="1:16" ht="15">
      <c r="A131" s="153">
        <v>129</v>
      </c>
      <c r="B131" s="53" t="s">
        <v>404</v>
      </c>
      <c r="C131" s="126" t="s">
        <v>405</v>
      </c>
      <c r="D131" s="55">
        <v>1</v>
      </c>
      <c r="E131" s="56" t="s">
        <v>2443</v>
      </c>
      <c r="F131" s="126" t="s">
        <v>12</v>
      </c>
      <c r="G131" s="126" t="s">
        <v>1667</v>
      </c>
      <c r="H131" s="127">
        <v>1</v>
      </c>
      <c r="I131" s="49" t="s">
        <v>2444</v>
      </c>
      <c r="J131" s="52" t="s">
        <v>2414</v>
      </c>
      <c r="K131" s="49"/>
      <c r="L131" s="49" t="s">
        <v>2989</v>
      </c>
      <c r="M131" s="76">
        <v>45429</v>
      </c>
      <c r="N131" s="128">
        <f>+VLOOKUP(B131,BOM!$A$8:$AB$1078,27,0)</f>
        <v>1</v>
      </c>
      <c r="O131" s="129">
        <f>+VLOOKUP(B131,BOM!$A$8:$AB$1078,28,0)</f>
        <v>6</v>
      </c>
      <c r="P131" s="10" t="str">
        <f t="shared" si="6"/>
        <v>ok</v>
      </c>
    </row>
    <row r="132" spans="1:16" ht="15">
      <c r="A132" s="153">
        <v>130</v>
      </c>
      <c r="B132" s="53" t="s">
        <v>446</v>
      </c>
      <c r="C132" s="126" t="s">
        <v>447</v>
      </c>
      <c r="D132" s="55">
        <v>1</v>
      </c>
      <c r="E132" s="56" t="s">
        <v>2443</v>
      </c>
      <c r="F132" s="126" t="s">
        <v>12</v>
      </c>
      <c r="G132" s="126" t="s">
        <v>1667</v>
      </c>
      <c r="H132" s="127">
        <v>1</v>
      </c>
      <c r="I132" s="49" t="s">
        <v>2444</v>
      </c>
      <c r="J132" s="52" t="s">
        <v>2414</v>
      </c>
      <c r="K132" s="49"/>
      <c r="L132" s="49" t="s">
        <v>2990</v>
      </c>
      <c r="M132" s="76">
        <v>45429</v>
      </c>
      <c r="N132" s="128">
        <f>+VLOOKUP(B132,BOM!$A$8:$AB$1078,27,0)</f>
        <v>1</v>
      </c>
      <c r="O132" s="129">
        <f>+VLOOKUP(B132,BOM!$A$8:$AB$1078,28,0)</f>
        <v>6</v>
      </c>
      <c r="P132" s="10" t="str">
        <f t="shared" si="6"/>
        <v>ok</v>
      </c>
    </row>
    <row r="133" spans="1:16" ht="15">
      <c r="A133" s="153">
        <v>131</v>
      </c>
      <c r="B133" s="53" t="s">
        <v>1776</v>
      </c>
      <c r="C133" s="126" t="s">
        <v>1774</v>
      </c>
      <c r="D133" s="55">
        <v>1</v>
      </c>
      <c r="E133" s="56" t="s">
        <v>2443</v>
      </c>
      <c r="F133" s="126" t="s">
        <v>12</v>
      </c>
      <c r="G133" s="126" t="s">
        <v>1667</v>
      </c>
      <c r="H133" s="127">
        <v>1</v>
      </c>
      <c r="I133" s="49" t="s">
        <v>2444</v>
      </c>
      <c r="J133" s="52" t="s">
        <v>2486</v>
      </c>
      <c r="K133" s="49"/>
      <c r="L133" s="49" t="s">
        <v>2991</v>
      </c>
      <c r="M133" s="76">
        <v>45429</v>
      </c>
      <c r="N133" s="128">
        <f>+VLOOKUP(B133,BOM!$A$8:$AB$1078,27,0)</f>
        <v>1</v>
      </c>
      <c r="O133" s="129">
        <f>+VLOOKUP(B133,BOM!$A$8:$AB$1078,28,0)</f>
        <v>6</v>
      </c>
      <c r="P133" s="10" t="str">
        <f t="shared" si="6"/>
        <v>ok</v>
      </c>
    </row>
    <row r="134" spans="1:16" ht="15">
      <c r="A134" s="153">
        <v>132</v>
      </c>
      <c r="B134" s="53" t="s">
        <v>2545</v>
      </c>
      <c r="C134" s="126" t="s">
        <v>417</v>
      </c>
      <c r="D134" s="55">
        <v>1</v>
      </c>
      <c r="E134" s="79" t="s">
        <v>2443</v>
      </c>
      <c r="F134" s="126" t="s">
        <v>12</v>
      </c>
      <c r="G134" s="126" t="s">
        <v>1667</v>
      </c>
      <c r="H134" s="127">
        <v>1</v>
      </c>
      <c r="I134" s="49" t="s">
        <v>2444</v>
      </c>
      <c r="J134" s="52" t="s">
        <v>2486</v>
      </c>
      <c r="K134" s="139"/>
      <c r="L134" s="139" t="s">
        <v>2992</v>
      </c>
      <c r="M134" s="76">
        <v>45429</v>
      </c>
      <c r="N134" s="128">
        <f>+VLOOKUP(B134,BOM!$A$8:$AB$1078,27,0)</f>
        <v>1</v>
      </c>
      <c r="O134" s="129">
        <f>+VLOOKUP(B134,BOM!$A$8:$AB$1078,28,0)</f>
        <v>6</v>
      </c>
      <c r="P134" s="10" t="str">
        <f t="shared" si="6"/>
        <v>ok</v>
      </c>
    </row>
    <row r="135" spans="1:16" ht="15">
      <c r="A135" s="153">
        <v>133</v>
      </c>
      <c r="B135" s="53" t="s">
        <v>1773</v>
      </c>
      <c r="C135" s="126" t="s">
        <v>1774</v>
      </c>
      <c r="D135" s="55">
        <v>1</v>
      </c>
      <c r="E135" s="56" t="s">
        <v>2443</v>
      </c>
      <c r="F135" s="126" t="s">
        <v>12</v>
      </c>
      <c r="G135" s="126" t="s">
        <v>1667</v>
      </c>
      <c r="H135" s="127">
        <v>1</v>
      </c>
      <c r="I135" s="49" t="s">
        <v>2444</v>
      </c>
      <c r="J135" s="52"/>
      <c r="K135" s="139"/>
      <c r="L135" s="139" t="s">
        <v>2993</v>
      </c>
      <c r="M135" s="76">
        <v>45429</v>
      </c>
      <c r="N135" s="128">
        <f>+VLOOKUP(B135,BOM!$A$8:$AB$1078,27,0)</f>
        <v>1</v>
      </c>
      <c r="O135" s="129">
        <f>+VLOOKUP(B135,BOM!$A$8:$AB$1078,28,0)</f>
        <v>6</v>
      </c>
      <c r="P135" s="10" t="str">
        <f t="shared" si="6"/>
        <v>ok</v>
      </c>
    </row>
    <row r="136" spans="1:16" ht="15">
      <c r="A136" s="153">
        <v>134</v>
      </c>
      <c r="B136" s="53" t="s">
        <v>1775</v>
      </c>
      <c r="C136" s="126" t="s">
        <v>1774</v>
      </c>
      <c r="D136" s="123">
        <v>1</v>
      </c>
      <c r="E136" s="56" t="s">
        <v>2443</v>
      </c>
      <c r="F136" s="126" t="s">
        <v>12</v>
      </c>
      <c r="G136" s="126" t="s">
        <v>1667</v>
      </c>
      <c r="H136" s="127">
        <v>1</v>
      </c>
      <c r="I136" s="49" t="s">
        <v>2548</v>
      </c>
      <c r="J136" s="52" t="s">
        <v>2486</v>
      </c>
      <c r="K136" s="139"/>
      <c r="L136" s="139" t="s">
        <v>2994</v>
      </c>
      <c r="M136" s="76">
        <v>45429</v>
      </c>
      <c r="N136" s="128">
        <f>+VLOOKUP(B136,BOM!$A$8:$AB$1078,27,0)</f>
        <v>1</v>
      </c>
      <c r="O136" s="129">
        <f>+VLOOKUP(B136,BOM!$A$8:$AB$1078,28,0)</f>
        <v>6</v>
      </c>
      <c r="P136" s="10" t="str">
        <f t="shared" si="6"/>
        <v>ok</v>
      </c>
    </row>
    <row r="137" spans="1:16" ht="15">
      <c r="A137" s="153">
        <v>135</v>
      </c>
      <c r="B137" s="64" t="s">
        <v>461</v>
      </c>
      <c r="C137" s="126" t="s">
        <v>463</v>
      </c>
      <c r="D137" s="55">
        <v>2</v>
      </c>
      <c r="E137" s="77" t="s">
        <v>2443</v>
      </c>
      <c r="F137" s="126" t="s">
        <v>12</v>
      </c>
      <c r="G137" s="126" t="s">
        <v>1667</v>
      </c>
      <c r="H137" s="127">
        <v>2</v>
      </c>
      <c r="I137" s="49" t="s">
        <v>2550</v>
      </c>
      <c r="J137" s="52"/>
      <c r="K137" s="49"/>
      <c r="L137" s="49" t="s">
        <v>2995</v>
      </c>
      <c r="M137" s="76">
        <v>45429</v>
      </c>
      <c r="N137" s="128">
        <f>+VLOOKUP(B137,BOM!$A$8:$AB$1078,27,0)</f>
        <v>2</v>
      </c>
      <c r="O137" s="129">
        <f>+VLOOKUP(B137,BOM!$A$8:$AB$1078,28,0)</f>
        <v>6</v>
      </c>
      <c r="P137" s="10">
        <v>1</v>
      </c>
    </row>
    <row r="138" spans="1:16" ht="15">
      <c r="A138" s="153">
        <v>136</v>
      </c>
      <c r="B138" s="53" t="s">
        <v>544</v>
      </c>
      <c r="C138" s="126" t="s">
        <v>116</v>
      </c>
      <c r="D138" s="52">
        <v>1</v>
      </c>
      <c r="E138" s="81" t="s">
        <v>2388</v>
      </c>
      <c r="F138" s="126" t="s">
        <v>12</v>
      </c>
      <c r="G138" s="126" t="s">
        <v>1667</v>
      </c>
      <c r="H138" s="127">
        <v>1</v>
      </c>
      <c r="I138" s="49" t="s">
        <v>2389</v>
      </c>
      <c r="J138" s="52"/>
      <c r="K138" s="49"/>
      <c r="L138" s="49" t="s">
        <v>2996</v>
      </c>
      <c r="M138" s="76">
        <v>45702</v>
      </c>
      <c r="N138" s="128">
        <f>+VLOOKUP(B138,BOM!$A$8:$AB$1078,27,0)</f>
        <v>1</v>
      </c>
      <c r="O138" s="129" t="str">
        <f>+VLOOKUP(B138,BOM!$A$8:$AB$1078,28,0)</f>
        <v>A</v>
      </c>
      <c r="P138" s="10" t="str">
        <f t="shared" ref="P138:P155" si="7">+IF(N138=D138,"ok","")</f>
        <v>ok</v>
      </c>
    </row>
    <row r="139" spans="1:16" ht="15">
      <c r="A139" s="153">
        <v>137</v>
      </c>
      <c r="B139" s="53" t="s">
        <v>63</v>
      </c>
      <c r="C139" s="126" t="s">
        <v>65</v>
      </c>
      <c r="D139" s="55">
        <v>1</v>
      </c>
      <c r="E139" s="56" t="s">
        <v>2391</v>
      </c>
      <c r="F139" s="126" t="s">
        <v>12</v>
      </c>
      <c r="G139" s="126" t="s">
        <v>1667</v>
      </c>
      <c r="H139" s="127">
        <v>1</v>
      </c>
      <c r="I139" s="49" t="s">
        <v>2511</v>
      </c>
      <c r="J139" s="52" t="s">
        <v>2414</v>
      </c>
      <c r="K139" s="49"/>
      <c r="L139" s="49" t="s">
        <v>2997</v>
      </c>
      <c r="M139" s="76">
        <v>45429</v>
      </c>
      <c r="N139" s="128">
        <f>+VLOOKUP(B139,BOM!$A$8:$AB$1078,27,0)</f>
        <v>1</v>
      </c>
      <c r="O139" s="129" t="str">
        <f>+VLOOKUP(B139,BOM!$A$8:$AB$1078,28,0)</f>
        <v>C</v>
      </c>
      <c r="P139" s="10" t="str">
        <f t="shared" si="7"/>
        <v>ok</v>
      </c>
    </row>
    <row r="140" spans="1:16" ht="15">
      <c r="A140" s="153">
        <v>138</v>
      </c>
      <c r="B140" s="53" t="s">
        <v>115</v>
      </c>
      <c r="C140" s="126" t="s">
        <v>117</v>
      </c>
      <c r="D140" s="55">
        <v>1</v>
      </c>
      <c r="E140" s="56" t="s">
        <v>2391</v>
      </c>
      <c r="F140" s="126" t="s">
        <v>12</v>
      </c>
      <c r="G140" s="126" t="s">
        <v>1667</v>
      </c>
      <c r="H140" s="127">
        <v>1</v>
      </c>
      <c r="I140" s="49" t="s">
        <v>2511</v>
      </c>
      <c r="J140" s="52" t="s">
        <v>2414</v>
      </c>
      <c r="K140" s="49"/>
      <c r="L140" s="49" t="s">
        <v>2998</v>
      </c>
      <c r="M140" s="76">
        <v>45429</v>
      </c>
      <c r="N140" s="128">
        <f>+VLOOKUP(B140,BOM!$A$8:$AB$1078,27,0)</f>
        <v>1</v>
      </c>
      <c r="O140" s="129" t="str">
        <f>+VLOOKUP(B140,BOM!$A$8:$AB$1078,28,0)</f>
        <v>D</v>
      </c>
      <c r="P140" s="10" t="str">
        <f t="shared" si="7"/>
        <v>ok</v>
      </c>
    </row>
    <row r="141" spans="1:16" ht="15">
      <c r="A141" s="153">
        <v>139</v>
      </c>
      <c r="B141" s="59" t="s">
        <v>350</v>
      </c>
      <c r="C141" s="126" t="s">
        <v>352</v>
      </c>
      <c r="D141" s="55">
        <v>1</v>
      </c>
      <c r="E141" s="56" t="s">
        <v>2391</v>
      </c>
      <c r="F141" s="126" t="s">
        <v>12</v>
      </c>
      <c r="G141" s="126" t="s">
        <v>1667</v>
      </c>
      <c r="H141" s="127">
        <v>1</v>
      </c>
      <c r="I141" s="49" t="s">
        <v>2511</v>
      </c>
      <c r="J141" s="52" t="s">
        <v>2414</v>
      </c>
      <c r="K141" s="49"/>
      <c r="L141" s="49" t="s">
        <v>2999</v>
      </c>
      <c r="M141" s="76">
        <v>45429</v>
      </c>
      <c r="N141" s="128">
        <f>+VLOOKUP(B141,BOM!$A$8:$AB$1078,27,0)</f>
        <v>1</v>
      </c>
      <c r="O141" s="129" t="str">
        <f>+VLOOKUP(B141,BOM!$A$8:$AB$1078,28,0)</f>
        <v>D</v>
      </c>
      <c r="P141" s="10" t="str">
        <f t="shared" si="7"/>
        <v>ok</v>
      </c>
    </row>
    <row r="142" spans="1:16" ht="15">
      <c r="A142" s="153">
        <v>140</v>
      </c>
      <c r="B142" s="53" t="s">
        <v>425</v>
      </c>
      <c r="C142" s="126" t="s">
        <v>427</v>
      </c>
      <c r="D142" s="55">
        <v>1</v>
      </c>
      <c r="E142" s="56" t="s">
        <v>2391</v>
      </c>
      <c r="F142" s="126" t="s">
        <v>12</v>
      </c>
      <c r="G142" s="126" t="s">
        <v>1667</v>
      </c>
      <c r="H142" s="127">
        <v>1</v>
      </c>
      <c r="I142" s="49" t="s">
        <v>2511</v>
      </c>
      <c r="J142" s="52" t="s">
        <v>2414</v>
      </c>
      <c r="K142" s="49"/>
      <c r="L142" s="49" t="s">
        <v>3000</v>
      </c>
      <c r="M142" s="76">
        <v>45429</v>
      </c>
      <c r="N142" s="128">
        <f>+VLOOKUP(B142,BOM!$A$8:$AB$1078,27,0)</f>
        <v>1</v>
      </c>
      <c r="O142" s="129" t="str">
        <f>+VLOOKUP(B142,BOM!$A$8:$AB$1078,28,0)</f>
        <v>D</v>
      </c>
      <c r="P142" s="10" t="str">
        <f t="shared" si="7"/>
        <v>ok</v>
      </c>
    </row>
    <row r="143" spans="1:16" ht="15" customHeight="1">
      <c r="A143" s="153">
        <v>141</v>
      </c>
      <c r="B143" s="53" t="s">
        <v>428</v>
      </c>
      <c r="C143" s="126" t="s">
        <v>427</v>
      </c>
      <c r="D143" s="55">
        <v>1</v>
      </c>
      <c r="E143" s="56" t="s">
        <v>2391</v>
      </c>
      <c r="F143" s="126" t="s">
        <v>12</v>
      </c>
      <c r="G143" s="126" t="s">
        <v>1667</v>
      </c>
      <c r="H143" s="127">
        <v>1</v>
      </c>
      <c r="I143" s="49" t="s">
        <v>2511</v>
      </c>
      <c r="J143" s="52" t="s">
        <v>2414</v>
      </c>
      <c r="K143" s="49"/>
      <c r="L143" s="49" t="s">
        <v>3001</v>
      </c>
      <c r="M143" s="76">
        <v>45429</v>
      </c>
      <c r="N143" s="128">
        <f>+VLOOKUP(B143,BOM!$A$8:$AB$1078,27,0)</f>
        <v>1</v>
      </c>
      <c r="O143" s="129" t="str">
        <f>+VLOOKUP(B143,BOM!$A$8:$AB$1078,28,0)</f>
        <v>D</v>
      </c>
      <c r="P143" s="10" t="str">
        <f t="shared" si="7"/>
        <v>ok</v>
      </c>
    </row>
    <row r="144" spans="1:16" ht="15" customHeight="1">
      <c r="A144" s="153">
        <v>142</v>
      </c>
      <c r="B144" s="53" t="s">
        <v>432</v>
      </c>
      <c r="C144" s="126" t="s">
        <v>433</v>
      </c>
      <c r="D144" s="55">
        <v>2</v>
      </c>
      <c r="E144" s="56" t="s">
        <v>2391</v>
      </c>
      <c r="F144" s="126" t="s">
        <v>12</v>
      </c>
      <c r="G144" s="126" t="s">
        <v>1667</v>
      </c>
      <c r="H144" s="127">
        <v>2</v>
      </c>
      <c r="I144" s="49" t="s">
        <v>2511</v>
      </c>
      <c r="J144" s="52" t="s">
        <v>2414</v>
      </c>
      <c r="K144" s="49"/>
      <c r="L144" s="49" t="s">
        <v>3002</v>
      </c>
      <c r="M144" s="76">
        <v>45429</v>
      </c>
      <c r="N144" s="128">
        <f>+VLOOKUP(B144,BOM!$A$8:$AB$1078,27,0)</f>
        <v>2</v>
      </c>
      <c r="O144" s="129" t="str">
        <f>+VLOOKUP(B144,BOM!$A$8:$AB$1078,28,0)</f>
        <v>D</v>
      </c>
      <c r="P144" s="10" t="str">
        <f t="shared" si="7"/>
        <v>ok</v>
      </c>
    </row>
    <row r="145" spans="1:16" ht="15" customHeight="1">
      <c r="A145" s="153">
        <v>143</v>
      </c>
      <c r="B145" s="53" t="s">
        <v>549</v>
      </c>
      <c r="C145" s="126" t="s">
        <v>551</v>
      </c>
      <c r="D145" s="55">
        <v>1</v>
      </c>
      <c r="E145" s="56" t="s">
        <v>2391</v>
      </c>
      <c r="F145" s="126" t="s">
        <v>12</v>
      </c>
      <c r="G145" s="126" t="s">
        <v>1667</v>
      </c>
      <c r="H145" s="127">
        <v>1</v>
      </c>
      <c r="I145" s="49" t="s">
        <v>2511</v>
      </c>
      <c r="J145" s="52" t="s">
        <v>2414</v>
      </c>
      <c r="K145" s="49"/>
      <c r="L145" s="49" t="s">
        <v>3003</v>
      </c>
      <c r="M145" s="76">
        <v>45429</v>
      </c>
      <c r="N145" s="128">
        <f>+VLOOKUP(B145,BOM!$A$8:$AB$1078,27,0)</f>
        <v>1</v>
      </c>
      <c r="O145" s="129" t="str">
        <f>+VLOOKUP(B145,BOM!$A$8:$AB$1078,28,0)</f>
        <v>D</v>
      </c>
      <c r="P145" s="10" t="str">
        <f t="shared" si="7"/>
        <v>ok</v>
      </c>
    </row>
    <row r="146" spans="1:16" ht="15">
      <c r="A146" s="153">
        <v>144</v>
      </c>
      <c r="B146" s="53" t="s">
        <v>562</v>
      </c>
      <c r="C146" s="126" t="s">
        <v>564</v>
      </c>
      <c r="D146" s="55">
        <v>1</v>
      </c>
      <c r="E146" s="56" t="s">
        <v>2391</v>
      </c>
      <c r="F146" s="126" t="s">
        <v>12</v>
      </c>
      <c r="G146" s="126" t="s">
        <v>1667</v>
      </c>
      <c r="H146" s="127">
        <v>1</v>
      </c>
      <c r="I146" s="49" t="s">
        <v>2511</v>
      </c>
      <c r="J146" s="52" t="s">
        <v>2414</v>
      </c>
      <c r="K146" s="49"/>
      <c r="L146" s="49" t="s">
        <v>3004</v>
      </c>
      <c r="M146" s="76">
        <v>45429</v>
      </c>
      <c r="N146" s="128">
        <f>+VLOOKUP(B146,BOM!$A$8:$AB$1078,27,0)</f>
        <v>1</v>
      </c>
      <c r="O146" s="129" t="str">
        <f>+VLOOKUP(B146,BOM!$A$8:$AB$1078,28,0)</f>
        <v>D</v>
      </c>
      <c r="P146" s="10" t="str">
        <f t="shared" si="7"/>
        <v>ok</v>
      </c>
    </row>
    <row r="147" spans="1:16" ht="15">
      <c r="A147" s="153">
        <v>145</v>
      </c>
      <c r="B147" s="53" t="s">
        <v>746</v>
      </c>
      <c r="C147" s="126" t="s">
        <v>41</v>
      </c>
      <c r="D147" s="55">
        <v>1</v>
      </c>
      <c r="E147" s="56" t="s">
        <v>2391</v>
      </c>
      <c r="F147" s="126" t="s">
        <v>12</v>
      </c>
      <c r="G147" s="126" t="s">
        <v>1667</v>
      </c>
      <c r="H147" s="127">
        <v>1</v>
      </c>
      <c r="I147" s="49" t="s">
        <v>2511</v>
      </c>
      <c r="J147" s="52" t="s">
        <v>2414</v>
      </c>
      <c r="K147" s="49"/>
      <c r="L147" s="49" t="s">
        <v>3005</v>
      </c>
      <c r="M147" s="76">
        <v>45429</v>
      </c>
      <c r="N147" s="128">
        <f>+VLOOKUP(B147,BOM!$A$8:$AB$1078,27,0)</f>
        <v>1</v>
      </c>
      <c r="O147" s="129" t="str">
        <f>+VLOOKUP(B147,BOM!$A$8:$AB$1078,28,0)</f>
        <v>D</v>
      </c>
      <c r="P147" s="10" t="str">
        <f t="shared" si="7"/>
        <v>ok</v>
      </c>
    </row>
    <row r="148" spans="1:16" ht="15">
      <c r="A148" s="153">
        <v>146</v>
      </c>
      <c r="B148" s="53" t="s">
        <v>314</v>
      </c>
      <c r="C148" s="126" t="s">
        <v>316</v>
      </c>
      <c r="D148" s="55">
        <v>1</v>
      </c>
      <c r="E148" s="56" t="s">
        <v>2391</v>
      </c>
      <c r="F148" s="126" t="s">
        <v>12</v>
      </c>
      <c r="G148" s="126" t="s">
        <v>1667</v>
      </c>
      <c r="H148" s="127">
        <v>1</v>
      </c>
      <c r="I148" s="49" t="s">
        <v>2511</v>
      </c>
      <c r="J148" s="52" t="s">
        <v>2486</v>
      </c>
      <c r="K148" s="49"/>
      <c r="L148" s="49" t="s">
        <v>3006</v>
      </c>
      <c r="M148" s="76">
        <v>45429</v>
      </c>
      <c r="N148" s="128">
        <f>+VLOOKUP(B148,BOM!$A$8:$AB$1078,27,0)</f>
        <v>1</v>
      </c>
      <c r="O148" s="129" t="str">
        <f>+VLOOKUP(B148,BOM!$A$8:$AB$1078,28,0)</f>
        <v>C</v>
      </c>
      <c r="P148" s="10" t="str">
        <f t="shared" si="7"/>
        <v>ok</v>
      </c>
    </row>
    <row r="149" spans="1:16" ht="15">
      <c r="A149" s="153">
        <v>147</v>
      </c>
      <c r="B149" s="53" t="s">
        <v>1777</v>
      </c>
      <c r="C149" s="126" t="s">
        <v>1778</v>
      </c>
      <c r="D149" s="55">
        <v>1</v>
      </c>
      <c r="E149" s="56" t="s">
        <v>2391</v>
      </c>
      <c r="F149" s="126" t="s">
        <v>12</v>
      </c>
      <c r="G149" s="126" t="s">
        <v>1667</v>
      </c>
      <c r="H149" s="127">
        <v>1</v>
      </c>
      <c r="I149" s="49" t="s">
        <v>2449</v>
      </c>
      <c r="J149" s="52">
        <v>1</v>
      </c>
      <c r="K149" s="49" t="s">
        <v>2450</v>
      </c>
      <c r="L149" s="49" t="s">
        <v>3007</v>
      </c>
      <c r="M149" s="76">
        <v>45429</v>
      </c>
      <c r="N149" s="128">
        <f>+VLOOKUP(B149,BOM!$A$8:$AB$1078,27,0)</f>
        <v>1</v>
      </c>
      <c r="O149" s="129" t="str">
        <f>+VLOOKUP(B149,BOM!$A$8:$AB$1078,28,0)</f>
        <v>C</v>
      </c>
      <c r="P149" s="10" t="str">
        <f t="shared" si="7"/>
        <v>ok</v>
      </c>
    </row>
    <row r="150" spans="1:16" ht="15" customHeight="1">
      <c r="A150" s="153">
        <v>148</v>
      </c>
      <c r="B150" s="53" t="s">
        <v>391</v>
      </c>
      <c r="C150" s="126" t="s">
        <v>392</v>
      </c>
      <c r="D150" s="55">
        <v>2</v>
      </c>
      <c r="E150" s="56" t="s">
        <v>2391</v>
      </c>
      <c r="F150" s="126" t="s">
        <v>12</v>
      </c>
      <c r="G150" s="126" t="s">
        <v>1667</v>
      </c>
      <c r="H150" s="127">
        <v>2</v>
      </c>
      <c r="I150" s="49" t="s">
        <v>2449</v>
      </c>
      <c r="J150" s="52" t="s">
        <v>2411</v>
      </c>
      <c r="K150" s="49" t="s">
        <v>2450</v>
      </c>
      <c r="L150" s="49" t="s">
        <v>3008</v>
      </c>
      <c r="M150" s="76">
        <v>45429</v>
      </c>
      <c r="N150" s="128">
        <f>+VLOOKUP(B150,BOM!$A$8:$AB$1078,27,0)</f>
        <v>2</v>
      </c>
      <c r="O150" s="129" t="str">
        <f>+VLOOKUP(B150,BOM!$A$8:$AB$1078,28,0)</f>
        <v>C</v>
      </c>
      <c r="P150" s="10" t="str">
        <f t="shared" si="7"/>
        <v>ok</v>
      </c>
    </row>
    <row r="151" spans="1:16" ht="15" customHeight="1">
      <c r="A151" s="153">
        <v>149</v>
      </c>
      <c r="B151" s="53" t="s">
        <v>106</v>
      </c>
      <c r="C151" s="126" t="s">
        <v>108</v>
      </c>
      <c r="D151" s="55">
        <v>1</v>
      </c>
      <c r="E151" s="56" t="s">
        <v>2391</v>
      </c>
      <c r="F151" s="126" t="s">
        <v>12</v>
      </c>
      <c r="G151" s="126" t="s">
        <v>1667</v>
      </c>
      <c r="H151" s="127">
        <v>1</v>
      </c>
      <c r="I151" s="49" t="s">
        <v>3009</v>
      </c>
      <c r="J151" s="52"/>
      <c r="K151" s="139"/>
      <c r="L151" s="139" t="s">
        <v>3010</v>
      </c>
      <c r="M151" s="76">
        <v>45526</v>
      </c>
      <c r="N151" s="128">
        <f>+VLOOKUP(B151,BOM!$A$8:$AB$1078,27,0)</f>
        <v>1</v>
      </c>
      <c r="O151" s="129" t="str">
        <f>+VLOOKUP(B151,BOM!$A$8:$AB$1078,28,0)</f>
        <v>D</v>
      </c>
      <c r="P151" s="10" t="str">
        <f t="shared" si="7"/>
        <v>ok</v>
      </c>
    </row>
    <row r="152" spans="1:16" ht="15" customHeight="1">
      <c r="A152" s="153">
        <v>150</v>
      </c>
      <c r="B152" s="53" t="s">
        <v>45</v>
      </c>
      <c r="C152" s="126" t="s">
        <v>47</v>
      </c>
      <c r="D152" s="55">
        <v>1</v>
      </c>
      <c r="E152" s="56" t="s">
        <v>2391</v>
      </c>
      <c r="F152" s="126" t="s">
        <v>12</v>
      </c>
      <c r="G152" s="126" t="s">
        <v>1667</v>
      </c>
      <c r="H152" s="127">
        <v>1</v>
      </c>
      <c r="I152" s="49" t="s">
        <v>2447</v>
      </c>
      <c r="J152" s="52"/>
      <c r="K152" s="139"/>
      <c r="L152" s="139" t="s">
        <v>3011</v>
      </c>
      <c r="M152" s="76">
        <v>45429</v>
      </c>
      <c r="N152" s="128">
        <f>+VLOOKUP(B152,BOM!$A$8:$AB$1078,27,0)</f>
        <v>1</v>
      </c>
      <c r="O152" s="129" t="str">
        <f>+VLOOKUP(B152,BOM!$A$8:$AB$1078,28,0)</f>
        <v>C</v>
      </c>
      <c r="P152" s="10" t="str">
        <f t="shared" si="7"/>
        <v>ok</v>
      </c>
    </row>
    <row r="153" spans="1:16" ht="15">
      <c r="A153" s="153">
        <v>151</v>
      </c>
      <c r="B153" s="53" t="s">
        <v>123</v>
      </c>
      <c r="C153" s="126" t="s">
        <v>125</v>
      </c>
      <c r="D153" s="55">
        <v>2</v>
      </c>
      <c r="E153" s="56" t="s">
        <v>2391</v>
      </c>
      <c r="F153" s="126" t="s">
        <v>12</v>
      </c>
      <c r="G153" s="126" t="s">
        <v>1667</v>
      </c>
      <c r="H153" s="127">
        <v>2</v>
      </c>
      <c r="I153" s="49" t="s">
        <v>2447</v>
      </c>
      <c r="J153" s="52"/>
      <c r="K153" s="139"/>
      <c r="L153" s="139" t="s">
        <v>3012</v>
      </c>
      <c r="M153" s="76">
        <v>45429</v>
      </c>
      <c r="N153" s="128">
        <f>+VLOOKUP(B153,BOM!$A$8:$AB$1078,27,0)</f>
        <v>2</v>
      </c>
      <c r="O153" s="129" t="str">
        <f>+VLOOKUP(B153,BOM!$A$8:$AB$1078,28,0)</f>
        <v>C</v>
      </c>
      <c r="P153" s="10" t="str">
        <f t="shared" si="7"/>
        <v>ok</v>
      </c>
    </row>
    <row r="154" spans="1:16" ht="15">
      <c r="A154" s="153">
        <v>152</v>
      </c>
      <c r="B154" s="53" t="s">
        <v>567</v>
      </c>
      <c r="C154" s="126" t="s">
        <v>569</v>
      </c>
      <c r="D154" s="55">
        <v>2</v>
      </c>
      <c r="E154" s="56" t="s">
        <v>2391</v>
      </c>
      <c r="F154" s="126" t="s">
        <v>12</v>
      </c>
      <c r="G154" s="126" t="s">
        <v>1667</v>
      </c>
      <c r="H154" s="127">
        <v>2</v>
      </c>
      <c r="I154" s="49" t="s">
        <v>2447</v>
      </c>
      <c r="J154" s="52"/>
      <c r="K154" s="139"/>
      <c r="L154" s="139" t="s">
        <v>3013</v>
      </c>
      <c r="M154" s="76">
        <v>45429</v>
      </c>
      <c r="N154" s="128">
        <f>+VLOOKUP(B154,BOM!$A$8:$AB$1078,27,0)</f>
        <v>2</v>
      </c>
      <c r="O154" s="129" t="str">
        <f>+VLOOKUP(B154,BOM!$A$8:$AB$1078,28,0)</f>
        <v>C</v>
      </c>
      <c r="P154" s="10" t="str">
        <f t="shared" si="7"/>
        <v>ok</v>
      </c>
    </row>
    <row r="155" spans="1:16" ht="15" customHeight="1">
      <c r="A155" s="153">
        <v>153</v>
      </c>
      <c r="B155" s="53" t="s">
        <v>1802</v>
      </c>
      <c r="C155" s="126" t="s">
        <v>1803</v>
      </c>
      <c r="D155" s="55">
        <v>1</v>
      </c>
      <c r="E155" s="56" t="s">
        <v>2385</v>
      </c>
      <c r="F155" s="126" t="s">
        <v>308</v>
      </c>
      <c r="G155" s="126" t="s">
        <v>1667</v>
      </c>
      <c r="H155" s="127">
        <v>1</v>
      </c>
      <c r="I155" s="49" t="s">
        <v>2386</v>
      </c>
      <c r="J155" s="52" t="s">
        <v>2397</v>
      </c>
      <c r="K155" s="49"/>
      <c r="L155" s="49" t="s">
        <v>3014</v>
      </c>
      <c r="M155" s="76">
        <v>45429</v>
      </c>
      <c r="N155" s="128">
        <f>+VLOOKUP(B155,BOM!$A$8:$AB$1078,27,0)</f>
        <v>1</v>
      </c>
      <c r="O155" s="129">
        <f>+VLOOKUP(B155,BOM!$A$8:$AB$1078,28,0)</f>
        <v>0</v>
      </c>
      <c r="P155" s="10" t="str">
        <f t="shared" si="7"/>
        <v>ok</v>
      </c>
    </row>
    <row r="156" spans="1:16" ht="15" customHeight="1">
      <c r="A156" s="153">
        <v>154</v>
      </c>
      <c r="B156" s="53" t="s">
        <v>1804</v>
      </c>
      <c r="C156" s="126" t="s">
        <v>1803</v>
      </c>
      <c r="D156" s="55">
        <v>1</v>
      </c>
      <c r="E156" s="56" t="s">
        <v>2385</v>
      </c>
      <c r="F156" s="126" t="s">
        <v>308</v>
      </c>
      <c r="G156" s="126" t="s">
        <v>1667</v>
      </c>
      <c r="H156" s="127">
        <v>1</v>
      </c>
      <c r="I156" s="49" t="s">
        <v>2386</v>
      </c>
      <c r="J156" s="52" t="s">
        <v>2397</v>
      </c>
      <c r="K156" s="49"/>
      <c r="L156" s="49" t="s">
        <v>3015</v>
      </c>
      <c r="M156" s="76"/>
      <c r="N156" s="128"/>
      <c r="O156" s="129"/>
    </row>
    <row r="157" spans="1:16" ht="15" customHeight="1">
      <c r="A157" s="153">
        <v>155</v>
      </c>
      <c r="B157" s="53" t="s">
        <v>1810</v>
      </c>
      <c r="C157" s="126" t="s">
        <v>1794</v>
      </c>
      <c r="D157" s="55">
        <v>1</v>
      </c>
      <c r="E157" s="56" t="s">
        <v>2385</v>
      </c>
      <c r="F157" s="126" t="s">
        <v>308</v>
      </c>
      <c r="G157" s="126" t="s">
        <v>1667</v>
      </c>
      <c r="H157" s="127">
        <v>1</v>
      </c>
      <c r="I157" s="49" t="s">
        <v>2386</v>
      </c>
      <c r="J157" s="52" t="s">
        <v>2397</v>
      </c>
      <c r="K157" s="49"/>
      <c r="L157" s="49" t="s">
        <v>3016</v>
      </c>
      <c r="M157" s="76">
        <v>45429</v>
      </c>
      <c r="N157" s="128">
        <f>+VLOOKUP(B157,BOM!$A$8:$AB$1078,27,0)</f>
        <v>1</v>
      </c>
      <c r="O157" s="129">
        <f>+VLOOKUP(B157,BOM!$A$8:$AB$1078,28,0)</f>
        <v>0</v>
      </c>
      <c r="P157" s="10" t="str">
        <f t="shared" ref="P157:P168" si="8">+IF(N157=D157,"ok","")</f>
        <v>ok</v>
      </c>
    </row>
    <row r="158" spans="1:16" ht="15">
      <c r="A158" s="153">
        <v>156</v>
      </c>
      <c r="B158" s="53" t="s">
        <v>332</v>
      </c>
      <c r="C158" s="126" t="s">
        <v>331</v>
      </c>
      <c r="D158" s="55">
        <v>1</v>
      </c>
      <c r="E158" s="56" t="s">
        <v>2443</v>
      </c>
      <c r="F158" s="126" t="s">
        <v>308</v>
      </c>
      <c r="G158" s="126" t="s">
        <v>1667</v>
      </c>
      <c r="H158" s="127">
        <v>1</v>
      </c>
      <c r="I158" s="49" t="s">
        <v>2444</v>
      </c>
      <c r="J158" s="52">
        <v>2</v>
      </c>
      <c r="K158" s="49"/>
      <c r="L158" s="49" t="s">
        <v>3017</v>
      </c>
      <c r="M158" s="76">
        <v>45429</v>
      </c>
      <c r="N158" s="128">
        <f>+VLOOKUP(B158,BOM!$A$8:$AB$1078,27,0)</f>
        <v>1</v>
      </c>
      <c r="O158" s="129">
        <f>+VLOOKUP(B158,BOM!$A$8:$AB$1078,28,0)</f>
        <v>6</v>
      </c>
      <c r="P158" s="10" t="str">
        <f t="shared" si="8"/>
        <v>ok</v>
      </c>
    </row>
    <row r="159" spans="1:16" ht="15">
      <c r="A159" s="153">
        <v>157</v>
      </c>
      <c r="B159" s="53" t="s">
        <v>335</v>
      </c>
      <c r="C159" s="126" t="s">
        <v>336</v>
      </c>
      <c r="D159" s="55">
        <v>1</v>
      </c>
      <c r="E159" s="56" t="s">
        <v>2443</v>
      </c>
      <c r="F159" s="126" t="s">
        <v>308</v>
      </c>
      <c r="G159" s="126" t="s">
        <v>1667</v>
      </c>
      <c r="H159" s="127">
        <v>1</v>
      </c>
      <c r="I159" s="49" t="s">
        <v>2444</v>
      </c>
      <c r="J159" s="52">
        <v>2</v>
      </c>
      <c r="K159" s="139"/>
      <c r="L159" s="139" t="s">
        <v>3018</v>
      </c>
      <c r="M159" s="76">
        <v>45429</v>
      </c>
      <c r="N159" s="128">
        <f>+VLOOKUP(B159,BOM!$A$8:$AB$1078,27,0)</f>
        <v>1</v>
      </c>
      <c r="O159" s="129">
        <f>+VLOOKUP(B159,BOM!$A$8:$AB$1078,28,0)</f>
        <v>6</v>
      </c>
      <c r="P159" s="10" t="str">
        <f t="shared" si="8"/>
        <v>ok</v>
      </c>
    </row>
    <row r="160" spans="1:16" ht="15">
      <c r="A160" s="153">
        <v>158</v>
      </c>
      <c r="B160" s="53" t="s">
        <v>340</v>
      </c>
      <c r="C160" s="126" t="s">
        <v>339</v>
      </c>
      <c r="D160" s="55">
        <v>1</v>
      </c>
      <c r="E160" s="56" t="s">
        <v>2443</v>
      </c>
      <c r="F160" s="126" t="s">
        <v>308</v>
      </c>
      <c r="G160" s="126" t="s">
        <v>1667</v>
      </c>
      <c r="H160" s="127">
        <v>1</v>
      </c>
      <c r="I160" s="49" t="s">
        <v>2444</v>
      </c>
      <c r="J160" s="52">
        <v>3</v>
      </c>
      <c r="K160" s="139"/>
      <c r="L160" s="139" t="s">
        <v>3019</v>
      </c>
      <c r="M160" s="76">
        <v>45429</v>
      </c>
      <c r="N160" s="128">
        <f>+VLOOKUP(B160,BOM!$A$8:$AB$1078,27,0)</f>
        <v>1</v>
      </c>
      <c r="O160" s="129">
        <f>+VLOOKUP(B160,BOM!$A$8:$AB$1078,28,0)</f>
        <v>6</v>
      </c>
      <c r="P160" s="10" t="str">
        <f t="shared" si="8"/>
        <v>ok</v>
      </c>
    </row>
    <row r="161" spans="1:16" ht="15">
      <c r="A161" s="153">
        <v>159</v>
      </c>
      <c r="B161" s="53" t="s">
        <v>358</v>
      </c>
      <c r="C161" s="126" t="s">
        <v>357</v>
      </c>
      <c r="D161" s="55">
        <v>1</v>
      </c>
      <c r="E161" s="56" t="s">
        <v>2443</v>
      </c>
      <c r="F161" s="126" t="s">
        <v>308</v>
      </c>
      <c r="G161" s="126" t="s">
        <v>1667</v>
      </c>
      <c r="H161" s="127">
        <v>1</v>
      </c>
      <c r="I161" s="49" t="s">
        <v>2444</v>
      </c>
      <c r="J161" s="52">
        <v>4</v>
      </c>
      <c r="K161" s="139"/>
      <c r="L161" s="139" t="s">
        <v>3020</v>
      </c>
      <c r="M161" s="76">
        <v>45429</v>
      </c>
      <c r="N161" s="128">
        <f>+VLOOKUP(B161,BOM!$A$8:$AB$1078,27,0)</f>
        <v>1</v>
      </c>
      <c r="O161" s="129">
        <f>+VLOOKUP(B161,BOM!$A$8:$AB$1078,28,0)</f>
        <v>6</v>
      </c>
      <c r="P161" s="10" t="str">
        <f t="shared" si="8"/>
        <v>ok</v>
      </c>
    </row>
    <row r="162" spans="1:16" ht="15">
      <c r="A162" s="153">
        <v>160</v>
      </c>
      <c r="B162" s="59" t="s">
        <v>1772</v>
      </c>
      <c r="C162" s="126" t="s">
        <v>952</v>
      </c>
      <c r="D162" s="55">
        <v>1</v>
      </c>
      <c r="E162" s="56" t="s">
        <v>2443</v>
      </c>
      <c r="F162" s="126" t="s">
        <v>308</v>
      </c>
      <c r="G162" s="126" t="s">
        <v>1667</v>
      </c>
      <c r="H162" s="127">
        <v>1</v>
      </c>
      <c r="I162" s="49" t="s">
        <v>2444</v>
      </c>
      <c r="J162" s="52">
        <v>5</v>
      </c>
      <c r="K162" s="139"/>
      <c r="L162" s="139" t="s">
        <v>3021</v>
      </c>
      <c r="M162" s="76">
        <v>45429</v>
      </c>
      <c r="N162" s="128">
        <f>+VLOOKUP(B162,BOM!$A$8:$AB$1078,27,0)</f>
        <v>1</v>
      </c>
      <c r="O162" s="129">
        <f>+VLOOKUP(B162,BOM!$A$8:$AB$1078,28,0)</f>
        <v>6</v>
      </c>
      <c r="P162" s="10" t="str">
        <f t="shared" si="8"/>
        <v>ok</v>
      </c>
    </row>
    <row r="163" spans="1:16" ht="15">
      <c r="A163" s="153">
        <v>161</v>
      </c>
      <c r="B163" s="53" t="s">
        <v>341</v>
      </c>
      <c r="C163" s="126" t="s">
        <v>343</v>
      </c>
      <c r="D163" s="55">
        <v>1</v>
      </c>
      <c r="E163" s="56" t="s">
        <v>2443</v>
      </c>
      <c r="F163" s="126" t="s">
        <v>308</v>
      </c>
      <c r="G163" s="126" t="s">
        <v>1667</v>
      </c>
      <c r="H163" s="127">
        <v>1</v>
      </c>
      <c r="I163" s="49" t="s">
        <v>2444</v>
      </c>
      <c r="J163" s="52" t="s">
        <v>2397</v>
      </c>
      <c r="K163" s="49"/>
      <c r="L163" s="49" t="s">
        <v>3022</v>
      </c>
      <c r="M163" s="76">
        <v>45429</v>
      </c>
      <c r="N163" s="128">
        <f>+VLOOKUP(B163,BOM!$A$8:$AB$1078,27,0)</f>
        <v>1</v>
      </c>
      <c r="O163" s="129">
        <f>+VLOOKUP(B163,BOM!$A$8:$AB$1078,28,0)</f>
        <v>6</v>
      </c>
      <c r="P163" s="10" t="str">
        <f t="shared" si="8"/>
        <v>ok</v>
      </c>
    </row>
    <row r="164" spans="1:16" ht="15">
      <c r="A164" s="153">
        <v>162</v>
      </c>
      <c r="B164" s="53" t="s">
        <v>434</v>
      </c>
      <c r="C164" s="126" t="s">
        <v>436</v>
      </c>
      <c r="D164" s="55">
        <v>1</v>
      </c>
      <c r="E164" s="56" t="s">
        <v>2443</v>
      </c>
      <c r="F164" s="126" t="s">
        <v>308</v>
      </c>
      <c r="G164" s="126" t="s">
        <v>1667</v>
      </c>
      <c r="H164" s="127">
        <v>1</v>
      </c>
      <c r="I164" s="49" t="s">
        <v>2444</v>
      </c>
      <c r="J164" s="52" t="s">
        <v>2414</v>
      </c>
      <c r="K164" s="49"/>
      <c r="L164" s="49" t="s">
        <v>3023</v>
      </c>
      <c r="M164" s="76">
        <v>45429</v>
      </c>
      <c r="N164" s="128">
        <f>+VLOOKUP(B164,BOM!$A$8:$AB$1078,27,0)</f>
        <v>1</v>
      </c>
      <c r="O164" s="129">
        <f>+VLOOKUP(B164,BOM!$A$8:$AB$1078,28,0)</f>
        <v>6</v>
      </c>
      <c r="P164" s="10" t="str">
        <f t="shared" si="8"/>
        <v>ok</v>
      </c>
    </row>
    <row r="165" spans="1:16" ht="15">
      <c r="A165" s="153">
        <v>163</v>
      </c>
      <c r="B165" s="53" t="s">
        <v>330</v>
      </c>
      <c r="C165" s="126" t="s">
        <v>331</v>
      </c>
      <c r="D165" s="55">
        <v>1</v>
      </c>
      <c r="E165" s="56" t="s">
        <v>2443</v>
      </c>
      <c r="F165" s="126" t="s">
        <v>308</v>
      </c>
      <c r="G165" s="126" t="s">
        <v>1667</v>
      </c>
      <c r="H165" s="127">
        <v>1</v>
      </c>
      <c r="I165" s="49" t="s">
        <v>2548</v>
      </c>
      <c r="J165" s="52">
        <v>2</v>
      </c>
      <c r="K165" s="139"/>
      <c r="L165" s="139" t="s">
        <v>3024</v>
      </c>
      <c r="M165" s="76">
        <v>45429</v>
      </c>
      <c r="N165" s="128">
        <f>+VLOOKUP(B165,BOM!$A$8:$AB$1078,27,0)</f>
        <v>1</v>
      </c>
      <c r="O165" s="129">
        <f>+VLOOKUP(B165,BOM!$A$8:$AB$1078,28,0)</f>
        <v>6</v>
      </c>
      <c r="P165" s="10" t="str">
        <f t="shared" si="8"/>
        <v>ok</v>
      </c>
    </row>
    <row r="166" spans="1:16" ht="15" customHeight="1">
      <c r="A166" s="153">
        <v>164</v>
      </c>
      <c r="B166" s="53" t="s">
        <v>333</v>
      </c>
      <c r="C166" s="126" t="s">
        <v>334</v>
      </c>
      <c r="D166" s="55">
        <v>1</v>
      </c>
      <c r="E166" s="56" t="s">
        <v>2443</v>
      </c>
      <c r="F166" s="126" t="s">
        <v>308</v>
      </c>
      <c r="G166" s="126" t="s">
        <v>1667</v>
      </c>
      <c r="H166" s="127">
        <v>1</v>
      </c>
      <c r="I166" s="49" t="s">
        <v>2548</v>
      </c>
      <c r="J166" s="52">
        <v>2</v>
      </c>
      <c r="K166" s="49"/>
      <c r="L166" s="49" t="s">
        <v>3025</v>
      </c>
      <c r="M166" s="76">
        <v>45429</v>
      </c>
      <c r="N166" s="128">
        <f>+VLOOKUP(B166,BOM!$A$8:$AB$1078,27,0)</f>
        <v>1</v>
      </c>
      <c r="O166" s="129">
        <f>+VLOOKUP(B166,BOM!$A$8:$AB$1078,28,0)</f>
        <v>6</v>
      </c>
      <c r="P166" s="10" t="str">
        <f t="shared" si="8"/>
        <v>ok</v>
      </c>
    </row>
    <row r="167" spans="1:16" ht="15">
      <c r="A167" s="153">
        <v>165</v>
      </c>
      <c r="B167" s="53" t="s">
        <v>337</v>
      </c>
      <c r="C167" s="126" t="s">
        <v>339</v>
      </c>
      <c r="D167" s="55">
        <v>1</v>
      </c>
      <c r="E167" s="56" t="s">
        <v>2443</v>
      </c>
      <c r="F167" s="126" t="s">
        <v>308</v>
      </c>
      <c r="G167" s="126" t="s">
        <v>1667</v>
      </c>
      <c r="H167" s="127">
        <v>1</v>
      </c>
      <c r="I167" s="49" t="s">
        <v>2548</v>
      </c>
      <c r="J167" s="52">
        <v>2</v>
      </c>
      <c r="K167" s="139"/>
      <c r="L167" s="139" t="s">
        <v>3026</v>
      </c>
      <c r="M167" s="76">
        <v>45429</v>
      </c>
      <c r="N167" s="128">
        <f>+VLOOKUP(B167,BOM!$A$8:$AB$1078,27,0)</f>
        <v>1</v>
      </c>
      <c r="O167" s="129">
        <f>+VLOOKUP(B167,BOM!$A$8:$AB$1078,28,0)</f>
        <v>6</v>
      </c>
      <c r="P167" s="10" t="str">
        <f t="shared" si="8"/>
        <v>ok</v>
      </c>
    </row>
    <row r="168" spans="1:16" ht="15">
      <c r="A168" s="153">
        <v>166</v>
      </c>
      <c r="B168" s="53" t="s">
        <v>355</v>
      </c>
      <c r="C168" s="126" t="s">
        <v>357</v>
      </c>
      <c r="D168" s="55">
        <v>1</v>
      </c>
      <c r="E168" s="56" t="s">
        <v>2443</v>
      </c>
      <c r="F168" s="126" t="s">
        <v>308</v>
      </c>
      <c r="G168" s="126" t="s">
        <v>1667</v>
      </c>
      <c r="H168" s="127">
        <v>1</v>
      </c>
      <c r="I168" s="49" t="s">
        <v>2548</v>
      </c>
      <c r="J168" s="52">
        <v>4</v>
      </c>
      <c r="K168" s="139"/>
      <c r="L168" s="139" t="s">
        <v>3027</v>
      </c>
      <c r="M168" s="76">
        <v>45429</v>
      </c>
      <c r="N168" s="128">
        <f>+VLOOKUP(B168,BOM!$A$8:$AB$1078,27,0)</f>
        <v>1</v>
      </c>
      <c r="O168" s="129">
        <f>+VLOOKUP(B168,BOM!$A$8:$AB$1078,28,0)</f>
        <v>6</v>
      </c>
      <c r="P168" s="10" t="str">
        <f t="shared" si="8"/>
        <v>ok</v>
      </c>
    </row>
    <row r="169" spans="1:16" ht="15">
      <c r="A169" s="153">
        <v>167</v>
      </c>
      <c r="B169" s="53" t="s">
        <v>1771</v>
      </c>
      <c r="C169" s="126" t="s">
        <v>952</v>
      </c>
      <c r="D169" s="52">
        <v>1</v>
      </c>
      <c r="E169" s="79" t="s">
        <v>2443</v>
      </c>
      <c r="F169" s="126" t="s">
        <v>308</v>
      </c>
      <c r="G169" s="126" t="s">
        <v>1667</v>
      </c>
      <c r="H169" s="127">
        <v>1</v>
      </c>
      <c r="I169" s="49" t="s">
        <v>2548</v>
      </c>
      <c r="J169" s="52">
        <v>5</v>
      </c>
      <c r="K169" s="49"/>
      <c r="L169" s="49" t="s">
        <v>3028</v>
      </c>
      <c r="M169" s="76">
        <v>45702</v>
      </c>
      <c r="N169" s="128">
        <f>+VLOOKUP(B169,BOM!$A$8:$AB$1078,27,0)</f>
        <v>1</v>
      </c>
      <c r="O169" s="129">
        <f>+VLOOKUP(B169,BOM!$A$8:$AB$1078,28,0)</f>
        <v>6</v>
      </c>
      <c r="P169" s="10">
        <v>1</v>
      </c>
    </row>
    <row r="170" spans="1:16" ht="15">
      <c r="A170" s="153">
        <v>168</v>
      </c>
      <c r="B170" s="53" t="s">
        <v>317</v>
      </c>
      <c r="C170" s="126" t="s">
        <v>319</v>
      </c>
      <c r="D170" s="52">
        <v>1</v>
      </c>
      <c r="E170" s="79" t="s">
        <v>2443</v>
      </c>
      <c r="F170" s="126" t="s">
        <v>308</v>
      </c>
      <c r="G170" s="126" t="s">
        <v>1667</v>
      </c>
      <c r="H170" s="127">
        <v>1</v>
      </c>
      <c r="I170" s="49" t="s">
        <v>2548</v>
      </c>
      <c r="J170" s="52" t="s">
        <v>2411</v>
      </c>
      <c r="K170" s="49"/>
      <c r="L170" s="49" t="s">
        <v>3029</v>
      </c>
      <c r="M170" s="76">
        <v>45702</v>
      </c>
      <c r="N170" s="128">
        <f>+VLOOKUP(B170,BOM!$A$8:$AB$1078,27,0)</f>
        <v>1</v>
      </c>
      <c r="O170" s="129">
        <f>+VLOOKUP(B170,BOM!$A$8:$AB$1078,28,0)</f>
        <v>6</v>
      </c>
      <c r="P170" s="10" t="str">
        <f>+IF(N170=D170,"ok","")</f>
        <v>ok</v>
      </c>
    </row>
    <row r="171" spans="1:16" ht="15">
      <c r="A171" s="153">
        <v>169</v>
      </c>
      <c r="B171" s="59" t="s">
        <v>1790</v>
      </c>
      <c r="C171" s="126" t="s">
        <v>1791</v>
      </c>
      <c r="D171" s="55">
        <v>1</v>
      </c>
      <c r="E171" s="79" t="s">
        <v>2391</v>
      </c>
      <c r="F171" s="130" t="s">
        <v>308</v>
      </c>
      <c r="G171" s="126" t="s">
        <v>1667</v>
      </c>
      <c r="H171" s="127">
        <v>1</v>
      </c>
      <c r="I171" s="49" t="s">
        <v>2511</v>
      </c>
      <c r="J171" s="52">
        <v>1</v>
      </c>
      <c r="K171" s="49"/>
      <c r="L171" s="49" t="s">
        <v>3030</v>
      </c>
      <c r="M171" s="76">
        <v>45702</v>
      </c>
      <c r="N171" s="128">
        <f>+VLOOKUP(B171,BOM!$A$8:$AB$1078,27,0)</f>
        <v>1</v>
      </c>
      <c r="O171" s="129" t="str">
        <f>+VLOOKUP(B171,BOM!$A$8:$AB$1078,28,0)</f>
        <v>D</v>
      </c>
      <c r="P171" s="10" t="str">
        <f>+IF(N171=D171,"ok","")</f>
        <v>ok</v>
      </c>
    </row>
    <row r="172" spans="1:16" ht="15">
      <c r="A172" s="153">
        <v>170</v>
      </c>
      <c r="B172" s="53" t="s">
        <v>1792</v>
      </c>
      <c r="C172" s="126" t="s">
        <v>1791</v>
      </c>
      <c r="D172" s="52">
        <v>1</v>
      </c>
      <c r="E172" s="79" t="s">
        <v>2391</v>
      </c>
      <c r="F172" s="126" t="s">
        <v>308</v>
      </c>
      <c r="G172" s="126" t="s">
        <v>1667</v>
      </c>
      <c r="H172" s="127">
        <v>1</v>
      </c>
      <c r="I172" s="49" t="s">
        <v>2511</v>
      </c>
      <c r="J172" s="52">
        <v>1</v>
      </c>
      <c r="K172" s="49"/>
      <c r="L172" s="49" t="s">
        <v>3031</v>
      </c>
      <c r="M172" s="124"/>
      <c r="O172" s="122"/>
    </row>
    <row r="173" spans="1:16" ht="15">
      <c r="A173" s="153">
        <v>171</v>
      </c>
      <c r="B173" s="53" t="s">
        <v>320</v>
      </c>
      <c r="C173" s="126" t="s">
        <v>321</v>
      </c>
      <c r="D173" s="55">
        <v>1</v>
      </c>
      <c r="E173" s="56" t="s">
        <v>2391</v>
      </c>
      <c r="F173" s="126" t="s">
        <v>308</v>
      </c>
      <c r="G173" s="126" t="s">
        <v>1667</v>
      </c>
      <c r="H173" s="127">
        <v>1</v>
      </c>
      <c r="I173" s="49" t="s">
        <v>2511</v>
      </c>
      <c r="J173" s="52">
        <v>4</v>
      </c>
      <c r="K173" s="49"/>
      <c r="L173" s="49" t="s">
        <v>3032</v>
      </c>
      <c r="M173" s="76">
        <v>45429</v>
      </c>
      <c r="N173" s="128">
        <f>+VLOOKUP(B173,BOM!$A$8:$AB$1078,27,0)</f>
        <v>1</v>
      </c>
      <c r="O173" s="129" t="str">
        <f>+VLOOKUP(B173,BOM!$A$8:$AB$1078,28,0)</f>
        <v>D</v>
      </c>
      <c r="P173" s="10" t="str">
        <f t="shared" ref="P173:P195" si="9">+IF(N173=D173,"ok","")</f>
        <v>ok</v>
      </c>
    </row>
    <row r="174" spans="1:16" ht="15">
      <c r="A174" s="153">
        <v>172</v>
      </c>
      <c r="B174" s="53" t="s">
        <v>323</v>
      </c>
      <c r="C174" s="126" t="s">
        <v>321</v>
      </c>
      <c r="D174" s="55">
        <v>1</v>
      </c>
      <c r="E174" s="79" t="s">
        <v>2391</v>
      </c>
      <c r="F174" s="126" t="s">
        <v>308</v>
      </c>
      <c r="G174" s="126" t="s">
        <v>1667</v>
      </c>
      <c r="H174" s="127">
        <v>1</v>
      </c>
      <c r="I174" s="49" t="s">
        <v>2511</v>
      </c>
      <c r="J174" s="52">
        <v>4</v>
      </c>
      <c r="K174" s="49"/>
      <c r="L174" s="49" t="s">
        <v>3033</v>
      </c>
      <c r="M174" s="76">
        <v>45429</v>
      </c>
      <c r="N174" s="128">
        <f>+VLOOKUP(B174,BOM!$A$8:$AB$1078,27,0)</f>
        <v>1</v>
      </c>
      <c r="O174" s="129" t="str">
        <f>+VLOOKUP(B174,BOM!$A$8:$AB$1078,28,0)</f>
        <v>D</v>
      </c>
      <c r="P174" s="10" t="str">
        <f t="shared" si="9"/>
        <v>ok</v>
      </c>
    </row>
    <row r="175" spans="1:16" ht="15">
      <c r="A175" s="153">
        <v>173</v>
      </c>
      <c r="B175" s="53" t="s">
        <v>1782</v>
      </c>
      <c r="C175" s="126" t="s">
        <v>1783</v>
      </c>
      <c r="D175" s="55">
        <v>1</v>
      </c>
      <c r="E175" s="79" t="s">
        <v>2391</v>
      </c>
      <c r="F175" s="126" t="s">
        <v>308</v>
      </c>
      <c r="G175" s="126" t="s">
        <v>1667</v>
      </c>
      <c r="H175" s="127">
        <v>1</v>
      </c>
      <c r="I175" s="49" t="s">
        <v>2511</v>
      </c>
      <c r="J175" s="52" t="s">
        <v>2411</v>
      </c>
      <c r="K175" s="68"/>
      <c r="L175" s="68" t="s">
        <v>3034</v>
      </c>
      <c r="M175" s="76">
        <v>45439</v>
      </c>
      <c r="N175" s="128">
        <f>+VLOOKUP(B175,BOM!$A$8:$AB$1078,27,0)</f>
        <v>1</v>
      </c>
      <c r="O175" s="129" t="str">
        <f>+VLOOKUP(B175,BOM!$A$8:$AB$1078,28,0)</f>
        <v>D</v>
      </c>
      <c r="P175" s="10" t="str">
        <f t="shared" si="9"/>
        <v>ok</v>
      </c>
    </row>
    <row r="176" spans="1:16" ht="15" customHeight="1">
      <c r="A176" s="153">
        <v>174</v>
      </c>
      <c r="B176" s="53" t="s">
        <v>1784</v>
      </c>
      <c r="C176" s="126" t="s">
        <v>1783</v>
      </c>
      <c r="D176" s="55">
        <v>1</v>
      </c>
      <c r="E176" s="79" t="s">
        <v>2391</v>
      </c>
      <c r="F176" s="126" t="s">
        <v>308</v>
      </c>
      <c r="G176" s="126" t="s">
        <v>1667</v>
      </c>
      <c r="H176" s="127">
        <v>1</v>
      </c>
      <c r="I176" s="49" t="s">
        <v>2511</v>
      </c>
      <c r="J176" s="52" t="s">
        <v>2411</v>
      </c>
      <c r="K176" s="68"/>
      <c r="L176" s="68" t="s">
        <v>3035</v>
      </c>
      <c r="M176" s="76">
        <v>45439</v>
      </c>
      <c r="N176" s="128">
        <f>+VLOOKUP(B176,BOM!$A$8:$AB$1078,27,0)</f>
        <v>1</v>
      </c>
      <c r="O176" s="129" t="str">
        <f>+VLOOKUP(B176,BOM!$A$8:$AB$1078,28,0)</f>
        <v>D</v>
      </c>
      <c r="P176" s="10" t="str">
        <f t="shared" si="9"/>
        <v>ok</v>
      </c>
    </row>
    <row r="177" spans="1:16" ht="15">
      <c r="A177" s="153">
        <v>175</v>
      </c>
      <c r="B177" s="53" t="s">
        <v>344</v>
      </c>
      <c r="C177" s="126" t="s">
        <v>346</v>
      </c>
      <c r="D177" s="55">
        <v>1</v>
      </c>
      <c r="E177" s="79" t="s">
        <v>2391</v>
      </c>
      <c r="F177" s="126" t="s">
        <v>308</v>
      </c>
      <c r="G177" s="126" t="s">
        <v>1667</v>
      </c>
      <c r="H177" s="127">
        <v>1</v>
      </c>
      <c r="I177" s="49" t="s">
        <v>2511</v>
      </c>
      <c r="J177" s="52" t="s">
        <v>2414</v>
      </c>
      <c r="K177" s="68"/>
      <c r="L177" s="68" t="s">
        <v>3036</v>
      </c>
      <c r="M177" s="76">
        <v>45439</v>
      </c>
      <c r="N177" s="128">
        <f>+VLOOKUP(B177,BOM!$A$8:$AB$1078,27,0)</f>
        <v>1</v>
      </c>
      <c r="O177" s="129" t="str">
        <f>+VLOOKUP(B177,BOM!$A$8:$AB$1078,28,0)</f>
        <v>D</v>
      </c>
      <c r="P177" s="10" t="str">
        <f t="shared" si="9"/>
        <v>ok</v>
      </c>
    </row>
    <row r="178" spans="1:16" ht="15">
      <c r="A178" s="153">
        <v>176</v>
      </c>
      <c r="B178" s="53" t="s">
        <v>1767</v>
      </c>
      <c r="C178" s="126" t="s">
        <v>1768</v>
      </c>
      <c r="D178" s="55">
        <v>1</v>
      </c>
      <c r="E178" s="79" t="s">
        <v>2391</v>
      </c>
      <c r="F178" s="126" t="s">
        <v>308</v>
      </c>
      <c r="G178" s="126" t="s">
        <v>1667</v>
      </c>
      <c r="H178" s="127">
        <v>1</v>
      </c>
      <c r="I178" s="49" t="s">
        <v>2511</v>
      </c>
      <c r="J178" s="52" t="s">
        <v>2486</v>
      </c>
      <c r="K178" s="68"/>
      <c r="L178" s="68" t="s">
        <v>3037</v>
      </c>
      <c r="M178" s="76">
        <v>45439</v>
      </c>
      <c r="N178" s="128">
        <f>+VLOOKUP(B178,BOM!$A$8:$AB$1078,27,0)</f>
        <v>1</v>
      </c>
      <c r="O178" s="129" t="str">
        <f>+VLOOKUP(B178,BOM!$A$8:$AB$1078,28,0)</f>
        <v>D</v>
      </c>
      <c r="P178" s="10" t="str">
        <f t="shared" si="9"/>
        <v>ok</v>
      </c>
    </row>
    <row r="179" spans="1:16" ht="15">
      <c r="A179" s="153">
        <v>177</v>
      </c>
      <c r="B179" s="53" t="s">
        <v>347</v>
      </c>
      <c r="C179" s="126" t="s">
        <v>349</v>
      </c>
      <c r="D179" s="55">
        <v>1</v>
      </c>
      <c r="E179" s="79" t="s">
        <v>2391</v>
      </c>
      <c r="F179" s="126" t="s">
        <v>308</v>
      </c>
      <c r="G179" s="126" t="s">
        <v>1667</v>
      </c>
      <c r="H179" s="127">
        <v>1</v>
      </c>
      <c r="I179" s="49" t="s">
        <v>2511</v>
      </c>
      <c r="J179" s="52" t="s">
        <v>2486</v>
      </c>
      <c r="K179" s="68"/>
      <c r="L179" s="68" t="s">
        <v>3038</v>
      </c>
      <c r="M179" s="76">
        <v>45439</v>
      </c>
      <c r="N179" s="128">
        <f>+VLOOKUP(B179,BOM!$A$8:$AB$1078,27,0)</f>
        <v>1</v>
      </c>
      <c r="O179" s="129" t="str">
        <f>+VLOOKUP(B179,BOM!$A$8:$AB$1078,28,0)</f>
        <v>D</v>
      </c>
      <c r="P179" s="10" t="str">
        <f t="shared" si="9"/>
        <v>ok</v>
      </c>
    </row>
    <row r="180" spans="1:16" ht="15">
      <c r="A180" s="153">
        <v>178</v>
      </c>
      <c r="B180" s="53" t="s">
        <v>362</v>
      </c>
      <c r="C180" s="126" t="s">
        <v>364</v>
      </c>
      <c r="D180" s="55">
        <v>1</v>
      </c>
      <c r="E180" s="79" t="s">
        <v>2595</v>
      </c>
      <c r="F180" s="126" t="s">
        <v>308</v>
      </c>
      <c r="G180" s="126" t="s">
        <v>1667</v>
      </c>
      <c r="H180" s="127"/>
      <c r="I180" s="49" t="s">
        <v>2444</v>
      </c>
      <c r="J180" s="52"/>
      <c r="K180" s="68"/>
      <c r="L180" s="68" t="s">
        <v>3039</v>
      </c>
      <c r="M180" s="76">
        <v>45439</v>
      </c>
      <c r="N180" s="128">
        <f>+VLOOKUP(B180,BOM!$A$8:$AB$1078,27,0)</f>
        <v>1</v>
      </c>
      <c r="O180" s="129">
        <f>+VLOOKUP(B180,BOM!$A$8:$AB$1078,28,0)</f>
        <v>7</v>
      </c>
      <c r="P180" s="10" t="str">
        <f t="shared" si="9"/>
        <v>ok</v>
      </c>
    </row>
    <row r="181" spans="1:16" ht="15">
      <c r="A181" s="153">
        <v>179</v>
      </c>
      <c r="B181" s="53" t="s">
        <v>1674</v>
      </c>
      <c r="C181" s="126" t="s">
        <v>1675</v>
      </c>
      <c r="D181" s="55">
        <v>1</v>
      </c>
      <c r="E181" s="79" t="s">
        <v>2443</v>
      </c>
      <c r="F181" s="126" t="s">
        <v>51</v>
      </c>
      <c r="G181" s="126" t="s">
        <v>1667</v>
      </c>
      <c r="H181" s="127">
        <v>1</v>
      </c>
      <c r="I181" s="49" t="s">
        <v>2597</v>
      </c>
      <c r="J181" s="52"/>
      <c r="K181" s="68"/>
      <c r="L181" s="68" t="s">
        <v>3040</v>
      </c>
      <c r="M181" s="76">
        <v>45439</v>
      </c>
      <c r="N181" s="128">
        <f>+VLOOKUP(B181,BOM!$A$8:$AB$1078,27,0)</f>
        <v>1</v>
      </c>
      <c r="O181" s="129">
        <f>+VLOOKUP(B181,BOM!$A$8:$AB$1078,28,0)</f>
        <v>6</v>
      </c>
      <c r="P181" s="10" t="str">
        <f t="shared" si="9"/>
        <v>ok</v>
      </c>
    </row>
    <row r="182" spans="1:16" ht="15">
      <c r="A182" s="153">
        <v>180</v>
      </c>
      <c r="B182" s="53" t="s">
        <v>1695</v>
      </c>
      <c r="C182" s="126" t="s">
        <v>1696</v>
      </c>
      <c r="D182" s="55">
        <v>1</v>
      </c>
      <c r="E182" s="79" t="s">
        <v>2388</v>
      </c>
      <c r="F182" s="126" t="s">
        <v>51</v>
      </c>
      <c r="G182" s="128" t="s">
        <v>1667</v>
      </c>
      <c r="H182" s="127">
        <v>1</v>
      </c>
      <c r="I182" s="49" t="s">
        <v>2392</v>
      </c>
      <c r="J182" s="52"/>
      <c r="K182" s="68"/>
      <c r="L182" s="68" t="s">
        <v>3041</v>
      </c>
      <c r="M182" s="76">
        <v>45439</v>
      </c>
      <c r="N182" s="128">
        <f>+VLOOKUP(B182,BOM!$A$8:$AB$1078,27,0)</f>
        <v>1</v>
      </c>
      <c r="O182" s="129" t="str">
        <f>+VLOOKUP(B182,BOM!$A$8:$AB$1078,28,0)</f>
        <v>B</v>
      </c>
      <c r="P182" s="10" t="str">
        <f t="shared" si="9"/>
        <v>ok</v>
      </c>
    </row>
    <row r="183" spans="1:16" ht="15">
      <c r="A183" s="153">
        <v>181</v>
      </c>
      <c r="B183" s="53" t="s">
        <v>1682</v>
      </c>
      <c r="C183" s="126" t="s">
        <v>1683</v>
      </c>
      <c r="D183" s="52">
        <v>1</v>
      </c>
      <c r="E183" s="81" t="s">
        <v>2437</v>
      </c>
      <c r="F183" s="126" t="s">
        <v>1340</v>
      </c>
      <c r="G183" s="126" t="s">
        <v>1667</v>
      </c>
      <c r="H183" s="127">
        <v>1</v>
      </c>
      <c r="I183" s="49" t="s">
        <v>2600</v>
      </c>
      <c r="J183" s="52"/>
      <c r="K183" s="49"/>
      <c r="L183" s="49" t="s">
        <v>3042</v>
      </c>
      <c r="M183" s="76">
        <v>45702</v>
      </c>
      <c r="N183" s="128">
        <f>+VLOOKUP(B183,BOM!$A$8:$AB$1078,27,0)</f>
        <v>1</v>
      </c>
      <c r="O183" s="129">
        <f>+VLOOKUP(B183,BOM!$A$8:$AB$1078,28,0)</f>
        <v>5</v>
      </c>
      <c r="P183" s="10" t="str">
        <f t="shared" si="9"/>
        <v>ok</v>
      </c>
    </row>
    <row r="184" spans="1:16" ht="15">
      <c r="A184" s="153">
        <v>182</v>
      </c>
      <c r="B184" s="53" t="s">
        <v>598</v>
      </c>
      <c r="C184" s="126" t="s">
        <v>600</v>
      </c>
      <c r="D184" s="55">
        <v>2</v>
      </c>
      <c r="E184" s="79" t="s">
        <v>2385</v>
      </c>
      <c r="F184" s="126" t="s">
        <v>22</v>
      </c>
      <c r="G184" s="126" t="s">
        <v>1664</v>
      </c>
      <c r="H184" s="127">
        <v>32</v>
      </c>
      <c r="I184" s="49" t="s">
        <v>2602</v>
      </c>
      <c r="J184" s="52">
        <v>1</v>
      </c>
      <c r="K184" s="68"/>
      <c r="L184" s="68" t="s">
        <v>3043</v>
      </c>
      <c r="M184" s="76">
        <v>45439</v>
      </c>
      <c r="N184" s="128">
        <f>+VLOOKUP(B184,BOM!$A$8:$AB$1078,27,0)</f>
        <v>4</v>
      </c>
      <c r="O184" s="129">
        <f>+VLOOKUP(B184,BOM!$A$8:$AB$1078,28,0)</f>
        <v>2</v>
      </c>
      <c r="P184" s="10" t="str">
        <f t="shared" si="9"/>
        <v/>
      </c>
    </row>
    <row r="185" spans="1:16" ht="15" customHeight="1">
      <c r="A185" s="153">
        <v>183</v>
      </c>
      <c r="B185" s="53" t="s">
        <v>598</v>
      </c>
      <c r="C185" s="126" t="s">
        <v>600</v>
      </c>
      <c r="D185" s="55">
        <v>4</v>
      </c>
      <c r="E185" s="79" t="s">
        <v>2437</v>
      </c>
      <c r="F185" s="126" t="s">
        <v>22</v>
      </c>
      <c r="G185" s="126" t="s">
        <v>1664</v>
      </c>
      <c r="H185" s="127">
        <v>32</v>
      </c>
      <c r="I185" s="49" t="s">
        <v>2602</v>
      </c>
      <c r="J185" s="52">
        <v>1</v>
      </c>
      <c r="K185" s="139" t="s">
        <v>2604</v>
      </c>
      <c r="L185" s="139" t="s">
        <v>3044</v>
      </c>
      <c r="M185" s="76">
        <v>45429</v>
      </c>
      <c r="N185" s="128">
        <f>+VLOOKUP(B185,BOM!$A$8:$AB$1078,27,0)</f>
        <v>4</v>
      </c>
      <c r="O185" s="129">
        <f>+VLOOKUP(B185,BOM!$A$8:$AB$1078,28,0)</f>
        <v>2</v>
      </c>
      <c r="P185" s="10" t="str">
        <f t="shared" si="9"/>
        <v>ok</v>
      </c>
    </row>
    <row r="186" spans="1:16" ht="15">
      <c r="A186" s="153">
        <v>184</v>
      </c>
      <c r="B186" s="53" t="s">
        <v>621</v>
      </c>
      <c r="C186" s="126" t="s">
        <v>622</v>
      </c>
      <c r="D186" s="55">
        <v>63</v>
      </c>
      <c r="E186" s="56" t="s">
        <v>2385</v>
      </c>
      <c r="F186" s="126" t="s">
        <v>22</v>
      </c>
      <c r="G186" s="126" t="s">
        <v>1664</v>
      </c>
      <c r="H186" s="127">
        <v>64</v>
      </c>
      <c r="I186" s="49" t="s">
        <v>2602</v>
      </c>
      <c r="J186" s="52">
        <v>2</v>
      </c>
      <c r="K186" s="49"/>
      <c r="L186" s="49" t="s">
        <v>3045</v>
      </c>
      <c r="M186" s="76">
        <v>45429</v>
      </c>
      <c r="N186" s="128">
        <f>+VLOOKUP(B186,BOM!$A$8:$AB$1078,27,0)</f>
        <v>90</v>
      </c>
      <c r="O186" s="129" t="str">
        <f>+VLOOKUP(B186,BOM!$A$8:$AB$1078,28,0)</f>
        <v>54x0 + 6x3 + 3x4 + 6x6 + 4xC</v>
      </c>
      <c r="P186" s="10" t="str">
        <f t="shared" si="9"/>
        <v/>
      </c>
    </row>
    <row r="187" spans="1:16" ht="15">
      <c r="A187" s="153">
        <v>185</v>
      </c>
      <c r="B187" s="53" t="s">
        <v>626</v>
      </c>
      <c r="C187" s="54" t="s">
        <v>627</v>
      </c>
      <c r="D187" s="55">
        <v>3</v>
      </c>
      <c r="E187" s="56" t="s">
        <v>2385</v>
      </c>
      <c r="F187" s="49" t="s">
        <v>22</v>
      </c>
      <c r="G187" s="126" t="s">
        <v>1664</v>
      </c>
      <c r="H187" s="127">
        <v>8</v>
      </c>
      <c r="I187" s="49" t="s">
        <v>2602</v>
      </c>
      <c r="J187" s="52">
        <v>2</v>
      </c>
      <c r="K187" s="49" t="s">
        <v>3046</v>
      </c>
      <c r="L187" s="49" t="s">
        <v>3047</v>
      </c>
      <c r="M187" s="76"/>
      <c r="N187" s="128">
        <f>+VLOOKUP(B187,BOM!$A$8:$AB$1078,27,0)</f>
        <v>4</v>
      </c>
      <c r="O187" s="129">
        <f>+VLOOKUP(B187,BOM!$A$8:$AB$1078,28,0)</f>
        <v>0</v>
      </c>
      <c r="P187" s="10" t="str">
        <f t="shared" si="9"/>
        <v/>
      </c>
    </row>
    <row r="188" spans="1:16" ht="15">
      <c r="A188" s="153">
        <v>186</v>
      </c>
      <c r="B188" s="60" t="s">
        <v>628</v>
      </c>
      <c r="C188" s="126" t="s">
        <v>611</v>
      </c>
      <c r="D188" s="55">
        <v>1</v>
      </c>
      <c r="E188" s="79" t="s">
        <v>2385</v>
      </c>
      <c r="F188" s="126" t="s">
        <v>22</v>
      </c>
      <c r="G188" s="126" t="s">
        <v>1664</v>
      </c>
      <c r="H188" s="127">
        <v>32</v>
      </c>
      <c r="I188" s="49" t="s">
        <v>2602</v>
      </c>
      <c r="J188" s="52">
        <v>2</v>
      </c>
      <c r="K188" s="140" t="s">
        <v>3048</v>
      </c>
      <c r="L188" s="140" t="s">
        <v>3049</v>
      </c>
      <c r="M188" s="76">
        <v>45429</v>
      </c>
      <c r="N188" s="128">
        <f>+VLOOKUP(B188,BOM!$A$8:$AB$1078,27,0)</f>
        <v>4</v>
      </c>
      <c r="O188" s="129" t="str">
        <f>+VLOOKUP(B188,BOM!$A$8:$AB$1078,28,0)</f>
        <v>1x0 + 2x5</v>
      </c>
      <c r="P188" s="10" t="str">
        <f t="shared" si="9"/>
        <v/>
      </c>
    </row>
    <row r="189" spans="1:16" ht="15">
      <c r="A189" s="153">
        <v>187</v>
      </c>
      <c r="B189" s="53" t="s">
        <v>640</v>
      </c>
      <c r="C189" s="126" t="s">
        <v>611</v>
      </c>
      <c r="D189" s="55">
        <v>2</v>
      </c>
      <c r="E189" s="56" t="s">
        <v>2385</v>
      </c>
      <c r="F189" s="126" t="s">
        <v>22</v>
      </c>
      <c r="G189" s="126" t="s">
        <v>1664</v>
      </c>
      <c r="H189" s="127">
        <v>16</v>
      </c>
      <c r="I189" s="49" t="s">
        <v>2602</v>
      </c>
      <c r="J189" s="52">
        <v>2</v>
      </c>
      <c r="K189" s="49"/>
      <c r="L189" s="49" t="s">
        <v>3050</v>
      </c>
      <c r="M189" s="76">
        <v>45429</v>
      </c>
      <c r="N189" s="128">
        <f>+VLOOKUP(B189,BOM!$A$8:$AB$1078,27,0)</f>
        <v>3</v>
      </c>
      <c r="O189" s="129">
        <f>+VLOOKUP(B189,BOM!$A$8:$AB$1078,28,0)</f>
        <v>1</v>
      </c>
      <c r="P189" s="10" t="str">
        <f t="shared" si="9"/>
        <v/>
      </c>
    </row>
    <row r="190" spans="1:16" ht="15" customHeight="1">
      <c r="A190" s="153">
        <v>188</v>
      </c>
      <c r="B190" s="53" t="s">
        <v>641</v>
      </c>
      <c r="C190" s="126" t="s">
        <v>611</v>
      </c>
      <c r="D190" s="55">
        <v>1</v>
      </c>
      <c r="E190" s="79" t="s">
        <v>2385</v>
      </c>
      <c r="F190" s="126" t="s">
        <v>22</v>
      </c>
      <c r="G190" s="126" t="s">
        <v>1664</v>
      </c>
      <c r="H190" s="127">
        <v>48</v>
      </c>
      <c r="I190" s="49" t="s">
        <v>2602</v>
      </c>
      <c r="J190" s="52">
        <v>3</v>
      </c>
      <c r="K190" s="139" t="s">
        <v>3051</v>
      </c>
      <c r="L190" s="139" t="s">
        <v>3052</v>
      </c>
      <c r="M190" s="76">
        <v>45702</v>
      </c>
      <c r="N190" s="128">
        <f>+VLOOKUP(B190,BOM!$A$8:$AB$1078,27,0)</f>
        <v>4</v>
      </c>
      <c r="O190" s="129" t="str">
        <f>+VLOOKUP(B190,BOM!$A$8:$AB$1078,28,0)</f>
        <v>1x0 + 2x4</v>
      </c>
      <c r="P190" s="10" t="str">
        <f t="shared" si="9"/>
        <v/>
      </c>
    </row>
    <row r="191" spans="1:16" ht="15">
      <c r="A191" s="153">
        <v>189</v>
      </c>
      <c r="B191" s="53" t="s">
        <v>644</v>
      </c>
      <c r="C191" s="126" t="s">
        <v>645</v>
      </c>
      <c r="D191" s="55">
        <v>1</v>
      </c>
      <c r="E191" s="79" t="s">
        <v>2385</v>
      </c>
      <c r="F191" s="126" t="s">
        <v>22</v>
      </c>
      <c r="G191" s="126" t="s">
        <v>1664</v>
      </c>
      <c r="H191" s="127">
        <v>8</v>
      </c>
      <c r="I191" s="49" t="s">
        <v>2602</v>
      </c>
      <c r="J191" s="52">
        <v>3</v>
      </c>
      <c r="K191" s="139"/>
      <c r="L191" s="139" t="s">
        <v>3053</v>
      </c>
      <c r="M191" s="76">
        <v>45429</v>
      </c>
      <c r="N191" s="128">
        <f>+VLOOKUP(B191,BOM!$A$8:$AB$1078,27,0)</f>
        <v>2</v>
      </c>
      <c r="O191" s="129">
        <f>+VLOOKUP(B191,BOM!$A$8:$AB$1078,28,0)</f>
        <v>0</v>
      </c>
      <c r="P191" s="10" t="str">
        <f t="shared" si="9"/>
        <v/>
      </c>
    </row>
    <row r="192" spans="1:16" ht="15">
      <c r="A192" s="153">
        <v>190</v>
      </c>
      <c r="B192" s="53" t="s">
        <v>648</v>
      </c>
      <c r="C192" s="126" t="s">
        <v>611</v>
      </c>
      <c r="D192" s="55">
        <v>4</v>
      </c>
      <c r="E192" s="56" t="s">
        <v>2385</v>
      </c>
      <c r="F192" s="126" t="s">
        <v>22</v>
      </c>
      <c r="G192" s="126" t="s">
        <v>1664</v>
      </c>
      <c r="H192" s="127">
        <v>24</v>
      </c>
      <c r="I192" s="49" t="s">
        <v>2602</v>
      </c>
      <c r="J192" s="52">
        <v>3</v>
      </c>
      <c r="K192" s="49" t="s">
        <v>3054</v>
      </c>
      <c r="L192" s="49" t="s">
        <v>3055</v>
      </c>
      <c r="M192" s="76">
        <v>45429</v>
      </c>
      <c r="N192" s="128">
        <f>+VLOOKUP(B192,BOM!$A$8:$AB$1078,27,0)</f>
        <v>4</v>
      </c>
      <c r="O192" s="129" t="str">
        <f>+VLOOKUP(B192,BOM!$A$8:$AB$1078,28,0)</f>
        <v>3x0 + 2x1</v>
      </c>
      <c r="P192" s="10" t="str">
        <f t="shared" si="9"/>
        <v>ok</v>
      </c>
    </row>
    <row r="193" spans="1:16" ht="15">
      <c r="A193" s="153">
        <v>191</v>
      </c>
      <c r="B193" s="53" t="s">
        <v>655</v>
      </c>
      <c r="C193" s="126" t="s">
        <v>656</v>
      </c>
      <c r="D193" s="55">
        <v>1</v>
      </c>
      <c r="E193" s="79" t="s">
        <v>2385</v>
      </c>
      <c r="F193" s="126" t="s">
        <v>22</v>
      </c>
      <c r="G193" s="126" t="s">
        <v>1664</v>
      </c>
      <c r="H193" s="127">
        <v>16</v>
      </c>
      <c r="I193" s="49" t="s">
        <v>2602</v>
      </c>
      <c r="J193" s="52">
        <v>3</v>
      </c>
      <c r="K193" s="139" t="s">
        <v>3056</v>
      </c>
      <c r="L193" s="139" t="s">
        <v>3057</v>
      </c>
      <c r="M193" s="76">
        <v>45429</v>
      </c>
      <c r="N193" s="128">
        <f>+VLOOKUP(B193,BOM!$A$8:$AB$1078,27,0)</f>
        <v>4</v>
      </c>
      <c r="O193" s="129" t="str">
        <f>+VLOOKUP(B193,BOM!$A$8:$AB$1078,28,0)</f>
        <v>1x0 + 2x4</v>
      </c>
      <c r="P193" s="10" t="str">
        <f t="shared" si="9"/>
        <v/>
      </c>
    </row>
    <row r="194" spans="1:16" ht="15" customHeight="1">
      <c r="A194" s="153">
        <v>192</v>
      </c>
      <c r="B194" s="53" t="s">
        <v>657</v>
      </c>
      <c r="C194" s="126" t="s">
        <v>658</v>
      </c>
      <c r="D194" s="52">
        <v>34</v>
      </c>
      <c r="E194" s="81" t="s">
        <v>2385</v>
      </c>
      <c r="F194" s="126" t="s">
        <v>22</v>
      </c>
      <c r="G194" s="126" t="s">
        <v>1664</v>
      </c>
      <c r="H194" s="127">
        <v>304</v>
      </c>
      <c r="I194" s="49" t="s">
        <v>2602</v>
      </c>
      <c r="J194" s="52">
        <v>3</v>
      </c>
      <c r="K194" s="139"/>
      <c r="L194" s="139" t="s">
        <v>3058</v>
      </c>
      <c r="M194" s="82"/>
      <c r="N194" s="128">
        <f>+VLOOKUP(B194,BOM!$A$8:$AB$1078,27,0)</f>
        <v>47</v>
      </c>
      <c r="O194" s="129" t="str">
        <f>+VLOOKUP(B194,BOM!$A$8:$AB$1078,28,0)</f>
        <v>38x0 + 6x3</v>
      </c>
      <c r="P194" s="10" t="str">
        <f t="shared" si="9"/>
        <v/>
      </c>
    </row>
    <row r="195" spans="1:16" ht="15">
      <c r="A195" s="153">
        <v>193</v>
      </c>
      <c r="B195" s="53" t="s">
        <v>672</v>
      </c>
      <c r="C195" s="126" t="s">
        <v>673</v>
      </c>
      <c r="D195" s="55">
        <v>3</v>
      </c>
      <c r="E195" s="79" t="s">
        <v>2385</v>
      </c>
      <c r="F195" s="126" t="s">
        <v>22</v>
      </c>
      <c r="G195" s="126" t="s">
        <v>1664</v>
      </c>
      <c r="H195" s="127">
        <v>24</v>
      </c>
      <c r="I195" s="49" t="s">
        <v>2602</v>
      </c>
      <c r="J195" s="52">
        <v>4</v>
      </c>
      <c r="K195" s="139"/>
      <c r="L195" s="139" t="s">
        <v>3059</v>
      </c>
      <c r="M195" s="76">
        <v>45429</v>
      </c>
      <c r="N195" s="128">
        <f>+VLOOKUP(B195,BOM!$A$8:$AB$1078,27,0)</f>
        <v>4</v>
      </c>
      <c r="O195" s="129">
        <f>+VLOOKUP(B195,BOM!$A$8:$AB$1078,28,0)</f>
        <v>0</v>
      </c>
      <c r="P195" s="10" t="str">
        <f t="shared" si="9"/>
        <v/>
      </c>
    </row>
    <row r="196" spans="1:16" ht="15">
      <c r="A196" s="153">
        <v>194</v>
      </c>
      <c r="B196" s="53" t="s">
        <v>692</v>
      </c>
      <c r="C196" s="126" t="s">
        <v>693</v>
      </c>
      <c r="D196" s="55">
        <v>2</v>
      </c>
      <c r="E196" s="79" t="s">
        <v>2385</v>
      </c>
      <c r="F196" s="126" t="s">
        <v>22</v>
      </c>
      <c r="G196" s="126" t="s">
        <v>1664</v>
      </c>
      <c r="H196" s="127">
        <v>160</v>
      </c>
      <c r="I196" s="49" t="s">
        <v>2602</v>
      </c>
      <c r="J196" s="52">
        <v>4</v>
      </c>
      <c r="K196" s="139"/>
      <c r="L196" s="139" t="s">
        <v>3060</v>
      </c>
      <c r="M196" s="76"/>
      <c r="N196" s="128"/>
      <c r="O196" s="129"/>
    </row>
    <row r="197" spans="1:16" ht="15">
      <c r="A197" s="153">
        <v>195</v>
      </c>
      <c r="B197" s="53" t="s">
        <v>696</v>
      </c>
      <c r="C197" s="126" t="s">
        <v>611</v>
      </c>
      <c r="D197" s="55">
        <v>1</v>
      </c>
      <c r="E197" s="56" t="s">
        <v>2385</v>
      </c>
      <c r="F197" s="126" t="s">
        <v>22</v>
      </c>
      <c r="G197" s="126" t="s">
        <v>1664</v>
      </c>
      <c r="H197" s="127">
        <v>16</v>
      </c>
      <c r="I197" s="49" t="s">
        <v>2602</v>
      </c>
      <c r="J197" s="52">
        <v>4</v>
      </c>
      <c r="K197" s="49"/>
      <c r="L197" s="49" t="s">
        <v>3061</v>
      </c>
      <c r="M197" s="76">
        <v>45429</v>
      </c>
      <c r="N197" s="128">
        <f>+VLOOKUP(B197,BOM!$A$8:$AB$1078,27,0)</f>
        <v>2</v>
      </c>
      <c r="O197" s="129">
        <f>+VLOOKUP(B197,BOM!$A$8:$AB$1078,28,0)</f>
        <v>4</v>
      </c>
      <c r="P197" s="10" t="str">
        <f t="shared" ref="P197:P229" si="10">+IF(N197=D197,"ok","")</f>
        <v/>
      </c>
    </row>
    <row r="198" spans="1:16" ht="15">
      <c r="A198" s="153">
        <v>196</v>
      </c>
      <c r="B198" s="53" t="s">
        <v>705</v>
      </c>
      <c r="C198" s="126" t="s">
        <v>611</v>
      </c>
      <c r="D198" s="55">
        <v>4</v>
      </c>
      <c r="E198" s="56" t="s">
        <v>2385</v>
      </c>
      <c r="F198" s="126" t="s">
        <v>22</v>
      </c>
      <c r="G198" s="126" t="s">
        <v>1664</v>
      </c>
      <c r="H198" s="127">
        <v>32</v>
      </c>
      <c r="I198" s="49" t="s">
        <v>2602</v>
      </c>
      <c r="J198" s="52">
        <v>4</v>
      </c>
      <c r="K198" s="49"/>
      <c r="L198" s="49" t="s">
        <v>3062</v>
      </c>
      <c r="M198" s="76">
        <v>45429</v>
      </c>
      <c r="N198" s="128">
        <f>+VLOOKUP(B198,BOM!$A$8:$AB$1078,27,0)</f>
        <v>5</v>
      </c>
      <c r="O198" s="129">
        <f>+VLOOKUP(B198,BOM!$A$8:$AB$1078,28,0)</f>
        <v>0</v>
      </c>
      <c r="P198" s="10" t="str">
        <f t="shared" si="10"/>
        <v/>
      </c>
    </row>
    <row r="199" spans="1:16" ht="15">
      <c r="A199" s="153">
        <v>197</v>
      </c>
      <c r="B199" s="53" t="s">
        <v>707</v>
      </c>
      <c r="C199" s="126" t="s">
        <v>708</v>
      </c>
      <c r="D199" s="55">
        <v>1</v>
      </c>
      <c r="E199" s="56" t="s">
        <v>2385</v>
      </c>
      <c r="F199" s="126" t="s">
        <v>22</v>
      </c>
      <c r="G199" s="126" t="s">
        <v>1664</v>
      </c>
      <c r="H199" s="127">
        <v>8</v>
      </c>
      <c r="I199" s="49" t="s">
        <v>2602</v>
      </c>
      <c r="J199" s="52">
        <v>4</v>
      </c>
      <c r="K199" s="49"/>
      <c r="L199" s="49" t="s">
        <v>3063</v>
      </c>
      <c r="M199" s="76">
        <v>45429</v>
      </c>
      <c r="N199" s="128">
        <f>+VLOOKUP(B199,BOM!$A$8:$AB$1078,27,0)</f>
        <v>2</v>
      </c>
      <c r="O199" s="129">
        <f>+VLOOKUP(B199,BOM!$A$8:$AB$1078,28,0)</f>
        <v>0</v>
      </c>
      <c r="P199" s="10" t="str">
        <f t="shared" si="10"/>
        <v/>
      </c>
    </row>
    <row r="200" spans="1:16" ht="15">
      <c r="A200" s="153">
        <v>198</v>
      </c>
      <c r="B200" s="53" t="s">
        <v>91</v>
      </c>
      <c r="C200" s="126" t="s">
        <v>93</v>
      </c>
      <c r="D200" s="55">
        <v>4</v>
      </c>
      <c r="E200" s="56" t="s">
        <v>2385</v>
      </c>
      <c r="F200" s="126" t="s">
        <v>22</v>
      </c>
      <c r="G200" s="126" t="s">
        <v>1664</v>
      </c>
      <c r="H200" s="127">
        <v>32</v>
      </c>
      <c r="I200" s="49" t="s">
        <v>2619</v>
      </c>
      <c r="J200" s="52">
        <v>1</v>
      </c>
      <c r="K200" s="49">
        <v>45814</v>
      </c>
      <c r="L200" s="49" t="s">
        <v>3064</v>
      </c>
      <c r="M200" s="76">
        <v>45429</v>
      </c>
      <c r="N200" s="128">
        <f>+VLOOKUP(B200,BOM!$A$8:$AB$1078,27,0)</f>
        <v>5</v>
      </c>
      <c r="O200" s="129">
        <f>+VLOOKUP(B200,BOM!$A$8:$AB$1078,28,0)</f>
        <v>0</v>
      </c>
      <c r="P200" s="10" t="str">
        <f t="shared" si="10"/>
        <v/>
      </c>
    </row>
    <row r="201" spans="1:16" ht="15">
      <c r="A201" s="153">
        <v>199</v>
      </c>
      <c r="B201" s="53" t="s">
        <v>97</v>
      </c>
      <c r="C201" s="126" t="s">
        <v>99</v>
      </c>
      <c r="D201" s="55">
        <v>4</v>
      </c>
      <c r="E201" s="77" t="s">
        <v>2385</v>
      </c>
      <c r="F201" s="126" t="s">
        <v>22</v>
      </c>
      <c r="G201" s="126" t="s">
        <v>1664</v>
      </c>
      <c r="H201" s="127">
        <v>32</v>
      </c>
      <c r="I201" s="49" t="s">
        <v>2619</v>
      </c>
      <c r="J201" s="52">
        <v>1</v>
      </c>
      <c r="K201" s="143"/>
      <c r="L201" s="143" t="s">
        <v>3065</v>
      </c>
      <c r="M201" s="76">
        <v>45429</v>
      </c>
      <c r="N201" s="128">
        <f>+VLOOKUP(B201,BOM!$A$8:$AB$1078,27,0)</f>
        <v>5</v>
      </c>
      <c r="O201" s="129">
        <f>+VLOOKUP(B201,BOM!$A$8:$AB$1078,28,0)</f>
        <v>0</v>
      </c>
      <c r="P201" s="10" t="str">
        <f t="shared" si="10"/>
        <v/>
      </c>
    </row>
    <row r="202" spans="1:16" ht="15">
      <c r="A202" s="153">
        <v>200</v>
      </c>
      <c r="B202" s="53" t="s">
        <v>448</v>
      </c>
      <c r="C202" s="126" t="s">
        <v>450</v>
      </c>
      <c r="D202" s="55">
        <v>1</v>
      </c>
      <c r="E202" s="56" t="s">
        <v>2385</v>
      </c>
      <c r="F202" s="126" t="s">
        <v>22</v>
      </c>
      <c r="G202" s="126" t="s">
        <v>1664</v>
      </c>
      <c r="H202" s="127">
        <v>8</v>
      </c>
      <c r="I202" s="49" t="s">
        <v>2619</v>
      </c>
      <c r="J202" s="52">
        <v>1</v>
      </c>
      <c r="K202" s="49"/>
      <c r="L202" s="49" t="s">
        <v>3066</v>
      </c>
      <c r="M202" s="76">
        <v>45429</v>
      </c>
      <c r="N202" s="128">
        <f>+VLOOKUP(B202,BOM!$A$8:$AB$1078,27,0)</f>
        <v>2</v>
      </c>
      <c r="O202" s="129">
        <f>+VLOOKUP(B202,BOM!$A$8:$AB$1078,28,0)</f>
        <v>1</v>
      </c>
      <c r="P202" s="10" t="str">
        <f t="shared" si="10"/>
        <v/>
      </c>
    </row>
    <row r="203" spans="1:16" ht="15">
      <c r="A203" s="153">
        <v>201</v>
      </c>
      <c r="B203" s="53" t="s">
        <v>451</v>
      </c>
      <c r="C203" s="126" t="s">
        <v>453</v>
      </c>
      <c r="D203" s="55">
        <v>6</v>
      </c>
      <c r="E203" s="56" t="s">
        <v>2385</v>
      </c>
      <c r="F203" s="126" t="s">
        <v>22</v>
      </c>
      <c r="G203" s="126" t="s">
        <v>1664</v>
      </c>
      <c r="H203" s="127">
        <v>48</v>
      </c>
      <c r="I203" s="49" t="s">
        <v>2619</v>
      </c>
      <c r="J203" s="52">
        <v>1</v>
      </c>
      <c r="K203" s="49"/>
      <c r="L203" s="49" t="s">
        <v>3067</v>
      </c>
      <c r="M203" s="76">
        <v>45429</v>
      </c>
      <c r="N203" s="128">
        <f>+VLOOKUP(B203,BOM!$A$8:$AB$1078,27,0)</f>
        <v>7</v>
      </c>
      <c r="O203" s="129">
        <f>+VLOOKUP(B203,BOM!$A$8:$AB$1078,28,0)</f>
        <v>1</v>
      </c>
      <c r="P203" s="10" t="str">
        <f t="shared" si="10"/>
        <v/>
      </c>
    </row>
    <row r="204" spans="1:16" ht="15">
      <c r="A204" s="153">
        <v>202</v>
      </c>
      <c r="B204" s="53" t="s">
        <v>624</v>
      </c>
      <c r="C204" s="126" t="s">
        <v>625</v>
      </c>
      <c r="D204" s="55">
        <v>2</v>
      </c>
      <c r="E204" s="56" t="s">
        <v>2385</v>
      </c>
      <c r="F204" s="126" t="s">
        <v>22</v>
      </c>
      <c r="G204" s="126" t="s">
        <v>1664</v>
      </c>
      <c r="H204" s="127">
        <v>88</v>
      </c>
      <c r="I204" s="49" t="s">
        <v>2619</v>
      </c>
      <c r="J204" s="52">
        <v>1</v>
      </c>
      <c r="K204" s="49" t="s">
        <v>3068</v>
      </c>
      <c r="L204" s="49" t="s">
        <v>3069</v>
      </c>
      <c r="M204" s="76">
        <v>45429</v>
      </c>
      <c r="N204" s="128">
        <f>+VLOOKUP(B204,BOM!$A$8:$AB$1078,27,0)</f>
        <v>5</v>
      </c>
      <c r="O204" s="129" t="str">
        <f>+VLOOKUP(B204,BOM!$A$8:$AB$1078,28,0)</f>
        <v>2x0 + 4x3</v>
      </c>
      <c r="P204" s="10" t="str">
        <f t="shared" si="10"/>
        <v/>
      </c>
    </row>
    <row r="205" spans="1:16" ht="34.5" customHeight="1">
      <c r="A205" s="153">
        <v>203</v>
      </c>
      <c r="B205" s="53" t="s">
        <v>173</v>
      </c>
      <c r="C205" s="126" t="s">
        <v>175</v>
      </c>
      <c r="D205" s="55">
        <v>2</v>
      </c>
      <c r="E205" s="79" t="s">
        <v>2385</v>
      </c>
      <c r="F205" s="126" t="s">
        <v>22</v>
      </c>
      <c r="G205" s="126" t="s">
        <v>1664</v>
      </c>
      <c r="H205" s="127">
        <v>16</v>
      </c>
      <c r="I205" s="49" t="s">
        <v>2619</v>
      </c>
      <c r="J205" s="52">
        <v>2</v>
      </c>
      <c r="K205" s="139"/>
      <c r="L205" s="139" t="s">
        <v>3070</v>
      </c>
      <c r="M205" s="76">
        <v>45429</v>
      </c>
      <c r="N205" s="128">
        <f>+VLOOKUP(B205,BOM!$A$8:$AB$1078,27,0)</f>
        <v>3</v>
      </c>
      <c r="O205" s="129">
        <f>+VLOOKUP(B205,BOM!$A$8:$AB$1078,28,0)</f>
        <v>0</v>
      </c>
      <c r="P205" s="10" t="str">
        <f t="shared" si="10"/>
        <v/>
      </c>
    </row>
    <row r="206" spans="1:16" ht="15">
      <c r="A206" s="153">
        <v>204</v>
      </c>
      <c r="B206" s="53" t="s">
        <v>186</v>
      </c>
      <c r="C206" s="126" t="s">
        <v>188</v>
      </c>
      <c r="D206" s="55">
        <v>1</v>
      </c>
      <c r="E206" s="56" t="s">
        <v>2385</v>
      </c>
      <c r="F206" s="126" t="s">
        <v>22</v>
      </c>
      <c r="G206" s="126" t="s">
        <v>1664</v>
      </c>
      <c r="H206" s="127">
        <v>8</v>
      </c>
      <c r="I206" s="49" t="s">
        <v>2619</v>
      </c>
      <c r="J206" s="52">
        <v>2</v>
      </c>
      <c r="K206" s="49">
        <v>45814</v>
      </c>
      <c r="L206" s="49" t="s">
        <v>3071</v>
      </c>
      <c r="M206" s="76">
        <v>45429</v>
      </c>
      <c r="N206" s="128">
        <f>+VLOOKUP(B206,BOM!$A$8:$AB$1078,27,0)</f>
        <v>2</v>
      </c>
      <c r="O206" s="129">
        <f>+VLOOKUP(B206,BOM!$A$8:$AB$1078,28,0)</f>
        <v>1</v>
      </c>
      <c r="P206" s="10" t="str">
        <f t="shared" si="10"/>
        <v/>
      </c>
    </row>
    <row r="207" spans="1:16" ht="15">
      <c r="A207" s="153">
        <v>205</v>
      </c>
      <c r="B207" s="53" t="s">
        <v>189</v>
      </c>
      <c r="C207" s="126" t="s">
        <v>188</v>
      </c>
      <c r="D207" s="55">
        <v>1</v>
      </c>
      <c r="E207" s="56" t="s">
        <v>2385</v>
      </c>
      <c r="F207" s="126" t="s">
        <v>22</v>
      </c>
      <c r="G207" s="126" t="s">
        <v>1664</v>
      </c>
      <c r="H207" s="127">
        <v>8</v>
      </c>
      <c r="I207" s="49" t="s">
        <v>2619</v>
      </c>
      <c r="J207" s="52">
        <v>2</v>
      </c>
      <c r="K207" s="139"/>
      <c r="L207" s="139" t="s">
        <v>3072</v>
      </c>
      <c r="M207" s="76">
        <v>45429</v>
      </c>
      <c r="N207" s="128">
        <f>+VLOOKUP(B207,BOM!$A$8:$AB$1078,27,0)</f>
        <v>2</v>
      </c>
      <c r="O207" s="129">
        <f>+VLOOKUP(B207,BOM!$A$8:$AB$1078,28,0)</f>
        <v>1</v>
      </c>
      <c r="P207" s="10" t="str">
        <f t="shared" si="10"/>
        <v/>
      </c>
    </row>
    <row r="208" spans="1:16" ht="15">
      <c r="A208" s="153">
        <v>206</v>
      </c>
      <c r="B208" s="59" t="s">
        <v>610</v>
      </c>
      <c r="C208" s="126" t="s">
        <v>611</v>
      </c>
      <c r="D208" s="55">
        <v>2</v>
      </c>
      <c r="E208" s="79" t="s">
        <v>2385</v>
      </c>
      <c r="F208" s="126" t="s">
        <v>22</v>
      </c>
      <c r="G208" s="126" t="s">
        <v>1664</v>
      </c>
      <c r="H208" s="127">
        <v>16</v>
      </c>
      <c r="I208" s="49" t="s">
        <v>2619</v>
      </c>
      <c r="J208" s="52">
        <v>2</v>
      </c>
      <c r="K208" s="139"/>
      <c r="L208" s="139" t="s">
        <v>3073</v>
      </c>
      <c r="M208" s="76">
        <v>45429</v>
      </c>
      <c r="N208" s="128">
        <f>+VLOOKUP(B208,BOM!$A$8:$AB$1078,27,0)</f>
        <v>3</v>
      </c>
      <c r="O208" s="129">
        <f>+VLOOKUP(B208,BOM!$A$8:$AB$1078,28,0)</f>
        <v>0</v>
      </c>
      <c r="P208" s="10" t="str">
        <f t="shared" si="10"/>
        <v/>
      </c>
    </row>
    <row r="209" spans="1:16" ht="15">
      <c r="A209" s="153">
        <v>207</v>
      </c>
      <c r="B209" s="53" t="s">
        <v>94</v>
      </c>
      <c r="C209" s="54" t="s">
        <v>96</v>
      </c>
      <c r="D209" s="55">
        <v>18</v>
      </c>
      <c r="E209" s="56" t="s">
        <v>2385</v>
      </c>
      <c r="F209" s="49" t="s">
        <v>22</v>
      </c>
      <c r="G209" s="126" t="s">
        <v>1686</v>
      </c>
      <c r="H209" s="127">
        <v>288</v>
      </c>
      <c r="I209" s="49" t="s">
        <v>2619</v>
      </c>
      <c r="J209" s="52">
        <v>3</v>
      </c>
      <c r="K209" s="49" t="s">
        <v>3074</v>
      </c>
      <c r="L209" s="49" t="s">
        <v>3075</v>
      </c>
      <c r="M209" s="76">
        <v>45702</v>
      </c>
      <c r="N209" s="128">
        <f>+VLOOKUP(B209,BOM!$A$8:$AB$1078,27,0)</f>
        <v>62</v>
      </c>
      <c r="O209" s="129" t="str">
        <f>+VLOOKUP(B209,BOM!$A$8:$AB$1078,28,0)</f>
        <v>18x1 + 36x2 + 1x4</v>
      </c>
      <c r="P209" s="10" t="str">
        <f t="shared" si="10"/>
        <v/>
      </c>
    </row>
    <row r="210" spans="1:16" ht="15">
      <c r="A210" s="153">
        <v>208</v>
      </c>
      <c r="B210" s="53" t="s">
        <v>706</v>
      </c>
      <c r="C210" s="126" t="s">
        <v>695</v>
      </c>
      <c r="D210" s="55">
        <v>1</v>
      </c>
      <c r="E210" s="56" t="s">
        <v>2385</v>
      </c>
      <c r="F210" s="126" t="s">
        <v>22</v>
      </c>
      <c r="G210" s="126" t="s">
        <v>1664</v>
      </c>
      <c r="H210" s="127">
        <v>40</v>
      </c>
      <c r="I210" s="49" t="s">
        <v>2619</v>
      </c>
      <c r="J210" s="52">
        <v>3</v>
      </c>
      <c r="K210" s="49"/>
      <c r="L210" s="49" t="s">
        <v>3076</v>
      </c>
      <c r="M210" s="76">
        <v>45429</v>
      </c>
      <c r="N210" s="128">
        <f>+VLOOKUP(B210,BOM!$A$8:$AB$1078,27,0)</f>
        <v>3</v>
      </c>
      <c r="O210" s="129" t="str">
        <f>+VLOOKUP(B210,BOM!$A$8:$AB$1078,28,0)</f>
        <v>1x0 + 1x6</v>
      </c>
      <c r="P210" s="10" t="str">
        <f t="shared" si="10"/>
        <v/>
      </c>
    </row>
    <row r="211" spans="1:16" ht="15">
      <c r="A211" s="153">
        <v>209</v>
      </c>
      <c r="B211" s="53" t="s">
        <v>475</v>
      </c>
      <c r="C211" s="126" t="s">
        <v>474</v>
      </c>
      <c r="D211" s="55">
        <v>2</v>
      </c>
      <c r="E211" s="79" t="s">
        <v>2385</v>
      </c>
      <c r="F211" s="126" t="s">
        <v>22</v>
      </c>
      <c r="G211" s="126" t="s">
        <v>1664</v>
      </c>
      <c r="H211" s="127">
        <v>16</v>
      </c>
      <c r="I211" s="49" t="s">
        <v>2619</v>
      </c>
      <c r="J211" s="52">
        <v>4</v>
      </c>
      <c r="K211" s="139"/>
      <c r="L211" s="139" t="s">
        <v>3077</v>
      </c>
      <c r="M211" s="76">
        <v>45429</v>
      </c>
      <c r="N211" s="128">
        <f>+VLOOKUP(B211,BOM!$A$8:$AB$1078,27,0)</f>
        <v>3</v>
      </c>
      <c r="O211" s="129">
        <f>+VLOOKUP(B211,BOM!$A$8:$AB$1078,28,0)</f>
        <v>0</v>
      </c>
      <c r="P211" s="10" t="str">
        <f t="shared" si="10"/>
        <v/>
      </c>
    </row>
    <row r="212" spans="1:16" ht="15">
      <c r="A212" s="153">
        <v>210</v>
      </c>
      <c r="B212" s="53" t="s">
        <v>709</v>
      </c>
      <c r="C212" s="126" t="s">
        <v>710</v>
      </c>
      <c r="D212" s="55">
        <v>2</v>
      </c>
      <c r="E212" s="79" t="s">
        <v>2385</v>
      </c>
      <c r="F212" s="126" t="s">
        <v>22</v>
      </c>
      <c r="G212" s="126" t="s">
        <v>1664</v>
      </c>
      <c r="H212" s="127">
        <v>16</v>
      </c>
      <c r="I212" s="49" t="s">
        <v>2619</v>
      </c>
      <c r="J212" s="52">
        <v>4</v>
      </c>
      <c r="K212" s="139"/>
      <c r="L212" s="139" t="s">
        <v>3078</v>
      </c>
      <c r="M212" s="76">
        <v>45429</v>
      </c>
      <c r="N212" s="128">
        <f>+VLOOKUP(B212,BOM!$A$8:$AB$1078,27,0)</f>
        <v>3</v>
      </c>
      <c r="O212" s="129">
        <f>+VLOOKUP(B212,BOM!$A$8:$AB$1078,28,0)</f>
        <v>0</v>
      </c>
      <c r="P212" s="10" t="str">
        <f t="shared" si="10"/>
        <v/>
      </c>
    </row>
    <row r="213" spans="1:16" ht="15">
      <c r="A213" s="153">
        <v>211</v>
      </c>
      <c r="B213" s="59" t="s">
        <v>738</v>
      </c>
      <c r="C213" s="126" t="s">
        <v>739</v>
      </c>
      <c r="D213" s="55">
        <v>1</v>
      </c>
      <c r="E213" s="79" t="s">
        <v>2385</v>
      </c>
      <c r="F213" s="126" t="s">
        <v>22</v>
      </c>
      <c r="G213" s="126" t="s">
        <v>1664</v>
      </c>
      <c r="H213" s="127">
        <v>32</v>
      </c>
      <c r="I213" s="49" t="s">
        <v>2619</v>
      </c>
      <c r="J213" s="52">
        <v>4</v>
      </c>
      <c r="K213" s="139"/>
      <c r="L213" s="139" t="s">
        <v>3079</v>
      </c>
      <c r="M213" s="76">
        <v>45429</v>
      </c>
      <c r="N213" s="128">
        <f>+VLOOKUP(B213,BOM!$A$8:$AB$1078,27,0)</f>
        <v>2</v>
      </c>
      <c r="O213" s="129">
        <f>+VLOOKUP(B213,BOM!$A$8:$AB$1078,28,0)</f>
        <v>0</v>
      </c>
      <c r="P213" s="10" t="str">
        <f t="shared" si="10"/>
        <v/>
      </c>
    </row>
    <row r="214" spans="1:16" ht="15">
      <c r="A214" s="153">
        <v>212</v>
      </c>
      <c r="B214" s="53" t="s">
        <v>1182</v>
      </c>
      <c r="C214" s="126" t="s">
        <v>587</v>
      </c>
      <c r="D214" s="55">
        <v>2</v>
      </c>
      <c r="E214" s="79" t="s">
        <v>2385</v>
      </c>
      <c r="F214" s="126" t="s">
        <v>22</v>
      </c>
      <c r="G214" s="126" t="s">
        <v>1664</v>
      </c>
      <c r="H214" s="127">
        <v>96</v>
      </c>
      <c r="I214" s="49" t="s">
        <v>2634</v>
      </c>
      <c r="J214" s="52">
        <v>1</v>
      </c>
      <c r="K214" s="139"/>
      <c r="L214" s="139" t="s">
        <v>3080</v>
      </c>
      <c r="M214" s="76">
        <v>45429</v>
      </c>
      <c r="N214" s="128">
        <f>+VLOOKUP(B214,BOM!$A$8:$AB$1078,27,0)</f>
        <v>3</v>
      </c>
      <c r="O214" s="129">
        <f>+VLOOKUP(B214,BOM!$A$8:$AB$1078,28,0)</f>
        <v>0</v>
      </c>
      <c r="P214" s="10" t="str">
        <f t="shared" si="10"/>
        <v/>
      </c>
    </row>
    <row r="215" spans="1:16" ht="15">
      <c r="A215" s="153">
        <v>213</v>
      </c>
      <c r="B215" s="53" t="s">
        <v>2293</v>
      </c>
      <c r="C215" s="126" t="s">
        <v>2264</v>
      </c>
      <c r="D215" s="55">
        <v>4</v>
      </c>
      <c r="E215" s="79" t="s">
        <v>2385</v>
      </c>
      <c r="F215" s="126" t="s">
        <v>22</v>
      </c>
      <c r="G215" s="126" t="s">
        <v>1664</v>
      </c>
      <c r="H215" s="127">
        <v>40</v>
      </c>
      <c r="I215" s="49" t="s">
        <v>2634</v>
      </c>
      <c r="J215" s="52">
        <v>1</v>
      </c>
      <c r="K215" s="139" t="s">
        <v>3081</v>
      </c>
      <c r="L215" s="139" t="s">
        <v>3082</v>
      </c>
      <c r="M215" s="76">
        <v>45429</v>
      </c>
      <c r="N215" s="128">
        <f>+VLOOKUP(B215,BOM!$A$8:$AB$1078,27,0)</f>
        <v>5</v>
      </c>
      <c r="O215" s="129">
        <f>+VLOOKUP(B215,BOM!$A$8:$AB$1078,28,0)</f>
        <v>0</v>
      </c>
      <c r="P215" s="10" t="str">
        <f t="shared" si="10"/>
        <v/>
      </c>
    </row>
    <row r="216" spans="1:16" ht="15" customHeight="1">
      <c r="A216" s="153">
        <v>214</v>
      </c>
      <c r="B216" s="59" t="s">
        <v>167</v>
      </c>
      <c r="C216" s="126" t="s">
        <v>169</v>
      </c>
      <c r="D216" s="55">
        <v>1</v>
      </c>
      <c r="E216" s="79" t="s">
        <v>2385</v>
      </c>
      <c r="F216" s="126" t="s">
        <v>22</v>
      </c>
      <c r="G216" s="126" t="s">
        <v>1664</v>
      </c>
      <c r="H216" s="127">
        <v>8</v>
      </c>
      <c r="I216" s="49" t="s">
        <v>2634</v>
      </c>
      <c r="J216" s="52">
        <v>2</v>
      </c>
      <c r="K216" s="49">
        <v>45814</v>
      </c>
      <c r="L216" s="49" t="s">
        <v>3083</v>
      </c>
      <c r="M216" s="76">
        <v>45518</v>
      </c>
      <c r="N216" s="128">
        <f>+VLOOKUP(B216,BOM!$A$8:$AB$1078,27,0)</f>
        <v>2</v>
      </c>
      <c r="O216" s="129">
        <f>+VLOOKUP(B216,BOM!$A$8:$AB$1078,28,0)</f>
        <v>1</v>
      </c>
      <c r="P216" s="10" t="str">
        <f t="shared" si="10"/>
        <v/>
      </c>
    </row>
    <row r="217" spans="1:16" ht="15">
      <c r="A217" s="153">
        <v>215</v>
      </c>
      <c r="B217" s="59" t="s">
        <v>694</v>
      </c>
      <c r="C217" s="126" t="s">
        <v>695</v>
      </c>
      <c r="D217" s="55">
        <v>4</v>
      </c>
      <c r="E217" s="79" t="s">
        <v>2385</v>
      </c>
      <c r="F217" s="126" t="s">
        <v>22</v>
      </c>
      <c r="G217" s="126" t="s">
        <v>1664</v>
      </c>
      <c r="H217" s="127">
        <v>32</v>
      </c>
      <c r="I217" s="49" t="s">
        <v>2634</v>
      </c>
      <c r="J217" s="52">
        <v>4</v>
      </c>
      <c r="K217" s="49"/>
      <c r="L217" s="49" t="s">
        <v>3084</v>
      </c>
      <c r="M217" s="76">
        <v>45518</v>
      </c>
      <c r="N217" s="128">
        <f>+VLOOKUP(B217,BOM!$A$8:$AB$1078,27,0)</f>
        <v>7</v>
      </c>
      <c r="O217" s="129" t="str">
        <f>+VLOOKUP(B217,BOM!$A$8:$AB$1078,28,0)</f>
        <v>4x0</v>
      </c>
      <c r="P217" s="10" t="str">
        <f t="shared" si="10"/>
        <v/>
      </c>
    </row>
    <row r="218" spans="1:16" ht="15">
      <c r="A218" s="153">
        <v>216</v>
      </c>
      <c r="B218" s="59" t="s">
        <v>88</v>
      </c>
      <c r="C218" s="126" t="s">
        <v>90</v>
      </c>
      <c r="D218" s="55">
        <v>18</v>
      </c>
      <c r="E218" s="79" t="s">
        <v>2385</v>
      </c>
      <c r="F218" s="126" t="s">
        <v>22</v>
      </c>
      <c r="G218" s="126" t="s">
        <v>1686</v>
      </c>
      <c r="H218" s="127">
        <v>328</v>
      </c>
      <c r="I218" s="49" t="s">
        <v>2634</v>
      </c>
      <c r="J218" s="52">
        <v>5</v>
      </c>
      <c r="K218" s="49"/>
      <c r="L218" s="49" t="s">
        <v>3085</v>
      </c>
      <c r="M218" s="76">
        <v>45518</v>
      </c>
      <c r="N218" s="128">
        <f>+VLOOKUP(B218,BOM!$A$8:$AB$1078,27,0)</f>
        <v>65</v>
      </c>
      <c r="O218" s="129" t="str">
        <f>+VLOOKUP(B218,BOM!$A$8:$AB$1078,28,0)</f>
        <v>18x1 + 41x2 + 1x4</v>
      </c>
      <c r="P218" s="10" t="str">
        <f t="shared" si="10"/>
        <v/>
      </c>
    </row>
    <row r="219" spans="1:16" ht="15">
      <c r="A219" s="153">
        <v>217</v>
      </c>
      <c r="B219" s="59" t="s">
        <v>711</v>
      </c>
      <c r="C219" s="126" t="s">
        <v>712</v>
      </c>
      <c r="D219" s="55">
        <v>4</v>
      </c>
      <c r="E219" s="79" t="s">
        <v>2385</v>
      </c>
      <c r="F219" s="126" t="s">
        <v>22</v>
      </c>
      <c r="G219" s="126" t="s">
        <v>1664</v>
      </c>
      <c r="H219" s="127">
        <v>16</v>
      </c>
      <c r="I219" s="49" t="s">
        <v>2634</v>
      </c>
      <c r="J219" s="52">
        <v>5</v>
      </c>
      <c r="K219" s="49" t="s">
        <v>3086</v>
      </c>
      <c r="L219" s="49" t="s">
        <v>3087</v>
      </c>
      <c r="M219" s="76">
        <v>45518</v>
      </c>
      <c r="N219" s="128">
        <f>+VLOOKUP(B219,BOM!$A$8:$AB$1078,27,0)</f>
        <v>5</v>
      </c>
      <c r="O219" s="129">
        <f>+VLOOKUP(B219,BOM!$A$8:$AB$1078,28,0)</f>
        <v>0</v>
      </c>
      <c r="P219" s="10" t="str">
        <f t="shared" si="10"/>
        <v/>
      </c>
    </row>
    <row r="220" spans="1:16" ht="15">
      <c r="A220" s="153">
        <v>218</v>
      </c>
      <c r="B220" s="59" t="s">
        <v>2346</v>
      </c>
      <c r="C220" s="126" t="s">
        <v>2347</v>
      </c>
      <c r="D220" s="55">
        <v>2</v>
      </c>
      <c r="E220" s="79" t="s">
        <v>2385</v>
      </c>
      <c r="F220" s="126" t="s">
        <v>22</v>
      </c>
      <c r="G220" s="126" t="s">
        <v>1664</v>
      </c>
      <c r="H220" s="127">
        <v>16</v>
      </c>
      <c r="I220" s="49" t="s">
        <v>2634</v>
      </c>
      <c r="J220" s="52">
        <v>5</v>
      </c>
      <c r="K220" s="49"/>
      <c r="L220" s="49" t="s">
        <v>3088</v>
      </c>
      <c r="M220" s="76">
        <v>45518</v>
      </c>
      <c r="N220" s="128">
        <f>+VLOOKUP(B220,BOM!$A$8:$AB$1078,27,0)</f>
        <v>2</v>
      </c>
      <c r="O220" s="129">
        <f>+VLOOKUP(B220,BOM!$A$8:$AB$1078,28,0)</f>
        <v>0</v>
      </c>
      <c r="P220" s="10" t="str">
        <f t="shared" si="10"/>
        <v>ok</v>
      </c>
    </row>
    <row r="221" spans="1:16" ht="15">
      <c r="A221" s="153">
        <v>219</v>
      </c>
      <c r="B221" s="53" t="s">
        <v>533</v>
      </c>
      <c r="C221" s="126" t="s">
        <v>534</v>
      </c>
      <c r="D221" s="55">
        <v>2</v>
      </c>
      <c r="E221" s="79" t="s">
        <v>2417</v>
      </c>
      <c r="F221" s="126" t="s">
        <v>22</v>
      </c>
      <c r="G221" s="126" t="s">
        <v>1686</v>
      </c>
      <c r="H221" s="127">
        <v>112</v>
      </c>
      <c r="I221" s="49" t="s">
        <v>2643</v>
      </c>
      <c r="J221" s="52">
        <v>4</v>
      </c>
      <c r="K221" s="49" t="s">
        <v>3089</v>
      </c>
      <c r="L221" s="49" t="s">
        <v>3090</v>
      </c>
      <c r="M221" s="76">
        <v>45429</v>
      </c>
      <c r="N221" s="128">
        <f>+VLOOKUP(B221,BOM!$A$8:$AB$1078,27,0)</f>
        <v>9</v>
      </c>
      <c r="O221" s="129">
        <f>+VLOOKUP(B221,BOM!$A$8:$AB$1078,28,0)</f>
        <v>2</v>
      </c>
      <c r="P221" s="10" t="str">
        <f t="shared" si="10"/>
        <v/>
      </c>
    </row>
    <row r="222" spans="1:16" ht="15">
      <c r="A222" s="153">
        <v>220</v>
      </c>
      <c r="B222" s="53" t="s">
        <v>573</v>
      </c>
      <c r="C222" s="126" t="s">
        <v>575</v>
      </c>
      <c r="D222" s="55">
        <v>2</v>
      </c>
      <c r="E222" s="79" t="s">
        <v>2417</v>
      </c>
      <c r="F222" s="126" t="s">
        <v>22</v>
      </c>
      <c r="G222" s="126" t="s">
        <v>1664</v>
      </c>
      <c r="H222" s="127">
        <v>8</v>
      </c>
      <c r="I222" s="49" t="s">
        <v>2643</v>
      </c>
      <c r="J222" s="52">
        <v>4</v>
      </c>
      <c r="K222" s="49"/>
      <c r="L222" s="49" t="s">
        <v>3091</v>
      </c>
      <c r="M222" s="76">
        <v>45518</v>
      </c>
      <c r="N222" s="128">
        <f>+VLOOKUP(B222,BOM!$A$8:$AB$1078,27,0)</f>
        <v>11</v>
      </c>
      <c r="O222" s="129" t="str">
        <f>+VLOOKUP(B222,BOM!$A$8:$AB$1078,28,0)</f>
        <v>3x2 + 2x5 + 7xD</v>
      </c>
      <c r="P222" s="10" t="str">
        <f t="shared" si="10"/>
        <v/>
      </c>
    </row>
    <row r="223" spans="1:16" ht="15">
      <c r="A223" s="153">
        <v>221</v>
      </c>
      <c r="B223" s="53" t="s">
        <v>247</v>
      </c>
      <c r="C223" s="126" t="s">
        <v>242</v>
      </c>
      <c r="D223" s="55">
        <v>1</v>
      </c>
      <c r="E223" s="79" t="s">
        <v>2417</v>
      </c>
      <c r="F223" s="126" t="s">
        <v>22</v>
      </c>
      <c r="G223" s="126" t="s">
        <v>1664</v>
      </c>
      <c r="H223" s="127">
        <v>32</v>
      </c>
      <c r="I223" s="49" t="s">
        <v>2643</v>
      </c>
      <c r="J223" s="52">
        <v>5</v>
      </c>
      <c r="K223" s="49" t="s">
        <v>2652</v>
      </c>
      <c r="L223" s="49" t="s">
        <v>3092</v>
      </c>
      <c r="M223" s="76">
        <v>45429</v>
      </c>
      <c r="N223" s="128">
        <f>+VLOOKUP(B223,BOM!$A$8:$AB$1078,27,0)</f>
        <v>1</v>
      </c>
      <c r="O223" s="129">
        <f>+VLOOKUP(B223,BOM!$A$8:$AB$1078,28,0)</f>
        <v>2</v>
      </c>
      <c r="P223" s="10" t="str">
        <f t="shared" si="10"/>
        <v>ok</v>
      </c>
    </row>
    <row r="224" spans="1:16" ht="15">
      <c r="A224" s="153">
        <v>222</v>
      </c>
      <c r="B224" s="53" t="s">
        <v>88</v>
      </c>
      <c r="C224" s="126" t="s">
        <v>90</v>
      </c>
      <c r="D224" s="55">
        <v>37</v>
      </c>
      <c r="E224" s="79" t="s">
        <v>2417</v>
      </c>
      <c r="F224" s="126" t="s">
        <v>22</v>
      </c>
      <c r="G224" s="126" t="s">
        <v>1686</v>
      </c>
      <c r="H224" s="127">
        <v>328</v>
      </c>
      <c r="I224" s="49" t="s">
        <v>2643</v>
      </c>
      <c r="J224" s="52">
        <v>5</v>
      </c>
      <c r="K224" s="49" t="s">
        <v>3093</v>
      </c>
      <c r="L224" s="49" t="s">
        <v>3094</v>
      </c>
      <c r="M224" s="76">
        <v>45518</v>
      </c>
      <c r="N224" s="128">
        <f>+VLOOKUP(B224,BOM!$A$8:$AB$1078,27,0)</f>
        <v>65</v>
      </c>
      <c r="O224" s="129" t="str">
        <f>+VLOOKUP(B224,BOM!$A$8:$AB$1078,28,0)</f>
        <v>18x1 + 41x2 + 1x4</v>
      </c>
      <c r="P224" s="10" t="str">
        <f t="shared" si="10"/>
        <v/>
      </c>
    </row>
    <row r="225" spans="1:16" ht="15">
      <c r="A225" s="153">
        <v>223</v>
      </c>
      <c r="B225" s="53" t="s">
        <v>94</v>
      </c>
      <c r="C225" s="126" t="s">
        <v>96</v>
      </c>
      <c r="D225" s="55">
        <v>32</v>
      </c>
      <c r="E225" s="79" t="s">
        <v>2417</v>
      </c>
      <c r="F225" s="126" t="s">
        <v>22</v>
      </c>
      <c r="G225" s="126" t="s">
        <v>1686</v>
      </c>
      <c r="H225" s="127">
        <v>288</v>
      </c>
      <c r="I225" s="49" t="s">
        <v>2643</v>
      </c>
      <c r="J225" s="52">
        <v>5</v>
      </c>
      <c r="K225" s="49" t="s">
        <v>3095</v>
      </c>
      <c r="L225" s="49" t="s">
        <v>3096</v>
      </c>
      <c r="M225" s="76">
        <v>45518</v>
      </c>
      <c r="N225" s="128">
        <f>+VLOOKUP(B225,BOM!$A$8:$AB$1078,27,0)</f>
        <v>62</v>
      </c>
      <c r="O225" s="129" t="str">
        <f>+VLOOKUP(B225,BOM!$A$8:$AB$1078,28,0)</f>
        <v>18x1 + 36x2 + 1x4</v>
      </c>
      <c r="P225" s="10" t="str">
        <f t="shared" si="10"/>
        <v/>
      </c>
    </row>
    <row r="226" spans="1:16" ht="15">
      <c r="A226" s="153">
        <v>224</v>
      </c>
      <c r="B226" s="53" t="s">
        <v>1968</v>
      </c>
      <c r="C226" s="126" t="s">
        <v>1969</v>
      </c>
      <c r="D226" s="55">
        <v>1</v>
      </c>
      <c r="E226" s="79" t="s">
        <v>2417</v>
      </c>
      <c r="F226" s="126" t="s">
        <v>22</v>
      </c>
      <c r="G226" s="126" t="s">
        <v>1664</v>
      </c>
      <c r="H226" s="127">
        <v>16</v>
      </c>
      <c r="I226" s="49" t="s">
        <v>2643</v>
      </c>
      <c r="J226" s="52">
        <v>5</v>
      </c>
      <c r="K226" s="49"/>
      <c r="L226" s="49" t="s">
        <v>3097</v>
      </c>
      <c r="M226" s="76">
        <v>45518</v>
      </c>
      <c r="N226" s="128">
        <f>+VLOOKUP(B226,BOM!$A$8:$AB$1078,27,0)</f>
        <v>2</v>
      </c>
      <c r="O226" s="129">
        <f>+VLOOKUP(B226,BOM!$A$8:$AB$1078,28,0)</f>
        <v>2</v>
      </c>
      <c r="P226" s="10" t="str">
        <f t="shared" si="10"/>
        <v/>
      </c>
    </row>
    <row r="227" spans="1:16" ht="15" customHeight="1">
      <c r="A227" s="153">
        <v>225</v>
      </c>
      <c r="B227" s="53" t="s">
        <v>547</v>
      </c>
      <c r="C227" s="126" t="s">
        <v>548</v>
      </c>
      <c r="D227" s="55">
        <v>3</v>
      </c>
      <c r="E227" s="79" t="s">
        <v>2417</v>
      </c>
      <c r="F227" s="126" t="s">
        <v>22</v>
      </c>
      <c r="G227" s="126" t="s">
        <v>1664</v>
      </c>
      <c r="H227" s="127">
        <v>80</v>
      </c>
      <c r="I227" s="49" t="s">
        <v>2643</v>
      </c>
      <c r="J227" s="52">
        <v>5</v>
      </c>
      <c r="K227" s="49"/>
      <c r="L227" s="49" t="s">
        <v>3098</v>
      </c>
      <c r="M227" s="76">
        <v>45518</v>
      </c>
      <c r="N227" s="128">
        <f>+VLOOKUP(B227,BOM!$A$8:$AB$1078,27,0)</f>
        <v>19</v>
      </c>
      <c r="O227" s="129" t="str">
        <f>+VLOOKUP(B227,BOM!$A$8:$AB$1078,28,0)</f>
        <v>4x2 + 1x5 + 6x6</v>
      </c>
      <c r="P227" s="10" t="str">
        <f t="shared" si="10"/>
        <v/>
      </c>
    </row>
    <row r="228" spans="1:16" ht="15" customHeight="1">
      <c r="A228" s="153">
        <v>226</v>
      </c>
      <c r="B228" s="53" t="s">
        <v>559</v>
      </c>
      <c r="C228" s="126" t="s">
        <v>560</v>
      </c>
      <c r="D228" s="55">
        <v>28</v>
      </c>
      <c r="E228" s="79" t="s">
        <v>2417</v>
      </c>
      <c r="F228" s="126" t="s">
        <v>22</v>
      </c>
      <c r="G228" s="126" t="s">
        <v>1686</v>
      </c>
      <c r="H228" s="127">
        <v>960</v>
      </c>
      <c r="I228" s="49" t="s">
        <v>2643</v>
      </c>
      <c r="J228" s="52">
        <v>5</v>
      </c>
      <c r="K228" s="49"/>
      <c r="L228" s="49" t="s">
        <v>3099</v>
      </c>
      <c r="M228" s="76">
        <v>45518</v>
      </c>
      <c r="N228" s="128">
        <f>+VLOOKUP(B228,BOM!$A$8:$AB$1078,27,0)</f>
        <v>38</v>
      </c>
      <c r="O228" s="129" t="str">
        <f>+VLOOKUP(B228,BOM!$A$8:$AB$1078,28,0)</f>
        <v>19x2 + 1x4 + 1x5 + 3x6</v>
      </c>
      <c r="P228" s="10" t="str">
        <f t="shared" si="10"/>
        <v/>
      </c>
    </row>
    <row r="229" spans="1:16" ht="15">
      <c r="A229" s="153">
        <v>227</v>
      </c>
      <c r="B229" s="53" t="s">
        <v>612</v>
      </c>
      <c r="C229" s="126" t="s">
        <v>614</v>
      </c>
      <c r="D229" s="55">
        <v>7</v>
      </c>
      <c r="E229" s="79" t="s">
        <v>2417</v>
      </c>
      <c r="F229" s="126" t="s">
        <v>22</v>
      </c>
      <c r="G229" s="126" t="s">
        <v>1686</v>
      </c>
      <c r="H229" s="127">
        <v>1072</v>
      </c>
      <c r="I229" s="49" t="s">
        <v>2643</v>
      </c>
      <c r="J229" s="52">
        <v>5</v>
      </c>
      <c r="K229" s="49" t="s">
        <v>3100</v>
      </c>
      <c r="L229" s="49" t="s">
        <v>3101</v>
      </c>
      <c r="M229" s="76">
        <v>45518</v>
      </c>
      <c r="N229" s="128">
        <f>+VLOOKUP(B229,BOM!$A$8:$AB$1078,27,0)</f>
        <v>160</v>
      </c>
      <c r="O229" s="129" t="str">
        <f>+VLOOKUP(B229,BOM!$A$8:$AB$1078,28,0)</f>
        <v>50x2 + 30x4 + 13x5 + 28x6</v>
      </c>
      <c r="P229" s="10" t="str">
        <f t="shared" si="10"/>
        <v/>
      </c>
    </row>
    <row r="230" spans="1:16" ht="15">
      <c r="A230" s="153">
        <v>228</v>
      </c>
      <c r="B230" s="53" t="s">
        <v>553</v>
      </c>
      <c r="C230" s="126" t="s">
        <v>555</v>
      </c>
      <c r="D230" s="52">
        <v>1</v>
      </c>
      <c r="E230" s="79" t="s">
        <v>2394</v>
      </c>
      <c r="F230" s="126" t="s">
        <v>22</v>
      </c>
      <c r="G230" s="126" t="s">
        <v>1664</v>
      </c>
      <c r="H230" s="127">
        <v>16</v>
      </c>
      <c r="I230" s="49" t="s">
        <v>2425</v>
      </c>
      <c r="J230" s="52"/>
      <c r="K230" s="49" t="s">
        <v>3102</v>
      </c>
      <c r="L230" s="49" t="s">
        <v>3103</v>
      </c>
      <c r="M230" s="124"/>
      <c r="O230" s="122"/>
    </row>
    <row r="231" spans="1:16" ht="15">
      <c r="A231" s="153">
        <v>229</v>
      </c>
      <c r="B231" s="53" t="s">
        <v>642</v>
      </c>
      <c r="C231" s="126" t="s">
        <v>643</v>
      </c>
      <c r="D231" s="52">
        <v>2</v>
      </c>
      <c r="E231" s="81" t="s">
        <v>2394</v>
      </c>
      <c r="F231" s="126" t="s">
        <v>22</v>
      </c>
      <c r="G231" s="126" t="s">
        <v>1664</v>
      </c>
      <c r="H231" s="127">
        <v>16</v>
      </c>
      <c r="I231" s="49" t="s">
        <v>2643</v>
      </c>
      <c r="J231" s="52">
        <v>4</v>
      </c>
      <c r="K231" s="49"/>
      <c r="L231" s="49" t="s">
        <v>3104</v>
      </c>
      <c r="M231" s="76">
        <v>45702</v>
      </c>
      <c r="N231" s="128">
        <f>+VLOOKUP(B231,BOM!$A$8:$AB$1078,27,0)</f>
        <v>5</v>
      </c>
      <c r="O231" s="129" t="str">
        <f>+VLOOKUP(B231,BOM!$A$8:$AB$1078,28,0)</f>
        <v>2x3 + 2xA</v>
      </c>
      <c r="P231" s="10" t="str">
        <f t="shared" ref="P231:P274" si="11">+IF(N231=D231,"ok","")</f>
        <v/>
      </c>
    </row>
    <row r="232" spans="1:16" ht="15">
      <c r="A232" s="153">
        <v>230</v>
      </c>
      <c r="B232" s="59" t="s">
        <v>875</v>
      </c>
      <c r="C232" s="126" t="s">
        <v>876</v>
      </c>
      <c r="D232" s="55">
        <v>2</v>
      </c>
      <c r="E232" s="79" t="s">
        <v>2394</v>
      </c>
      <c r="F232" s="126" t="s">
        <v>22</v>
      </c>
      <c r="G232" s="126" t="s">
        <v>1664</v>
      </c>
      <c r="H232" s="127">
        <v>32</v>
      </c>
      <c r="I232" s="49" t="s">
        <v>2655</v>
      </c>
      <c r="J232" s="52">
        <v>1</v>
      </c>
      <c r="K232" s="49" t="s">
        <v>3105</v>
      </c>
      <c r="L232" s="49" t="s">
        <v>3106</v>
      </c>
      <c r="M232" s="76">
        <v>45518</v>
      </c>
      <c r="N232" s="128">
        <f>+VLOOKUP(B232,BOM!$A$8:$AB$1078,27,0)</f>
        <v>2</v>
      </c>
      <c r="O232" s="129">
        <f>+VLOOKUP(B232,BOM!$A$8:$AB$1078,28,0)</f>
        <v>3</v>
      </c>
      <c r="P232" s="10" t="str">
        <f t="shared" si="11"/>
        <v>ok</v>
      </c>
    </row>
    <row r="233" spans="1:16" ht="15">
      <c r="A233" s="153">
        <v>231</v>
      </c>
      <c r="B233" s="59" t="s">
        <v>624</v>
      </c>
      <c r="C233" s="126" t="s">
        <v>625</v>
      </c>
      <c r="D233" s="55">
        <v>2</v>
      </c>
      <c r="E233" s="79" t="s">
        <v>2394</v>
      </c>
      <c r="F233" s="126" t="s">
        <v>22</v>
      </c>
      <c r="G233" s="126" t="s">
        <v>1664</v>
      </c>
      <c r="H233" s="127">
        <v>88</v>
      </c>
      <c r="I233" s="49" t="s">
        <v>2655</v>
      </c>
      <c r="J233" s="52">
        <v>1</v>
      </c>
      <c r="K233" s="49" t="s">
        <v>3107</v>
      </c>
      <c r="L233" s="49" t="s">
        <v>3108</v>
      </c>
      <c r="M233" s="76">
        <v>45518</v>
      </c>
      <c r="N233" s="128">
        <f>+VLOOKUP(B233,BOM!$A$8:$AB$1078,27,0)</f>
        <v>5</v>
      </c>
      <c r="O233" s="129" t="str">
        <f>+VLOOKUP(B233,BOM!$A$8:$AB$1078,28,0)</f>
        <v>2x0 + 4x3</v>
      </c>
      <c r="P233" s="10" t="str">
        <f t="shared" si="11"/>
        <v/>
      </c>
    </row>
    <row r="234" spans="1:16" ht="15" customHeight="1">
      <c r="A234" s="153">
        <v>232</v>
      </c>
      <c r="B234" s="59" t="s">
        <v>649</v>
      </c>
      <c r="C234" s="126" t="s">
        <v>651</v>
      </c>
      <c r="D234" s="55">
        <v>2</v>
      </c>
      <c r="E234" s="79" t="s">
        <v>2394</v>
      </c>
      <c r="F234" s="126" t="s">
        <v>22</v>
      </c>
      <c r="G234" s="126" t="s">
        <v>1664</v>
      </c>
      <c r="H234" s="127">
        <v>16</v>
      </c>
      <c r="I234" s="49" t="s">
        <v>2655</v>
      </c>
      <c r="J234" s="52">
        <v>1</v>
      </c>
      <c r="K234" s="49"/>
      <c r="L234" s="49" t="s">
        <v>3109</v>
      </c>
      <c r="M234" s="76">
        <v>45518</v>
      </c>
      <c r="N234" s="128">
        <f>+VLOOKUP(B234,BOM!$A$8:$AB$1078,27,0)</f>
        <v>5</v>
      </c>
      <c r="O234" s="129" t="str">
        <f>+VLOOKUP(B234,BOM!$A$8:$AB$1078,28,0)</f>
        <v>2x3 + 2xC</v>
      </c>
      <c r="P234" s="10" t="str">
        <f t="shared" si="11"/>
        <v/>
      </c>
    </row>
    <row r="235" spans="1:16" ht="15">
      <c r="A235" s="153">
        <v>233</v>
      </c>
      <c r="B235" s="59" t="s">
        <v>657</v>
      </c>
      <c r="C235" s="126" t="s">
        <v>658</v>
      </c>
      <c r="D235" s="55">
        <v>6</v>
      </c>
      <c r="E235" s="79" t="s">
        <v>2394</v>
      </c>
      <c r="F235" s="126" t="s">
        <v>22</v>
      </c>
      <c r="G235" s="126" t="s">
        <v>1664</v>
      </c>
      <c r="H235" s="127">
        <v>304</v>
      </c>
      <c r="I235" s="49" t="s">
        <v>2655</v>
      </c>
      <c r="J235" s="52">
        <v>1</v>
      </c>
      <c r="K235" s="49"/>
      <c r="L235" s="49" t="s">
        <v>3110</v>
      </c>
      <c r="M235" s="76">
        <v>45518</v>
      </c>
      <c r="N235" s="128">
        <f>+VLOOKUP(B235,BOM!$A$8:$AB$1078,27,0)</f>
        <v>47</v>
      </c>
      <c r="O235" s="129" t="str">
        <f>+VLOOKUP(B235,BOM!$A$8:$AB$1078,28,0)</f>
        <v>38x0 + 6x3</v>
      </c>
      <c r="P235" s="10" t="str">
        <f t="shared" si="11"/>
        <v/>
      </c>
    </row>
    <row r="236" spans="1:16" ht="15">
      <c r="A236" s="153">
        <v>234</v>
      </c>
      <c r="B236" s="59" t="s">
        <v>1283</v>
      </c>
      <c r="C236" s="126" t="s">
        <v>1285</v>
      </c>
      <c r="D236" s="55">
        <v>2</v>
      </c>
      <c r="E236" s="79" t="s">
        <v>2394</v>
      </c>
      <c r="F236" s="126" t="s">
        <v>22</v>
      </c>
      <c r="G236" s="126" t="s">
        <v>1664</v>
      </c>
      <c r="H236" s="127">
        <v>64</v>
      </c>
      <c r="I236" s="49" t="s">
        <v>2655</v>
      </c>
      <c r="J236" s="52">
        <v>1</v>
      </c>
      <c r="K236" s="49" t="s">
        <v>3111</v>
      </c>
      <c r="L236" s="49" t="s">
        <v>3112</v>
      </c>
      <c r="M236" s="76">
        <v>45518</v>
      </c>
      <c r="N236" s="128">
        <f>+VLOOKUP(B236,BOM!$A$8:$AB$1078,27,0)</f>
        <v>3</v>
      </c>
      <c r="O236" s="129">
        <f>+VLOOKUP(B236,BOM!$A$8:$AB$1078,28,0)</f>
        <v>3</v>
      </c>
      <c r="P236" s="10" t="str">
        <f t="shared" si="11"/>
        <v/>
      </c>
    </row>
    <row r="237" spans="1:16" ht="15">
      <c r="A237" s="153">
        <v>235</v>
      </c>
      <c r="B237" s="53" t="s">
        <v>720</v>
      </c>
      <c r="C237" s="126" t="s">
        <v>673</v>
      </c>
      <c r="D237" s="55">
        <v>4</v>
      </c>
      <c r="E237" s="79" t="s">
        <v>2394</v>
      </c>
      <c r="F237" s="126" t="s">
        <v>22</v>
      </c>
      <c r="G237" s="126" t="s">
        <v>1664</v>
      </c>
      <c r="H237" s="127">
        <v>32</v>
      </c>
      <c r="I237" s="49" t="s">
        <v>2655</v>
      </c>
      <c r="J237" s="52">
        <v>2</v>
      </c>
      <c r="K237" s="49" t="s">
        <v>3086</v>
      </c>
      <c r="L237" s="49" t="s">
        <v>3113</v>
      </c>
      <c r="M237" s="76">
        <v>45518</v>
      </c>
      <c r="N237" s="128">
        <f>+VLOOKUP(B237,BOM!$A$8:$AB$1078,27,0)</f>
        <v>5</v>
      </c>
      <c r="O237" s="129">
        <f>+VLOOKUP(B237,BOM!$A$8:$AB$1078,28,0)</f>
        <v>3</v>
      </c>
      <c r="P237" s="10" t="str">
        <f t="shared" si="11"/>
        <v/>
      </c>
    </row>
    <row r="238" spans="1:16" ht="15">
      <c r="A238" s="153">
        <v>236</v>
      </c>
      <c r="B238" s="53" t="s">
        <v>721</v>
      </c>
      <c r="C238" s="126" t="s">
        <v>722</v>
      </c>
      <c r="D238" s="55">
        <v>4</v>
      </c>
      <c r="E238" s="79" t="s">
        <v>2394</v>
      </c>
      <c r="F238" s="126" t="s">
        <v>22</v>
      </c>
      <c r="G238" s="126" t="s">
        <v>1664</v>
      </c>
      <c r="H238" s="127">
        <v>32</v>
      </c>
      <c r="I238" s="49" t="s">
        <v>2655</v>
      </c>
      <c r="J238" s="52">
        <v>2</v>
      </c>
      <c r="K238" s="49" t="s">
        <v>3086</v>
      </c>
      <c r="L238" s="49" t="s">
        <v>3114</v>
      </c>
      <c r="M238" s="76">
        <v>45518</v>
      </c>
      <c r="N238" s="128">
        <f>+VLOOKUP(B238,BOM!$A$8:$AB$1078,27,0)</f>
        <v>5</v>
      </c>
      <c r="O238" s="129">
        <f>+VLOOKUP(B238,BOM!$A$8:$AB$1078,28,0)</f>
        <v>3</v>
      </c>
      <c r="P238" s="10" t="str">
        <f t="shared" si="11"/>
        <v/>
      </c>
    </row>
    <row r="239" spans="1:16" ht="15">
      <c r="A239" s="153">
        <v>237</v>
      </c>
      <c r="B239" s="53" t="s">
        <v>723</v>
      </c>
      <c r="C239" s="126" t="s">
        <v>725</v>
      </c>
      <c r="D239" s="55">
        <v>2</v>
      </c>
      <c r="E239" s="79" t="s">
        <v>2394</v>
      </c>
      <c r="F239" s="126" t="s">
        <v>22</v>
      </c>
      <c r="G239" s="126" t="s">
        <v>1664</v>
      </c>
      <c r="H239" s="127">
        <v>16</v>
      </c>
      <c r="I239" s="49" t="s">
        <v>2655</v>
      </c>
      <c r="J239" s="52">
        <v>2</v>
      </c>
      <c r="K239" s="49" t="s">
        <v>3115</v>
      </c>
      <c r="L239" s="49" t="s">
        <v>3116</v>
      </c>
      <c r="M239" s="76">
        <v>45429</v>
      </c>
      <c r="N239" s="128">
        <f>+VLOOKUP(B239,BOM!$A$8:$AB$1078,27,0)</f>
        <v>3</v>
      </c>
      <c r="O239" s="129">
        <f>+VLOOKUP(B239,BOM!$A$8:$AB$1078,28,0)</f>
        <v>3</v>
      </c>
      <c r="P239" s="10" t="str">
        <f t="shared" si="11"/>
        <v/>
      </c>
    </row>
    <row r="240" spans="1:16" ht="15">
      <c r="A240" s="153">
        <v>238</v>
      </c>
      <c r="B240" s="53" t="s">
        <v>729</v>
      </c>
      <c r="C240" s="126" t="s">
        <v>722</v>
      </c>
      <c r="D240" s="55">
        <v>6</v>
      </c>
      <c r="E240" s="56" t="s">
        <v>2394</v>
      </c>
      <c r="F240" s="126" t="s">
        <v>22</v>
      </c>
      <c r="G240" s="126" t="s">
        <v>1664</v>
      </c>
      <c r="H240" s="127">
        <v>24</v>
      </c>
      <c r="I240" s="49" t="s">
        <v>2655</v>
      </c>
      <c r="J240" s="52">
        <v>2</v>
      </c>
      <c r="K240" s="49" t="s">
        <v>3117</v>
      </c>
      <c r="L240" s="49" t="s">
        <v>3118</v>
      </c>
      <c r="M240" s="76">
        <v>45429</v>
      </c>
      <c r="N240" s="128">
        <f>+VLOOKUP(B240,BOM!$A$8:$AB$1078,27,0)</f>
        <v>7</v>
      </c>
      <c r="O240" s="129">
        <f>+VLOOKUP(B240,BOM!$A$8:$AB$1078,28,0)</f>
        <v>3</v>
      </c>
      <c r="P240" s="10" t="str">
        <f t="shared" si="11"/>
        <v/>
      </c>
    </row>
    <row r="241" spans="1:16" ht="15">
      <c r="A241" s="153">
        <v>239</v>
      </c>
      <c r="B241" s="53" t="s">
        <v>733</v>
      </c>
      <c r="C241" s="126" t="s">
        <v>606</v>
      </c>
      <c r="D241" s="55">
        <v>2</v>
      </c>
      <c r="E241" s="56" t="s">
        <v>2394</v>
      </c>
      <c r="F241" s="126" t="s">
        <v>22</v>
      </c>
      <c r="G241" s="126" t="s">
        <v>1664</v>
      </c>
      <c r="H241" s="127">
        <v>16</v>
      </c>
      <c r="I241" s="49" t="s">
        <v>2655</v>
      </c>
      <c r="J241" s="52">
        <v>2</v>
      </c>
      <c r="K241" s="49" t="s">
        <v>3111</v>
      </c>
      <c r="L241" s="49" t="s">
        <v>3119</v>
      </c>
      <c r="M241" s="76">
        <v>45429</v>
      </c>
      <c r="N241" s="128">
        <f>+VLOOKUP(B241,BOM!$A$8:$AB$1078,27,0)</f>
        <v>3</v>
      </c>
      <c r="O241" s="129">
        <f>+VLOOKUP(B241,BOM!$A$8:$AB$1078,28,0)</f>
        <v>3</v>
      </c>
      <c r="P241" s="10" t="str">
        <f t="shared" si="11"/>
        <v/>
      </c>
    </row>
    <row r="242" spans="1:16" ht="15">
      <c r="A242" s="153">
        <v>240</v>
      </c>
      <c r="B242" s="53" t="s">
        <v>670</v>
      </c>
      <c r="C242" s="126" t="s">
        <v>671</v>
      </c>
      <c r="D242" s="55">
        <v>4</v>
      </c>
      <c r="E242" s="56" t="s">
        <v>2394</v>
      </c>
      <c r="F242" s="126" t="s">
        <v>22</v>
      </c>
      <c r="G242" s="126" t="s">
        <v>1664</v>
      </c>
      <c r="H242" s="127">
        <v>32</v>
      </c>
      <c r="I242" s="49" t="s">
        <v>2655</v>
      </c>
      <c r="J242" s="52">
        <v>3</v>
      </c>
      <c r="K242" s="139"/>
      <c r="L242" s="139" t="s">
        <v>3120</v>
      </c>
      <c r="M242" s="76">
        <v>45429</v>
      </c>
      <c r="N242" s="128">
        <f>+VLOOKUP(B242,BOM!$A$8:$AB$1078,27,0)</f>
        <v>7</v>
      </c>
      <c r="O242" s="129" t="str">
        <f>+VLOOKUP(B242,BOM!$A$8:$AB$1078,28,0)</f>
        <v>4x3 + 2xA</v>
      </c>
      <c r="P242" s="10" t="str">
        <f t="shared" si="11"/>
        <v/>
      </c>
    </row>
    <row r="243" spans="1:16" ht="15" customHeight="1">
      <c r="A243" s="153">
        <v>241</v>
      </c>
      <c r="B243" s="53" t="s">
        <v>621</v>
      </c>
      <c r="C243" s="126" t="s">
        <v>622</v>
      </c>
      <c r="D243" s="55">
        <v>4</v>
      </c>
      <c r="E243" s="79" t="s">
        <v>2394</v>
      </c>
      <c r="F243" s="126" t="s">
        <v>22</v>
      </c>
      <c r="G243" s="126" t="s">
        <v>1664</v>
      </c>
      <c r="H243" s="127">
        <v>64</v>
      </c>
      <c r="I243" s="49" t="s">
        <v>2655</v>
      </c>
      <c r="J243" s="56">
        <v>4</v>
      </c>
      <c r="K243" s="141" t="s">
        <v>3121</v>
      </c>
      <c r="L243" s="141" t="s">
        <v>3122</v>
      </c>
      <c r="M243" s="76">
        <v>45544</v>
      </c>
      <c r="N243" s="128">
        <f>+VLOOKUP(B243,BOM!$A$8:$AB$1078,27,0)</f>
        <v>90</v>
      </c>
      <c r="O243" s="129" t="str">
        <f>+VLOOKUP(B243,BOM!$A$8:$AB$1078,28,0)</f>
        <v>54x0 + 6x3 + 3x4 + 6x6 + 4xC</v>
      </c>
      <c r="P243" s="10" t="str">
        <f t="shared" si="11"/>
        <v/>
      </c>
    </row>
    <row r="244" spans="1:16" ht="15">
      <c r="A244" s="153">
        <v>242</v>
      </c>
      <c r="B244" s="53" t="s">
        <v>652</v>
      </c>
      <c r="C244" s="126" t="s">
        <v>654</v>
      </c>
      <c r="D244" s="55">
        <v>2</v>
      </c>
      <c r="E244" s="79" t="s">
        <v>2394</v>
      </c>
      <c r="F244" s="126" t="s">
        <v>22</v>
      </c>
      <c r="G244" s="126" t="s">
        <v>1664</v>
      </c>
      <c r="H244" s="127">
        <v>48</v>
      </c>
      <c r="I244" s="49" t="s">
        <v>2655</v>
      </c>
      <c r="J244" s="52">
        <v>4</v>
      </c>
      <c r="K244" s="139"/>
      <c r="L244" s="139" t="s">
        <v>3123</v>
      </c>
      <c r="M244" s="76">
        <v>45429</v>
      </c>
      <c r="N244" s="128">
        <f>+VLOOKUP(B244,BOM!$A$8:$AB$1078,27,0)</f>
        <v>7</v>
      </c>
      <c r="O244" s="129" t="str">
        <f>+VLOOKUP(B244,BOM!$A$8:$AB$1078,28,0)</f>
        <v>4xA+2x3</v>
      </c>
      <c r="P244" s="10" t="str">
        <f t="shared" si="11"/>
        <v/>
      </c>
    </row>
    <row r="245" spans="1:16" ht="15">
      <c r="A245" s="153">
        <v>243</v>
      </c>
      <c r="B245" s="53" t="s">
        <v>631</v>
      </c>
      <c r="C245" s="126" t="s">
        <v>632</v>
      </c>
      <c r="D245" s="55">
        <v>4</v>
      </c>
      <c r="E245" s="79" t="s">
        <v>2394</v>
      </c>
      <c r="F245" s="126" t="s">
        <v>22</v>
      </c>
      <c r="G245" s="126" t="s">
        <v>1664</v>
      </c>
      <c r="H245" s="127">
        <v>64</v>
      </c>
      <c r="I245" s="49" t="s">
        <v>2669</v>
      </c>
      <c r="J245" s="52">
        <v>1</v>
      </c>
      <c r="K245" s="139"/>
      <c r="L245" s="139" t="s">
        <v>3124</v>
      </c>
      <c r="M245" s="76">
        <v>45429</v>
      </c>
      <c r="N245" s="128">
        <f>+VLOOKUP(B245,BOM!$A$8:$AB$1078,27,0)</f>
        <v>9</v>
      </c>
      <c r="O245" s="129" t="str">
        <f>+VLOOKUP(B245,BOM!$A$8:$AB$1078,28,0)</f>
        <v>4xA+2x3</v>
      </c>
      <c r="P245" s="10" t="str">
        <f t="shared" si="11"/>
        <v/>
      </c>
    </row>
    <row r="246" spans="1:16" ht="15">
      <c r="A246" s="153">
        <v>244</v>
      </c>
      <c r="B246" s="53" t="s">
        <v>676</v>
      </c>
      <c r="C246" s="126" t="s">
        <v>677</v>
      </c>
      <c r="D246" s="55">
        <v>4</v>
      </c>
      <c r="E246" s="79" t="s">
        <v>2394</v>
      </c>
      <c r="F246" s="126" t="s">
        <v>22</v>
      </c>
      <c r="G246" s="126" t="s">
        <v>1664</v>
      </c>
      <c r="H246" s="127">
        <v>32</v>
      </c>
      <c r="I246" s="49" t="s">
        <v>2669</v>
      </c>
      <c r="J246" s="52">
        <v>1</v>
      </c>
      <c r="K246" s="139" t="s">
        <v>3125</v>
      </c>
      <c r="L246" s="139" t="s">
        <v>3126</v>
      </c>
      <c r="M246" s="76">
        <v>45429</v>
      </c>
      <c r="N246" s="128">
        <f>+VLOOKUP(B246,BOM!$A$8:$AB$1078,27,0)</f>
        <v>5</v>
      </c>
      <c r="O246" s="129">
        <f>+VLOOKUP(B246,BOM!$A$8:$AB$1078,28,0)</f>
        <v>3</v>
      </c>
      <c r="P246" s="10" t="str">
        <f t="shared" si="11"/>
        <v/>
      </c>
    </row>
    <row r="247" spans="1:16" ht="15">
      <c r="A247" s="153">
        <v>245</v>
      </c>
      <c r="B247" s="53" t="s">
        <v>678</v>
      </c>
      <c r="C247" s="126" t="s">
        <v>680</v>
      </c>
      <c r="D247" s="55">
        <v>26</v>
      </c>
      <c r="E247" s="79" t="s">
        <v>2394</v>
      </c>
      <c r="F247" s="126" t="s">
        <v>22</v>
      </c>
      <c r="G247" s="126" t="s">
        <v>1686</v>
      </c>
      <c r="H247" s="127">
        <v>144</v>
      </c>
      <c r="I247" s="49" t="s">
        <v>2669</v>
      </c>
      <c r="J247" s="52">
        <v>1</v>
      </c>
      <c r="K247" s="139" t="s">
        <v>3127</v>
      </c>
      <c r="L247" s="139" t="s">
        <v>3128</v>
      </c>
      <c r="M247" s="76">
        <v>45429</v>
      </c>
      <c r="N247" s="128">
        <f>+VLOOKUP(B247,BOM!$A$8:$AB$1078,27,0)</f>
        <v>20</v>
      </c>
      <c r="O247" s="129">
        <f>+VLOOKUP(B247,BOM!$A$8:$AB$1078,28,0)</f>
        <v>3</v>
      </c>
      <c r="P247" s="10" t="str">
        <f t="shared" si="11"/>
        <v/>
      </c>
    </row>
    <row r="248" spans="1:16" ht="15">
      <c r="A248" s="153">
        <v>246</v>
      </c>
      <c r="B248" s="53" t="s">
        <v>681</v>
      </c>
      <c r="C248" s="126" t="s">
        <v>683</v>
      </c>
      <c r="D248" s="55">
        <v>4</v>
      </c>
      <c r="E248" s="79" t="s">
        <v>2394</v>
      </c>
      <c r="F248" s="126" t="s">
        <v>22</v>
      </c>
      <c r="G248" s="126" t="s">
        <v>1664</v>
      </c>
      <c r="H248" s="127">
        <v>32</v>
      </c>
      <c r="I248" s="49" t="s">
        <v>2669</v>
      </c>
      <c r="J248" s="52">
        <v>1</v>
      </c>
      <c r="K248" s="139" t="s">
        <v>3125</v>
      </c>
      <c r="L248" s="139" t="s">
        <v>3129</v>
      </c>
      <c r="M248" s="76">
        <v>45429</v>
      </c>
      <c r="N248" s="128">
        <f>+VLOOKUP(B248,BOM!$A$8:$AB$1078,27,0)</f>
        <v>5</v>
      </c>
      <c r="O248" s="129">
        <f>+VLOOKUP(B248,BOM!$A$8:$AB$1078,28,0)</f>
        <v>3</v>
      </c>
      <c r="P248" s="10" t="str">
        <f t="shared" si="11"/>
        <v/>
      </c>
    </row>
    <row r="249" spans="1:16" ht="15">
      <c r="A249" s="153">
        <v>247</v>
      </c>
      <c r="B249" s="53" t="s">
        <v>535</v>
      </c>
      <c r="C249" s="126" t="s">
        <v>537</v>
      </c>
      <c r="D249" s="55">
        <v>2</v>
      </c>
      <c r="E249" s="79" t="s">
        <v>2394</v>
      </c>
      <c r="F249" s="126" t="s">
        <v>22</v>
      </c>
      <c r="G249" s="126" t="s">
        <v>1664</v>
      </c>
      <c r="H249" s="127">
        <v>16</v>
      </c>
      <c r="I249" s="49" t="s">
        <v>2669</v>
      </c>
      <c r="J249" s="52">
        <v>4</v>
      </c>
      <c r="K249" s="139"/>
      <c r="L249" s="139" t="s">
        <v>3130</v>
      </c>
      <c r="M249" s="76">
        <v>45429</v>
      </c>
      <c r="N249" s="128">
        <f>+VLOOKUP(B249,BOM!$A$8:$AB$1078,27,0)</f>
        <v>3</v>
      </c>
      <c r="O249" s="129">
        <f>+VLOOKUP(B249,BOM!$A$8:$AB$1078,28,0)</f>
        <v>3</v>
      </c>
      <c r="P249" s="10" t="str">
        <f t="shared" si="11"/>
        <v/>
      </c>
    </row>
    <row r="250" spans="1:16" ht="15">
      <c r="A250" s="153">
        <v>248</v>
      </c>
      <c r="B250" s="53" t="s">
        <v>742</v>
      </c>
      <c r="C250" s="126" t="s">
        <v>587</v>
      </c>
      <c r="D250" s="55">
        <v>8</v>
      </c>
      <c r="E250" s="79" t="s">
        <v>2394</v>
      </c>
      <c r="F250" s="126" t="s">
        <v>22</v>
      </c>
      <c r="G250" s="126" t="s">
        <v>1664</v>
      </c>
      <c r="H250" s="127">
        <v>64</v>
      </c>
      <c r="I250" s="49" t="s">
        <v>2669</v>
      </c>
      <c r="J250" s="52">
        <v>4</v>
      </c>
      <c r="K250" s="139"/>
      <c r="L250" s="139" t="s">
        <v>3131</v>
      </c>
      <c r="M250" s="76">
        <v>45429</v>
      </c>
      <c r="N250" s="128">
        <f>+VLOOKUP(B250,BOM!$A$8:$AB$1078,27,0)</f>
        <v>9</v>
      </c>
      <c r="O250" s="129">
        <f>+VLOOKUP(B250,BOM!$A$8:$AB$1078,28,0)</f>
        <v>3</v>
      </c>
      <c r="P250" s="10" t="str">
        <f t="shared" si="11"/>
        <v/>
      </c>
    </row>
    <row r="251" spans="1:16" ht="15" customHeight="1">
      <c r="A251" s="153">
        <v>249</v>
      </c>
      <c r="B251" s="53" t="s">
        <v>747</v>
      </c>
      <c r="C251" s="126" t="s">
        <v>748</v>
      </c>
      <c r="D251" s="55">
        <v>2</v>
      </c>
      <c r="E251" s="56" t="s">
        <v>2394</v>
      </c>
      <c r="F251" s="126" t="s">
        <v>22</v>
      </c>
      <c r="G251" s="126" t="s">
        <v>1664</v>
      </c>
      <c r="H251" s="127">
        <v>32</v>
      </c>
      <c r="I251" s="49" t="s">
        <v>2669</v>
      </c>
      <c r="J251" s="52">
        <v>4</v>
      </c>
      <c r="K251" s="139"/>
      <c r="L251" s="139" t="s">
        <v>3132</v>
      </c>
      <c r="M251" s="76">
        <v>45429</v>
      </c>
      <c r="N251" s="128">
        <f>+VLOOKUP(B251,BOM!$A$8:$AB$1078,27,0)</f>
        <v>5</v>
      </c>
      <c r="O251" s="129" t="str">
        <f>+VLOOKUP(B251,BOM!$A$8:$AB$1078,28,0)</f>
        <v>2x3 + 2x5</v>
      </c>
      <c r="P251" s="10" t="str">
        <f t="shared" si="11"/>
        <v/>
      </c>
    </row>
    <row r="252" spans="1:16" ht="15">
      <c r="A252" s="153">
        <v>250</v>
      </c>
      <c r="B252" s="53" t="s">
        <v>750</v>
      </c>
      <c r="C252" s="126" t="s">
        <v>492</v>
      </c>
      <c r="D252" s="55">
        <v>4</v>
      </c>
      <c r="E252" s="79" t="s">
        <v>2394</v>
      </c>
      <c r="F252" s="126" t="s">
        <v>22</v>
      </c>
      <c r="G252" s="126" t="s">
        <v>1664</v>
      </c>
      <c r="H252" s="127">
        <v>128</v>
      </c>
      <c r="I252" s="49" t="s">
        <v>2669</v>
      </c>
      <c r="J252" s="52">
        <v>4</v>
      </c>
      <c r="K252" s="139"/>
      <c r="L252" s="190" t="s">
        <v>3133</v>
      </c>
      <c r="M252" s="76">
        <v>45429</v>
      </c>
      <c r="N252" s="128">
        <f>+VLOOKUP(B252,BOM!$A$8:$AB$1078,27,0)</f>
        <v>9</v>
      </c>
      <c r="O252" s="129" t="str">
        <f>+VLOOKUP(B252,BOM!$A$8:$AB$1078,28,0)</f>
        <v>4x3 + 4x5</v>
      </c>
      <c r="P252" s="10" t="str">
        <f t="shared" si="11"/>
        <v/>
      </c>
    </row>
    <row r="253" spans="1:16" ht="15">
      <c r="A253" s="153">
        <v>251</v>
      </c>
      <c r="B253" s="53" t="s">
        <v>728</v>
      </c>
      <c r="C253" s="126" t="s">
        <v>643</v>
      </c>
      <c r="D253" s="52">
        <v>10</v>
      </c>
      <c r="E253" s="81" t="s">
        <v>2394</v>
      </c>
      <c r="F253" s="126" t="s">
        <v>22</v>
      </c>
      <c r="G253" s="126" t="s">
        <v>1686</v>
      </c>
      <c r="H253" s="127">
        <v>80</v>
      </c>
      <c r="I253" s="49" t="s">
        <v>2669</v>
      </c>
      <c r="J253" s="52">
        <v>5</v>
      </c>
      <c r="K253" s="139" t="s">
        <v>3134</v>
      </c>
      <c r="L253" s="139" t="s">
        <v>3135</v>
      </c>
      <c r="M253" s="82"/>
      <c r="N253" s="128">
        <f>+VLOOKUP(B253,BOM!$A$8:$AB$1078,27,0)</f>
        <v>31</v>
      </c>
      <c r="O253" s="129" t="str">
        <f>+VLOOKUP(B253,BOM!$A$8:$AB$1078,28,0)</f>
        <v>10x3 + 8xA + 8xB</v>
      </c>
      <c r="P253" s="10" t="str">
        <f t="shared" si="11"/>
        <v/>
      </c>
    </row>
    <row r="254" spans="1:16" ht="15">
      <c r="A254" s="153">
        <v>252</v>
      </c>
      <c r="B254" s="53" t="s">
        <v>635</v>
      </c>
      <c r="C254" s="126" t="s">
        <v>604</v>
      </c>
      <c r="D254" s="55">
        <v>4</v>
      </c>
      <c r="E254" s="56" t="s">
        <v>2394</v>
      </c>
      <c r="F254" s="126" t="s">
        <v>22</v>
      </c>
      <c r="G254" s="126" t="s">
        <v>1664</v>
      </c>
      <c r="H254" s="127">
        <v>32</v>
      </c>
      <c r="I254" s="49" t="s">
        <v>2679</v>
      </c>
      <c r="J254" s="52">
        <v>3</v>
      </c>
      <c r="K254" s="49" t="s">
        <v>3136</v>
      </c>
      <c r="L254" s="49" t="s">
        <v>3137</v>
      </c>
      <c r="M254" s="76">
        <v>45429</v>
      </c>
      <c r="N254" s="128">
        <f>+VLOOKUP(B254,BOM!$A$8:$AB$1078,27,0)</f>
        <v>5</v>
      </c>
      <c r="O254" s="129">
        <f>+VLOOKUP(B254,BOM!$A$8:$AB$1078,28,0)</f>
        <v>3</v>
      </c>
      <c r="P254" s="10" t="str">
        <f t="shared" si="11"/>
        <v/>
      </c>
    </row>
    <row r="255" spans="1:16" ht="15">
      <c r="A255" s="153">
        <v>253</v>
      </c>
      <c r="B255" s="53" t="s">
        <v>594</v>
      </c>
      <c r="C255" s="126" t="s">
        <v>587</v>
      </c>
      <c r="D255" s="55">
        <v>4</v>
      </c>
      <c r="E255" s="56" t="s">
        <v>2427</v>
      </c>
      <c r="F255" s="126" t="s">
        <v>22</v>
      </c>
      <c r="G255" s="126" t="s">
        <v>1664</v>
      </c>
      <c r="H255" s="127">
        <v>32</v>
      </c>
      <c r="I255" s="49" t="s">
        <v>2679</v>
      </c>
      <c r="J255" s="52">
        <v>5</v>
      </c>
      <c r="K255" s="49" t="s">
        <v>3138</v>
      </c>
      <c r="L255" s="49" t="s">
        <v>3139</v>
      </c>
      <c r="M255" s="76">
        <v>45429</v>
      </c>
      <c r="N255" s="128">
        <f>+VLOOKUP(B255,BOM!$A$8:$AB$1078,27,0)</f>
        <v>5</v>
      </c>
      <c r="O255" s="129">
        <f>+VLOOKUP(B255,BOM!$A$8:$AB$1078,28,0)</f>
        <v>4</v>
      </c>
      <c r="P255" s="10" t="str">
        <f t="shared" si="11"/>
        <v/>
      </c>
    </row>
    <row r="256" spans="1:16" ht="15">
      <c r="A256" s="153">
        <v>254</v>
      </c>
      <c r="B256" s="53" t="s">
        <v>231</v>
      </c>
      <c r="C256" s="126" t="s">
        <v>233</v>
      </c>
      <c r="D256" s="55">
        <v>12</v>
      </c>
      <c r="E256" s="79" t="s">
        <v>2427</v>
      </c>
      <c r="F256" s="126" t="s">
        <v>22</v>
      </c>
      <c r="G256" s="126" t="s">
        <v>1729</v>
      </c>
      <c r="H256" s="127">
        <v>12</v>
      </c>
      <c r="I256" s="49" t="s">
        <v>2428</v>
      </c>
      <c r="J256" s="52" t="s">
        <v>2397</v>
      </c>
      <c r="K256" s="139"/>
      <c r="L256" s="139" t="s">
        <v>3140</v>
      </c>
      <c r="M256" s="76">
        <v>45429</v>
      </c>
      <c r="N256" s="128">
        <f>+VLOOKUP(B256,BOM!$A$8:$AB$1078,27,0)</f>
        <v>12</v>
      </c>
      <c r="O256" s="129">
        <f>+VLOOKUP(B256,BOM!$A$8:$AB$1078,28,0)</f>
        <v>4</v>
      </c>
      <c r="P256" s="10" t="str">
        <f t="shared" si="11"/>
        <v>ok</v>
      </c>
    </row>
    <row r="257" spans="1:16" ht="15" customHeight="1">
      <c r="A257" s="153">
        <v>255</v>
      </c>
      <c r="B257" s="53" t="s">
        <v>524</v>
      </c>
      <c r="C257" s="126" t="s">
        <v>526</v>
      </c>
      <c r="D257" s="55">
        <v>2</v>
      </c>
      <c r="E257" s="56" t="s">
        <v>2427</v>
      </c>
      <c r="F257" s="126" t="s">
        <v>22</v>
      </c>
      <c r="G257" s="126" t="s">
        <v>1664</v>
      </c>
      <c r="H257" s="127">
        <v>16</v>
      </c>
      <c r="I257" s="49" t="s">
        <v>2669</v>
      </c>
      <c r="J257" s="52">
        <v>5</v>
      </c>
      <c r="K257" s="139"/>
      <c r="L257" s="139" t="s">
        <v>3141</v>
      </c>
      <c r="M257" s="76">
        <v>45429</v>
      </c>
      <c r="N257" s="128">
        <f>+VLOOKUP(B257,BOM!$A$8:$AB$1078,27,0)</f>
        <v>3</v>
      </c>
      <c r="O257" s="129">
        <f>+VLOOKUP(B257,BOM!$A$8:$AB$1078,28,0)</f>
        <v>3</v>
      </c>
      <c r="P257" s="10" t="str">
        <f t="shared" si="11"/>
        <v/>
      </c>
    </row>
    <row r="258" spans="1:16" ht="15">
      <c r="A258" s="153">
        <v>256</v>
      </c>
      <c r="B258" s="53" t="s">
        <v>94</v>
      </c>
      <c r="C258" s="126" t="s">
        <v>96</v>
      </c>
      <c r="D258" s="55">
        <v>2</v>
      </c>
      <c r="E258" s="56" t="s">
        <v>2427</v>
      </c>
      <c r="F258" s="126" t="s">
        <v>22</v>
      </c>
      <c r="G258" s="126" t="s">
        <v>1686</v>
      </c>
      <c r="H258" s="127">
        <v>288</v>
      </c>
      <c r="I258" s="49" t="s">
        <v>2679</v>
      </c>
      <c r="J258" s="52">
        <v>1</v>
      </c>
      <c r="K258" s="49" t="s">
        <v>3142</v>
      </c>
      <c r="L258" s="49" t="s">
        <v>3143</v>
      </c>
      <c r="M258" s="76">
        <v>45429</v>
      </c>
      <c r="N258" s="128">
        <f>+VLOOKUP(B258,BOM!$A$8:$AB$1078,27,0)</f>
        <v>62</v>
      </c>
      <c r="O258" s="129" t="str">
        <f>+VLOOKUP(B258,BOM!$A$8:$AB$1078,28,0)</f>
        <v>18x1 + 36x2 + 1x4</v>
      </c>
      <c r="P258" s="10" t="str">
        <f t="shared" si="11"/>
        <v/>
      </c>
    </row>
    <row r="259" spans="1:16" ht="16.5" customHeight="1">
      <c r="A259" s="153">
        <v>257</v>
      </c>
      <c r="B259" s="53" t="s">
        <v>384</v>
      </c>
      <c r="C259" s="126" t="s">
        <v>386</v>
      </c>
      <c r="D259" s="55">
        <v>4</v>
      </c>
      <c r="E259" s="56" t="s">
        <v>2427</v>
      </c>
      <c r="F259" s="126" t="s">
        <v>22</v>
      </c>
      <c r="G259" s="126" t="s">
        <v>1664</v>
      </c>
      <c r="H259" s="127">
        <v>32</v>
      </c>
      <c r="I259" s="49" t="s">
        <v>2679</v>
      </c>
      <c r="J259" s="52">
        <v>2</v>
      </c>
      <c r="K259" s="49" t="s">
        <v>3144</v>
      </c>
      <c r="L259" s="49" t="s">
        <v>3145</v>
      </c>
      <c r="M259" s="76">
        <v>45429</v>
      </c>
      <c r="N259" s="128">
        <f>+VLOOKUP(B259,BOM!$A$8:$AB$1078,27,0)</f>
        <v>5</v>
      </c>
      <c r="O259" s="129">
        <f>+VLOOKUP(B259,BOM!$A$8:$AB$1078,28,0)</f>
        <v>4</v>
      </c>
      <c r="P259" s="10" t="str">
        <f t="shared" si="11"/>
        <v/>
      </c>
    </row>
    <row r="260" spans="1:16" ht="15">
      <c r="A260" s="153">
        <v>258</v>
      </c>
      <c r="B260" s="53" t="s">
        <v>629</v>
      </c>
      <c r="C260" s="126" t="s">
        <v>630</v>
      </c>
      <c r="D260" s="55">
        <v>2</v>
      </c>
      <c r="E260" s="79" t="s">
        <v>2427</v>
      </c>
      <c r="F260" s="126" t="s">
        <v>22</v>
      </c>
      <c r="G260" s="126" t="s">
        <v>1664</v>
      </c>
      <c r="H260" s="127">
        <v>112</v>
      </c>
      <c r="I260" s="49" t="s">
        <v>2679</v>
      </c>
      <c r="J260" s="52">
        <v>2</v>
      </c>
      <c r="K260" s="139" t="s">
        <v>3146</v>
      </c>
      <c r="L260" s="139" t="s">
        <v>3147</v>
      </c>
      <c r="M260" s="76">
        <v>45429</v>
      </c>
      <c r="N260" s="128">
        <f>+VLOOKUP(B260,BOM!$A$8:$AB$1078,27,0)</f>
        <v>3</v>
      </c>
      <c r="O260" s="129">
        <f>+VLOOKUP(B260,BOM!$A$8:$AB$1078,28,0)</f>
        <v>4</v>
      </c>
      <c r="P260" s="10" t="str">
        <f t="shared" si="11"/>
        <v/>
      </c>
    </row>
    <row r="261" spans="1:16" ht="15">
      <c r="A261" s="153">
        <v>259</v>
      </c>
      <c r="B261" s="53" t="s">
        <v>633</v>
      </c>
      <c r="C261" s="126" t="s">
        <v>634</v>
      </c>
      <c r="D261" s="55">
        <v>4</v>
      </c>
      <c r="E261" s="79" t="s">
        <v>2427</v>
      </c>
      <c r="F261" s="126" t="s">
        <v>22</v>
      </c>
      <c r="G261" s="126" t="s">
        <v>1664</v>
      </c>
      <c r="H261" s="127">
        <v>32</v>
      </c>
      <c r="I261" s="49" t="s">
        <v>2679</v>
      </c>
      <c r="J261" s="52">
        <v>2</v>
      </c>
      <c r="K261" s="139" t="s">
        <v>3148</v>
      </c>
      <c r="L261" s="139" t="s">
        <v>3149</v>
      </c>
      <c r="M261" s="76">
        <v>45429</v>
      </c>
      <c r="N261" s="128">
        <f>+VLOOKUP(B261,BOM!$A$8:$AB$1078,27,0)</f>
        <v>5</v>
      </c>
      <c r="O261" s="129">
        <f>+VLOOKUP(B261,BOM!$A$8:$AB$1078,28,0)</f>
        <v>4</v>
      </c>
      <c r="P261" s="10" t="str">
        <f t="shared" si="11"/>
        <v/>
      </c>
    </row>
    <row r="262" spans="1:16" ht="15">
      <c r="A262" s="153">
        <v>260</v>
      </c>
      <c r="B262" s="53" t="s">
        <v>641</v>
      </c>
      <c r="C262" s="126" t="s">
        <v>611</v>
      </c>
      <c r="D262" s="55">
        <v>2</v>
      </c>
      <c r="E262" s="79" t="s">
        <v>2427</v>
      </c>
      <c r="F262" s="126" t="s">
        <v>22</v>
      </c>
      <c r="G262" s="126" t="s">
        <v>1664</v>
      </c>
      <c r="H262" s="127">
        <v>48</v>
      </c>
      <c r="I262" s="49" t="s">
        <v>2679</v>
      </c>
      <c r="J262" s="52">
        <v>3</v>
      </c>
      <c r="K262" s="139"/>
      <c r="L262" s="139" t="s">
        <v>3150</v>
      </c>
      <c r="M262" s="76">
        <v>45429</v>
      </c>
      <c r="N262" s="128">
        <f>+VLOOKUP(B262,BOM!$A$8:$AB$1078,27,0)</f>
        <v>4</v>
      </c>
      <c r="O262" s="129" t="str">
        <f>+VLOOKUP(B262,BOM!$A$8:$AB$1078,28,0)</f>
        <v>1x0 + 2x4</v>
      </c>
      <c r="P262" s="10" t="str">
        <f t="shared" si="11"/>
        <v/>
      </c>
    </row>
    <row r="263" spans="1:16" ht="15">
      <c r="A263" s="153">
        <v>261</v>
      </c>
      <c r="B263" s="53" t="s">
        <v>646</v>
      </c>
      <c r="C263" s="126" t="s">
        <v>647</v>
      </c>
      <c r="D263" s="55">
        <v>2</v>
      </c>
      <c r="E263" s="56" t="s">
        <v>2427</v>
      </c>
      <c r="F263" s="126" t="s">
        <v>22</v>
      </c>
      <c r="G263" s="126" t="s">
        <v>1664</v>
      </c>
      <c r="H263" s="127">
        <v>104</v>
      </c>
      <c r="I263" s="49" t="s">
        <v>2679</v>
      </c>
      <c r="J263" s="52">
        <v>3</v>
      </c>
      <c r="K263" s="49"/>
      <c r="L263" s="49" t="s">
        <v>3151</v>
      </c>
      <c r="M263" s="76">
        <v>45429</v>
      </c>
      <c r="N263" s="128">
        <f>+VLOOKUP(B263,BOM!$A$8:$AB$1078,27,0)</f>
        <v>6</v>
      </c>
      <c r="O263" s="129" t="str">
        <f>+VLOOKUP(B263,BOM!$A$8:$AB$1078,28,0)</f>
        <v>3x4 + 1x4</v>
      </c>
      <c r="P263" s="10" t="str">
        <f t="shared" si="11"/>
        <v/>
      </c>
    </row>
    <row r="264" spans="1:16" ht="15">
      <c r="A264" s="153">
        <v>262</v>
      </c>
      <c r="B264" s="53" t="s">
        <v>646</v>
      </c>
      <c r="C264" s="126" t="s">
        <v>647</v>
      </c>
      <c r="D264" s="55">
        <v>1</v>
      </c>
      <c r="E264" s="56" t="s">
        <v>2437</v>
      </c>
      <c r="F264" s="126" t="s">
        <v>22</v>
      </c>
      <c r="G264" s="126" t="s">
        <v>1664</v>
      </c>
      <c r="H264" s="127">
        <v>104</v>
      </c>
      <c r="I264" s="49" t="s">
        <v>2692</v>
      </c>
      <c r="J264" s="52">
        <v>3</v>
      </c>
      <c r="K264" s="49"/>
      <c r="L264" s="49" t="s">
        <v>3152</v>
      </c>
      <c r="M264" s="76">
        <v>45429</v>
      </c>
      <c r="N264" s="128">
        <f>+VLOOKUP(B264,BOM!$A$8:$AB$1078,27,0)</f>
        <v>6</v>
      </c>
      <c r="O264" s="129" t="str">
        <f>+VLOOKUP(B264,BOM!$A$8:$AB$1078,28,0)</f>
        <v>3x4 + 1x4</v>
      </c>
      <c r="P264" s="10" t="str">
        <f t="shared" si="11"/>
        <v/>
      </c>
    </row>
    <row r="265" spans="1:16" ht="15">
      <c r="A265" s="153">
        <v>263</v>
      </c>
      <c r="B265" s="53" t="s">
        <v>655</v>
      </c>
      <c r="C265" s="126" t="s">
        <v>656</v>
      </c>
      <c r="D265" s="55">
        <v>2</v>
      </c>
      <c r="E265" s="79" t="s">
        <v>2427</v>
      </c>
      <c r="F265" s="126" t="s">
        <v>22</v>
      </c>
      <c r="G265" s="126" t="s">
        <v>1664</v>
      </c>
      <c r="H265" s="127">
        <v>16</v>
      </c>
      <c r="I265" s="49" t="s">
        <v>2679</v>
      </c>
      <c r="J265" s="52">
        <v>3</v>
      </c>
      <c r="K265" s="139"/>
      <c r="L265" s="139" t="s">
        <v>3153</v>
      </c>
      <c r="M265" s="76">
        <v>45429</v>
      </c>
      <c r="N265" s="128">
        <f>+VLOOKUP(B265,BOM!$A$8:$AB$1078,27,0)</f>
        <v>4</v>
      </c>
      <c r="O265" s="129" t="str">
        <f>+VLOOKUP(B265,BOM!$A$8:$AB$1078,28,0)</f>
        <v>1x0 + 2x4</v>
      </c>
      <c r="P265" s="10" t="str">
        <f t="shared" si="11"/>
        <v/>
      </c>
    </row>
    <row r="266" spans="1:16" ht="15">
      <c r="A266" s="153">
        <v>264</v>
      </c>
      <c r="B266" s="53" t="s">
        <v>749</v>
      </c>
      <c r="C266" s="126" t="s">
        <v>474</v>
      </c>
      <c r="D266" s="55">
        <v>1</v>
      </c>
      <c r="E266" s="79" t="s">
        <v>2427</v>
      </c>
      <c r="F266" s="126" t="s">
        <v>22</v>
      </c>
      <c r="G266" s="126" t="s">
        <v>1664</v>
      </c>
      <c r="H266" s="127">
        <v>8</v>
      </c>
      <c r="I266" s="49" t="s">
        <v>2679</v>
      </c>
      <c r="J266" s="52">
        <v>3</v>
      </c>
      <c r="K266" s="139" t="s">
        <v>3154</v>
      </c>
      <c r="L266" s="139" t="s">
        <v>3155</v>
      </c>
      <c r="M266" s="76">
        <v>45429</v>
      </c>
      <c r="N266" s="128">
        <f>+VLOOKUP(B266,BOM!$A$8:$AB$1078,27,0)</f>
        <v>2</v>
      </c>
      <c r="O266" s="129">
        <f>+VLOOKUP(B266,BOM!$A$8:$AB$1078,28,0)</f>
        <v>4</v>
      </c>
      <c r="P266" s="10" t="str">
        <f t="shared" si="11"/>
        <v/>
      </c>
    </row>
    <row r="267" spans="1:16" ht="15">
      <c r="A267" s="153">
        <v>265</v>
      </c>
      <c r="B267" s="53" t="s">
        <v>88</v>
      </c>
      <c r="C267" s="126" t="s">
        <v>90</v>
      </c>
      <c r="D267" s="55">
        <v>2</v>
      </c>
      <c r="E267" s="79" t="s">
        <v>2427</v>
      </c>
      <c r="F267" s="126" t="s">
        <v>22</v>
      </c>
      <c r="G267" s="126" t="s">
        <v>1686</v>
      </c>
      <c r="H267" s="127">
        <v>328</v>
      </c>
      <c r="I267" s="49" t="s">
        <v>2679</v>
      </c>
      <c r="J267" s="52">
        <v>4</v>
      </c>
      <c r="K267" s="139" t="s">
        <v>3156</v>
      </c>
      <c r="L267" s="139" t="s">
        <v>3157</v>
      </c>
      <c r="M267" s="76">
        <v>45429</v>
      </c>
      <c r="N267" s="128">
        <f>+VLOOKUP(B267,BOM!$A$8:$AB$1078,27,0)</f>
        <v>65</v>
      </c>
      <c r="O267" s="129" t="str">
        <f>+VLOOKUP(B267,BOM!$A$8:$AB$1078,28,0)</f>
        <v>18x1 + 41x2 + 1x4</v>
      </c>
      <c r="P267" s="10" t="str">
        <f t="shared" si="11"/>
        <v/>
      </c>
    </row>
    <row r="268" spans="1:16" ht="15" customHeight="1">
      <c r="A268" s="153">
        <v>266</v>
      </c>
      <c r="B268" s="53" t="s">
        <v>504</v>
      </c>
      <c r="C268" s="126" t="s">
        <v>506</v>
      </c>
      <c r="D268" s="55">
        <v>1</v>
      </c>
      <c r="E268" s="79" t="s">
        <v>2427</v>
      </c>
      <c r="F268" s="126" t="s">
        <v>22</v>
      </c>
      <c r="G268" s="126" t="s">
        <v>1664</v>
      </c>
      <c r="H268" s="127">
        <v>8</v>
      </c>
      <c r="I268" s="49" t="s">
        <v>2679</v>
      </c>
      <c r="J268" s="52">
        <v>4</v>
      </c>
      <c r="K268" s="139" t="s">
        <v>3158</v>
      </c>
      <c r="L268" s="139" t="s">
        <v>3159</v>
      </c>
      <c r="M268" s="76">
        <v>45429</v>
      </c>
      <c r="N268" s="128">
        <f>+VLOOKUP(B268,BOM!$A$8:$AB$1078,27,0)</f>
        <v>2</v>
      </c>
      <c r="O268" s="129">
        <f>+VLOOKUP(B268,BOM!$A$8:$AB$1078,28,0)</f>
        <v>4</v>
      </c>
      <c r="P268" s="10" t="str">
        <f t="shared" si="11"/>
        <v/>
      </c>
    </row>
    <row r="269" spans="1:16" ht="15">
      <c r="A269" s="153">
        <v>267</v>
      </c>
      <c r="B269" s="53" t="s">
        <v>612</v>
      </c>
      <c r="C269" s="126" t="s">
        <v>614</v>
      </c>
      <c r="D269" s="55">
        <v>21</v>
      </c>
      <c r="E269" s="56" t="s">
        <v>2427</v>
      </c>
      <c r="F269" s="126" t="s">
        <v>22</v>
      </c>
      <c r="G269" s="126" t="s">
        <v>1686</v>
      </c>
      <c r="H269" s="127">
        <v>1072</v>
      </c>
      <c r="I269" s="49" t="s">
        <v>2679</v>
      </c>
      <c r="J269" s="52">
        <v>4</v>
      </c>
      <c r="K269" s="49" t="s">
        <v>3160</v>
      </c>
      <c r="L269" s="49" t="s">
        <v>3161</v>
      </c>
      <c r="M269" s="76">
        <v>45429</v>
      </c>
      <c r="N269" s="128">
        <f>+VLOOKUP(B269,BOM!$A$8:$AB$1078,27,0)</f>
        <v>160</v>
      </c>
      <c r="O269" s="129" t="str">
        <f>+VLOOKUP(B269,BOM!$A$8:$AB$1078,28,0)</f>
        <v>50x2 + 30x4 + 13x5 + 28x6</v>
      </c>
      <c r="P269" s="10" t="str">
        <f t="shared" si="11"/>
        <v/>
      </c>
    </row>
    <row r="270" spans="1:16" ht="15">
      <c r="A270" s="153">
        <v>268</v>
      </c>
      <c r="B270" s="53" t="s">
        <v>496</v>
      </c>
      <c r="C270" s="126" t="s">
        <v>498</v>
      </c>
      <c r="D270" s="55">
        <v>0</v>
      </c>
      <c r="E270" s="79" t="s">
        <v>2427</v>
      </c>
      <c r="F270" s="126" t="s">
        <v>22</v>
      </c>
      <c r="G270" s="126" t="s">
        <v>1664</v>
      </c>
      <c r="H270" s="127">
        <v>32</v>
      </c>
      <c r="I270" s="49" t="s">
        <v>2679</v>
      </c>
      <c r="J270" s="52">
        <v>5</v>
      </c>
      <c r="K270" s="139"/>
      <c r="L270" s="139" t="s">
        <v>3162</v>
      </c>
      <c r="M270" s="76">
        <v>45429</v>
      </c>
      <c r="N270" s="128">
        <f>+VLOOKUP(B270,BOM!$A$8:$AB$1078,27,0)</f>
        <v>3</v>
      </c>
      <c r="O270" s="129">
        <f>+VLOOKUP(B270,BOM!$A$8:$AB$1078,28,0)</f>
        <v>4</v>
      </c>
      <c r="P270" s="10" t="str">
        <f t="shared" si="11"/>
        <v/>
      </c>
    </row>
    <row r="271" spans="1:16" ht="15">
      <c r="A271" s="153">
        <v>269</v>
      </c>
      <c r="B271" s="53" t="s">
        <v>583</v>
      </c>
      <c r="C271" s="126" t="s">
        <v>584</v>
      </c>
      <c r="D271" s="55">
        <v>2</v>
      </c>
      <c r="E271" s="79" t="s">
        <v>2427</v>
      </c>
      <c r="F271" s="126" t="s">
        <v>22</v>
      </c>
      <c r="G271" s="126" t="s">
        <v>1664</v>
      </c>
      <c r="H271" s="127">
        <v>176</v>
      </c>
      <c r="I271" s="49" t="s">
        <v>2679</v>
      </c>
      <c r="J271" s="52">
        <v>5</v>
      </c>
      <c r="K271" s="139"/>
      <c r="L271" s="139" t="s">
        <v>3163</v>
      </c>
      <c r="M271" s="76">
        <v>45429</v>
      </c>
      <c r="N271" s="128">
        <f>+VLOOKUP(B271,BOM!$A$8:$AB$1078,27,0)</f>
        <v>14</v>
      </c>
      <c r="O271" s="129" t="str">
        <f>+VLOOKUP(B271,BOM!$A$8:$AB$1078,28,0)</f>
        <v>2x4 + 10x6</v>
      </c>
      <c r="P271" s="10" t="str">
        <f t="shared" si="11"/>
        <v/>
      </c>
    </row>
    <row r="272" spans="1:16" ht="15">
      <c r="A272" s="153">
        <v>270</v>
      </c>
      <c r="B272" s="53" t="s">
        <v>269</v>
      </c>
      <c r="C272" s="126" t="s">
        <v>270</v>
      </c>
      <c r="D272" s="55">
        <v>10</v>
      </c>
      <c r="E272" s="79" t="s">
        <v>2427</v>
      </c>
      <c r="F272" s="126" t="s">
        <v>22</v>
      </c>
      <c r="G272" s="126" t="s">
        <v>1664</v>
      </c>
      <c r="H272" s="127">
        <v>80</v>
      </c>
      <c r="I272" s="49" t="s">
        <v>2700</v>
      </c>
      <c r="J272" s="52">
        <v>1</v>
      </c>
      <c r="K272" s="139" t="s">
        <v>3164</v>
      </c>
      <c r="L272" s="139" t="s">
        <v>3165</v>
      </c>
      <c r="M272" s="76">
        <v>45429</v>
      </c>
      <c r="N272" s="128">
        <f>+VLOOKUP(B272,BOM!$A$8:$AB$1078,27,0)</f>
        <v>11</v>
      </c>
      <c r="O272" s="129">
        <f>+VLOOKUP(B272,BOM!$A$8:$AB$1078,28,0)</f>
        <v>4</v>
      </c>
      <c r="P272" s="10" t="str">
        <f t="shared" si="11"/>
        <v/>
      </c>
    </row>
    <row r="273" spans="1:16" ht="15">
      <c r="A273" s="153">
        <v>271</v>
      </c>
      <c r="B273" s="53" t="s">
        <v>603</v>
      </c>
      <c r="C273" s="126" t="s">
        <v>604</v>
      </c>
      <c r="D273" s="55">
        <v>1</v>
      </c>
      <c r="E273" s="79" t="s">
        <v>2427</v>
      </c>
      <c r="F273" s="126" t="s">
        <v>22</v>
      </c>
      <c r="G273" s="126" t="s">
        <v>1664</v>
      </c>
      <c r="H273" s="127">
        <v>8</v>
      </c>
      <c r="I273" s="49" t="s">
        <v>2700</v>
      </c>
      <c r="J273" s="52">
        <v>2</v>
      </c>
      <c r="K273" s="139" t="s">
        <v>3166</v>
      </c>
      <c r="L273" s="139" t="s">
        <v>3167</v>
      </c>
      <c r="M273" s="76">
        <v>45429</v>
      </c>
      <c r="N273" s="128">
        <f>+VLOOKUP(B273,BOM!$A$8:$AB$1078,27,0)</f>
        <v>3</v>
      </c>
      <c r="O273" s="129" t="str">
        <f>+VLOOKUP(B273,BOM!$A$8:$AB$1078,28,0)</f>
        <v>1x4 + 1x5</v>
      </c>
      <c r="P273" s="10" t="str">
        <f t="shared" si="11"/>
        <v/>
      </c>
    </row>
    <row r="274" spans="1:16" ht="15">
      <c r="A274" s="153">
        <v>272</v>
      </c>
      <c r="B274" s="59" t="s">
        <v>507</v>
      </c>
      <c r="C274" s="126" t="s">
        <v>21</v>
      </c>
      <c r="D274" s="55">
        <v>4</v>
      </c>
      <c r="E274" s="56" t="s">
        <v>2437</v>
      </c>
      <c r="F274" s="126" t="s">
        <v>22</v>
      </c>
      <c r="G274" s="126" t="s">
        <v>1664</v>
      </c>
      <c r="H274" s="127">
        <v>32</v>
      </c>
      <c r="I274" s="49" t="s">
        <v>2692</v>
      </c>
      <c r="J274" s="52">
        <v>1</v>
      </c>
      <c r="K274" s="49" t="s">
        <v>3144</v>
      </c>
      <c r="L274" s="49" t="s">
        <v>3168</v>
      </c>
      <c r="M274" s="76">
        <v>45429</v>
      </c>
      <c r="N274" s="128">
        <f>+VLOOKUP(B274,BOM!$A$8:$AB$1078,27,0)</f>
        <v>5</v>
      </c>
      <c r="O274" s="129">
        <f>+VLOOKUP(B274,BOM!$A$8:$AB$1078,28,0)</f>
        <v>5</v>
      </c>
      <c r="P274" s="10" t="str">
        <f t="shared" si="11"/>
        <v/>
      </c>
    </row>
    <row r="275" spans="1:16" ht="15">
      <c r="A275" s="153">
        <v>273</v>
      </c>
      <c r="B275" s="53" t="s">
        <v>601</v>
      </c>
      <c r="C275" s="126" t="s">
        <v>602</v>
      </c>
      <c r="D275" s="55">
        <v>2</v>
      </c>
      <c r="E275" s="77" t="s">
        <v>2437</v>
      </c>
      <c r="F275" s="126" t="s">
        <v>22</v>
      </c>
      <c r="G275" s="126" t="s">
        <v>1664</v>
      </c>
      <c r="H275" s="127">
        <v>88</v>
      </c>
      <c r="I275" s="49" t="s">
        <v>2692</v>
      </c>
      <c r="J275" s="52">
        <v>1</v>
      </c>
      <c r="K275" s="49"/>
      <c r="L275" s="49" t="s">
        <v>3169</v>
      </c>
      <c r="M275" s="76">
        <v>45429</v>
      </c>
      <c r="N275" s="128">
        <f>+VLOOKUP(B275,BOM!$A$8:$AB$1078,27,0)</f>
        <v>16</v>
      </c>
      <c r="O275" s="129" t="str">
        <f>+VLOOKUP(B275,BOM!$A$8:$AB$1078,28,0)</f>
        <v>2x5 + 11x6 + 1xC</v>
      </c>
      <c r="P275" s="10">
        <v>1</v>
      </c>
    </row>
    <row r="276" spans="1:16" ht="15">
      <c r="A276" s="153">
        <v>274</v>
      </c>
      <c r="B276" s="53" t="s">
        <v>603</v>
      </c>
      <c r="C276" s="126" t="s">
        <v>604</v>
      </c>
      <c r="D276" s="55">
        <v>1</v>
      </c>
      <c r="E276" s="79" t="s">
        <v>2437</v>
      </c>
      <c r="F276" s="126" t="s">
        <v>22</v>
      </c>
      <c r="G276" s="126" t="s">
        <v>1664</v>
      </c>
      <c r="H276" s="127">
        <v>8</v>
      </c>
      <c r="I276" s="49" t="s">
        <v>2692</v>
      </c>
      <c r="J276" s="52">
        <v>1</v>
      </c>
      <c r="K276" s="139"/>
      <c r="L276" s="139" t="s">
        <v>3170</v>
      </c>
      <c r="M276" s="76">
        <v>45429</v>
      </c>
      <c r="N276" s="128">
        <f>+VLOOKUP(B276,BOM!$A$8:$AB$1078,27,0)</f>
        <v>3</v>
      </c>
      <c r="O276" s="129" t="str">
        <f>+VLOOKUP(B276,BOM!$A$8:$AB$1078,28,0)</f>
        <v>1x4 + 1x5</v>
      </c>
      <c r="P276" s="10" t="str">
        <f>+IF(N276=D276,"ok","")</f>
        <v/>
      </c>
    </row>
    <row r="277" spans="1:16" ht="15">
      <c r="A277" s="153">
        <v>275</v>
      </c>
      <c r="B277" s="59" t="s">
        <v>639</v>
      </c>
      <c r="C277" s="126" t="s">
        <v>611</v>
      </c>
      <c r="D277" s="55">
        <v>1</v>
      </c>
      <c r="E277" s="79" t="s">
        <v>2437</v>
      </c>
      <c r="F277" s="126" t="s">
        <v>22</v>
      </c>
      <c r="G277" s="126" t="s">
        <v>1664</v>
      </c>
      <c r="H277" s="127">
        <v>8</v>
      </c>
      <c r="I277" s="49" t="s">
        <v>2692</v>
      </c>
      <c r="J277" s="52">
        <v>1</v>
      </c>
      <c r="K277" s="139" t="s">
        <v>3154</v>
      </c>
      <c r="L277" s="139" t="s">
        <v>3171</v>
      </c>
      <c r="M277" s="76">
        <v>45429</v>
      </c>
      <c r="N277" s="128">
        <f>+VLOOKUP(B277,BOM!$A$8:$AB$1078,27,0)</f>
        <v>2</v>
      </c>
      <c r="O277" s="129">
        <f>+VLOOKUP(B277,BOM!$A$8:$AB$1078,28,0)</f>
        <v>5</v>
      </c>
      <c r="P277" s="10" t="str">
        <f>+IF(N277=D277,"ok","")</f>
        <v/>
      </c>
    </row>
    <row r="278" spans="1:16" ht="15">
      <c r="A278" s="153">
        <v>276</v>
      </c>
      <c r="B278" s="59" t="s">
        <v>661</v>
      </c>
      <c r="C278" s="126" t="s">
        <v>662</v>
      </c>
      <c r="D278" s="55">
        <v>4</v>
      </c>
      <c r="E278" s="56" t="s">
        <v>2437</v>
      </c>
      <c r="F278" s="126" t="s">
        <v>22</v>
      </c>
      <c r="G278" s="126" t="s">
        <v>1664</v>
      </c>
      <c r="H278" s="127">
        <v>32</v>
      </c>
      <c r="I278" s="49" t="s">
        <v>2692</v>
      </c>
      <c r="J278" s="52">
        <v>1</v>
      </c>
      <c r="K278" s="49"/>
      <c r="L278" s="49" t="s">
        <v>3172</v>
      </c>
      <c r="M278" s="76">
        <v>45429</v>
      </c>
      <c r="N278" s="128">
        <f>+VLOOKUP(B278,BOM!$A$8:$AB$1078,27,0)</f>
        <v>6</v>
      </c>
      <c r="O278" s="129" t="str">
        <f>+VLOOKUP(B278,BOM!$A$8:$AB$1078,28,0)</f>
        <v>4x5 + 1x6</v>
      </c>
      <c r="P278" s="10" t="str">
        <f>+IF(N278=D278,"ok","")</f>
        <v/>
      </c>
    </row>
    <row r="279" spans="1:16" ht="15">
      <c r="A279" s="153">
        <v>277</v>
      </c>
      <c r="B279" s="53" t="s">
        <v>734</v>
      </c>
      <c r="C279" s="126" t="s">
        <v>735</v>
      </c>
      <c r="D279" s="55">
        <v>4</v>
      </c>
      <c r="E279" s="47" t="s">
        <v>2437</v>
      </c>
      <c r="F279" s="126" t="s">
        <v>22</v>
      </c>
      <c r="G279" s="126" t="s">
        <v>1664</v>
      </c>
      <c r="H279" s="127">
        <v>32</v>
      </c>
      <c r="I279" s="49" t="s">
        <v>2692</v>
      </c>
      <c r="J279" s="52">
        <v>1</v>
      </c>
      <c r="K279" s="84" t="s">
        <v>3173</v>
      </c>
      <c r="L279" s="84" t="s">
        <v>3174</v>
      </c>
      <c r="M279" s="76">
        <v>45429</v>
      </c>
      <c r="N279" s="128">
        <f>+VLOOKUP(B279,BOM!$A$8:$AB$1078,27,0)</f>
        <v>5</v>
      </c>
      <c r="O279" s="129">
        <f>+VLOOKUP(B279,BOM!$A$8:$AB$1078,28,0)</f>
        <v>5</v>
      </c>
      <c r="P279" s="10">
        <v>1</v>
      </c>
    </row>
    <row r="280" spans="1:16" ht="15">
      <c r="A280" s="153">
        <v>278</v>
      </c>
      <c r="B280" s="53" t="s">
        <v>508</v>
      </c>
      <c r="C280" s="126" t="s">
        <v>21</v>
      </c>
      <c r="D280" s="55">
        <v>1</v>
      </c>
      <c r="E280" s="47" t="s">
        <v>2437</v>
      </c>
      <c r="F280" s="126" t="s">
        <v>22</v>
      </c>
      <c r="G280" s="126" t="s">
        <v>1664</v>
      </c>
      <c r="H280" s="127">
        <v>8</v>
      </c>
      <c r="I280" s="49" t="s">
        <v>2692</v>
      </c>
      <c r="J280" s="52">
        <v>2</v>
      </c>
      <c r="K280" s="84" t="s">
        <v>3154</v>
      </c>
      <c r="L280" s="84" t="s">
        <v>3175</v>
      </c>
      <c r="M280" s="76">
        <v>45429</v>
      </c>
      <c r="N280" s="128">
        <f>+VLOOKUP(B280,BOM!$A$8:$AB$1078,27,0)</f>
        <v>2</v>
      </c>
      <c r="O280" s="129">
        <f>+VLOOKUP(B280,BOM!$A$8:$AB$1078,28,0)</f>
        <v>5</v>
      </c>
      <c r="P280" s="10">
        <v>1</v>
      </c>
    </row>
    <row r="281" spans="1:16" ht="15">
      <c r="A281" s="153">
        <v>279</v>
      </c>
      <c r="B281" s="59" t="s">
        <v>585</v>
      </c>
      <c r="C281" s="126" t="s">
        <v>587</v>
      </c>
      <c r="D281" s="55">
        <v>2</v>
      </c>
      <c r="E281" s="81" t="s">
        <v>2437</v>
      </c>
      <c r="F281" s="126" t="s">
        <v>22</v>
      </c>
      <c r="G281" s="126" t="s">
        <v>1664</v>
      </c>
      <c r="H281" s="127">
        <v>48</v>
      </c>
      <c r="I281" s="49" t="s">
        <v>2692</v>
      </c>
      <c r="J281" s="52">
        <v>2</v>
      </c>
      <c r="K281" s="49"/>
      <c r="L281" s="49" t="s">
        <v>3176</v>
      </c>
      <c r="M281" s="76">
        <v>45429</v>
      </c>
      <c r="N281" s="128">
        <f>+VLOOKUP(B281,BOM!$A$8:$AB$1078,27,0)</f>
        <v>3</v>
      </c>
      <c r="O281" s="129" t="str">
        <f>+VLOOKUP(B281,BOM!$A$8:$AB$1078,28,0)</f>
        <v>6x0 + 2x5</v>
      </c>
      <c r="P281" s="10" t="str">
        <f t="shared" ref="P281:P287" si="12">+IF(N281=D281,"ok","")</f>
        <v/>
      </c>
    </row>
    <row r="282" spans="1:16" ht="15">
      <c r="A282" s="153">
        <v>280</v>
      </c>
      <c r="B282" s="59" t="s">
        <v>756</v>
      </c>
      <c r="C282" s="126" t="s">
        <v>492</v>
      </c>
      <c r="D282" s="55">
        <v>1</v>
      </c>
      <c r="E282" s="81" t="s">
        <v>2437</v>
      </c>
      <c r="F282" s="126" t="s">
        <v>22</v>
      </c>
      <c r="G282" s="126" t="s">
        <v>1664</v>
      </c>
      <c r="H282" s="127">
        <v>8</v>
      </c>
      <c r="I282" s="49" t="s">
        <v>2692</v>
      </c>
      <c r="J282" s="52">
        <v>2</v>
      </c>
      <c r="K282" s="49" t="s">
        <v>3154</v>
      </c>
      <c r="L282" s="49" t="s">
        <v>3177</v>
      </c>
      <c r="M282" s="76">
        <v>45429</v>
      </c>
      <c r="N282" s="128">
        <f>+VLOOKUP(B282,BOM!$A$8:$AB$1078,27,0)</f>
        <v>2</v>
      </c>
      <c r="O282" s="129">
        <f>+VLOOKUP(B282,BOM!$A$8:$AB$1078,28,0)</f>
        <v>5</v>
      </c>
      <c r="P282" s="10" t="str">
        <f t="shared" si="12"/>
        <v/>
      </c>
    </row>
    <row r="283" spans="1:16" ht="15">
      <c r="A283" s="153">
        <v>281</v>
      </c>
      <c r="B283" s="59" t="s">
        <v>615</v>
      </c>
      <c r="C283" s="126" t="s">
        <v>616</v>
      </c>
      <c r="D283" s="55">
        <v>2</v>
      </c>
      <c r="E283" s="81" t="s">
        <v>2385</v>
      </c>
      <c r="F283" s="126" t="s">
        <v>22</v>
      </c>
      <c r="G283" s="126" t="s">
        <v>1664</v>
      </c>
      <c r="H283" s="127">
        <v>16</v>
      </c>
      <c r="I283" s="49" t="s">
        <v>2692</v>
      </c>
      <c r="J283" s="52">
        <v>3</v>
      </c>
      <c r="K283" s="49" t="s">
        <v>3178</v>
      </c>
      <c r="L283" s="49" t="s">
        <v>3179</v>
      </c>
      <c r="M283" s="76">
        <v>45429</v>
      </c>
      <c r="N283" s="128">
        <f>+VLOOKUP(B283,BOM!$A$8:$AB$1078,27,0)</f>
        <v>4</v>
      </c>
      <c r="O283" s="129">
        <f>+VLOOKUP(B283,BOM!$A$8:$AB$1078,28,0)</f>
        <v>5</v>
      </c>
      <c r="P283" s="10" t="str">
        <f t="shared" si="12"/>
        <v/>
      </c>
    </row>
    <row r="284" spans="1:16" ht="15">
      <c r="A284" s="153">
        <v>282</v>
      </c>
      <c r="B284" s="53" t="s">
        <v>615</v>
      </c>
      <c r="C284" s="126" t="s">
        <v>616</v>
      </c>
      <c r="D284" s="55">
        <v>1</v>
      </c>
      <c r="E284" s="56" t="s">
        <v>2437</v>
      </c>
      <c r="F284" s="126" t="s">
        <v>22</v>
      </c>
      <c r="G284" s="126" t="s">
        <v>1664</v>
      </c>
      <c r="H284" s="127">
        <v>16</v>
      </c>
      <c r="I284" s="49" t="s">
        <v>2692</v>
      </c>
      <c r="J284" s="52">
        <v>3</v>
      </c>
      <c r="K284" s="139"/>
      <c r="L284" s="139" t="s">
        <v>3180</v>
      </c>
      <c r="M284" s="76">
        <v>45429</v>
      </c>
      <c r="N284" s="128">
        <f>+VLOOKUP(B284,BOM!$A$8:$AB$1078,27,0)</f>
        <v>4</v>
      </c>
      <c r="O284" s="129">
        <f>+VLOOKUP(B284,BOM!$A$8:$AB$1078,28,0)</f>
        <v>5</v>
      </c>
      <c r="P284" s="10" t="str">
        <f t="shared" si="12"/>
        <v/>
      </c>
    </row>
    <row r="285" spans="1:16" ht="15">
      <c r="A285" s="153">
        <v>283</v>
      </c>
      <c r="B285" s="59" t="s">
        <v>628</v>
      </c>
      <c r="C285" s="126" t="s">
        <v>611</v>
      </c>
      <c r="D285" s="55">
        <v>2</v>
      </c>
      <c r="E285" s="56" t="s">
        <v>2437</v>
      </c>
      <c r="F285" s="126" t="s">
        <v>22</v>
      </c>
      <c r="G285" s="126" t="s">
        <v>1664</v>
      </c>
      <c r="H285" s="127">
        <v>32</v>
      </c>
      <c r="I285" s="49" t="s">
        <v>2692</v>
      </c>
      <c r="J285" s="52">
        <v>3</v>
      </c>
      <c r="K285" s="49"/>
      <c r="L285" s="49" t="s">
        <v>3181</v>
      </c>
      <c r="M285" s="76">
        <v>45429</v>
      </c>
      <c r="N285" s="128">
        <f>+VLOOKUP(B285,BOM!$A$8:$AB$1078,27,0)</f>
        <v>4</v>
      </c>
      <c r="O285" s="129" t="str">
        <f>+VLOOKUP(B285,BOM!$A$8:$AB$1078,28,0)</f>
        <v>1x0 + 2x5</v>
      </c>
      <c r="P285" s="10" t="str">
        <f t="shared" si="12"/>
        <v/>
      </c>
    </row>
    <row r="286" spans="1:16" ht="15">
      <c r="A286" s="153">
        <v>284</v>
      </c>
      <c r="B286" s="59" t="s">
        <v>666</v>
      </c>
      <c r="C286" s="126" t="s">
        <v>667</v>
      </c>
      <c r="D286" s="55">
        <v>4</v>
      </c>
      <c r="E286" s="56" t="s">
        <v>2437</v>
      </c>
      <c r="F286" s="126" t="s">
        <v>22</v>
      </c>
      <c r="G286" s="126" t="s">
        <v>1664</v>
      </c>
      <c r="H286" s="127">
        <v>32</v>
      </c>
      <c r="I286" s="49" t="s">
        <v>2692</v>
      </c>
      <c r="J286" s="52">
        <v>3</v>
      </c>
      <c r="K286" s="139"/>
      <c r="L286" s="139" t="s">
        <v>3182</v>
      </c>
      <c r="M286" s="76">
        <v>45429</v>
      </c>
      <c r="N286" s="128">
        <f>+VLOOKUP(B286,BOM!$A$8:$AB$1078,27,0)</f>
        <v>5</v>
      </c>
      <c r="O286" s="129" t="str">
        <f>+VLOOKUP(B286,BOM!$A$8:$AB$1078,28,0)</f>
        <v>4xB + 4x5</v>
      </c>
      <c r="P286" s="10" t="str">
        <f t="shared" si="12"/>
        <v/>
      </c>
    </row>
    <row r="287" spans="1:16" ht="15">
      <c r="A287" s="153">
        <v>285</v>
      </c>
      <c r="B287" s="59" t="s">
        <v>747</v>
      </c>
      <c r="C287" s="126" t="s">
        <v>748</v>
      </c>
      <c r="D287" s="55">
        <v>2</v>
      </c>
      <c r="E287" s="81" t="s">
        <v>2437</v>
      </c>
      <c r="F287" s="126" t="s">
        <v>22</v>
      </c>
      <c r="G287" s="126" t="s">
        <v>1664</v>
      </c>
      <c r="H287" s="127">
        <v>32</v>
      </c>
      <c r="I287" s="49" t="s">
        <v>2692</v>
      </c>
      <c r="J287" s="52">
        <v>3</v>
      </c>
      <c r="K287" s="49"/>
      <c r="L287" s="49" t="s">
        <v>3183</v>
      </c>
      <c r="M287" s="76">
        <v>45429</v>
      </c>
      <c r="N287" s="128">
        <f>+VLOOKUP(B287,BOM!$A$8:$AB$1078,27,0)</f>
        <v>5</v>
      </c>
      <c r="O287" s="129" t="str">
        <f>+VLOOKUP(B287,BOM!$A$8:$AB$1078,28,0)</f>
        <v>2x3 + 2x5</v>
      </c>
      <c r="P287" s="10" t="str">
        <f t="shared" si="12"/>
        <v/>
      </c>
    </row>
    <row r="288" spans="1:16" ht="15">
      <c r="A288" s="153">
        <v>286</v>
      </c>
      <c r="B288" s="53" t="s">
        <v>750</v>
      </c>
      <c r="C288" s="126" t="s">
        <v>492</v>
      </c>
      <c r="D288" s="55">
        <v>4</v>
      </c>
      <c r="E288" s="47" t="s">
        <v>2437</v>
      </c>
      <c r="F288" s="126" t="s">
        <v>22</v>
      </c>
      <c r="G288" s="126" t="s">
        <v>1664</v>
      </c>
      <c r="H288" s="127">
        <v>128</v>
      </c>
      <c r="I288" s="49" t="s">
        <v>2692</v>
      </c>
      <c r="J288" s="52">
        <v>3</v>
      </c>
      <c r="K288" s="49"/>
      <c r="L288" s="49" t="s">
        <v>3184</v>
      </c>
      <c r="M288" s="76">
        <v>45429</v>
      </c>
      <c r="N288" s="128">
        <f>+VLOOKUP(B288,BOM!$A$8:$AB$1078,27,0)</f>
        <v>9</v>
      </c>
      <c r="O288" s="129" t="str">
        <f>+VLOOKUP(B288,BOM!$A$8:$AB$1078,28,0)</f>
        <v>4x3 + 4x5</v>
      </c>
      <c r="P288" s="10">
        <v>1</v>
      </c>
    </row>
    <row r="289" spans="1:16" ht="15">
      <c r="A289" s="153">
        <v>287</v>
      </c>
      <c r="B289" s="59" t="s">
        <v>1742</v>
      </c>
      <c r="C289" s="126" t="s">
        <v>1743</v>
      </c>
      <c r="D289" s="55">
        <v>1</v>
      </c>
      <c r="E289" s="52" t="s">
        <v>2437</v>
      </c>
      <c r="F289" s="126" t="s">
        <v>22</v>
      </c>
      <c r="G289" s="126" t="s">
        <v>1664</v>
      </c>
      <c r="H289" s="127">
        <v>8</v>
      </c>
      <c r="I289" s="49" t="s">
        <v>2692</v>
      </c>
      <c r="J289" s="52">
        <v>4</v>
      </c>
      <c r="K289" s="49" t="s">
        <v>3185</v>
      </c>
      <c r="L289" s="49" t="s">
        <v>3186</v>
      </c>
      <c r="M289" s="76">
        <v>45429</v>
      </c>
      <c r="N289" s="128">
        <f>+VLOOKUP(B289,BOM!$A$8:$AB$1078,27,0)</f>
        <v>2</v>
      </c>
      <c r="O289" s="129">
        <f>+VLOOKUP(B289,BOM!$A$8:$AB$1078,28,0)</f>
        <v>5</v>
      </c>
      <c r="P289" s="10" t="str">
        <f t="shared" ref="P289:P297" si="13">+IF(N289=D289,"ok","")</f>
        <v/>
      </c>
    </row>
    <row r="290" spans="1:16" ht="15">
      <c r="A290" s="153">
        <v>288</v>
      </c>
      <c r="B290" s="59" t="s">
        <v>513</v>
      </c>
      <c r="C290" s="126" t="s">
        <v>514</v>
      </c>
      <c r="D290" s="55">
        <v>2</v>
      </c>
      <c r="E290" s="56" t="s">
        <v>2437</v>
      </c>
      <c r="F290" s="126" t="s">
        <v>22</v>
      </c>
      <c r="G290" s="126" t="s">
        <v>1664</v>
      </c>
      <c r="H290" s="127">
        <v>8</v>
      </c>
      <c r="I290" s="49" t="s">
        <v>2692</v>
      </c>
      <c r="J290" s="52">
        <v>4</v>
      </c>
      <c r="K290" s="49"/>
      <c r="L290" s="49" t="s">
        <v>3187</v>
      </c>
      <c r="M290" s="76">
        <v>45429</v>
      </c>
      <c r="N290" s="128">
        <f>+VLOOKUP(B290,BOM!$A$8:$AB$1078,27,0)</f>
        <v>4</v>
      </c>
      <c r="O290" s="129" t="str">
        <f>+VLOOKUP(B290,BOM!$A$8:$AB$1078,28,0)</f>
        <v>2x5 + 1xC</v>
      </c>
      <c r="P290" s="10" t="str">
        <f t="shared" si="13"/>
        <v/>
      </c>
    </row>
    <row r="291" spans="1:16" ht="15">
      <c r="A291" s="153">
        <v>289</v>
      </c>
      <c r="B291" s="59" t="s">
        <v>523</v>
      </c>
      <c r="C291" s="126" t="s">
        <v>21</v>
      </c>
      <c r="D291" s="55">
        <v>2</v>
      </c>
      <c r="E291" s="81" t="s">
        <v>2437</v>
      </c>
      <c r="F291" s="126" t="s">
        <v>22</v>
      </c>
      <c r="G291" s="126" t="s">
        <v>1664</v>
      </c>
      <c r="H291" s="127">
        <v>48</v>
      </c>
      <c r="I291" s="49" t="s">
        <v>2692</v>
      </c>
      <c r="J291" s="52">
        <v>4</v>
      </c>
      <c r="K291" s="49"/>
      <c r="L291" s="49" t="s">
        <v>3188</v>
      </c>
      <c r="M291" s="76">
        <v>45429</v>
      </c>
      <c r="N291" s="128">
        <f>+VLOOKUP(B291,BOM!$A$8:$AB$1078,27,0)</f>
        <v>5</v>
      </c>
      <c r="O291" s="129" t="str">
        <f>+VLOOKUP(B291,BOM!$A$8:$AB$1078,28,0)</f>
        <v>1xc+4x5</v>
      </c>
      <c r="P291" s="10" t="str">
        <f t="shared" si="13"/>
        <v/>
      </c>
    </row>
    <row r="292" spans="1:16" ht="15">
      <c r="A292" s="153">
        <v>290</v>
      </c>
      <c r="B292" s="59" t="s">
        <v>547</v>
      </c>
      <c r="C292" s="126" t="s">
        <v>548</v>
      </c>
      <c r="D292" s="55">
        <v>3</v>
      </c>
      <c r="E292" s="81" t="s">
        <v>2437</v>
      </c>
      <c r="F292" s="126" t="s">
        <v>22</v>
      </c>
      <c r="G292" s="126" t="s">
        <v>1664</v>
      </c>
      <c r="H292" s="127">
        <v>80</v>
      </c>
      <c r="I292" s="49" t="s">
        <v>2692</v>
      </c>
      <c r="J292" s="52">
        <v>4</v>
      </c>
      <c r="K292" s="49"/>
      <c r="L292" s="49" t="s">
        <v>3189</v>
      </c>
      <c r="M292" s="76">
        <v>45429</v>
      </c>
      <c r="N292" s="128">
        <f>+VLOOKUP(B292,BOM!$A$8:$AB$1078,27,0)</f>
        <v>19</v>
      </c>
      <c r="O292" s="129" t="str">
        <f>+VLOOKUP(B292,BOM!$A$8:$AB$1078,28,0)</f>
        <v>4x2 + 1x5 + 6x6</v>
      </c>
      <c r="P292" s="10" t="str">
        <f t="shared" si="13"/>
        <v/>
      </c>
    </row>
    <row r="293" spans="1:16" ht="15">
      <c r="A293" s="153">
        <v>291</v>
      </c>
      <c r="B293" s="59" t="s">
        <v>509</v>
      </c>
      <c r="C293" s="126" t="s">
        <v>21</v>
      </c>
      <c r="D293" s="55">
        <v>2</v>
      </c>
      <c r="E293" s="81" t="s">
        <v>2437</v>
      </c>
      <c r="F293" s="126" t="s">
        <v>22</v>
      </c>
      <c r="G293" s="126" t="s">
        <v>1664</v>
      </c>
      <c r="H293" s="127">
        <v>16</v>
      </c>
      <c r="I293" s="49" t="s">
        <v>2692</v>
      </c>
      <c r="J293" s="52">
        <v>5</v>
      </c>
      <c r="K293" s="49" t="s">
        <v>3146</v>
      </c>
      <c r="L293" s="49" t="s">
        <v>3190</v>
      </c>
      <c r="M293" s="76">
        <v>45429</v>
      </c>
      <c r="N293" s="128">
        <f>+VLOOKUP(B293,BOM!$A$8:$AB$1078,27,0)</f>
        <v>3</v>
      </c>
      <c r="O293" s="129">
        <f>+VLOOKUP(B293,BOM!$A$8:$AB$1078,28,0)</f>
        <v>5</v>
      </c>
      <c r="P293" s="10" t="str">
        <f t="shared" si="13"/>
        <v/>
      </c>
    </row>
    <row r="294" spans="1:16" ht="15">
      <c r="A294" s="153">
        <v>292</v>
      </c>
      <c r="B294" s="59" t="s">
        <v>573</v>
      </c>
      <c r="C294" s="126" t="s">
        <v>575</v>
      </c>
      <c r="D294" s="55">
        <v>2</v>
      </c>
      <c r="E294" s="81" t="s">
        <v>2437</v>
      </c>
      <c r="F294" s="126" t="s">
        <v>22</v>
      </c>
      <c r="G294" s="126" t="s">
        <v>1664</v>
      </c>
      <c r="H294" s="127">
        <v>8</v>
      </c>
      <c r="I294" s="49" t="s">
        <v>2692</v>
      </c>
      <c r="J294" s="52">
        <v>5</v>
      </c>
      <c r="K294" s="49"/>
      <c r="L294" s="49" t="s">
        <v>3191</v>
      </c>
      <c r="M294" s="76">
        <v>45429</v>
      </c>
      <c r="N294" s="128">
        <f>+VLOOKUP(B294,BOM!$A$8:$AB$1078,27,0)</f>
        <v>11</v>
      </c>
      <c r="O294" s="129" t="str">
        <f>+VLOOKUP(B294,BOM!$A$8:$AB$1078,28,0)</f>
        <v>3x2 + 2x5 + 7xD</v>
      </c>
      <c r="P294" s="10" t="str">
        <f t="shared" si="13"/>
        <v/>
      </c>
    </row>
    <row r="295" spans="1:16" ht="15">
      <c r="A295" s="153">
        <v>293</v>
      </c>
      <c r="B295" s="59" t="s">
        <v>612</v>
      </c>
      <c r="C295" s="126" t="s">
        <v>614</v>
      </c>
      <c r="D295" s="55">
        <v>15</v>
      </c>
      <c r="E295" s="81" t="s">
        <v>2437</v>
      </c>
      <c r="F295" s="126" t="s">
        <v>22</v>
      </c>
      <c r="G295" s="126" t="s">
        <v>1686</v>
      </c>
      <c r="H295" s="127">
        <v>1072</v>
      </c>
      <c r="I295" s="49" t="s">
        <v>2692</v>
      </c>
      <c r="J295" s="52">
        <v>5</v>
      </c>
      <c r="K295" s="49" t="s">
        <v>3192</v>
      </c>
      <c r="L295" s="49" t="s">
        <v>3193</v>
      </c>
      <c r="M295" s="76">
        <v>45429</v>
      </c>
      <c r="N295" s="128">
        <f>+VLOOKUP(B295,BOM!$A$8:$AB$1078,27,0)</f>
        <v>160</v>
      </c>
      <c r="O295" s="129" t="str">
        <f>+VLOOKUP(B295,BOM!$A$8:$AB$1078,28,0)</f>
        <v>50x2 + 30x4 + 13x5 + 28x6</v>
      </c>
      <c r="P295" s="10" t="str">
        <f t="shared" si="13"/>
        <v/>
      </c>
    </row>
    <row r="296" spans="1:16" ht="15">
      <c r="A296" s="153">
        <v>294</v>
      </c>
      <c r="B296" s="59" t="s">
        <v>1579</v>
      </c>
      <c r="C296" s="126" t="s">
        <v>492</v>
      </c>
      <c r="D296" s="55">
        <v>1</v>
      </c>
      <c r="E296" s="81" t="s">
        <v>2437</v>
      </c>
      <c r="F296" s="126" t="s">
        <v>22</v>
      </c>
      <c r="G296" s="126" t="s">
        <v>1664</v>
      </c>
      <c r="H296" s="127">
        <v>8</v>
      </c>
      <c r="I296" s="49" t="s">
        <v>2692</v>
      </c>
      <c r="J296" s="52">
        <v>5</v>
      </c>
      <c r="K296" s="49" t="s">
        <v>3194</v>
      </c>
      <c r="L296" s="49" t="s">
        <v>3195</v>
      </c>
      <c r="M296" s="76">
        <v>45429</v>
      </c>
      <c r="N296" s="128">
        <f>+VLOOKUP(B296,BOM!$A$8:$AB$1078,27,0)</f>
        <v>2</v>
      </c>
      <c r="O296" s="129">
        <f>+VLOOKUP(B296,BOM!$A$8:$AB$1078,28,0)</f>
        <v>5</v>
      </c>
      <c r="P296" s="10" t="str">
        <f t="shared" si="13"/>
        <v/>
      </c>
    </row>
    <row r="297" spans="1:16" ht="15">
      <c r="A297" s="153">
        <v>295</v>
      </c>
      <c r="B297" s="59" t="s">
        <v>559</v>
      </c>
      <c r="C297" s="126" t="s">
        <v>560</v>
      </c>
      <c r="D297" s="55">
        <v>5</v>
      </c>
      <c r="E297" s="52" t="s">
        <v>2437</v>
      </c>
      <c r="F297" s="126" t="s">
        <v>22</v>
      </c>
      <c r="G297" s="126" t="s">
        <v>1686</v>
      </c>
      <c r="H297" s="127">
        <v>960</v>
      </c>
      <c r="I297" s="49" t="s">
        <v>2692</v>
      </c>
      <c r="J297" s="52"/>
      <c r="K297" s="49"/>
      <c r="L297" s="49" t="s">
        <v>3196</v>
      </c>
      <c r="M297" s="76">
        <v>45429</v>
      </c>
      <c r="N297" s="128">
        <f>+VLOOKUP(B297,BOM!$A$8:$AB$1078,27,0)</f>
        <v>38</v>
      </c>
      <c r="O297" s="129" t="str">
        <f>+VLOOKUP(B297,BOM!$A$8:$AB$1078,28,0)</f>
        <v>19x2 + 1x4 + 1x5 + 3x6</v>
      </c>
      <c r="P297" s="10" t="str">
        <f t="shared" si="13"/>
        <v/>
      </c>
    </row>
    <row r="298" spans="1:16" ht="15">
      <c r="A298" s="153">
        <v>296</v>
      </c>
      <c r="B298" s="53" t="s">
        <v>523</v>
      </c>
      <c r="C298" s="126" t="s">
        <v>21</v>
      </c>
      <c r="D298" s="55">
        <v>1</v>
      </c>
      <c r="E298" s="52">
        <v>6</v>
      </c>
      <c r="F298" s="126" t="s">
        <v>22</v>
      </c>
      <c r="G298" s="126" t="s">
        <v>1664</v>
      </c>
      <c r="H298" s="127">
        <v>48</v>
      </c>
      <c r="I298" s="49" t="s">
        <v>2728</v>
      </c>
      <c r="J298" s="52">
        <v>4</v>
      </c>
      <c r="K298" s="49"/>
      <c r="L298" s="49" t="s">
        <v>3197</v>
      </c>
      <c r="M298" s="76">
        <v>45429</v>
      </c>
      <c r="N298" s="128">
        <f>+VLOOKUP(B298,BOM!$A$8:$AB$1078,27,0)</f>
        <v>5</v>
      </c>
      <c r="O298" s="129" t="str">
        <f>+VLOOKUP(B298,BOM!$A$8:$AB$1078,28,0)</f>
        <v>1xc+4x5</v>
      </c>
      <c r="P298" s="10">
        <v>1</v>
      </c>
    </row>
    <row r="299" spans="1:16" ht="15">
      <c r="A299" s="153">
        <v>297</v>
      </c>
      <c r="B299" s="53" t="s">
        <v>570</v>
      </c>
      <c r="C299" s="126" t="s">
        <v>572</v>
      </c>
      <c r="D299" s="55">
        <v>3</v>
      </c>
      <c r="E299" s="81" t="s">
        <v>2437</v>
      </c>
      <c r="F299" s="126" t="s">
        <v>22</v>
      </c>
      <c r="G299" s="126" t="s">
        <v>1664</v>
      </c>
      <c r="H299" s="127">
        <v>24</v>
      </c>
      <c r="I299" s="49" t="s">
        <v>2736</v>
      </c>
      <c r="J299" s="52">
        <v>4</v>
      </c>
      <c r="K299" s="49" t="s">
        <v>3198</v>
      </c>
      <c r="L299" s="49" t="s">
        <v>3199</v>
      </c>
      <c r="M299" s="76">
        <v>45429</v>
      </c>
      <c r="N299" s="128">
        <f>+VLOOKUP(B299,BOM!$A$8:$AB$1078,27,0)</f>
        <v>4</v>
      </c>
      <c r="O299" s="129">
        <f>+VLOOKUP(B299,BOM!$A$8:$AB$1078,28,0)</f>
        <v>5</v>
      </c>
      <c r="P299" s="10" t="str">
        <f t="shared" ref="P299:P334" si="14">+IF(N299=D299,"ok","")</f>
        <v/>
      </c>
    </row>
    <row r="300" spans="1:16" ht="15">
      <c r="A300" s="153">
        <v>298</v>
      </c>
      <c r="B300" s="59" t="s">
        <v>608</v>
      </c>
      <c r="C300" s="126" t="s">
        <v>609</v>
      </c>
      <c r="D300" s="55">
        <v>4</v>
      </c>
      <c r="E300" s="56" t="s">
        <v>2437</v>
      </c>
      <c r="F300" s="126" t="s">
        <v>22</v>
      </c>
      <c r="G300" s="126" t="s">
        <v>1664</v>
      </c>
      <c r="H300" s="127">
        <v>32</v>
      </c>
      <c r="I300" s="49" t="s">
        <v>2730</v>
      </c>
      <c r="J300" s="52">
        <v>2</v>
      </c>
      <c r="K300" s="49" t="s">
        <v>3200</v>
      </c>
      <c r="L300" s="49" t="s">
        <v>3201</v>
      </c>
      <c r="M300" s="76">
        <v>45429</v>
      </c>
      <c r="N300" s="128">
        <f>+VLOOKUP(B300,BOM!$A$8:$AB$1078,27,0)</f>
        <v>5</v>
      </c>
      <c r="O300" s="129">
        <f>+VLOOKUP(B300,BOM!$A$8:$AB$1078,28,0)</f>
        <v>5</v>
      </c>
      <c r="P300" s="10" t="str">
        <f t="shared" si="14"/>
        <v/>
      </c>
    </row>
    <row r="301" spans="1:16" ht="15" customHeight="1">
      <c r="A301" s="153">
        <v>299</v>
      </c>
      <c r="B301" s="59" t="s">
        <v>760</v>
      </c>
      <c r="C301" s="126" t="s">
        <v>762</v>
      </c>
      <c r="D301" s="55">
        <v>1</v>
      </c>
      <c r="E301" s="81" t="s">
        <v>2437</v>
      </c>
      <c r="F301" s="126" t="s">
        <v>22</v>
      </c>
      <c r="G301" s="126" t="s">
        <v>1664</v>
      </c>
      <c r="H301" s="127">
        <v>8</v>
      </c>
      <c r="I301" s="49" t="s">
        <v>2730</v>
      </c>
      <c r="J301" s="52">
        <v>2</v>
      </c>
      <c r="K301" s="49" t="s">
        <v>3202</v>
      </c>
      <c r="L301" s="49" t="s">
        <v>3203</v>
      </c>
      <c r="M301" s="76">
        <v>45429</v>
      </c>
      <c r="N301" s="128">
        <f>+VLOOKUP(B301,BOM!$A$8:$AB$1078,27,0)</f>
        <v>2</v>
      </c>
      <c r="O301" s="129">
        <f>+VLOOKUP(B301,BOM!$A$8:$AB$1078,28,0)</f>
        <v>5</v>
      </c>
      <c r="P301" s="10" t="str">
        <f t="shared" si="14"/>
        <v/>
      </c>
    </row>
    <row r="302" spans="1:16" ht="15">
      <c r="A302" s="153">
        <v>300</v>
      </c>
      <c r="B302" s="59" t="s">
        <v>541</v>
      </c>
      <c r="C302" s="126" t="s">
        <v>21</v>
      </c>
      <c r="D302" s="55">
        <v>2</v>
      </c>
      <c r="E302" s="81" t="s">
        <v>2437</v>
      </c>
      <c r="F302" s="126" t="s">
        <v>22</v>
      </c>
      <c r="G302" s="126" t="s">
        <v>1664</v>
      </c>
      <c r="H302" s="127">
        <v>8</v>
      </c>
      <c r="I302" s="49" t="s">
        <v>2730</v>
      </c>
      <c r="J302" s="52">
        <v>3</v>
      </c>
      <c r="K302" s="49" t="s">
        <v>3204</v>
      </c>
      <c r="L302" s="49" t="s">
        <v>3205</v>
      </c>
      <c r="M302" s="76">
        <v>45429</v>
      </c>
      <c r="N302" s="128">
        <f>+VLOOKUP(B302,BOM!$A$8:$AB$1078,27,0)</f>
        <v>3</v>
      </c>
      <c r="O302" s="129">
        <f>+VLOOKUP(B302,BOM!$A$8:$AB$1078,28,0)</f>
        <v>5</v>
      </c>
      <c r="P302" s="10" t="str">
        <f t="shared" si="14"/>
        <v/>
      </c>
    </row>
    <row r="303" spans="1:16" ht="15">
      <c r="A303" s="153">
        <v>301</v>
      </c>
      <c r="B303" s="59" t="s">
        <v>697</v>
      </c>
      <c r="C303" s="126" t="s">
        <v>699</v>
      </c>
      <c r="D303" s="55">
        <v>1</v>
      </c>
      <c r="E303" s="81" t="s">
        <v>2437</v>
      </c>
      <c r="F303" s="126" t="s">
        <v>22</v>
      </c>
      <c r="G303" s="126" t="s">
        <v>1664</v>
      </c>
      <c r="H303" s="127">
        <v>8</v>
      </c>
      <c r="I303" s="49" t="s">
        <v>2730</v>
      </c>
      <c r="J303" s="52">
        <v>4</v>
      </c>
      <c r="K303" s="49" t="s">
        <v>3206</v>
      </c>
      <c r="L303" s="49" t="s">
        <v>3207</v>
      </c>
      <c r="M303" s="76">
        <v>45429</v>
      </c>
      <c r="N303" s="128">
        <f>+VLOOKUP(B303,BOM!$A$8:$AB$1078,27,0)</f>
        <v>1</v>
      </c>
      <c r="O303" s="129">
        <f>+VLOOKUP(B303,BOM!$A$8:$AB$1078,28,0)</f>
        <v>5</v>
      </c>
      <c r="P303" s="10" t="str">
        <f t="shared" si="14"/>
        <v>ok</v>
      </c>
    </row>
    <row r="304" spans="1:16" ht="15">
      <c r="A304" s="153">
        <v>302</v>
      </c>
      <c r="B304" s="59" t="s">
        <v>520</v>
      </c>
      <c r="C304" s="126" t="s">
        <v>521</v>
      </c>
      <c r="D304" s="55">
        <v>1</v>
      </c>
      <c r="E304" s="81" t="s">
        <v>2443</v>
      </c>
      <c r="F304" s="126" t="s">
        <v>22</v>
      </c>
      <c r="G304" s="126" t="s">
        <v>1664</v>
      </c>
      <c r="H304" s="127">
        <v>8</v>
      </c>
      <c r="I304" s="49" t="s">
        <v>2679</v>
      </c>
      <c r="J304" s="52">
        <v>3</v>
      </c>
      <c r="K304" s="49"/>
      <c r="L304" s="49" t="s">
        <v>3208</v>
      </c>
      <c r="M304" s="76">
        <v>45429</v>
      </c>
      <c r="N304" s="128">
        <f>+VLOOKUP(B304,BOM!$A$8:$AB$1078,27,0)</f>
        <v>2</v>
      </c>
      <c r="O304" s="129">
        <f>+VLOOKUP(B304,BOM!$A$8:$AB$1078,28,0)</f>
        <v>4</v>
      </c>
      <c r="P304" s="10" t="str">
        <f t="shared" si="14"/>
        <v/>
      </c>
    </row>
    <row r="305" spans="1:16" ht="15">
      <c r="A305" s="153">
        <v>303</v>
      </c>
      <c r="B305" s="59" t="s">
        <v>522</v>
      </c>
      <c r="C305" s="126" t="s">
        <v>521</v>
      </c>
      <c r="D305" s="55">
        <v>1</v>
      </c>
      <c r="E305" s="81" t="s">
        <v>2443</v>
      </c>
      <c r="F305" s="126" t="s">
        <v>22</v>
      </c>
      <c r="G305" s="126" t="s">
        <v>1664</v>
      </c>
      <c r="H305" s="127">
        <v>8</v>
      </c>
      <c r="I305" s="49" t="s">
        <v>2679</v>
      </c>
      <c r="J305" s="52">
        <v>4</v>
      </c>
      <c r="K305" s="139"/>
      <c r="L305" s="139" t="s">
        <v>3209</v>
      </c>
      <c r="M305" s="76">
        <v>45429</v>
      </c>
      <c r="N305" s="128">
        <f>+VLOOKUP(B305,BOM!$A$8:$AB$1078,27,0)</f>
        <v>2</v>
      </c>
      <c r="O305" s="129">
        <f>+VLOOKUP(B305,BOM!$A$8:$AB$1078,28,0)</f>
        <v>4</v>
      </c>
      <c r="P305" s="10" t="str">
        <f t="shared" si="14"/>
        <v/>
      </c>
    </row>
    <row r="306" spans="1:16" ht="15">
      <c r="A306" s="153">
        <v>304</v>
      </c>
      <c r="B306" s="59" t="s">
        <v>561</v>
      </c>
      <c r="C306" s="126" t="s">
        <v>521</v>
      </c>
      <c r="D306" s="55">
        <v>1</v>
      </c>
      <c r="E306" s="81" t="s">
        <v>2443</v>
      </c>
      <c r="F306" s="126" t="s">
        <v>22</v>
      </c>
      <c r="G306" s="126" t="s">
        <v>1664</v>
      </c>
      <c r="H306" s="127">
        <v>8</v>
      </c>
      <c r="I306" s="49" t="s">
        <v>2679</v>
      </c>
      <c r="J306" s="52">
        <v>5</v>
      </c>
      <c r="K306" s="139" t="s">
        <v>3210</v>
      </c>
      <c r="L306" s="139" t="s">
        <v>3211</v>
      </c>
      <c r="M306" s="76">
        <v>45429</v>
      </c>
      <c r="N306" s="128">
        <f>+VLOOKUP(B306,BOM!$A$8:$AB$1078,27,0)</f>
        <v>2</v>
      </c>
      <c r="O306" s="129">
        <f>+VLOOKUP(B306,BOM!$A$8:$AB$1078,28,0)</f>
        <v>4</v>
      </c>
      <c r="P306" s="10" t="str">
        <f t="shared" si="14"/>
        <v/>
      </c>
    </row>
    <row r="307" spans="1:16" ht="15">
      <c r="A307" s="153">
        <v>305</v>
      </c>
      <c r="B307" s="59" t="s">
        <v>1765</v>
      </c>
      <c r="C307" s="126" t="s">
        <v>1766</v>
      </c>
      <c r="D307" s="55">
        <v>2</v>
      </c>
      <c r="E307" s="81" t="s">
        <v>2443</v>
      </c>
      <c r="F307" s="126" t="s">
        <v>22</v>
      </c>
      <c r="G307" s="126" t="s">
        <v>1664</v>
      </c>
      <c r="H307" s="127">
        <v>16</v>
      </c>
      <c r="I307" s="49" t="s">
        <v>2736</v>
      </c>
      <c r="J307" s="52">
        <v>1</v>
      </c>
      <c r="K307" s="139" t="s">
        <v>3146</v>
      </c>
      <c r="L307" s="139" t="s">
        <v>3212</v>
      </c>
      <c r="M307" s="76">
        <v>45429</v>
      </c>
      <c r="N307" s="128">
        <f>+VLOOKUP(B307,BOM!$A$8:$AB$1078,27,0)</f>
        <v>3</v>
      </c>
      <c r="O307" s="129">
        <f>+VLOOKUP(B307,BOM!$A$8:$AB$1078,28,0)</f>
        <v>6</v>
      </c>
      <c r="P307" s="10" t="str">
        <f t="shared" si="14"/>
        <v/>
      </c>
    </row>
    <row r="308" spans="1:16" ht="15">
      <c r="A308" s="153">
        <v>306</v>
      </c>
      <c r="B308" s="59" t="s">
        <v>408</v>
      </c>
      <c r="C308" s="126" t="s">
        <v>410</v>
      </c>
      <c r="D308" s="55">
        <v>1</v>
      </c>
      <c r="E308" s="81" t="s">
        <v>2443</v>
      </c>
      <c r="F308" s="126" t="s">
        <v>22</v>
      </c>
      <c r="G308" s="126" t="s">
        <v>1664</v>
      </c>
      <c r="H308" s="127">
        <v>8</v>
      </c>
      <c r="I308" s="49" t="s">
        <v>2736</v>
      </c>
      <c r="J308" s="52">
        <v>1</v>
      </c>
      <c r="K308" s="139" t="s">
        <v>3154</v>
      </c>
      <c r="L308" s="139" t="s">
        <v>3213</v>
      </c>
      <c r="M308" s="76">
        <v>45429</v>
      </c>
      <c r="N308" s="128">
        <f>+VLOOKUP(B308,BOM!$A$8:$AB$1078,27,0)</f>
        <v>2</v>
      </c>
      <c r="O308" s="129">
        <f>+VLOOKUP(B308,BOM!$A$8:$AB$1078,28,0)</f>
        <v>6</v>
      </c>
      <c r="P308" s="10" t="str">
        <f t="shared" si="14"/>
        <v/>
      </c>
    </row>
    <row r="309" spans="1:16" ht="15">
      <c r="A309" s="153">
        <v>307</v>
      </c>
      <c r="B309" s="59" t="s">
        <v>752</v>
      </c>
      <c r="C309" s="126" t="s">
        <v>489</v>
      </c>
      <c r="D309" s="55">
        <v>1</v>
      </c>
      <c r="E309" s="81" t="s">
        <v>2443</v>
      </c>
      <c r="F309" s="126" t="s">
        <v>22</v>
      </c>
      <c r="G309" s="126" t="s">
        <v>1664</v>
      </c>
      <c r="H309" s="127">
        <v>112</v>
      </c>
      <c r="I309" s="49" t="s">
        <v>2736</v>
      </c>
      <c r="J309" s="52">
        <v>1</v>
      </c>
      <c r="K309" s="139" t="s">
        <v>3154</v>
      </c>
      <c r="L309" s="139" t="s">
        <v>3214</v>
      </c>
      <c r="M309" s="76">
        <v>45429</v>
      </c>
      <c r="N309" s="128">
        <f>+VLOOKUP(B309,BOM!$A$8:$AB$1078,27,0)</f>
        <v>2</v>
      </c>
      <c r="O309" s="129">
        <f>+VLOOKUP(B309,BOM!$A$8:$AB$1078,28,0)</f>
        <v>6</v>
      </c>
      <c r="P309" s="10" t="str">
        <f t="shared" si="14"/>
        <v/>
      </c>
    </row>
    <row r="310" spans="1:16" ht="15">
      <c r="A310" s="153">
        <v>308</v>
      </c>
      <c r="B310" s="53" t="s">
        <v>466</v>
      </c>
      <c r="C310" s="126" t="s">
        <v>468</v>
      </c>
      <c r="D310" s="55">
        <v>1</v>
      </c>
      <c r="E310" s="56" t="s">
        <v>2443</v>
      </c>
      <c r="F310" s="126" t="s">
        <v>22</v>
      </c>
      <c r="G310" s="126" t="s">
        <v>1664</v>
      </c>
      <c r="H310" s="127">
        <v>8</v>
      </c>
      <c r="I310" s="49" t="s">
        <v>2736</v>
      </c>
      <c r="J310" s="52">
        <v>2</v>
      </c>
      <c r="K310" s="49" t="s">
        <v>3154</v>
      </c>
      <c r="L310" s="49" t="s">
        <v>3215</v>
      </c>
      <c r="M310" s="76">
        <v>45429</v>
      </c>
      <c r="N310" s="128">
        <f>+VLOOKUP(B310,BOM!$A$8:$AB$1078,27,0)</f>
        <v>2</v>
      </c>
      <c r="O310" s="129">
        <f>+VLOOKUP(B310,BOM!$A$8:$AB$1078,28,0)</f>
        <v>6</v>
      </c>
      <c r="P310" s="10" t="str">
        <f t="shared" si="14"/>
        <v/>
      </c>
    </row>
    <row r="311" spans="1:16" ht="15">
      <c r="A311" s="153">
        <v>309</v>
      </c>
      <c r="B311" s="59" t="s">
        <v>488</v>
      </c>
      <c r="C311" s="126" t="s">
        <v>489</v>
      </c>
      <c r="D311" s="55">
        <v>2</v>
      </c>
      <c r="E311" s="56" t="s">
        <v>2443</v>
      </c>
      <c r="F311" s="126" t="s">
        <v>22</v>
      </c>
      <c r="G311" s="126" t="s">
        <v>1664</v>
      </c>
      <c r="H311" s="127">
        <v>16</v>
      </c>
      <c r="I311" s="49" t="s">
        <v>2736</v>
      </c>
      <c r="J311" s="52">
        <v>2</v>
      </c>
      <c r="K311" s="49" t="s">
        <v>3216</v>
      </c>
      <c r="L311" s="49" t="s">
        <v>3217</v>
      </c>
      <c r="M311" s="76"/>
      <c r="N311" s="128">
        <f>+VLOOKUP(B311,BOM!$A$8:$AB$1078,27,0)</f>
        <v>3</v>
      </c>
      <c r="O311" s="129">
        <f>+VLOOKUP(B311,BOM!$A$8:$AB$1078,28,0)</f>
        <v>6</v>
      </c>
      <c r="P311" s="10" t="str">
        <f t="shared" si="14"/>
        <v/>
      </c>
    </row>
    <row r="312" spans="1:16" ht="15">
      <c r="A312" s="153">
        <v>310</v>
      </c>
      <c r="B312" s="53" t="s">
        <v>490</v>
      </c>
      <c r="C312" s="126" t="s">
        <v>485</v>
      </c>
      <c r="D312" s="55">
        <v>2</v>
      </c>
      <c r="E312" s="81" t="s">
        <v>2443</v>
      </c>
      <c r="F312" s="126" t="s">
        <v>22</v>
      </c>
      <c r="G312" s="126" t="s">
        <v>1664</v>
      </c>
      <c r="H312" s="127">
        <v>48</v>
      </c>
      <c r="I312" s="49" t="s">
        <v>2736</v>
      </c>
      <c r="J312" s="52">
        <v>2</v>
      </c>
      <c r="K312" s="49" t="s">
        <v>3216</v>
      </c>
      <c r="L312" s="49" t="s">
        <v>3218</v>
      </c>
      <c r="M312" s="76">
        <v>45429</v>
      </c>
      <c r="N312" s="128">
        <f>+VLOOKUP(B312,BOM!$A$8:$AB$1078,27,0)</f>
        <v>3</v>
      </c>
      <c r="O312" s="129">
        <f>+VLOOKUP(B312,BOM!$A$8:$AB$1078,28,0)</f>
        <v>6</v>
      </c>
      <c r="P312" s="10" t="str">
        <f t="shared" si="14"/>
        <v/>
      </c>
    </row>
    <row r="313" spans="1:16" ht="15">
      <c r="A313" s="153">
        <v>311</v>
      </c>
      <c r="B313" s="53" t="s">
        <v>491</v>
      </c>
      <c r="C313" s="126" t="s">
        <v>492</v>
      </c>
      <c r="D313" s="55">
        <v>2</v>
      </c>
      <c r="E313" s="81" t="s">
        <v>2443</v>
      </c>
      <c r="F313" s="126" t="s">
        <v>22</v>
      </c>
      <c r="G313" s="126" t="s">
        <v>1664</v>
      </c>
      <c r="H313" s="127">
        <v>16</v>
      </c>
      <c r="I313" s="49" t="s">
        <v>2736</v>
      </c>
      <c r="J313" s="52">
        <v>2</v>
      </c>
      <c r="K313" s="139" t="s">
        <v>3216</v>
      </c>
      <c r="L313" s="139" t="s">
        <v>3219</v>
      </c>
      <c r="M313" s="76">
        <v>45429</v>
      </c>
      <c r="N313" s="128">
        <f>+VLOOKUP(B313,BOM!$A$8:$AB$1078,27,0)</f>
        <v>3</v>
      </c>
      <c r="O313" s="129">
        <f>+VLOOKUP(B313,BOM!$A$8:$AB$1078,28,0)</f>
        <v>6</v>
      </c>
      <c r="P313" s="10" t="str">
        <f t="shared" si="14"/>
        <v/>
      </c>
    </row>
    <row r="314" spans="1:16" ht="15">
      <c r="A314" s="153">
        <v>312</v>
      </c>
      <c r="B314" s="59" t="s">
        <v>499</v>
      </c>
      <c r="C314" s="126" t="s">
        <v>500</v>
      </c>
      <c r="D314" s="123">
        <v>2</v>
      </c>
      <c r="E314" s="56" t="s">
        <v>2443</v>
      </c>
      <c r="F314" s="126" t="s">
        <v>22</v>
      </c>
      <c r="G314" s="126" t="s">
        <v>1664</v>
      </c>
      <c r="H314" s="127">
        <v>8</v>
      </c>
      <c r="I314" s="49" t="s">
        <v>2736</v>
      </c>
      <c r="J314" s="52">
        <v>3</v>
      </c>
      <c r="K314" s="49" t="s">
        <v>3216</v>
      </c>
      <c r="L314" s="49" t="s">
        <v>3220</v>
      </c>
      <c r="M314" s="76">
        <v>45429</v>
      </c>
      <c r="N314" s="128">
        <f>+VLOOKUP(B314,BOM!$A$8:$AB$1078,27,0)</f>
        <v>3</v>
      </c>
      <c r="O314" s="129">
        <f>+VLOOKUP(B314,BOM!$A$8:$AB$1078,28,0)</f>
        <v>6</v>
      </c>
      <c r="P314" s="10" t="str">
        <f t="shared" si="14"/>
        <v/>
      </c>
    </row>
    <row r="315" spans="1:16" ht="15">
      <c r="A315" s="153">
        <v>313</v>
      </c>
      <c r="B315" s="59" t="s">
        <v>621</v>
      </c>
      <c r="C315" s="126" t="s">
        <v>622</v>
      </c>
      <c r="D315" s="55">
        <v>4</v>
      </c>
      <c r="E315" s="52" t="s">
        <v>2443</v>
      </c>
      <c r="F315" s="126" t="s">
        <v>22</v>
      </c>
      <c r="G315" s="126" t="s">
        <v>1664</v>
      </c>
      <c r="H315" s="127">
        <v>64</v>
      </c>
      <c r="I315" s="49" t="s">
        <v>2736</v>
      </c>
      <c r="J315" s="52">
        <v>3</v>
      </c>
      <c r="K315" s="139" t="s">
        <v>3121</v>
      </c>
      <c r="L315" s="139" t="s">
        <v>3221</v>
      </c>
      <c r="M315" s="76">
        <v>45429</v>
      </c>
      <c r="N315" s="128">
        <f>+VLOOKUP(B315,BOM!$A$8:$AB$1078,27,0)</f>
        <v>90</v>
      </c>
      <c r="O315" s="129" t="str">
        <f>+VLOOKUP(B315,BOM!$A$8:$AB$1078,28,0)</f>
        <v>54x0 + 6x3 + 3x4 + 6x6 + 4xC</v>
      </c>
      <c r="P315" s="10" t="str">
        <f t="shared" si="14"/>
        <v/>
      </c>
    </row>
    <row r="316" spans="1:16" ht="15">
      <c r="A316" s="153">
        <v>314</v>
      </c>
      <c r="B316" s="53" t="s">
        <v>2289</v>
      </c>
      <c r="C316" s="126" t="s">
        <v>2290</v>
      </c>
      <c r="D316" s="52">
        <v>10</v>
      </c>
      <c r="E316" s="81" t="s">
        <v>2443</v>
      </c>
      <c r="F316" s="126" t="s">
        <v>22</v>
      </c>
      <c r="G316" s="126" t="s">
        <v>1664</v>
      </c>
      <c r="H316" s="127">
        <v>80</v>
      </c>
      <c r="I316" s="49" t="s">
        <v>2736</v>
      </c>
      <c r="J316" s="52">
        <v>3</v>
      </c>
      <c r="K316" s="49" t="s">
        <v>3222</v>
      </c>
      <c r="L316" s="49" t="s">
        <v>3223</v>
      </c>
      <c r="M316" s="76">
        <v>45702</v>
      </c>
      <c r="N316" s="128">
        <f>+VLOOKUP(B316,BOM!$A$8:$AB$1078,27,0)</f>
        <v>11</v>
      </c>
      <c r="O316" s="129">
        <f>+VLOOKUP(B316,BOM!$A$8:$AB$1078,28,0)</f>
        <v>6</v>
      </c>
      <c r="P316" s="10" t="str">
        <f t="shared" si="14"/>
        <v/>
      </c>
    </row>
    <row r="317" spans="1:16" ht="15">
      <c r="A317" s="153">
        <v>315</v>
      </c>
      <c r="B317" s="53" t="s">
        <v>2308</v>
      </c>
      <c r="C317" s="126" t="s">
        <v>2309</v>
      </c>
      <c r="D317" s="52">
        <v>4</v>
      </c>
      <c r="E317" s="81" t="s">
        <v>2443</v>
      </c>
      <c r="F317" s="126" t="s">
        <v>22</v>
      </c>
      <c r="G317" s="126" t="s">
        <v>1664</v>
      </c>
      <c r="H317" s="127">
        <v>40</v>
      </c>
      <c r="I317" s="49" t="s">
        <v>2736</v>
      </c>
      <c r="J317" s="52">
        <v>3</v>
      </c>
      <c r="K317" s="49" t="s">
        <v>3224</v>
      </c>
      <c r="L317" s="188" t="s">
        <v>3225</v>
      </c>
      <c r="M317" s="76">
        <v>45702</v>
      </c>
      <c r="N317" s="128">
        <f>+VLOOKUP(B317,BOM!$A$8:$AB$1078,27,0)</f>
        <v>5</v>
      </c>
      <c r="O317" s="129">
        <f>+VLOOKUP(B317,BOM!$A$8:$AB$1078,28,0)</f>
        <v>6</v>
      </c>
      <c r="P317" s="10" t="str">
        <f t="shared" si="14"/>
        <v/>
      </c>
    </row>
    <row r="318" spans="1:16" ht="15">
      <c r="A318" s="153">
        <v>316</v>
      </c>
      <c r="B318" s="53" t="s">
        <v>706</v>
      </c>
      <c r="C318" s="126" t="s">
        <v>695</v>
      </c>
      <c r="D318" s="52">
        <v>1</v>
      </c>
      <c r="E318" s="81" t="s">
        <v>2443</v>
      </c>
      <c r="F318" s="126" t="s">
        <v>22</v>
      </c>
      <c r="G318" s="126" t="s">
        <v>1664</v>
      </c>
      <c r="H318" s="127">
        <v>40</v>
      </c>
      <c r="I318" s="49" t="s">
        <v>2736</v>
      </c>
      <c r="J318" s="52">
        <v>3</v>
      </c>
      <c r="K318" s="49"/>
      <c r="L318" s="49" t="s">
        <v>3226</v>
      </c>
      <c r="M318" s="76">
        <v>45702</v>
      </c>
      <c r="N318" s="128">
        <f>+VLOOKUP(B318,BOM!$A$8:$AB$1078,27,0)</f>
        <v>3</v>
      </c>
      <c r="O318" s="129" t="str">
        <f>+VLOOKUP(B318,BOM!$A$8:$AB$1078,28,0)</f>
        <v>1x0 + 1x6</v>
      </c>
      <c r="P318" s="10" t="str">
        <f t="shared" si="14"/>
        <v/>
      </c>
    </row>
    <row r="319" spans="1:16" ht="15">
      <c r="A319" s="153">
        <v>317</v>
      </c>
      <c r="B319" s="59" t="s">
        <v>547</v>
      </c>
      <c r="C319" s="126" t="s">
        <v>548</v>
      </c>
      <c r="D319" s="55">
        <v>11</v>
      </c>
      <c r="E319" s="79" t="s">
        <v>2443</v>
      </c>
      <c r="F319" s="126" t="s">
        <v>22</v>
      </c>
      <c r="G319" s="126" t="s">
        <v>1664</v>
      </c>
      <c r="H319" s="127">
        <v>80</v>
      </c>
      <c r="I319" s="49" t="s">
        <v>2736</v>
      </c>
      <c r="J319" s="52">
        <v>4</v>
      </c>
      <c r="K319" s="49"/>
      <c r="L319" s="49" t="s">
        <v>3227</v>
      </c>
      <c r="M319" s="76">
        <v>45434</v>
      </c>
      <c r="N319" s="128">
        <f>+VLOOKUP(B319,BOM!$A$8:$AB$1078,27,0)</f>
        <v>19</v>
      </c>
      <c r="O319" s="129" t="str">
        <f>+VLOOKUP(B319,BOM!$A$8:$AB$1078,28,0)</f>
        <v>4x2 + 1x5 + 6x6</v>
      </c>
      <c r="P319" s="10" t="str">
        <f t="shared" si="14"/>
        <v/>
      </c>
    </row>
    <row r="320" spans="1:16" ht="15">
      <c r="A320" s="153">
        <v>318</v>
      </c>
      <c r="B320" s="59" t="s">
        <v>556</v>
      </c>
      <c r="C320" s="126" t="s">
        <v>558</v>
      </c>
      <c r="D320" s="55">
        <v>2</v>
      </c>
      <c r="E320" s="79" t="s">
        <v>2443</v>
      </c>
      <c r="F320" s="126" t="s">
        <v>22</v>
      </c>
      <c r="G320" s="126" t="s">
        <v>1664</v>
      </c>
      <c r="H320" s="127">
        <v>160</v>
      </c>
      <c r="I320" s="49" t="s">
        <v>2736</v>
      </c>
      <c r="J320" s="52">
        <v>4</v>
      </c>
      <c r="K320" s="49" t="s">
        <v>3105</v>
      </c>
      <c r="L320" s="49" t="s">
        <v>3228</v>
      </c>
      <c r="M320" s="76">
        <v>45434</v>
      </c>
      <c r="N320" s="128">
        <f>+VLOOKUP(B320,BOM!$A$8:$AB$1078,27,0)</f>
        <v>3</v>
      </c>
      <c r="O320" s="129">
        <f>+VLOOKUP(B320,BOM!$A$8:$AB$1078,28,0)</f>
        <v>6</v>
      </c>
      <c r="P320" s="10" t="str">
        <f t="shared" si="14"/>
        <v/>
      </c>
    </row>
    <row r="321" spans="1:16" ht="15">
      <c r="A321" s="153">
        <v>319</v>
      </c>
      <c r="B321" s="53" t="s">
        <v>612</v>
      </c>
      <c r="C321" s="126" t="s">
        <v>614</v>
      </c>
      <c r="D321" s="55">
        <v>22</v>
      </c>
      <c r="E321" s="81" t="s">
        <v>2443</v>
      </c>
      <c r="F321" s="126" t="s">
        <v>22</v>
      </c>
      <c r="G321" s="126" t="s">
        <v>1686</v>
      </c>
      <c r="H321" s="127">
        <v>1072</v>
      </c>
      <c r="I321" s="49" t="s">
        <v>2736</v>
      </c>
      <c r="J321" s="52">
        <v>4</v>
      </c>
      <c r="K321" s="49" t="s">
        <v>3229</v>
      </c>
      <c r="L321" s="49" t="s">
        <v>3230</v>
      </c>
      <c r="M321" s="76">
        <v>45429</v>
      </c>
      <c r="N321" s="128">
        <f>+VLOOKUP(B321,BOM!$A$8:$AB$1078,27,0)</f>
        <v>160</v>
      </c>
      <c r="O321" s="129" t="str">
        <f>+VLOOKUP(B321,BOM!$A$8:$AB$1078,28,0)</f>
        <v>50x2 + 30x4 + 13x5 + 28x6</v>
      </c>
      <c r="P321" s="10" t="str">
        <f t="shared" si="14"/>
        <v/>
      </c>
    </row>
    <row r="322" spans="1:16" ht="15">
      <c r="A322" s="153">
        <v>320</v>
      </c>
      <c r="B322" s="53" t="s">
        <v>581</v>
      </c>
      <c r="C322" s="126" t="s">
        <v>582</v>
      </c>
      <c r="D322" s="55">
        <v>3</v>
      </c>
      <c r="E322" s="81" t="s">
        <v>2443</v>
      </c>
      <c r="F322" s="126" t="s">
        <v>22</v>
      </c>
      <c r="G322" s="126" t="s">
        <v>1664</v>
      </c>
      <c r="H322" s="127">
        <v>64</v>
      </c>
      <c r="I322" s="49" t="s">
        <v>2730</v>
      </c>
      <c r="J322" s="52">
        <v>1</v>
      </c>
      <c r="K322" s="49"/>
      <c r="L322" s="49" t="s">
        <v>3231</v>
      </c>
      <c r="M322" s="76">
        <v>45429</v>
      </c>
      <c r="N322" s="128">
        <f>+VLOOKUP(B322,BOM!$A$8:$AB$1078,27,0)</f>
        <v>13</v>
      </c>
      <c r="O322" s="129" t="str">
        <f>+VLOOKUP(B322,BOM!$A$8:$AB$1078,28,0)</f>
        <v>3x6 + 8xD</v>
      </c>
      <c r="P322" s="10" t="str">
        <f t="shared" si="14"/>
        <v/>
      </c>
    </row>
    <row r="323" spans="1:16" ht="15">
      <c r="A323" s="153">
        <v>321</v>
      </c>
      <c r="B323" s="53" t="s">
        <v>583</v>
      </c>
      <c r="C323" s="126" t="s">
        <v>584</v>
      </c>
      <c r="D323" s="55">
        <v>10</v>
      </c>
      <c r="E323" s="81" t="s">
        <v>2443</v>
      </c>
      <c r="F323" s="126" t="s">
        <v>22</v>
      </c>
      <c r="G323" s="126" t="s">
        <v>1664</v>
      </c>
      <c r="H323" s="127">
        <v>176</v>
      </c>
      <c r="I323" s="49" t="s">
        <v>2730</v>
      </c>
      <c r="J323" s="52">
        <v>1</v>
      </c>
      <c r="K323" s="49"/>
      <c r="L323" s="49" t="s">
        <v>3232</v>
      </c>
      <c r="M323" s="76">
        <v>45429</v>
      </c>
      <c r="N323" s="128">
        <f>+VLOOKUP(B323,BOM!$A$8:$AB$1078,27,0)</f>
        <v>14</v>
      </c>
      <c r="O323" s="129" t="str">
        <f>+VLOOKUP(B323,BOM!$A$8:$AB$1078,28,0)</f>
        <v>2x4 + 10x6</v>
      </c>
      <c r="P323" s="10" t="str">
        <f t="shared" si="14"/>
        <v/>
      </c>
    </row>
    <row r="324" spans="1:16" ht="15">
      <c r="A324" s="153">
        <v>322</v>
      </c>
      <c r="B324" s="53" t="s">
        <v>588</v>
      </c>
      <c r="C324" s="126" t="s">
        <v>589</v>
      </c>
      <c r="D324" s="55">
        <v>13</v>
      </c>
      <c r="E324" s="81" t="s">
        <v>2443</v>
      </c>
      <c r="F324" s="126" t="s">
        <v>22</v>
      </c>
      <c r="G324" s="126" t="s">
        <v>1664</v>
      </c>
      <c r="H324" s="127">
        <v>104</v>
      </c>
      <c r="I324" s="49" t="s">
        <v>2730</v>
      </c>
      <c r="J324" s="52">
        <v>1</v>
      </c>
      <c r="K324" s="49" t="s">
        <v>3233</v>
      </c>
      <c r="L324" s="49" t="s">
        <v>3234</v>
      </c>
      <c r="M324" s="76">
        <v>45429</v>
      </c>
      <c r="N324" s="128">
        <f>+VLOOKUP(B324,BOM!$A$8:$AB$1078,27,0)</f>
        <v>15</v>
      </c>
      <c r="O324" s="129">
        <f>+VLOOKUP(B324,BOM!$A$8:$AB$1078,28,0)</f>
        <v>6</v>
      </c>
      <c r="P324" s="10" t="str">
        <f t="shared" si="14"/>
        <v/>
      </c>
    </row>
    <row r="325" spans="1:16" ht="15">
      <c r="A325" s="153">
        <v>323</v>
      </c>
      <c r="B325" s="53" t="s">
        <v>592</v>
      </c>
      <c r="C325" s="126" t="s">
        <v>593</v>
      </c>
      <c r="D325" s="55">
        <v>10</v>
      </c>
      <c r="E325" s="81" t="s">
        <v>2443</v>
      </c>
      <c r="F325" s="126" t="s">
        <v>22</v>
      </c>
      <c r="G325" s="126" t="s">
        <v>1664</v>
      </c>
      <c r="H325" s="127">
        <v>312</v>
      </c>
      <c r="I325" s="49" t="s">
        <v>2730</v>
      </c>
      <c r="J325" s="52">
        <v>1</v>
      </c>
      <c r="K325" s="49" t="s">
        <v>3222</v>
      </c>
      <c r="L325" s="49" t="s">
        <v>3235</v>
      </c>
      <c r="M325" s="76">
        <v>45429</v>
      </c>
      <c r="N325" s="128">
        <f>+VLOOKUP(B325,BOM!$A$8:$AB$1078,27,0)</f>
        <v>11</v>
      </c>
      <c r="O325" s="129">
        <f>+VLOOKUP(B325,BOM!$A$8:$AB$1078,28,0)</f>
        <v>6</v>
      </c>
      <c r="P325" s="10" t="str">
        <f t="shared" si="14"/>
        <v/>
      </c>
    </row>
    <row r="326" spans="1:16" ht="15" customHeight="1">
      <c r="A326" s="153">
        <v>324</v>
      </c>
      <c r="B326" s="53" t="s">
        <v>595</v>
      </c>
      <c r="C326" s="126" t="s">
        <v>597</v>
      </c>
      <c r="D326" s="55">
        <v>3</v>
      </c>
      <c r="E326" s="81" t="s">
        <v>2443</v>
      </c>
      <c r="F326" s="126" t="s">
        <v>22</v>
      </c>
      <c r="G326" s="126" t="s">
        <v>1664</v>
      </c>
      <c r="H326" s="127">
        <v>24</v>
      </c>
      <c r="I326" s="49" t="s">
        <v>2730</v>
      </c>
      <c r="J326" s="52">
        <v>1</v>
      </c>
      <c r="K326" s="49" t="s">
        <v>3236</v>
      </c>
      <c r="L326" s="49" t="s">
        <v>3237</v>
      </c>
      <c r="M326" s="76">
        <v>45429</v>
      </c>
      <c r="N326" s="128">
        <f>+VLOOKUP(B326,BOM!$A$8:$AB$1078,27,0)</f>
        <v>4</v>
      </c>
      <c r="O326" s="129">
        <f>+VLOOKUP(B326,BOM!$A$8:$AB$1078,28,0)</f>
        <v>6</v>
      </c>
      <c r="P326" s="10" t="str">
        <f t="shared" si="14"/>
        <v/>
      </c>
    </row>
    <row r="327" spans="1:16" ht="15">
      <c r="A327" s="153">
        <v>325</v>
      </c>
      <c r="B327" s="53" t="s">
        <v>661</v>
      </c>
      <c r="C327" s="126" t="s">
        <v>662</v>
      </c>
      <c r="D327" s="55">
        <v>1</v>
      </c>
      <c r="E327" s="81" t="s">
        <v>2443</v>
      </c>
      <c r="F327" s="126" t="s">
        <v>22</v>
      </c>
      <c r="G327" s="126" t="s">
        <v>1664</v>
      </c>
      <c r="H327" s="127">
        <v>32</v>
      </c>
      <c r="I327" s="49" t="s">
        <v>2730</v>
      </c>
      <c r="J327" s="52">
        <v>1</v>
      </c>
      <c r="K327" s="49"/>
      <c r="L327" s="49" t="s">
        <v>3238</v>
      </c>
      <c r="M327" s="76">
        <v>45429</v>
      </c>
      <c r="N327" s="128">
        <f>+VLOOKUP(B327,BOM!$A$8:$AB$1078,27,0)</f>
        <v>6</v>
      </c>
      <c r="O327" s="129" t="str">
        <f>+VLOOKUP(B327,BOM!$A$8:$AB$1078,28,0)</f>
        <v>4x5 + 1x6</v>
      </c>
      <c r="P327" s="10" t="str">
        <f t="shared" si="14"/>
        <v/>
      </c>
    </row>
    <row r="328" spans="1:16" ht="15">
      <c r="A328" s="153">
        <v>326</v>
      </c>
      <c r="B328" s="53" t="s">
        <v>601</v>
      </c>
      <c r="C328" s="126" t="s">
        <v>602</v>
      </c>
      <c r="D328" s="55">
        <v>11</v>
      </c>
      <c r="E328" s="81" t="s">
        <v>2443</v>
      </c>
      <c r="F328" s="126" t="s">
        <v>22</v>
      </c>
      <c r="G328" s="126" t="s">
        <v>1664</v>
      </c>
      <c r="H328" s="127">
        <v>88</v>
      </c>
      <c r="I328" s="49" t="s">
        <v>2730</v>
      </c>
      <c r="J328" s="52">
        <v>2</v>
      </c>
      <c r="K328" s="49"/>
      <c r="L328" s="49" t="s">
        <v>3239</v>
      </c>
      <c r="M328" s="76">
        <v>45429</v>
      </c>
      <c r="N328" s="128">
        <f>+VLOOKUP(B328,BOM!$A$8:$AB$1078,27,0)</f>
        <v>16</v>
      </c>
      <c r="O328" s="129" t="str">
        <f>+VLOOKUP(B328,BOM!$A$8:$AB$1078,28,0)</f>
        <v>2x5 + 11x6 + 1xC</v>
      </c>
      <c r="P328" s="10" t="str">
        <f t="shared" si="14"/>
        <v/>
      </c>
    </row>
    <row r="329" spans="1:16" ht="15">
      <c r="A329" s="153">
        <v>327</v>
      </c>
      <c r="B329" s="53" t="s">
        <v>605</v>
      </c>
      <c r="C329" s="126" t="s">
        <v>607</v>
      </c>
      <c r="D329" s="55">
        <v>4</v>
      </c>
      <c r="E329" s="81" t="s">
        <v>2443</v>
      </c>
      <c r="F329" s="126" t="s">
        <v>22</v>
      </c>
      <c r="G329" s="126" t="s">
        <v>1664</v>
      </c>
      <c r="H329" s="127">
        <v>32</v>
      </c>
      <c r="I329" s="49" t="s">
        <v>2730</v>
      </c>
      <c r="J329" s="52">
        <v>2</v>
      </c>
      <c r="K329" s="49" t="s">
        <v>3144</v>
      </c>
      <c r="L329" s="49" t="s">
        <v>3240</v>
      </c>
      <c r="M329" s="76">
        <v>45429</v>
      </c>
      <c r="N329" s="128">
        <f>+VLOOKUP(B329,BOM!$A$8:$AB$1078,27,0)</f>
        <v>5</v>
      </c>
      <c r="O329" s="129">
        <f>+VLOOKUP(B329,BOM!$A$8:$AB$1078,28,0)</f>
        <v>6</v>
      </c>
      <c r="P329" s="10" t="str">
        <f t="shared" si="14"/>
        <v/>
      </c>
    </row>
    <row r="330" spans="1:16" ht="15">
      <c r="A330" s="153">
        <v>328</v>
      </c>
      <c r="B330" s="53" t="s">
        <v>619</v>
      </c>
      <c r="C330" s="126" t="s">
        <v>620</v>
      </c>
      <c r="D330" s="55">
        <v>1</v>
      </c>
      <c r="E330" s="81" t="s">
        <v>2443</v>
      </c>
      <c r="F330" s="126" t="s">
        <v>22</v>
      </c>
      <c r="G330" s="126" t="s">
        <v>1664</v>
      </c>
      <c r="H330" s="127">
        <v>8</v>
      </c>
      <c r="I330" s="49" t="s">
        <v>2730</v>
      </c>
      <c r="J330" s="52">
        <v>3</v>
      </c>
      <c r="K330" s="49" t="s">
        <v>3154</v>
      </c>
      <c r="L330" s="49" t="s">
        <v>3241</v>
      </c>
      <c r="M330" s="76">
        <v>45429</v>
      </c>
      <c r="N330" s="128">
        <f>+VLOOKUP(B330,BOM!$A$8:$AB$1078,27,0)</f>
        <v>2</v>
      </c>
      <c r="O330" s="129">
        <f>+VLOOKUP(B330,BOM!$A$8:$AB$1078,28,0)</f>
        <v>6</v>
      </c>
      <c r="P330" s="10" t="str">
        <f t="shared" si="14"/>
        <v/>
      </c>
    </row>
    <row r="331" spans="1:16" ht="15">
      <c r="A331" s="153">
        <v>329</v>
      </c>
      <c r="B331" s="53" t="s">
        <v>623</v>
      </c>
      <c r="C331" s="126" t="s">
        <v>616</v>
      </c>
      <c r="D331" s="55">
        <v>4</v>
      </c>
      <c r="E331" s="81" t="s">
        <v>2443</v>
      </c>
      <c r="F331" s="126" t="s">
        <v>22</v>
      </c>
      <c r="G331" s="126" t="s">
        <v>1664</v>
      </c>
      <c r="H331" s="127">
        <v>32</v>
      </c>
      <c r="I331" s="49" t="s">
        <v>2730</v>
      </c>
      <c r="J331" s="52">
        <v>3</v>
      </c>
      <c r="K331" s="49" t="s">
        <v>3148</v>
      </c>
      <c r="L331" s="49" t="s">
        <v>3242</v>
      </c>
      <c r="M331" s="76">
        <v>45429</v>
      </c>
      <c r="N331" s="128">
        <f>+VLOOKUP(B331,BOM!$A$8:$AB$1078,27,0)</f>
        <v>5</v>
      </c>
      <c r="O331" s="129">
        <f>+VLOOKUP(B331,BOM!$A$8:$AB$1078,28,0)</f>
        <v>6</v>
      </c>
      <c r="P331" s="10" t="str">
        <f t="shared" si="14"/>
        <v/>
      </c>
    </row>
    <row r="332" spans="1:16" ht="15">
      <c r="A332" s="153">
        <v>330</v>
      </c>
      <c r="B332" s="53" t="s">
        <v>703</v>
      </c>
      <c r="C332" s="126" t="s">
        <v>704</v>
      </c>
      <c r="D332" s="55">
        <v>2</v>
      </c>
      <c r="E332" s="81" t="s">
        <v>2443</v>
      </c>
      <c r="F332" s="126" t="s">
        <v>22</v>
      </c>
      <c r="G332" s="126" t="s">
        <v>1664</v>
      </c>
      <c r="H332" s="127">
        <v>16</v>
      </c>
      <c r="I332" s="49" t="s">
        <v>2730</v>
      </c>
      <c r="J332" s="52">
        <v>4</v>
      </c>
      <c r="K332" s="49" t="s">
        <v>3243</v>
      </c>
      <c r="L332" s="49" t="s">
        <v>3244</v>
      </c>
      <c r="M332" s="76">
        <v>45429</v>
      </c>
      <c r="N332" s="128">
        <f>+VLOOKUP(B332,BOM!$A$8:$AB$1078,27,0)</f>
        <v>3</v>
      </c>
      <c r="O332" s="129">
        <f>+VLOOKUP(B332,BOM!$A$8:$AB$1078,28,0)</f>
        <v>6</v>
      </c>
      <c r="P332" s="10" t="str">
        <f t="shared" si="14"/>
        <v/>
      </c>
    </row>
    <row r="333" spans="1:16" ht="15">
      <c r="A333" s="153">
        <v>331</v>
      </c>
      <c r="B333" s="53" t="s">
        <v>713</v>
      </c>
      <c r="C333" s="126" t="s">
        <v>715</v>
      </c>
      <c r="D333" s="55">
        <v>2</v>
      </c>
      <c r="E333" s="81" t="s">
        <v>2443</v>
      </c>
      <c r="F333" s="126" t="s">
        <v>22</v>
      </c>
      <c r="G333" s="126" t="s">
        <v>1664</v>
      </c>
      <c r="H333" s="127">
        <v>8</v>
      </c>
      <c r="I333" s="49" t="s">
        <v>2730</v>
      </c>
      <c r="J333" s="52">
        <v>5</v>
      </c>
      <c r="K333" s="49" t="s">
        <v>3146</v>
      </c>
      <c r="L333" s="49" t="s">
        <v>3245</v>
      </c>
      <c r="M333" s="76">
        <v>45429</v>
      </c>
      <c r="N333" s="128">
        <f>+VLOOKUP(B333,BOM!$A$8:$AB$1078,27,0)</f>
        <v>3</v>
      </c>
      <c r="O333" s="129">
        <f>+VLOOKUP(B333,BOM!$A$8:$AB$1078,28,0)</f>
        <v>6</v>
      </c>
      <c r="P333" s="10" t="str">
        <f t="shared" si="14"/>
        <v/>
      </c>
    </row>
    <row r="334" spans="1:16" ht="15">
      <c r="A334" s="153">
        <v>332</v>
      </c>
      <c r="B334" s="53" t="s">
        <v>2312</v>
      </c>
      <c r="C334" s="126" t="s">
        <v>2314</v>
      </c>
      <c r="D334" s="55">
        <v>8</v>
      </c>
      <c r="E334" s="81" t="s">
        <v>2443</v>
      </c>
      <c r="F334" s="126" t="s">
        <v>22</v>
      </c>
      <c r="G334" s="126" t="s">
        <v>1664</v>
      </c>
      <c r="H334" s="127">
        <v>64</v>
      </c>
      <c r="I334" s="49" t="s">
        <v>2730</v>
      </c>
      <c r="J334" s="52">
        <v>5</v>
      </c>
      <c r="K334" s="49" t="s">
        <v>3246</v>
      </c>
      <c r="L334" s="49" t="s">
        <v>3247</v>
      </c>
      <c r="M334" s="76">
        <v>45429</v>
      </c>
      <c r="N334" s="128">
        <f>+VLOOKUP(B334,BOM!$A$8:$AB$1078,27,0)</f>
        <v>9</v>
      </c>
      <c r="O334" s="129">
        <f>+VLOOKUP(B334,BOM!$A$8:$AB$1078,28,0)</f>
        <v>6</v>
      </c>
      <c r="P334" s="10" t="str">
        <f t="shared" si="14"/>
        <v/>
      </c>
    </row>
    <row r="335" spans="1:16" ht="15">
      <c r="A335" s="153">
        <v>333</v>
      </c>
      <c r="B335" s="53" t="s">
        <v>716</v>
      </c>
      <c r="C335" s="126" t="s">
        <v>717</v>
      </c>
      <c r="D335" s="52">
        <v>10</v>
      </c>
      <c r="E335" s="81" t="s">
        <v>2443</v>
      </c>
      <c r="F335" s="126" t="s">
        <v>22</v>
      </c>
      <c r="G335" s="126" t="s">
        <v>1664</v>
      </c>
      <c r="H335" s="127">
        <v>80</v>
      </c>
      <c r="I335" s="49" t="s">
        <v>2730</v>
      </c>
      <c r="J335" s="52">
        <v>5</v>
      </c>
      <c r="K335" s="49" t="s">
        <v>3248</v>
      </c>
      <c r="L335" s="49" t="s">
        <v>3249</v>
      </c>
      <c r="M335" s="124"/>
      <c r="O335" s="122"/>
    </row>
    <row r="336" spans="1:16" ht="15">
      <c r="A336" s="153">
        <v>334</v>
      </c>
      <c r="B336" s="59" t="s">
        <v>736</v>
      </c>
      <c r="C336" s="126" t="s">
        <v>737</v>
      </c>
      <c r="D336" s="55">
        <v>3</v>
      </c>
      <c r="E336" s="81" t="s">
        <v>2443</v>
      </c>
      <c r="F336" s="126" t="s">
        <v>22</v>
      </c>
      <c r="G336" s="126" t="s">
        <v>1664</v>
      </c>
      <c r="H336" s="127">
        <v>24</v>
      </c>
      <c r="I336" s="49" t="s">
        <v>2730</v>
      </c>
      <c r="J336" s="52">
        <v>5</v>
      </c>
      <c r="K336" s="49" t="s">
        <v>3250</v>
      </c>
      <c r="L336" s="49" t="s">
        <v>3251</v>
      </c>
      <c r="M336" s="76">
        <v>45429</v>
      </c>
      <c r="N336" s="128">
        <f>+VLOOKUP(B336,BOM!$A$8:$AB$1078,27,0)</f>
        <v>4</v>
      </c>
      <c r="O336" s="129">
        <f>+VLOOKUP(B336,BOM!$A$8:$AB$1078,28,0)</f>
        <v>6</v>
      </c>
      <c r="P336" s="10" t="str">
        <f t="shared" ref="P336:P349" si="15">+IF(N336=D336,"ok","")</f>
        <v/>
      </c>
    </row>
    <row r="337" spans="1:16" ht="15">
      <c r="A337" s="153">
        <v>335</v>
      </c>
      <c r="B337" s="53" t="s">
        <v>692</v>
      </c>
      <c r="C337" s="126" t="s">
        <v>693</v>
      </c>
      <c r="D337" s="52">
        <v>7</v>
      </c>
      <c r="E337" s="81" t="s">
        <v>2443</v>
      </c>
      <c r="F337" s="126" t="s">
        <v>22</v>
      </c>
      <c r="G337" s="126" t="s">
        <v>1664</v>
      </c>
      <c r="H337" s="127">
        <v>160</v>
      </c>
      <c r="I337" s="49" t="s">
        <v>3252</v>
      </c>
      <c r="J337" s="52">
        <v>3</v>
      </c>
      <c r="K337" s="49"/>
      <c r="L337" s="49" t="s">
        <v>3253</v>
      </c>
      <c r="M337" s="76">
        <v>45702</v>
      </c>
      <c r="N337" s="128">
        <f>+VLOOKUP(B337,BOM!$A$8:$AB$1078,27,0)</f>
        <v>14</v>
      </c>
      <c r="O337" s="129" t="str">
        <f>+VLOOKUP(B337,BOM!$A$8:$AB$1078,28,0)</f>
        <v xml:space="preserve">3xC + 2X0 </v>
      </c>
      <c r="P337" s="10" t="str">
        <f t="shared" si="15"/>
        <v/>
      </c>
    </row>
    <row r="338" spans="1:16" ht="15">
      <c r="A338" s="153">
        <v>336</v>
      </c>
      <c r="B338" s="53" t="s">
        <v>493</v>
      </c>
      <c r="C338" s="126" t="s">
        <v>495</v>
      </c>
      <c r="D338" s="52">
        <v>2</v>
      </c>
      <c r="E338" s="81" t="s">
        <v>2595</v>
      </c>
      <c r="F338" s="126" t="s">
        <v>22</v>
      </c>
      <c r="G338" s="126" t="s">
        <v>1664</v>
      </c>
      <c r="H338" s="127">
        <v>16</v>
      </c>
      <c r="I338" s="49" t="s">
        <v>2769</v>
      </c>
      <c r="J338" s="52">
        <v>4</v>
      </c>
      <c r="K338" s="49" t="s">
        <v>3216</v>
      </c>
      <c r="L338" s="49" t="s">
        <v>3254</v>
      </c>
      <c r="M338" s="76">
        <v>45702</v>
      </c>
      <c r="N338" s="128">
        <f>+VLOOKUP(B338,BOM!$A$8:$AB$1078,27,0)</f>
        <v>3</v>
      </c>
      <c r="O338" s="129">
        <f>+VLOOKUP(B338,BOM!$A$8:$AB$1078,28,0)</f>
        <v>7</v>
      </c>
      <c r="P338" s="10" t="str">
        <f t="shared" si="15"/>
        <v/>
      </c>
    </row>
    <row r="339" spans="1:16" ht="15">
      <c r="A339" s="153">
        <v>337</v>
      </c>
      <c r="B339" s="53" t="s">
        <v>2334</v>
      </c>
      <c r="C339" s="126" t="s">
        <v>232</v>
      </c>
      <c r="D339" s="52">
        <v>3</v>
      </c>
      <c r="E339" s="81" t="s">
        <v>2595</v>
      </c>
      <c r="F339" s="126" t="s">
        <v>22</v>
      </c>
      <c r="G339" s="126" t="s">
        <v>1664</v>
      </c>
      <c r="H339" s="127">
        <v>24</v>
      </c>
      <c r="I339" s="49" t="s">
        <v>2769</v>
      </c>
      <c r="J339" s="52">
        <v>4</v>
      </c>
      <c r="K339" s="49" t="s">
        <v>3255</v>
      </c>
      <c r="L339" s="49" t="s">
        <v>3256</v>
      </c>
      <c r="M339" s="76">
        <v>45702</v>
      </c>
      <c r="N339" s="128">
        <f>+VLOOKUP(B339,BOM!$A$8:$AB$1078,27,0)</f>
        <v>4</v>
      </c>
      <c r="O339" s="129">
        <f>+VLOOKUP(B339,BOM!$A$8:$AB$1078,28,0)</f>
        <v>7</v>
      </c>
      <c r="P339" s="10" t="str">
        <f t="shared" si="15"/>
        <v/>
      </c>
    </row>
    <row r="340" spans="1:16" ht="15">
      <c r="A340" s="153">
        <v>338</v>
      </c>
      <c r="B340" s="53" t="s">
        <v>527</v>
      </c>
      <c r="C340" s="126" t="s">
        <v>529</v>
      </c>
      <c r="D340" s="52">
        <v>1</v>
      </c>
      <c r="E340" s="81" t="s">
        <v>2388</v>
      </c>
      <c r="F340" s="126" t="s">
        <v>22</v>
      </c>
      <c r="G340" s="126" t="s">
        <v>1664</v>
      </c>
      <c r="H340" s="127">
        <v>16</v>
      </c>
      <c r="I340" s="49" t="s">
        <v>2772</v>
      </c>
      <c r="J340" s="52">
        <v>1</v>
      </c>
      <c r="K340" s="49"/>
      <c r="L340" s="49" t="s">
        <v>3257</v>
      </c>
      <c r="M340" s="76">
        <v>45702</v>
      </c>
      <c r="N340" s="128">
        <f>+VLOOKUP(B340,BOM!$A$8:$AB$1078,27,0)</f>
        <v>4</v>
      </c>
      <c r="O340" s="129" t="str">
        <f>+VLOOKUP(B340,BOM!$A$8:$AB$1078,28,0)</f>
        <v>1xB + 2xC</v>
      </c>
      <c r="P340" s="10" t="str">
        <f t="shared" si="15"/>
        <v/>
      </c>
    </row>
    <row r="341" spans="1:16" ht="15">
      <c r="A341" s="153">
        <v>339</v>
      </c>
      <c r="B341" s="53" t="s">
        <v>666</v>
      </c>
      <c r="C341" s="126" t="s">
        <v>667</v>
      </c>
      <c r="D341" s="52">
        <v>4</v>
      </c>
      <c r="E341" s="81" t="s">
        <v>2388</v>
      </c>
      <c r="F341" s="126" t="s">
        <v>22</v>
      </c>
      <c r="G341" s="126" t="s">
        <v>1664</v>
      </c>
      <c r="H341" s="127">
        <v>32</v>
      </c>
      <c r="I341" s="49" t="s">
        <v>2772</v>
      </c>
      <c r="J341" s="52">
        <v>1</v>
      </c>
      <c r="K341" s="49"/>
      <c r="L341" s="49" t="s">
        <v>3258</v>
      </c>
      <c r="M341" s="76">
        <v>45702</v>
      </c>
      <c r="N341" s="128">
        <f>+VLOOKUP(B341,BOM!$A$8:$AB$1078,27,0)</f>
        <v>5</v>
      </c>
      <c r="O341" s="129" t="str">
        <f>+VLOOKUP(B341,BOM!$A$8:$AB$1078,28,0)</f>
        <v>4xB + 4x5</v>
      </c>
      <c r="P341" s="10" t="str">
        <f t="shared" si="15"/>
        <v/>
      </c>
    </row>
    <row r="342" spans="1:16" ht="15">
      <c r="A342" s="153">
        <v>340</v>
      </c>
      <c r="B342" s="53" t="s">
        <v>240</v>
      </c>
      <c r="C342" s="126" t="s">
        <v>242</v>
      </c>
      <c r="D342" s="52">
        <v>2</v>
      </c>
      <c r="E342" s="81" t="s">
        <v>2388</v>
      </c>
      <c r="F342" s="126" t="s">
        <v>22</v>
      </c>
      <c r="G342" s="126" t="s">
        <v>1664</v>
      </c>
      <c r="H342" s="127">
        <v>128</v>
      </c>
      <c r="I342" s="49" t="s">
        <v>2772</v>
      </c>
      <c r="J342" s="52">
        <v>2</v>
      </c>
      <c r="K342" s="49"/>
      <c r="L342" s="49" t="s">
        <v>3259</v>
      </c>
      <c r="M342" s="76">
        <v>45702</v>
      </c>
      <c r="N342" s="128">
        <f>+VLOOKUP(B342,BOM!$A$8:$AB$1078,27,0)</f>
        <v>17</v>
      </c>
      <c r="O342" s="129" t="str">
        <f>+VLOOKUP(B342,BOM!$A$8:$AB$1078,28,0)</f>
        <v>2xA + 12xC</v>
      </c>
      <c r="P342" s="10" t="str">
        <f t="shared" si="15"/>
        <v/>
      </c>
    </row>
    <row r="343" spans="1:16" ht="15">
      <c r="A343" s="153">
        <v>341</v>
      </c>
      <c r="B343" s="53" t="s">
        <v>243</v>
      </c>
      <c r="C343" s="126" t="s">
        <v>242</v>
      </c>
      <c r="D343" s="52">
        <v>2</v>
      </c>
      <c r="E343" s="81" t="s">
        <v>2388</v>
      </c>
      <c r="F343" s="126" t="s">
        <v>22</v>
      </c>
      <c r="G343" s="126" t="s">
        <v>1664</v>
      </c>
      <c r="H343" s="127">
        <v>24</v>
      </c>
      <c r="I343" s="49" t="s">
        <v>2772</v>
      </c>
      <c r="J343" s="52">
        <v>2</v>
      </c>
      <c r="K343" s="49"/>
      <c r="L343" s="49" t="s">
        <v>3260</v>
      </c>
      <c r="M343" s="76">
        <v>45702</v>
      </c>
      <c r="N343" s="128">
        <f>+VLOOKUP(B343,BOM!$A$8:$AB$1078,27,0)</f>
        <v>5</v>
      </c>
      <c r="O343" s="129" t="str">
        <f>+VLOOKUP(B343,BOM!$A$8:$AB$1078,28,0)</f>
        <v>2xA + 2xC</v>
      </c>
      <c r="P343" s="10" t="str">
        <f t="shared" si="15"/>
        <v/>
      </c>
    </row>
    <row r="344" spans="1:16" ht="15">
      <c r="A344" s="153">
        <v>342</v>
      </c>
      <c r="B344" s="53" t="s">
        <v>245</v>
      </c>
      <c r="C344" s="126" t="s">
        <v>242</v>
      </c>
      <c r="D344" s="55">
        <v>2</v>
      </c>
      <c r="E344" s="81" t="s">
        <v>2388</v>
      </c>
      <c r="F344" s="126" t="s">
        <v>22</v>
      </c>
      <c r="G344" s="126" t="s">
        <v>1664</v>
      </c>
      <c r="H344" s="127">
        <v>16</v>
      </c>
      <c r="I344" s="49" t="s">
        <v>2772</v>
      </c>
      <c r="J344" s="52">
        <v>2</v>
      </c>
      <c r="K344" s="49"/>
      <c r="L344" s="49" t="s">
        <v>3261</v>
      </c>
      <c r="M344" s="76">
        <v>45429</v>
      </c>
      <c r="N344" s="128">
        <f>+VLOOKUP(B344,BOM!$A$8:$AB$1078,27,0)</f>
        <v>3</v>
      </c>
      <c r="O344" s="129" t="str">
        <f>+VLOOKUP(B344,BOM!$A$8:$AB$1078,28,0)</f>
        <v>2xA + 2xC</v>
      </c>
      <c r="P344" s="10" t="str">
        <f t="shared" si="15"/>
        <v/>
      </c>
    </row>
    <row r="345" spans="1:16" ht="15">
      <c r="A345" s="153">
        <v>343</v>
      </c>
      <c r="B345" s="59" t="s">
        <v>248</v>
      </c>
      <c r="C345" s="126" t="s">
        <v>242</v>
      </c>
      <c r="D345" s="55">
        <v>2</v>
      </c>
      <c r="E345" s="81" t="s">
        <v>2388</v>
      </c>
      <c r="F345" s="126" t="s">
        <v>22</v>
      </c>
      <c r="G345" s="126" t="s">
        <v>1664</v>
      </c>
      <c r="H345" s="127">
        <v>48</v>
      </c>
      <c r="I345" s="49" t="s">
        <v>2772</v>
      </c>
      <c r="J345" s="52">
        <v>2</v>
      </c>
      <c r="K345" s="49"/>
      <c r="L345" s="49" t="s">
        <v>3262</v>
      </c>
      <c r="M345" s="76">
        <v>45429</v>
      </c>
      <c r="N345" s="128">
        <f>+VLOOKUP(B345,BOM!$A$8:$AB$1078,27,0)</f>
        <v>7</v>
      </c>
      <c r="O345" s="129" t="str">
        <f>+VLOOKUP(B345,BOM!$A$8:$AB$1078,28,0)</f>
        <v>2xA + 6xC</v>
      </c>
      <c r="P345" s="10" t="str">
        <f t="shared" si="15"/>
        <v/>
      </c>
    </row>
    <row r="346" spans="1:16" ht="15">
      <c r="A346" s="153">
        <v>344</v>
      </c>
      <c r="B346" s="59" t="s">
        <v>250</v>
      </c>
      <c r="C346" s="126" t="s">
        <v>242</v>
      </c>
      <c r="D346" s="55">
        <v>2</v>
      </c>
      <c r="E346" s="81" t="s">
        <v>2388</v>
      </c>
      <c r="F346" s="126" t="s">
        <v>22</v>
      </c>
      <c r="G346" s="126" t="s">
        <v>1664</v>
      </c>
      <c r="H346" s="127">
        <v>48</v>
      </c>
      <c r="I346" s="49" t="s">
        <v>2772</v>
      </c>
      <c r="J346" s="52">
        <v>2</v>
      </c>
      <c r="K346" s="49" t="s">
        <v>3263</v>
      </c>
      <c r="L346" s="49" t="s">
        <v>3264</v>
      </c>
      <c r="M346" s="76">
        <v>45429</v>
      </c>
      <c r="N346" s="128">
        <f>+VLOOKUP(B346,BOM!$A$8:$AB$1078,27,0)</f>
        <v>6</v>
      </c>
      <c r="O346" s="129" t="str">
        <f>+VLOOKUP(B346,BOM!$A$8:$AB$1078,28,0)</f>
        <v>A</v>
      </c>
      <c r="P346" s="10" t="str">
        <f t="shared" si="15"/>
        <v/>
      </c>
    </row>
    <row r="347" spans="1:16" ht="15">
      <c r="A347" s="153">
        <v>345</v>
      </c>
      <c r="B347" s="59" t="s">
        <v>252</v>
      </c>
      <c r="C347" s="126" t="s">
        <v>242</v>
      </c>
      <c r="D347" s="55">
        <v>2</v>
      </c>
      <c r="E347" s="81" t="s">
        <v>2388</v>
      </c>
      <c r="F347" s="126" t="s">
        <v>22</v>
      </c>
      <c r="G347" s="126" t="s">
        <v>1664</v>
      </c>
      <c r="H347" s="127">
        <v>32</v>
      </c>
      <c r="I347" s="49" t="s">
        <v>2772</v>
      </c>
      <c r="J347" s="52">
        <v>2</v>
      </c>
      <c r="K347" s="49" t="s">
        <v>3216</v>
      </c>
      <c r="L347" s="49" t="s">
        <v>3265</v>
      </c>
      <c r="M347" s="76">
        <v>45429</v>
      </c>
      <c r="N347" s="128">
        <f>+VLOOKUP(B347,BOM!$A$8:$AB$1078,27,0)</f>
        <v>3</v>
      </c>
      <c r="O347" s="129" t="str">
        <f>+VLOOKUP(B347,BOM!$A$8:$AB$1078,28,0)</f>
        <v>A</v>
      </c>
      <c r="P347" s="10" t="str">
        <f t="shared" si="15"/>
        <v/>
      </c>
    </row>
    <row r="348" spans="1:16" ht="15">
      <c r="A348" s="153">
        <v>346</v>
      </c>
      <c r="B348" s="59" t="s">
        <v>258</v>
      </c>
      <c r="C348" s="126" t="s">
        <v>260</v>
      </c>
      <c r="D348" s="55">
        <v>2</v>
      </c>
      <c r="E348" s="81" t="s">
        <v>2388</v>
      </c>
      <c r="F348" s="126" t="s">
        <v>22</v>
      </c>
      <c r="G348" s="126" t="s">
        <v>1664</v>
      </c>
      <c r="H348" s="127">
        <v>16</v>
      </c>
      <c r="I348" s="49" t="s">
        <v>2772</v>
      </c>
      <c r="J348" s="52">
        <v>2</v>
      </c>
      <c r="K348" s="49" t="s">
        <v>3266</v>
      </c>
      <c r="L348" s="49" t="s">
        <v>3267</v>
      </c>
      <c r="M348" s="76">
        <v>45429</v>
      </c>
      <c r="N348" s="128">
        <f>+VLOOKUP(B348,BOM!$A$8:$AB$1078,27,0)</f>
        <v>3</v>
      </c>
      <c r="O348" s="129" t="str">
        <f>+VLOOKUP(B348,BOM!$A$8:$AB$1078,28,0)</f>
        <v>B</v>
      </c>
      <c r="P348" s="10" t="str">
        <f t="shared" si="15"/>
        <v/>
      </c>
    </row>
    <row r="349" spans="1:16" ht="15">
      <c r="A349" s="153">
        <v>347</v>
      </c>
      <c r="B349" s="53" t="s">
        <v>501</v>
      </c>
      <c r="C349" s="126" t="s">
        <v>503</v>
      </c>
      <c r="D349" s="52">
        <v>1</v>
      </c>
      <c r="E349" s="81" t="s">
        <v>2388</v>
      </c>
      <c r="F349" s="126" t="s">
        <v>22</v>
      </c>
      <c r="G349" s="126" t="s">
        <v>1664</v>
      </c>
      <c r="H349" s="127">
        <v>8</v>
      </c>
      <c r="I349" s="49" t="s">
        <v>2772</v>
      </c>
      <c r="J349" s="52">
        <v>3</v>
      </c>
      <c r="K349" s="49" t="s">
        <v>3154</v>
      </c>
      <c r="L349" s="49" t="s">
        <v>3268</v>
      </c>
      <c r="M349" s="76">
        <v>45702</v>
      </c>
      <c r="N349" s="128">
        <f>+VLOOKUP(B349,BOM!$A$8:$AB$1078,27,0)</f>
        <v>2</v>
      </c>
      <c r="O349" s="129" t="str">
        <f>+VLOOKUP(B349,BOM!$A$8:$AB$1078,28,0)</f>
        <v>A</v>
      </c>
      <c r="P349" s="10" t="str">
        <f t="shared" si="15"/>
        <v/>
      </c>
    </row>
    <row r="350" spans="1:16" ht="15">
      <c r="A350" s="153">
        <v>348</v>
      </c>
      <c r="B350" s="64" t="s">
        <v>552</v>
      </c>
      <c r="C350" s="126" t="s">
        <v>21</v>
      </c>
      <c r="D350" s="55">
        <v>1</v>
      </c>
      <c r="E350" s="81" t="s">
        <v>2388</v>
      </c>
      <c r="F350" s="126" t="s">
        <v>22</v>
      </c>
      <c r="G350" s="126" t="s">
        <v>1664</v>
      </c>
      <c r="H350" s="127">
        <v>8</v>
      </c>
      <c r="I350" s="49" t="s">
        <v>2772</v>
      </c>
      <c r="J350" s="52">
        <v>3</v>
      </c>
      <c r="K350" s="49" t="s">
        <v>3154</v>
      </c>
      <c r="L350" s="49" t="s">
        <v>3269</v>
      </c>
      <c r="M350" s="82"/>
    </row>
    <row r="351" spans="1:16" ht="15">
      <c r="A351" s="153">
        <v>349</v>
      </c>
      <c r="B351" s="53" t="s">
        <v>642</v>
      </c>
      <c r="C351" s="126" t="s">
        <v>643</v>
      </c>
      <c r="D351" s="55">
        <v>2</v>
      </c>
      <c r="E351" s="79" t="s">
        <v>2388</v>
      </c>
      <c r="F351" s="126" t="s">
        <v>22</v>
      </c>
      <c r="G351" s="126" t="s">
        <v>1664</v>
      </c>
      <c r="H351" s="127">
        <v>16</v>
      </c>
      <c r="I351" s="49" t="s">
        <v>2772</v>
      </c>
      <c r="J351" s="52">
        <v>3</v>
      </c>
      <c r="K351" s="49"/>
      <c r="L351" s="49" t="s">
        <v>3270</v>
      </c>
      <c r="M351" s="76">
        <v>45429</v>
      </c>
      <c r="N351" s="128">
        <f>+VLOOKUP(B351,BOM!$A$8:$AB$1078,27,0)</f>
        <v>5</v>
      </c>
      <c r="O351" s="129" t="str">
        <f>+VLOOKUP(B351,BOM!$A$8:$AB$1078,28,0)</f>
        <v>2x3 + 2xA</v>
      </c>
      <c r="P351" s="10" t="str">
        <f>+IF(N351=D351,"ok","")</f>
        <v/>
      </c>
    </row>
    <row r="352" spans="1:16" ht="15">
      <c r="A352" s="153">
        <v>350</v>
      </c>
      <c r="B352" s="53" t="s">
        <v>652</v>
      </c>
      <c r="C352" s="126" t="s">
        <v>654</v>
      </c>
      <c r="D352" s="55">
        <v>4</v>
      </c>
      <c r="E352" s="81" t="s">
        <v>2388</v>
      </c>
      <c r="F352" s="126" t="s">
        <v>22</v>
      </c>
      <c r="G352" s="126" t="s">
        <v>1664</v>
      </c>
      <c r="H352" s="127">
        <v>48</v>
      </c>
      <c r="I352" s="49" t="s">
        <v>2772</v>
      </c>
      <c r="J352" s="52">
        <v>3</v>
      </c>
      <c r="K352" s="49"/>
      <c r="L352" s="49" t="s">
        <v>3271</v>
      </c>
      <c r="M352" s="76">
        <v>45429</v>
      </c>
      <c r="N352" s="128">
        <f>+VLOOKUP(B352,BOM!$A$8:$AB$1078,27,0)</f>
        <v>7</v>
      </c>
      <c r="O352" s="129" t="str">
        <f>+VLOOKUP(B352,BOM!$A$8:$AB$1078,28,0)</f>
        <v>4xA+2x3</v>
      </c>
      <c r="P352" s="10" t="str">
        <f>+IF(N352=D352,"ok","")</f>
        <v/>
      </c>
    </row>
    <row r="353" spans="1:16" ht="15">
      <c r="A353" s="153">
        <v>351</v>
      </c>
      <c r="B353" s="53" t="s">
        <v>670</v>
      </c>
      <c r="C353" s="126" t="s">
        <v>671</v>
      </c>
      <c r="D353" s="55">
        <v>2</v>
      </c>
      <c r="E353" s="81" t="s">
        <v>2388</v>
      </c>
      <c r="F353" s="126" t="s">
        <v>22</v>
      </c>
      <c r="G353" s="126" t="s">
        <v>1664</v>
      </c>
      <c r="H353" s="127">
        <v>32</v>
      </c>
      <c r="I353" s="49" t="s">
        <v>2772</v>
      </c>
      <c r="J353" s="52">
        <v>3</v>
      </c>
      <c r="K353" s="49"/>
      <c r="L353" s="49" t="s">
        <v>3272</v>
      </c>
      <c r="M353" s="76">
        <v>45429</v>
      </c>
      <c r="N353" s="128">
        <f>+VLOOKUP(B353,BOM!$A$8:$AB$1078,27,0)</f>
        <v>7</v>
      </c>
      <c r="O353" s="129" t="str">
        <f>+VLOOKUP(B353,BOM!$A$8:$AB$1078,28,0)</f>
        <v>4x3 + 2xA</v>
      </c>
      <c r="P353" s="10" t="str">
        <f>+IF(N353=D353,"ok","")</f>
        <v/>
      </c>
    </row>
    <row r="354" spans="1:16" ht="15">
      <c r="A354" s="153">
        <v>352</v>
      </c>
      <c r="B354" s="53" t="s">
        <v>728</v>
      </c>
      <c r="C354" s="126" t="s">
        <v>643</v>
      </c>
      <c r="D354" s="55">
        <v>18</v>
      </c>
      <c r="E354" s="47" t="s">
        <v>2388</v>
      </c>
      <c r="F354" s="126" t="s">
        <v>22</v>
      </c>
      <c r="G354" s="126" t="s">
        <v>1686</v>
      </c>
      <c r="H354" s="127">
        <v>80</v>
      </c>
      <c r="I354" s="49" t="s">
        <v>2772</v>
      </c>
      <c r="J354" s="52">
        <v>3</v>
      </c>
      <c r="K354" s="49" t="s">
        <v>3273</v>
      </c>
      <c r="L354" s="49" t="s">
        <v>3274</v>
      </c>
      <c r="M354" s="76">
        <v>45429</v>
      </c>
      <c r="N354" s="128">
        <f>+VLOOKUP(B354,BOM!$A$8:$AB$1078,27,0)</f>
        <v>31</v>
      </c>
      <c r="O354" s="129" t="str">
        <f>+VLOOKUP(B354,BOM!$A$8:$AB$1078,28,0)</f>
        <v>10x3 + 8xA + 8xB</v>
      </c>
      <c r="P354" s="10">
        <v>1</v>
      </c>
    </row>
    <row r="355" spans="1:16" ht="15">
      <c r="A355" s="153">
        <v>353</v>
      </c>
      <c r="B355" s="53" t="s">
        <v>631</v>
      </c>
      <c r="C355" s="126" t="s">
        <v>632</v>
      </c>
      <c r="D355" s="55">
        <v>4</v>
      </c>
      <c r="E355" s="47" t="s">
        <v>2388</v>
      </c>
      <c r="F355" s="126" t="s">
        <v>22</v>
      </c>
      <c r="G355" s="126" t="s">
        <v>1664</v>
      </c>
      <c r="H355" s="127">
        <v>64</v>
      </c>
      <c r="I355" s="49" t="s">
        <v>2772</v>
      </c>
      <c r="J355" s="52">
        <v>4</v>
      </c>
      <c r="K355" s="49"/>
      <c r="L355" s="49" t="s">
        <v>3275</v>
      </c>
      <c r="M355" s="76">
        <v>45429</v>
      </c>
      <c r="N355" s="128">
        <f>+VLOOKUP(B355,BOM!$A$8:$AB$1078,27,0)</f>
        <v>9</v>
      </c>
      <c r="O355" s="129" t="str">
        <f>+VLOOKUP(B355,BOM!$A$8:$AB$1078,28,0)</f>
        <v>4xA+2x3</v>
      </c>
      <c r="P355" s="10">
        <v>1</v>
      </c>
    </row>
    <row r="356" spans="1:16" ht="15">
      <c r="A356" s="153">
        <v>354</v>
      </c>
      <c r="B356" s="59" t="s">
        <v>719</v>
      </c>
      <c r="C356" s="126" t="s">
        <v>673</v>
      </c>
      <c r="D356" s="55">
        <v>2</v>
      </c>
      <c r="E356" s="81" t="s">
        <v>2388</v>
      </c>
      <c r="F356" s="126" t="s">
        <v>22</v>
      </c>
      <c r="G356" s="126" t="s">
        <v>1664</v>
      </c>
      <c r="H356" s="127">
        <v>16</v>
      </c>
      <c r="I356" s="49" t="s">
        <v>2772</v>
      </c>
      <c r="J356" s="52">
        <v>5</v>
      </c>
      <c r="K356" s="49" t="s">
        <v>3216</v>
      </c>
      <c r="L356" s="49" t="s">
        <v>3276</v>
      </c>
      <c r="M356" s="76">
        <v>45429</v>
      </c>
      <c r="N356" s="128">
        <f>+VLOOKUP(B356,BOM!$A$8:$AB$1078,27,0)</f>
        <v>3</v>
      </c>
      <c r="O356" s="129">
        <f>+VLOOKUP(B356,BOM!$A$8:$AB$1078,28,0)</f>
        <v>3</v>
      </c>
      <c r="P356" s="10" t="str">
        <f>+IF(N356=D356,"ok","")</f>
        <v/>
      </c>
    </row>
    <row r="357" spans="1:16" ht="15">
      <c r="A357" s="153">
        <v>355</v>
      </c>
      <c r="B357" s="53" t="s">
        <v>1855</v>
      </c>
      <c r="C357" s="126" t="s">
        <v>1856</v>
      </c>
      <c r="D357" s="55">
        <v>1</v>
      </c>
      <c r="E357" s="81" t="s">
        <v>2391</v>
      </c>
      <c r="F357" s="126" t="s">
        <v>22</v>
      </c>
      <c r="G357" s="126" t="s">
        <v>1664</v>
      </c>
      <c r="H357" s="127">
        <v>0</v>
      </c>
      <c r="I357" s="49" t="s">
        <v>2634</v>
      </c>
      <c r="J357" s="52">
        <v>5</v>
      </c>
      <c r="K357" s="49"/>
      <c r="L357" s="49" t="s">
        <v>3277</v>
      </c>
      <c r="M357" s="76">
        <v>45429</v>
      </c>
      <c r="N357" s="128">
        <f>+VLOOKUP(B357,BOM!$A$8:$AB$1078,27,0)</f>
        <v>1</v>
      </c>
      <c r="O357" s="129" t="str">
        <f>+VLOOKUP(B357,BOM!$A$8:$AB$1078,28,0)</f>
        <v>C</v>
      </c>
      <c r="P357" s="10" t="str">
        <f>+IF(N357=D357,"ok","")</f>
        <v>ok</v>
      </c>
    </row>
    <row r="358" spans="1:16" ht="15">
      <c r="A358" s="153">
        <v>356</v>
      </c>
      <c r="B358" s="53" t="s">
        <v>109</v>
      </c>
      <c r="C358" s="126" t="s">
        <v>111</v>
      </c>
      <c r="D358" s="55">
        <v>1</v>
      </c>
      <c r="E358" s="81" t="s">
        <v>2391</v>
      </c>
      <c r="F358" s="126" t="s">
        <v>22</v>
      </c>
      <c r="G358" s="126" t="s">
        <v>1664</v>
      </c>
      <c r="H358" s="127">
        <v>16</v>
      </c>
      <c r="I358" s="49" t="s">
        <v>2791</v>
      </c>
      <c r="J358" s="52">
        <v>1</v>
      </c>
      <c r="K358" s="49" t="s">
        <v>3154</v>
      </c>
      <c r="L358" s="49" t="s">
        <v>3278</v>
      </c>
      <c r="M358" s="76">
        <v>45429</v>
      </c>
      <c r="N358" s="128">
        <f>+VLOOKUP(B358,BOM!$A$8:$AB$1078,27,0)</f>
        <v>2</v>
      </c>
      <c r="O358" s="129" t="str">
        <f>+VLOOKUP(B358,BOM!$A$8:$AB$1078,28,0)</f>
        <v>D</v>
      </c>
      <c r="P358" s="10" t="str">
        <f>+IF(N358=D358,"ok","")</f>
        <v/>
      </c>
    </row>
    <row r="359" spans="1:16" ht="15">
      <c r="A359" s="153">
        <v>357</v>
      </c>
      <c r="B359" s="53" t="s">
        <v>240</v>
      </c>
      <c r="C359" s="126" t="s">
        <v>242</v>
      </c>
      <c r="D359" s="52">
        <v>13</v>
      </c>
      <c r="E359" s="81" t="s">
        <v>2391</v>
      </c>
      <c r="F359" s="126" t="s">
        <v>22</v>
      </c>
      <c r="G359" s="126" t="s">
        <v>1664</v>
      </c>
      <c r="H359" s="127">
        <v>128</v>
      </c>
      <c r="I359" s="49" t="s">
        <v>2791</v>
      </c>
      <c r="J359" s="52">
        <v>1</v>
      </c>
      <c r="K359" s="49" t="s">
        <v>3279</v>
      </c>
      <c r="L359" s="49" t="s">
        <v>3280</v>
      </c>
      <c r="M359" s="124"/>
      <c r="O359" s="122"/>
    </row>
    <row r="360" spans="1:16" ht="15">
      <c r="A360" s="153">
        <v>358</v>
      </c>
      <c r="B360" s="53" t="s">
        <v>246</v>
      </c>
      <c r="C360" s="126" t="s">
        <v>242</v>
      </c>
      <c r="D360" s="55">
        <v>1</v>
      </c>
      <c r="E360" s="81" t="s">
        <v>2391</v>
      </c>
      <c r="F360" s="126" t="s">
        <v>22</v>
      </c>
      <c r="G360" s="126" t="s">
        <v>1664</v>
      </c>
      <c r="H360" s="127">
        <v>24</v>
      </c>
      <c r="I360" s="49" t="s">
        <v>2791</v>
      </c>
      <c r="J360" s="52">
        <v>1</v>
      </c>
      <c r="K360" s="139" t="s">
        <v>3154</v>
      </c>
      <c r="L360" s="139" t="s">
        <v>3281</v>
      </c>
      <c r="M360" s="76">
        <v>45533</v>
      </c>
      <c r="N360" s="128">
        <f>+VLOOKUP(B360,BOM!$A$8:$AB$1078,27,0)</f>
        <v>2</v>
      </c>
      <c r="O360" s="129" t="str">
        <f>+VLOOKUP(B360,BOM!$A$8:$AB$1078,28,0)</f>
        <v>C</v>
      </c>
      <c r="P360" s="10" t="str">
        <f t="shared" ref="P360:P385" si="16">+IF(N360=D360,"ok","")</f>
        <v/>
      </c>
    </row>
    <row r="361" spans="1:16" ht="15">
      <c r="A361" s="153">
        <v>359</v>
      </c>
      <c r="B361" s="59" t="s">
        <v>251</v>
      </c>
      <c r="C361" s="126" t="s">
        <v>242</v>
      </c>
      <c r="D361" s="55">
        <v>3</v>
      </c>
      <c r="E361" s="81" t="s">
        <v>2391</v>
      </c>
      <c r="F361" s="126" t="s">
        <v>22</v>
      </c>
      <c r="G361" s="126" t="s">
        <v>1664</v>
      </c>
      <c r="H361" s="127">
        <v>16</v>
      </c>
      <c r="I361" s="49" t="s">
        <v>2791</v>
      </c>
      <c r="J361" s="52">
        <v>1</v>
      </c>
      <c r="K361" s="139" t="s">
        <v>3236</v>
      </c>
      <c r="L361" s="139" t="s">
        <v>3282</v>
      </c>
      <c r="M361" s="76">
        <v>45429</v>
      </c>
      <c r="N361" s="128">
        <f>+VLOOKUP(B361,BOM!$A$8:$AB$1078,27,0)</f>
        <v>4</v>
      </c>
      <c r="O361" s="129" t="str">
        <f>+VLOOKUP(B361,BOM!$A$8:$AB$1078,28,0)</f>
        <v>C</v>
      </c>
      <c r="P361" s="10" t="str">
        <f t="shared" si="16"/>
        <v/>
      </c>
    </row>
    <row r="362" spans="1:16" ht="15">
      <c r="A362" s="153">
        <v>360</v>
      </c>
      <c r="B362" s="59" t="s">
        <v>754</v>
      </c>
      <c r="C362" s="126" t="s">
        <v>492</v>
      </c>
      <c r="D362" s="55">
        <v>2</v>
      </c>
      <c r="E362" s="81" t="s">
        <v>2391</v>
      </c>
      <c r="F362" s="126" t="s">
        <v>22</v>
      </c>
      <c r="G362" s="126" t="s">
        <v>1664</v>
      </c>
      <c r="H362" s="127">
        <v>16</v>
      </c>
      <c r="I362" s="49" t="s">
        <v>2791</v>
      </c>
      <c r="J362" s="52">
        <v>1</v>
      </c>
      <c r="K362" s="139" t="s">
        <v>3146</v>
      </c>
      <c r="L362" s="139" t="s">
        <v>3283</v>
      </c>
      <c r="M362" s="76">
        <v>45429</v>
      </c>
      <c r="N362" s="128">
        <f>+VLOOKUP(B362,BOM!$A$8:$AB$1078,27,0)</f>
        <v>3</v>
      </c>
      <c r="O362" s="129" t="str">
        <f>+VLOOKUP(B362,BOM!$A$8:$AB$1078,28,0)</f>
        <v>D</v>
      </c>
      <c r="P362" s="10" t="str">
        <f t="shared" si="16"/>
        <v/>
      </c>
    </row>
    <row r="363" spans="1:16" ht="15">
      <c r="A363" s="153">
        <v>361</v>
      </c>
      <c r="B363" s="53" t="s">
        <v>243</v>
      </c>
      <c r="C363" s="126" t="s">
        <v>242</v>
      </c>
      <c r="D363" s="55">
        <v>2</v>
      </c>
      <c r="E363" s="81" t="s">
        <v>2391</v>
      </c>
      <c r="F363" s="126" t="s">
        <v>22</v>
      </c>
      <c r="G363" s="126" t="s">
        <v>1664</v>
      </c>
      <c r="H363" s="127">
        <v>24</v>
      </c>
      <c r="I363" s="49" t="s">
        <v>2791</v>
      </c>
      <c r="J363" s="52">
        <v>2</v>
      </c>
      <c r="K363" s="139"/>
      <c r="L363" s="139" t="s">
        <v>3284</v>
      </c>
      <c r="M363" s="76">
        <v>45429</v>
      </c>
      <c r="N363" s="128">
        <f>+VLOOKUP(B363,BOM!$A$8:$AB$1078,27,0)</f>
        <v>5</v>
      </c>
      <c r="O363" s="129" t="str">
        <f>+VLOOKUP(B363,BOM!$A$8:$AB$1078,28,0)</f>
        <v>2xA + 2xC</v>
      </c>
      <c r="P363" s="10" t="str">
        <f t="shared" si="16"/>
        <v/>
      </c>
    </row>
    <row r="364" spans="1:16" ht="15">
      <c r="A364" s="153">
        <v>362</v>
      </c>
      <c r="B364" s="53" t="s">
        <v>245</v>
      </c>
      <c r="C364" s="126" t="s">
        <v>242</v>
      </c>
      <c r="D364" s="55">
        <v>1</v>
      </c>
      <c r="E364" s="81" t="s">
        <v>2391</v>
      </c>
      <c r="F364" s="126" t="s">
        <v>22</v>
      </c>
      <c r="G364" s="126" t="s">
        <v>1664</v>
      </c>
      <c r="H364" s="127">
        <v>16</v>
      </c>
      <c r="I364" s="49" t="s">
        <v>2791</v>
      </c>
      <c r="J364" s="52">
        <v>2</v>
      </c>
      <c r="K364" s="139"/>
      <c r="L364" s="139" t="s">
        <v>3285</v>
      </c>
      <c r="M364" s="76">
        <v>45429</v>
      </c>
      <c r="N364" s="128">
        <f>+VLOOKUP(B364,BOM!$A$8:$AB$1078,27,0)</f>
        <v>3</v>
      </c>
      <c r="O364" s="129" t="str">
        <f>+VLOOKUP(B364,BOM!$A$8:$AB$1078,28,0)</f>
        <v>2xA + 2xC</v>
      </c>
      <c r="P364" s="10" t="str">
        <f t="shared" si="16"/>
        <v/>
      </c>
    </row>
    <row r="365" spans="1:16" ht="15">
      <c r="A365" s="153">
        <v>363</v>
      </c>
      <c r="B365" s="53" t="s">
        <v>248</v>
      </c>
      <c r="C365" s="126" t="s">
        <v>242</v>
      </c>
      <c r="D365" s="55">
        <v>4</v>
      </c>
      <c r="E365" s="81" t="s">
        <v>2391</v>
      </c>
      <c r="F365" s="126" t="s">
        <v>22</v>
      </c>
      <c r="G365" s="126" t="s">
        <v>1664</v>
      </c>
      <c r="H365" s="127">
        <v>48</v>
      </c>
      <c r="I365" s="49" t="s">
        <v>2791</v>
      </c>
      <c r="J365" s="52">
        <v>2</v>
      </c>
      <c r="K365" s="49" t="s">
        <v>3286</v>
      </c>
      <c r="L365" s="49" t="s">
        <v>3287</v>
      </c>
      <c r="M365" s="76">
        <v>45429</v>
      </c>
      <c r="N365" s="128">
        <f>+VLOOKUP(B365,BOM!$A$8:$AB$1078,27,0)</f>
        <v>7</v>
      </c>
      <c r="O365" s="129" t="str">
        <f>+VLOOKUP(B365,BOM!$A$8:$AB$1078,28,0)</f>
        <v>2xA + 6xC</v>
      </c>
      <c r="P365" s="10" t="str">
        <f t="shared" si="16"/>
        <v/>
      </c>
    </row>
    <row r="366" spans="1:16" ht="15">
      <c r="A366" s="153">
        <v>364</v>
      </c>
      <c r="B366" s="53" t="s">
        <v>250</v>
      </c>
      <c r="C366" s="126" t="s">
        <v>242</v>
      </c>
      <c r="D366" s="55">
        <v>3</v>
      </c>
      <c r="E366" s="81" t="s">
        <v>2391</v>
      </c>
      <c r="F366" s="126" t="s">
        <v>22</v>
      </c>
      <c r="G366" s="126" t="s">
        <v>1664</v>
      </c>
      <c r="H366" s="127">
        <v>48</v>
      </c>
      <c r="I366" s="49" t="s">
        <v>2791</v>
      </c>
      <c r="J366" s="52">
        <v>2</v>
      </c>
      <c r="K366" s="49"/>
      <c r="L366" s="49" t="s">
        <v>3288</v>
      </c>
      <c r="M366" s="76">
        <v>45429</v>
      </c>
      <c r="N366" s="128">
        <f>+VLOOKUP(B366,BOM!$A$8:$AB$1078,27,0)</f>
        <v>6</v>
      </c>
      <c r="O366" s="129" t="str">
        <f>+VLOOKUP(B366,BOM!$A$8:$AB$1078,28,0)</f>
        <v>A</v>
      </c>
      <c r="P366" s="10" t="str">
        <f t="shared" si="16"/>
        <v/>
      </c>
    </row>
    <row r="367" spans="1:16" ht="15">
      <c r="A367" s="153">
        <v>365</v>
      </c>
      <c r="B367" s="59" t="s">
        <v>264</v>
      </c>
      <c r="C367" s="126" t="s">
        <v>265</v>
      </c>
      <c r="D367" s="55">
        <v>1</v>
      </c>
      <c r="E367" s="81" t="s">
        <v>2391</v>
      </c>
      <c r="F367" s="126" t="s">
        <v>22</v>
      </c>
      <c r="G367" s="126" t="s">
        <v>1664</v>
      </c>
      <c r="H367" s="127">
        <v>8</v>
      </c>
      <c r="I367" s="49" t="s">
        <v>2791</v>
      </c>
      <c r="J367" s="52">
        <v>2</v>
      </c>
      <c r="K367" s="139" t="s">
        <v>3154</v>
      </c>
      <c r="L367" s="139" t="s">
        <v>3289</v>
      </c>
      <c r="M367" s="76">
        <v>45429</v>
      </c>
      <c r="N367" s="128">
        <f>+VLOOKUP(B367,BOM!$A$8:$AB$1078,27,0)</f>
        <v>2</v>
      </c>
      <c r="O367" s="129" t="str">
        <f>+VLOOKUP(B367,BOM!$A$8:$AB$1078,28,0)</f>
        <v>C</v>
      </c>
      <c r="P367" s="10" t="str">
        <f t="shared" si="16"/>
        <v/>
      </c>
    </row>
    <row r="368" spans="1:16" ht="15">
      <c r="A368" s="153">
        <v>366</v>
      </c>
      <c r="B368" s="59" t="s">
        <v>469</v>
      </c>
      <c r="C368" s="54" t="s">
        <v>471</v>
      </c>
      <c r="D368" s="55">
        <v>2</v>
      </c>
      <c r="E368" s="81" t="s">
        <v>2391</v>
      </c>
      <c r="F368" s="49" t="s">
        <v>22</v>
      </c>
      <c r="G368" s="126" t="s">
        <v>1664</v>
      </c>
      <c r="H368" s="127">
        <v>16</v>
      </c>
      <c r="I368" s="49" t="s">
        <v>2791</v>
      </c>
      <c r="J368" s="52">
        <v>3</v>
      </c>
      <c r="K368" s="49" t="s">
        <v>3216</v>
      </c>
      <c r="L368" s="49" t="s">
        <v>3290</v>
      </c>
      <c r="M368" s="124">
        <v>45702</v>
      </c>
      <c r="N368" s="128">
        <f>+VLOOKUP(B368,BOM!$A$8:$AB$1078,27,0)</f>
        <v>3</v>
      </c>
      <c r="O368" s="129" t="str">
        <f>+VLOOKUP(B368,BOM!$A$8:$AB$1078,28,0)</f>
        <v>C</v>
      </c>
      <c r="P368" s="10" t="str">
        <f t="shared" si="16"/>
        <v/>
      </c>
    </row>
    <row r="369" spans="1:16" ht="15">
      <c r="A369" s="153">
        <v>367</v>
      </c>
      <c r="B369" s="59" t="s">
        <v>476</v>
      </c>
      <c r="C369" s="126" t="s">
        <v>477</v>
      </c>
      <c r="D369" s="55">
        <v>4</v>
      </c>
      <c r="E369" s="81" t="s">
        <v>2391</v>
      </c>
      <c r="F369" s="126" t="s">
        <v>22</v>
      </c>
      <c r="G369" s="126" t="s">
        <v>1664</v>
      </c>
      <c r="H369" s="127">
        <v>32</v>
      </c>
      <c r="I369" s="49" t="s">
        <v>2791</v>
      </c>
      <c r="J369" s="52">
        <v>3</v>
      </c>
      <c r="K369" s="139" t="s">
        <v>3148</v>
      </c>
      <c r="L369" s="139" t="s">
        <v>3291</v>
      </c>
      <c r="M369" s="76">
        <v>45429</v>
      </c>
      <c r="N369" s="128">
        <f>+VLOOKUP(B369,BOM!$A$8:$AB$1078,27,0)</f>
        <v>5</v>
      </c>
      <c r="O369" s="129" t="str">
        <f>+VLOOKUP(B369,BOM!$A$8:$AB$1078,28,0)</f>
        <v>C</v>
      </c>
      <c r="P369" s="10" t="str">
        <f t="shared" si="16"/>
        <v/>
      </c>
    </row>
    <row r="370" spans="1:16" ht="15">
      <c r="A370" s="153">
        <v>368</v>
      </c>
      <c r="B370" s="59" t="s">
        <v>484</v>
      </c>
      <c r="C370" s="126" t="s">
        <v>485</v>
      </c>
      <c r="D370" s="55">
        <v>3</v>
      </c>
      <c r="E370" s="81" t="s">
        <v>2391</v>
      </c>
      <c r="F370" s="126" t="s">
        <v>22</v>
      </c>
      <c r="G370" s="126" t="s">
        <v>1664</v>
      </c>
      <c r="H370" s="127">
        <v>40</v>
      </c>
      <c r="I370" s="49" t="s">
        <v>2791</v>
      </c>
      <c r="J370" s="52">
        <v>3</v>
      </c>
      <c r="K370" s="139" t="s">
        <v>3236</v>
      </c>
      <c r="L370" s="139" t="s">
        <v>3292</v>
      </c>
      <c r="M370" s="76">
        <v>45429</v>
      </c>
      <c r="N370" s="128">
        <f>+VLOOKUP(B370,BOM!$A$8:$AB$1078,27,0)</f>
        <v>4</v>
      </c>
      <c r="O370" s="129" t="str">
        <f>+VLOOKUP(B370,BOM!$A$8:$AB$1078,28,0)</f>
        <v>C</v>
      </c>
      <c r="P370" s="10" t="str">
        <f t="shared" si="16"/>
        <v/>
      </c>
    </row>
    <row r="371" spans="1:16" ht="15">
      <c r="A371" s="153">
        <v>369</v>
      </c>
      <c r="B371" s="59" t="s">
        <v>486</v>
      </c>
      <c r="C371" s="126" t="s">
        <v>485</v>
      </c>
      <c r="D371" s="55">
        <v>2</v>
      </c>
      <c r="E371" s="81" t="s">
        <v>2391</v>
      </c>
      <c r="F371" s="126" t="s">
        <v>22</v>
      </c>
      <c r="G371" s="126" t="s">
        <v>1664</v>
      </c>
      <c r="H371" s="127">
        <v>232</v>
      </c>
      <c r="I371" s="49" t="s">
        <v>2791</v>
      </c>
      <c r="J371" s="52">
        <v>3</v>
      </c>
      <c r="K371" s="139" t="s">
        <v>3146</v>
      </c>
      <c r="L371" s="139" t="s">
        <v>3293</v>
      </c>
      <c r="M371" s="76">
        <v>45429</v>
      </c>
      <c r="N371" s="128">
        <f>+VLOOKUP(B371,BOM!$A$8:$AB$1078,27,0)</f>
        <v>3</v>
      </c>
      <c r="O371" s="129" t="str">
        <f>+VLOOKUP(B371,BOM!$A$8:$AB$1078,28,0)</f>
        <v>C</v>
      </c>
      <c r="P371" s="10" t="str">
        <f t="shared" si="16"/>
        <v/>
      </c>
    </row>
    <row r="372" spans="1:16" ht="15">
      <c r="A372" s="153">
        <v>370</v>
      </c>
      <c r="B372" s="53" t="s">
        <v>527</v>
      </c>
      <c r="C372" s="126" t="s">
        <v>529</v>
      </c>
      <c r="D372" s="55">
        <v>2</v>
      </c>
      <c r="E372" s="81" t="s">
        <v>2391</v>
      </c>
      <c r="F372" s="126" t="s">
        <v>22</v>
      </c>
      <c r="G372" s="126" t="s">
        <v>1664</v>
      </c>
      <c r="H372" s="127">
        <v>16</v>
      </c>
      <c r="I372" s="49" t="s">
        <v>2791</v>
      </c>
      <c r="J372" s="52">
        <v>4</v>
      </c>
      <c r="K372" s="139"/>
      <c r="L372" s="139" t="s">
        <v>3294</v>
      </c>
      <c r="M372" s="76">
        <v>45429</v>
      </c>
      <c r="N372" s="128">
        <f>+VLOOKUP(B372,BOM!$A$8:$AB$1078,27,0)</f>
        <v>4</v>
      </c>
      <c r="O372" s="129" t="str">
        <f>+VLOOKUP(B372,BOM!$A$8:$AB$1078,28,0)</f>
        <v>1xB + 2xC</v>
      </c>
      <c r="P372" s="10" t="str">
        <f t="shared" si="16"/>
        <v/>
      </c>
    </row>
    <row r="373" spans="1:16" ht="15">
      <c r="A373" s="153">
        <v>371</v>
      </c>
      <c r="B373" s="53" t="s">
        <v>542</v>
      </c>
      <c r="C373" s="126" t="s">
        <v>543</v>
      </c>
      <c r="D373" s="55">
        <v>1</v>
      </c>
      <c r="E373" s="81" t="s">
        <v>2391</v>
      </c>
      <c r="F373" s="126" t="s">
        <v>22</v>
      </c>
      <c r="G373" s="126" t="s">
        <v>1664</v>
      </c>
      <c r="H373" s="127">
        <v>8</v>
      </c>
      <c r="I373" s="49" t="s">
        <v>2791</v>
      </c>
      <c r="J373" s="52">
        <v>4</v>
      </c>
      <c r="K373" s="139" t="s">
        <v>3154</v>
      </c>
      <c r="L373" s="139" t="s">
        <v>3295</v>
      </c>
      <c r="M373" s="76">
        <v>45533</v>
      </c>
      <c r="N373" s="128">
        <f>+VLOOKUP(B373,BOM!$A$8:$AB$1078,27,0)</f>
        <v>2</v>
      </c>
      <c r="O373" s="129" t="str">
        <f>+VLOOKUP(B373,BOM!$A$8:$AB$1078,28,0)</f>
        <v>C</v>
      </c>
      <c r="P373" s="10" t="str">
        <f t="shared" si="16"/>
        <v/>
      </c>
    </row>
    <row r="374" spans="1:16" ht="15">
      <c r="A374" s="153">
        <v>372</v>
      </c>
      <c r="B374" s="53" t="s">
        <v>692</v>
      </c>
      <c r="C374" s="126" t="s">
        <v>693</v>
      </c>
      <c r="D374" s="55">
        <v>3</v>
      </c>
      <c r="E374" s="81" t="s">
        <v>2391</v>
      </c>
      <c r="F374" s="126" t="s">
        <v>22</v>
      </c>
      <c r="G374" s="126" t="s">
        <v>1664</v>
      </c>
      <c r="H374" s="127">
        <v>160</v>
      </c>
      <c r="I374" s="49" t="s">
        <v>2791</v>
      </c>
      <c r="J374" s="52">
        <v>4</v>
      </c>
      <c r="K374" s="139"/>
      <c r="L374" s="139" t="s">
        <v>3296</v>
      </c>
      <c r="M374" s="124">
        <v>45702</v>
      </c>
      <c r="N374" s="128">
        <f>+VLOOKUP(B374,BOM!$A$8:$AB$1078,27,0)</f>
        <v>14</v>
      </c>
      <c r="O374" s="129" t="str">
        <f>+VLOOKUP(B374,BOM!$A$8:$AB$1078,28,0)</f>
        <v xml:space="preserve">3xC + 2X0 </v>
      </c>
      <c r="P374" s="10" t="str">
        <f t="shared" si="16"/>
        <v/>
      </c>
    </row>
    <row r="375" spans="1:16" ht="15">
      <c r="A375" s="153">
        <v>373</v>
      </c>
      <c r="B375" s="53" t="s">
        <v>758</v>
      </c>
      <c r="C375" s="126" t="s">
        <v>759</v>
      </c>
      <c r="D375" s="55">
        <v>2</v>
      </c>
      <c r="E375" s="81" t="s">
        <v>2391</v>
      </c>
      <c r="F375" s="126" t="s">
        <v>22</v>
      </c>
      <c r="G375" s="126" t="s">
        <v>1664</v>
      </c>
      <c r="H375" s="127">
        <v>16</v>
      </c>
      <c r="I375" s="49" t="s">
        <v>2791</v>
      </c>
      <c r="J375" s="52">
        <v>4</v>
      </c>
      <c r="K375" s="49" t="s">
        <v>3146</v>
      </c>
      <c r="L375" s="49" t="s">
        <v>3297</v>
      </c>
      <c r="M375" s="76">
        <v>45429</v>
      </c>
      <c r="N375" s="128">
        <f>+VLOOKUP(B375,BOM!$A$8:$AB$1078,27,0)</f>
        <v>3</v>
      </c>
      <c r="O375" s="129" t="str">
        <f>+VLOOKUP(B375,BOM!$A$8:$AB$1078,28,0)</f>
        <v>C</v>
      </c>
      <c r="P375" s="10" t="str">
        <f t="shared" si="16"/>
        <v/>
      </c>
    </row>
    <row r="376" spans="1:16" ht="15">
      <c r="A376" s="153">
        <v>374</v>
      </c>
      <c r="B376" s="53" t="s">
        <v>573</v>
      </c>
      <c r="C376" s="126" t="s">
        <v>575</v>
      </c>
      <c r="D376" s="55">
        <v>7</v>
      </c>
      <c r="E376" s="81" t="s">
        <v>2391</v>
      </c>
      <c r="F376" s="126" t="s">
        <v>22</v>
      </c>
      <c r="G376" s="126" t="s">
        <v>1664</v>
      </c>
      <c r="H376" s="127">
        <v>8</v>
      </c>
      <c r="I376" s="49" t="s">
        <v>2791</v>
      </c>
      <c r="J376" s="52">
        <v>5</v>
      </c>
      <c r="K376" s="139"/>
      <c r="L376" s="139" t="s">
        <v>3298</v>
      </c>
      <c r="M376" s="76">
        <v>45429</v>
      </c>
      <c r="N376" s="128">
        <f>+VLOOKUP(B376,BOM!$A$8:$AB$1078,27,0)</f>
        <v>11</v>
      </c>
      <c r="O376" s="129" t="str">
        <f>+VLOOKUP(B376,BOM!$A$8:$AB$1078,28,0)</f>
        <v>3x2 + 2x5 + 7xD</v>
      </c>
      <c r="P376" s="10" t="str">
        <f t="shared" si="16"/>
        <v/>
      </c>
    </row>
    <row r="377" spans="1:16" ht="15">
      <c r="A377" s="153">
        <v>375</v>
      </c>
      <c r="B377" s="59" t="s">
        <v>581</v>
      </c>
      <c r="C377" s="126" t="s">
        <v>582</v>
      </c>
      <c r="D377" s="55">
        <v>8</v>
      </c>
      <c r="E377" s="56" t="s">
        <v>2391</v>
      </c>
      <c r="F377" s="126" t="s">
        <v>22</v>
      </c>
      <c r="G377" s="126" t="s">
        <v>1664</v>
      </c>
      <c r="H377" s="127">
        <v>64</v>
      </c>
      <c r="I377" s="49" t="s">
        <v>2811</v>
      </c>
      <c r="J377" s="52">
        <v>1</v>
      </c>
      <c r="K377" s="49"/>
      <c r="L377" s="49" t="s">
        <v>3299</v>
      </c>
      <c r="M377" s="124">
        <v>45702</v>
      </c>
      <c r="N377" s="128">
        <f>+VLOOKUP(B377,BOM!$A$8:$AB$1078,27,0)</f>
        <v>13</v>
      </c>
      <c r="O377" s="129" t="str">
        <f>+VLOOKUP(B377,BOM!$A$8:$AB$1078,28,0)</f>
        <v>3x6 + 8xD</v>
      </c>
      <c r="P377" s="10" t="str">
        <f t="shared" si="16"/>
        <v/>
      </c>
    </row>
    <row r="378" spans="1:16" ht="15">
      <c r="A378" s="153">
        <v>376</v>
      </c>
      <c r="B378" s="59" t="s">
        <v>590</v>
      </c>
      <c r="C378" s="126" t="s">
        <v>591</v>
      </c>
      <c r="D378" s="55">
        <v>16</v>
      </c>
      <c r="E378" s="81" t="s">
        <v>2391</v>
      </c>
      <c r="F378" s="126" t="s">
        <v>22</v>
      </c>
      <c r="G378" s="126" t="s">
        <v>1664</v>
      </c>
      <c r="H378" s="127">
        <v>80</v>
      </c>
      <c r="I378" s="49" t="s">
        <v>2811</v>
      </c>
      <c r="J378" s="52">
        <v>1</v>
      </c>
      <c r="K378" s="139" t="s">
        <v>3300</v>
      </c>
      <c r="L378" s="139" t="s">
        <v>3301</v>
      </c>
      <c r="M378" s="76">
        <v>45429</v>
      </c>
      <c r="N378" s="128">
        <f>+VLOOKUP(B378,BOM!$A$8:$AB$1078,27,0)</f>
        <v>9</v>
      </c>
      <c r="O378" s="129" t="str">
        <f>+VLOOKUP(B378,BOM!$A$8:$AB$1078,28,0)</f>
        <v>D</v>
      </c>
      <c r="P378" s="10" t="str">
        <f t="shared" si="16"/>
        <v/>
      </c>
    </row>
    <row r="379" spans="1:16" ht="15">
      <c r="A379" s="153">
        <v>377</v>
      </c>
      <c r="B379" s="53" t="s">
        <v>601</v>
      </c>
      <c r="C379" s="126" t="s">
        <v>602</v>
      </c>
      <c r="D379" s="55">
        <v>1</v>
      </c>
      <c r="E379" s="81" t="s">
        <v>2391</v>
      </c>
      <c r="F379" s="126" t="s">
        <v>22</v>
      </c>
      <c r="G379" s="126" t="s">
        <v>1664</v>
      </c>
      <c r="H379" s="127">
        <v>88</v>
      </c>
      <c r="I379" s="49" t="s">
        <v>2811</v>
      </c>
      <c r="J379" s="52">
        <v>1</v>
      </c>
      <c r="K379" s="49"/>
      <c r="L379" s="49" t="s">
        <v>3302</v>
      </c>
      <c r="M379" s="76">
        <v>45429</v>
      </c>
      <c r="N379" s="128">
        <f>+VLOOKUP(B379,BOM!$A$8:$AB$1078,27,0)</f>
        <v>16</v>
      </c>
      <c r="O379" s="129" t="str">
        <f>+VLOOKUP(B379,BOM!$A$8:$AB$1078,28,0)</f>
        <v>2x5 + 11x6 + 1xC</v>
      </c>
      <c r="P379" s="10" t="str">
        <f t="shared" si="16"/>
        <v/>
      </c>
    </row>
    <row r="380" spans="1:16" ht="15">
      <c r="A380" s="153">
        <v>378</v>
      </c>
      <c r="B380" s="53" t="s">
        <v>617</v>
      </c>
      <c r="C380" s="126" t="s">
        <v>618</v>
      </c>
      <c r="D380" s="55">
        <v>6</v>
      </c>
      <c r="E380" s="81" t="s">
        <v>2391</v>
      </c>
      <c r="F380" s="126" t="s">
        <v>22</v>
      </c>
      <c r="G380" s="126" t="s">
        <v>1664</v>
      </c>
      <c r="H380" s="127">
        <v>48</v>
      </c>
      <c r="I380" s="49" t="s">
        <v>2811</v>
      </c>
      <c r="J380" s="52">
        <v>1</v>
      </c>
      <c r="K380" s="49" t="s">
        <v>3303</v>
      </c>
      <c r="L380" s="49" t="s">
        <v>3304</v>
      </c>
      <c r="M380" s="76">
        <v>45429</v>
      </c>
      <c r="N380" s="128">
        <f>+VLOOKUP(B380,BOM!$A$8:$AB$1078,27,0)</f>
        <v>7</v>
      </c>
      <c r="O380" s="129" t="str">
        <f>+VLOOKUP(B380,BOM!$A$8:$AB$1078,28,0)</f>
        <v>D</v>
      </c>
      <c r="P380" s="10" t="str">
        <f t="shared" si="16"/>
        <v/>
      </c>
    </row>
    <row r="381" spans="1:16" ht="15">
      <c r="A381" s="153">
        <v>379</v>
      </c>
      <c r="B381" s="53" t="s">
        <v>621</v>
      </c>
      <c r="C381" s="126" t="s">
        <v>622</v>
      </c>
      <c r="D381" s="55">
        <v>4</v>
      </c>
      <c r="E381" s="81" t="s">
        <v>2391</v>
      </c>
      <c r="F381" s="126" t="s">
        <v>22</v>
      </c>
      <c r="G381" s="126" t="s">
        <v>1664</v>
      </c>
      <c r="H381" s="127">
        <v>64</v>
      </c>
      <c r="I381" s="49" t="s">
        <v>2811</v>
      </c>
      <c r="J381" s="52">
        <v>1</v>
      </c>
      <c r="K381" s="139"/>
      <c r="L381" s="139" t="s">
        <v>3305</v>
      </c>
      <c r="M381" s="76">
        <v>45429</v>
      </c>
      <c r="N381" s="128">
        <f>+VLOOKUP(B381,BOM!$A$8:$AB$1078,27,0)</f>
        <v>90</v>
      </c>
      <c r="O381" s="129" t="str">
        <f>+VLOOKUP(B381,BOM!$A$8:$AB$1078,28,0)</f>
        <v>54x0 + 6x3 + 3x4 + 6x6 + 4xC</v>
      </c>
      <c r="P381" s="10" t="str">
        <f t="shared" si="16"/>
        <v/>
      </c>
    </row>
    <row r="382" spans="1:16" ht="15">
      <c r="A382" s="153">
        <v>380</v>
      </c>
      <c r="B382" s="53" t="s">
        <v>649</v>
      </c>
      <c r="C382" s="126" t="s">
        <v>651</v>
      </c>
      <c r="D382" s="55">
        <v>2</v>
      </c>
      <c r="E382" s="81" t="s">
        <v>2391</v>
      </c>
      <c r="F382" s="126" t="s">
        <v>22</v>
      </c>
      <c r="G382" s="126" t="s">
        <v>1664</v>
      </c>
      <c r="H382" s="127">
        <v>16</v>
      </c>
      <c r="I382" s="49" t="s">
        <v>2811</v>
      </c>
      <c r="J382" s="52">
        <v>1</v>
      </c>
      <c r="K382" s="49"/>
      <c r="L382" s="49" t="s">
        <v>3306</v>
      </c>
      <c r="M382" s="76">
        <v>45429</v>
      </c>
      <c r="N382" s="128">
        <f>+VLOOKUP(B382,BOM!$A$8:$AB$1078,27,0)</f>
        <v>5</v>
      </c>
      <c r="O382" s="129" t="str">
        <f>+VLOOKUP(B382,BOM!$A$8:$AB$1078,28,0)</f>
        <v>2x3 + 2xC</v>
      </c>
      <c r="P382" s="10" t="str">
        <f t="shared" si="16"/>
        <v/>
      </c>
    </row>
    <row r="383" spans="1:16" ht="15">
      <c r="A383" s="153">
        <v>381</v>
      </c>
      <c r="B383" s="53" t="s">
        <v>2353</v>
      </c>
      <c r="C383" s="126" t="s">
        <v>2354</v>
      </c>
      <c r="D383" s="55">
        <v>1</v>
      </c>
      <c r="E383" s="81" t="s">
        <v>2391</v>
      </c>
      <c r="F383" s="126" t="s">
        <v>22</v>
      </c>
      <c r="G383" s="126" t="s">
        <v>1664</v>
      </c>
      <c r="H383" s="127">
        <v>8</v>
      </c>
      <c r="I383" s="49" t="s">
        <v>2811</v>
      </c>
      <c r="J383" s="52">
        <v>1</v>
      </c>
      <c r="K383" s="139"/>
      <c r="L383" s="139" t="s">
        <v>3307</v>
      </c>
      <c r="M383" s="76">
        <v>45429</v>
      </c>
      <c r="N383" s="128">
        <f>+VLOOKUP(B383,BOM!$A$8:$AB$1078,27,0)</f>
        <v>1</v>
      </c>
      <c r="O383" s="129" t="str">
        <f>+VLOOKUP(B383,BOM!$A$8:$AB$1078,28,0)</f>
        <v>C</v>
      </c>
      <c r="P383" s="10" t="str">
        <f t="shared" si="16"/>
        <v>ok</v>
      </c>
    </row>
    <row r="384" spans="1:16" ht="15">
      <c r="A384" s="153">
        <v>382</v>
      </c>
      <c r="B384" s="59" t="s">
        <v>1825</v>
      </c>
      <c r="C384" s="126" t="s">
        <v>471</v>
      </c>
      <c r="D384" s="55">
        <v>2</v>
      </c>
      <c r="E384" s="81" t="s">
        <v>2391</v>
      </c>
      <c r="F384" s="126" t="s">
        <v>22</v>
      </c>
      <c r="G384" s="126" t="s">
        <v>1664</v>
      </c>
      <c r="H384" s="127">
        <v>24</v>
      </c>
      <c r="I384" s="49" t="s">
        <v>2811</v>
      </c>
      <c r="J384" s="52">
        <v>2</v>
      </c>
      <c r="K384" s="49" t="s">
        <v>3216</v>
      </c>
      <c r="L384" s="49" t="s">
        <v>3308</v>
      </c>
      <c r="M384" s="76">
        <v>45429</v>
      </c>
      <c r="N384" s="128">
        <f>+VLOOKUP(B384,BOM!$A$8:$AB$1078,27,0)</f>
        <v>3</v>
      </c>
      <c r="O384" s="129" t="str">
        <f>+VLOOKUP(B384,BOM!$A$8:$AB$1078,28,0)</f>
        <v>C</v>
      </c>
      <c r="P384" s="10" t="str">
        <f t="shared" si="16"/>
        <v/>
      </c>
    </row>
    <row r="385" spans="1:16" ht="15">
      <c r="A385" s="153">
        <v>383</v>
      </c>
      <c r="B385" s="53" t="s">
        <v>659</v>
      </c>
      <c r="C385" s="126" t="s">
        <v>660</v>
      </c>
      <c r="D385" s="55">
        <v>2</v>
      </c>
      <c r="E385" s="81" t="s">
        <v>2391</v>
      </c>
      <c r="F385" s="126" t="s">
        <v>22</v>
      </c>
      <c r="G385" s="126" t="s">
        <v>1664</v>
      </c>
      <c r="H385" s="127">
        <v>16</v>
      </c>
      <c r="I385" s="49" t="s">
        <v>2811</v>
      </c>
      <c r="J385" s="52">
        <v>2</v>
      </c>
      <c r="K385" s="49" t="s">
        <v>3146</v>
      </c>
      <c r="L385" s="49" t="s">
        <v>3309</v>
      </c>
      <c r="M385" s="76">
        <v>45429</v>
      </c>
      <c r="N385" s="128">
        <f>+VLOOKUP(B385,BOM!$A$8:$AB$1078,27,0)</f>
        <v>3</v>
      </c>
      <c r="O385" s="129" t="str">
        <f>+VLOOKUP(B385,BOM!$A$8:$AB$1078,28,0)</f>
        <v>C</v>
      </c>
      <c r="P385" s="10" t="str">
        <f t="shared" si="16"/>
        <v/>
      </c>
    </row>
    <row r="386" spans="1:16" ht="15">
      <c r="A386" s="153">
        <v>384</v>
      </c>
      <c r="B386" s="64" t="s">
        <v>674</v>
      </c>
      <c r="C386" s="126" t="s">
        <v>675</v>
      </c>
      <c r="D386" s="55">
        <v>2</v>
      </c>
      <c r="E386" s="81" t="s">
        <v>2391</v>
      </c>
      <c r="F386" s="126" t="s">
        <v>22</v>
      </c>
      <c r="G386" s="126" t="s">
        <v>1664</v>
      </c>
      <c r="H386" s="127">
        <v>16</v>
      </c>
      <c r="I386" s="49" t="s">
        <v>2811</v>
      </c>
      <c r="J386" s="52">
        <v>2</v>
      </c>
      <c r="K386" s="49" t="s">
        <v>3146</v>
      </c>
      <c r="L386" s="49" t="s">
        <v>3310</v>
      </c>
      <c r="M386" s="82"/>
    </row>
    <row r="387" spans="1:16" ht="15">
      <c r="A387" s="153">
        <v>385</v>
      </c>
      <c r="B387" s="53" t="s">
        <v>700</v>
      </c>
      <c r="C387" s="126" t="s">
        <v>702</v>
      </c>
      <c r="D387" s="55">
        <v>3</v>
      </c>
      <c r="E387" s="81" t="s">
        <v>2391</v>
      </c>
      <c r="F387" s="126" t="s">
        <v>22</v>
      </c>
      <c r="G387" s="126" t="s">
        <v>1664</v>
      </c>
      <c r="H387" s="127">
        <v>24</v>
      </c>
      <c r="I387" s="49" t="s">
        <v>2811</v>
      </c>
      <c r="J387" s="52">
        <v>2</v>
      </c>
      <c r="K387" s="139" t="s">
        <v>3236</v>
      </c>
      <c r="L387" s="139" t="s">
        <v>3311</v>
      </c>
      <c r="M387" s="124">
        <v>45702</v>
      </c>
      <c r="N387" s="128">
        <f>+VLOOKUP(B387,BOM!$A$8:$AB$1078,27,0)</f>
        <v>4</v>
      </c>
      <c r="O387" s="129" t="str">
        <f>+VLOOKUP(B387,BOM!$A$8:$AB$1078,28,0)</f>
        <v>D</v>
      </c>
      <c r="P387" s="10" t="str">
        <f t="shared" ref="P387:P394" si="17">+IF(N387=D387,"ok","")</f>
        <v/>
      </c>
    </row>
    <row r="388" spans="1:16" ht="15">
      <c r="A388" s="153">
        <v>386</v>
      </c>
      <c r="B388" s="53" t="s">
        <v>1295</v>
      </c>
      <c r="C388" s="126" t="s">
        <v>1297</v>
      </c>
      <c r="D388" s="55">
        <v>1</v>
      </c>
      <c r="E388" s="81" t="s">
        <v>2391</v>
      </c>
      <c r="F388" s="126" t="s">
        <v>22</v>
      </c>
      <c r="G388" s="126" t="s">
        <v>1664</v>
      </c>
      <c r="H388" s="127">
        <v>32</v>
      </c>
      <c r="I388" s="49" t="s">
        <v>2811</v>
      </c>
      <c r="J388" s="52">
        <v>2</v>
      </c>
      <c r="K388" s="49" t="s">
        <v>3154</v>
      </c>
      <c r="L388" s="49" t="s">
        <v>3312</v>
      </c>
      <c r="M388" s="124">
        <v>45702</v>
      </c>
      <c r="N388" s="128">
        <f>+VLOOKUP(B388,BOM!$A$8:$AB$1078,27,0)</f>
        <v>2</v>
      </c>
      <c r="O388" s="129" t="str">
        <f>+VLOOKUP(B388,BOM!$A$8:$AB$1078,28,0)</f>
        <v>C</v>
      </c>
      <c r="P388" s="10" t="str">
        <f t="shared" si="17"/>
        <v/>
      </c>
    </row>
    <row r="389" spans="1:16" ht="15">
      <c r="A389" s="153">
        <v>387</v>
      </c>
      <c r="B389" s="53" t="s">
        <v>1298</v>
      </c>
      <c r="C389" s="126" t="s">
        <v>1134</v>
      </c>
      <c r="D389" s="55">
        <v>1</v>
      </c>
      <c r="E389" s="81" t="s">
        <v>2391</v>
      </c>
      <c r="F389" s="126" t="s">
        <v>22</v>
      </c>
      <c r="G389" s="126" t="s">
        <v>1664</v>
      </c>
      <c r="H389" s="127">
        <v>32</v>
      </c>
      <c r="I389" s="49" t="s">
        <v>2811</v>
      </c>
      <c r="J389" s="52">
        <v>2</v>
      </c>
      <c r="K389" s="139" t="s">
        <v>3154</v>
      </c>
      <c r="L389" s="139" t="s">
        <v>3313</v>
      </c>
      <c r="M389" s="76">
        <v>45429</v>
      </c>
      <c r="N389" s="128">
        <f>+VLOOKUP(B389,BOM!$A$8:$AB$1078,27,0)</f>
        <v>2</v>
      </c>
      <c r="O389" s="129" t="str">
        <f>+VLOOKUP(B389,BOM!$A$8:$AB$1078,28,0)</f>
        <v>C</v>
      </c>
      <c r="P389" s="10" t="str">
        <f t="shared" si="17"/>
        <v/>
      </c>
    </row>
    <row r="390" spans="1:16" ht="15">
      <c r="A390" s="153">
        <v>388</v>
      </c>
      <c r="B390" s="59" t="s">
        <v>513</v>
      </c>
      <c r="C390" s="126" t="s">
        <v>514</v>
      </c>
      <c r="D390" s="55">
        <v>1</v>
      </c>
      <c r="E390" s="81" t="s">
        <v>2391</v>
      </c>
      <c r="F390" s="126" t="s">
        <v>22</v>
      </c>
      <c r="G390" s="126" t="s">
        <v>1664</v>
      </c>
      <c r="H390" s="127">
        <v>8</v>
      </c>
      <c r="I390" s="49" t="s">
        <v>2811</v>
      </c>
      <c r="J390" s="52">
        <v>3</v>
      </c>
      <c r="K390" s="139"/>
      <c r="L390" s="139" t="s">
        <v>3314</v>
      </c>
      <c r="M390" s="76">
        <v>45429</v>
      </c>
      <c r="N390" s="128">
        <f>+VLOOKUP(B390,BOM!$A$8:$AB$1078,27,0)</f>
        <v>4</v>
      </c>
      <c r="O390" s="129" t="str">
        <f>+VLOOKUP(B390,BOM!$A$8:$AB$1078,28,0)</f>
        <v>2x5 + 1xC</v>
      </c>
      <c r="P390" s="10" t="str">
        <f t="shared" si="17"/>
        <v/>
      </c>
    </row>
    <row r="391" spans="1:16" ht="15">
      <c r="A391" s="153">
        <v>389</v>
      </c>
      <c r="B391" s="53" t="s">
        <v>2355</v>
      </c>
      <c r="C391" s="126" t="s">
        <v>2357</v>
      </c>
      <c r="D391" s="55">
        <v>1</v>
      </c>
      <c r="E391" s="81" t="s">
        <v>2391</v>
      </c>
      <c r="F391" s="126" t="s">
        <v>22</v>
      </c>
      <c r="G391" s="126" t="s">
        <v>1664</v>
      </c>
      <c r="H391" s="127">
        <v>8</v>
      </c>
      <c r="I391" s="49" t="s">
        <v>2825</v>
      </c>
      <c r="J391" s="52">
        <v>2</v>
      </c>
      <c r="K391" s="49"/>
      <c r="L391" s="49" t="s">
        <v>3315</v>
      </c>
      <c r="M391" s="76">
        <v>45429</v>
      </c>
      <c r="N391" s="128">
        <f>+VLOOKUP(B391,BOM!$A$8:$AB$1078,27,0)</f>
        <v>1</v>
      </c>
      <c r="O391" s="129" t="str">
        <f>+VLOOKUP(B391,BOM!$A$8:$AB$1078,28,0)</f>
        <v>C</v>
      </c>
      <c r="P391" s="10" t="str">
        <f t="shared" si="17"/>
        <v>ok</v>
      </c>
    </row>
    <row r="392" spans="1:16" ht="15">
      <c r="A392" s="153">
        <v>390</v>
      </c>
      <c r="B392" s="53" t="s">
        <v>1734</v>
      </c>
      <c r="C392" s="126" t="s">
        <v>1731</v>
      </c>
      <c r="D392" s="55">
        <v>1</v>
      </c>
      <c r="E392" s="81" t="s">
        <v>2391</v>
      </c>
      <c r="F392" s="126" t="s">
        <v>22</v>
      </c>
      <c r="G392" s="126" t="s">
        <v>1664</v>
      </c>
      <c r="H392" s="127">
        <v>16</v>
      </c>
      <c r="I392" s="49" t="s">
        <v>2827</v>
      </c>
      <c r="J392" s="52">
        <v>4</v>
      </c>
      <c r="K392" s="139" t="s">
        <v>3154</v>
      </c>
      <c r="L392" s="139" t="s">
        <v>3316</v>
      </c>
      <c r="M392" s="124">
        <v>45702</v>
      </c>
      <c r="N392" s="128">
        <f>+VLOOKUP(B392,BOM!$A$8:$AB$1078,27,0)</f>
        <v>2</v>
      </c>
      <c r="O392" s="129" t="str">
        <f>+VLOOKUP(B392,BOM!$A$8:$AB$1078,28,0)</f>
        <v>C</v>
      </c>
      <c r="P392" s="10" t="str">
        <f t="shared" si="17"/>
        <v/>
      </c>
    </row>
    <row r="393" spans="1:16" ht="15">
      <c r="A393" s="153">
        <v>391</v>
      </c>
      <c r="B393" s="53" t="s">
        <v>1738</v>
      </c>
      <c r="C393" s="126" t="s">
        <v>1731</v>
      </c>
      <c r="D393" s="55">
        <v>1</v>
      </c>
      <c r="E393" s="81" t="s">
        <v>2391</v>
      </c>
      <c r="F393" s="126" t="s">
        <v>22</v>
      </c>
      <c r="G393" s="126" t="s">
        <v>1664</v>
      </c>
      <c r="H393" s="127">
        <v>16</v>
      </c>
      <c r="I393" s="49" t="s">
        <v>2827</v>
      </c>
      <c r="J393" s="52">
        <v>4</v>
      </c>
      <c r="K393" s="139" t="s">
        <v>3154</v>
      </c>
      <c r="L393" s="139" t="s">
        <v>3317</v>
      </c>
      <c r="M393" s="124">
        <v>45702</v>
      </c>
      <c r="N393" s="128">
        <f>+VLOOKUP(B393,BOM!$A$8:$AB$1078,27,0)</f>
        <v>2</v>
      </c>
      <c r="O393" s="129" t="str">
        <f>+VLOOKUP(B393,BOM!$A$8:$AB$1078,28,0)</f>
        <v>C</v>
      </c>
      <c r="P393" s="10" t="str">
        <f t="shared" si="17"/>
        <v/>
      </c>
    </row>
    <row r="394" spans="1:16" ht="15">
      <c r="A394" s="153">
        <v>392</v>
      </c>
      <c r="B394" s="53" t="s">
        <v>1751</v>
      </c>
      <c r="C394" s="126" t="s">
        <v>1752</v>
      </c>
      <c r="D394" s="55">
        <v>2</v>
      </c>
      <c r="E394" s="81" t="s">
        <v>2391</v>
      </c>
      <c r="F394" s="126" t="s">
        <v>22</v>
      </c>
      <c r="G394" s="126" t="s">
        <v>1664</v>
      </c>
      <c r="H394" s="127">
        <v>16</v>
      </c>
      <c r="I394" s="49" t="s">
        <v>2827</v>
      </c>
      <c r="J394" s="52">
        <v>4</v>
      </c>
      <c r="K394" s="49"/>
      <c r="L394" s="49" t="s">
        <v>3318</v>
      </c>
      <c r="M394" s="76">
        <v>45429</v>
      </c>
      <c r="N394" s="128">
        <f>+VLOOKUP(B394,BOM!$A$8:$AB$1078,27,0)</f>
        <v>2</v>
      </c>
      <c r="O394" s="129" t="str">
        <f>+VLOOKUP(B394,BOM!$A$8:$AB$1078,28,0)</f>
        <v>C</v>
      </c>
      <c r="P394" s="10" t="str">
        <f t="shared" si="17"/>
        <v>ok</v>
      </c>
    </row>
    <row r="395" spans="1:16" ht="15">
      <c r="A395" s="153">
        <v>393</v>
      </c>
      <c r="B395" s="64" t="s">
        <v>1927</v>
      </c>
      <c r="C395" s="126" t="s">
        <v>1928</v>
      </c>
      <c r="D395" s="55">
        <v>1</v>
      </c>
      <c r="E395" s="81" t="s">
        <v>2391</v>
      </c>
      <c r="F395" s="126" t="s">
        <v>22</v>
      </c>
      <c r="G395" s="126" t="s">
        <v>1664</v>
      </c>
      <c r="H395" s="127">
        <v>16</v>
      </c>
      <c r="I395" s="49" t="s">
        <v>2827</v>
      </c>
      <c r="J395" s="52">
        <v>4</v>
      </c>
      <c r="K395" s="49" t="s">
        <v>3154</v>
      </c>
      <c r="L395" s="49" t="s">
        <v>3319</v>
      </c>
      <c r="M395" s="82"/>
    </row>
    <row r="396" spans="1:16" ht="15">
      <c r="A396" s="153">
        <v>394</v>
      </c>
      <c r="B396" s="53" t="s">
        <v>2086</v>
      </c>
      <c r="C396" s="126" t="s">
        <v>2087</v>
      </c>
      <c r="D396" s="52">
        <v>1</v>
      </c>
      <c r="E396" s="81" t="s">
        <v>2391</v>
      </c>
      <c r="F396" s="126" t="s">
        <v>22</v>
      </c>
      <c r="G396" s="126" t="s">
        <v>1664</v>
      </c>
      <c r="H396" s="127">
        <v>16</v>
      </c>
      <c r="I396" s="49" t="s">
        <v>2827</v>
      </c>
      <c r="J396" s="52">
        <v>4</v>
      </c>
      <c r="K396" s="139"/>
      <c r="L396" s="139" t="s">
        <v>3320</v>
      </c>
      <c r="M396" s="124">
        <v>45702</v>
      </c>
      <c r="N396" s="128">
        <f>+VLOOKUP(B396,BOM!$A$8:$AB$1078,27,0)</f>
        <v>2</v>
      </c>
      <c r="O396" s="129" t="str">
        <f>+VLOOKUP(B396,BOM!$A$8:$AB$1078,28,0)</f>
        <v>D</v>
      </c>
      <c r="P396" s="10" t="str">
        <f t="shared" ref="P396:P402" si="18">+IF(N396=D396,"ok","")</f>
        <v/>
      </c>
    </row>
    <row r="397" spans="1:16" ht="15">
      <c r="A397" s="153">
        <v>395</v>
      </c>
      <c r="B397" s="53" t="s">
        <v>2154</v>
      </c>
      <c r="C397" s="126" t="s">
        <v>1928</v>
      </c>
      <c r="D397" s="52">
        <v>1</v>
      </c>
      <c r="E397" s="81" t="s">
        <v>2391</v>
      </c>
      <c r="F397" s="126" t="s">
        <v>22</v>
      </c>
      <c r="G397" s="126" t="s">
        <v>1664</v>
      </c>
      <c r="H397" s="127">
        <v>16</v>
      </c>
      <c r="I397" s="49" t="s">
        <v>2827</v>
      </c>
      <c r="J397" s="52">
        <v>4</v>
      </c>
      <c r="K397" s="139" t="s">
        <v>3154</v>
      </c>
      <c r="L397" s="139" t="s">
        <v>3321</v>
      </c>
      <c r="M397" s="124">
        <v>45702</v>
      </c>
      <c r="N397" s="128">
        <f>+VLOOKUP(B397,BOM!$A$8:$AB$1078,27,0)</f>
        <v>2</v>
      </c>
      <c r="O397" s="129" t="str">
        <f>+VLOOKUP(B397,BOM!$A$8:$AB$1078,28,0)</f>
        <v>C</v>
      </c>
      <c r="P397" s="10" t="str">
        <f t="shared" si="18"/>
        <v/>
      </c>
    </row>
    <row r="398" spans="1:16" ht="15">
      <c r="A398" s="153">
        <v>396</v>
      </c>
      <c r="B398" s="53" t="s">
        <v>2292</v>
      </c>
      <c r="C398" s="126" t="s">
        <v>2264</v>
      </c>
      <c r="D398" s="52">
        <v>2</v>
      </c>
      <c r="E398" s="81" t="s">
        <v>2391</v>
      </c>
      <c r="F398" s="126" t="s">
        <v>22</v>
      </c>
      <c r="G398" s="126" t="s">
        <v>1664</v>
      </c>
      <c r="H398" s="127">
        <v>24</v>
      </c>
      <c r="I398" s="49" t="s">
        <v>2827</v>
      </c>
      <c r="J398" s="52">
        <v>4</v>
      </c>
      <c r="K398" s="49" t="s">
        <v>3146</v>
      </c>
      <c r="L398" s="49" t="s">
        <v>3322</v>
      </c>
      <c r="M398" s="124">
        <v>45702</v>
      </c>
      <c r="N398" s="128">
        <f>+VLOOKUP(B398,BOM!$A$8:$AB$1078,27,0)</f>
        <v>3</v>
      </c>
      <c r="O398" s="129" t="str">
        <f>+VLOOKUP(B398,BOM!$A$8:$AB$1078,28,0)</f>
        <v>C</v>
      </c>
      <c r="P398" s="10" t="str">
        <f t="shared" si="18"/>
        <v/>
      </c>
    </row>
    <row r="399" spans="1:16" ht="15">
      <c r="A399" s="153">
        <v>397</v>
      </c>
      <c r="B399" s="53" t="s">
        <v>576</v>
      </c>
      <c r="C399" s="126" t="s">
        <v>578</v>
      </c>
      <c r="D399" s="52">
        <v>2</v>
      </c>
      <c r="E399" s="81" t="s">
        <v>2427</v>
      </c>
      <c r="F399" s="126" t="s">
        <v>22</v>
      </c>
      <c r="G399" s="126" t="s">
        <v>1664</v>
      </c>
      <c r="H399" s="127">
        <v>16</v>
      </c>
      <c r="I399" s="49" t="s">
        <v>2827</v>
      </c>
      <c r="J399" s="52"/>
      <c r="K399" s="139"/>
      <c r="L399" s="139" t="s">
        <v>3323</v>
      </c>
      <c r="M399" s="124">
        <v>45702</v>
      </c>
      <c r="N399" s="128" t="str">
        <f>+VLOOKUP(B399,BOM!$A$8:$AB$1078,27,0)</f>
        <v/>
      </c>
      <c r="O399" s="129" t="str">
        <f>+VLOOKUP(B399,BOM!$A$8:$AB$1078,28,0)</f>
        <v/>
      </c>
      <c r="P399" s="10" t="str">
        <f t="shared" si="18"/>
        <v/>
      </c>
    </row>
    <row r="400" spans="1:16" ht="15">
      <c r="A400" s="153">
        <v>398</v>
      </c>
      <c r="B400" s="144" t="s">
        <v>2366</v>
      </c>
      <c r="C400" s="145" t="s">
        <v>2367</v>
      </c>
      <c r="D400" s="52">
        <v>2</v>
      </c>
      <c r="E400" s="81" t="s">
        <v>2385</v>
      </c>
      <c r="F400" s="126" t="s">
        <v>22</v>
      </c>
      <c r="G400" s="126" t="s">
        <v>1667</v>
      </c>
      <c r="H400" s="127">
        <v>0</v>
      </c>
      <c r="I400" s="49" t="s">
        <v>2836</v>
      </c>
      <c r="J400" s="52"/>
      <c r="K400" s="49"/>
      <c r="L400" s="10" t="s">
        <v>3324</v>
      </c>
      <c r="M400" s="149">
        <v>45702</v>
      </c>
      <c r="N400" s="128">
        <f>+VLOOKUP(B400,BOM!$A$8:$AB$1078,27,0)</f>
        <v>2</v>
      </c>
      <c r="O400" s="129">
        <f>+VLOOKUP(B400,BOM!$A$8:$AB$1078,28,0)</f>
        <v>0</v>
      </c>
      <c r="P400" s="10" t="str">
        <f t="shared" si="18"/>
        <v>ok</v>
      </c>
    </row>
    <row r="401" spans="1:16" ht="15">
      <c r="A401" s="153">
        <v>399</v>
      </c>
      <c r="B401" s="53" t="s">
        <v>694</v>
      </c>
      <c r="C401" s="126" t="s">
        <v>695</v>
      </c>
      <c r="D401" s="52">
        <v>2</v>
      </c>
      <c r="E401" s="81">
        <v>6</v>
      </c>
      <c r="F401" s="126" t="s">
        <v>22</v>
      </c>
      <c r="G401" s="126" t="s">
        <v>1664</v>
      </c>
      <c r="H401" s="127">
        <v>32</v>
      </c>
      <c r="I401" s="49" t="s">
        <v>2634</v>
      </c>
      <c r="J401" s="52">
        <v>4</v>
      </c>
      <c r="K401" s="139"/>
      <c r="L401" s="122" t="s">
        <v>3325</v>
      </c>
      <c r="M401" s="149">
        <v>45702</v>
      </c>
      <c r="N401" s="128">
        <f>+VLOOKUP(B401,BOM!$A$8:$AB$1078,27,0)</f>
        <v>7</v>
      </c>
      <c r="O401" s="129" t="str">
        <f>+VLOOKUP(B401,BOM!$A$8:$AB$1078,28,0)</f>
        <v>4x0</v>
      </c>
      <c r="P401" s="10" t="str">
        <f t="shared" si="18"/>
        <v/>
      </c>
    </row>
    <row r="402" spans="1:16" ht="15">
      <c r="A402" s="153">
        <v>400</v>
      </c>
      <c r="B402" s="53" t="s">
        <v>621</v>
      </c>
      <c r="C402" s="126" t="s">
        <v>622</v>
      </c>
      <c r="D402" s="52">
        <v>2</v>
      </c>
      <c r="E402" s="81">
        <v>5</v>
      </c>
      <c r="F402" s="126" t="s">
        <v>22</v>
      </c>
      <c r="G402" s="126" t="s">
        <v>1664</v>
      </c>
      <c r="H402" s="127">
        <v>64</v>
      </c>
      <c r="I402" s="49" t="s">
        <v>2602</v>
      </c>
      <c r="J402" s="52">
        <v>2</v>
      </c>
      <c r="K402" s="49"/>
      <c r="L402" s="10" t="s">
        <v>3326</v>
      </c>
      <c r="M402" s="149">
        <v>45702</v>
      </c>
      <c r="N402" s="128">
        <f>+VLOOKUP(B402,BOM!$A$8:$AB$1078,27,0)</f>
        <v>90</v>
      </c>
      <c r="O402" s="129" t="str">
        <f>+VLOOKUP(B402,BOM!$A$8:$AB$1078,28,0)</f>
        <v>54x0 + 6x3 + 3x4 + 6x6 + 4xC</v>
      </c>
      <c r="P402" s="10" t="str">
        <f t="shared" si="18"/>
        <v/>
      </c>
    </row>
    <row r="403" spans="1:16" ht="15">
      <c r="A403" s="153">
        <v>401</v>
      </c>
      <c r="B403" s="53" t="s">
        <v>533</v>
      </c>
      <c r="C403" s="126" t="s">
        <v>534</v>
      </c>
      <c r="D403" s="52">
        <v>3</v>
      </c>
      <c r="E403" s="81">
        <v>5</v>
      </c>
      <c r="F403" s="126" t="s">
        <v>22</v>
      </c>
      <c r="G403" s="126" t="s">
        <v>1686</v>
      </c>
      <c r="H403" s="127">
        <v>112</v>
      </c>
      <c r="I403" s="49" t="s">
        <v>2643</v>
      </c>
      <c r="J403" s="52">
        <v>4</v>
      </c>
      <c r="K403" s="49" t="s">
        <v>3089</v>
      </c>
      <c r="L403" s="10" t="s">
        <v>3327</v>
      </c>
      <c r="M403" s="75"/>
    </row>
    <row r="404" spans="1:16" ht="15">
      <c r="A404" s="153">
        <v>402</v>
      </c>
      <c r="B404" s="53" t="s">
        <v>533</v>
      </c>
      <c r="C404" s="126" t="s">
        <v>534</v>
      </c>
      <c r="D404" s="52">
        <v>1</v>
      </c>
      <c r="E404" s="81">
        <v>6</v>
      </c>
      <c r="F404" s="126" t="s">
        <v>22</v>
      </c>
      <c r="G404" s="126" t="s">
        <v>1686</v>
      </c>
      <c r="H404" s="127">
        <v>112</v>
      </c>
      <c r="I404" s="49" t="s">
        <v>2643</v>
      </c>
      <c r="J404" s="52">
        <v>4</v>
      </c>
      <c r="K404" s="49" t="s">
        <v>3089</v>
      </c>
      <c r="L404" s="10" t="s">
        <v>3328</v>
      </c>
      <c r="M404" s="75"/>
    </row>
    <row r="405" spans="1:16" ht="15">
      <c r="A405" s="153">
        <v>403</v>
      </c>
      <c r="B405" s="53" t="s">
        <v>523</v>
      </c>
      <c r="C405" s="126" t="s">
        <v>21</v>
      </c>
      <c r="D405" s="52">
        <v>1</v>
      </c>
      <c r="E405" s="81" t="s">
        <v>2391</v>
      </c>
      <c r="F405" s="126" t="s">
        <v>22</v>
      </c>
      <c r="G405" s="126" t="s">
        <v>1664</v>
      </c>
      <c r="H405" s="127">
        <v>48</v>
      </c>
      <c r="I405" s="49" t="s">
        <v>2728</v>
      </c>
      <c r="J405" s="52">
        <v>4</v>
      </c>
      <c r="K405" s="49"/>
      <c r="L405" s="10" t="s">
        <v>3329</v>
      </c>
      <c r="M405" s="75"/>
    </row>
    <row r="406" spans="1:16" ht="15">
      <c r="A406" s="153">
        <v>404</v>
      </c>
      <c r="B406" s="162" t="s">
        <v>1403</v>
      </c>
      <c r="C406" s="163" t="s">
        <v>1732</v>
      </c>
      <c r="D406" s="164">
        <v>1</v>
      </c>
      <c r="E406" s="165" t="s">
        <v>2391</v>
      </c>
      <c r="F406" s="163" t="s">
        <v>1733</v>
      </c>
      <c r="G406" s="163" t="s">
        <v>1664</v>
      </c>
      <c r="H406" s="166">
        <v>8</v>
      </c>
      <c r="I406" s="167" t="s">
        <v>2791</v>
      </c>
      <c r="J406" s="164">
        <v>4</v>
      </c>
      <c r="K406" s="167" t="s">
        <v>3154</v>
      </c>
      <c r="L406" s="10" t="s">
        <v>3330</v>
      </c>
      <c r="M406" s="75"/>
    </row>
    <row r="407" spans="1:16" ht="15">
      <c r="A407" s="153">
        <v>405</v>
      </c>
      <c r="B407" s="197" t="s">
        <v>849</v>
      </c>
      <c r="C407" s="218" t="s">
        <v>852</v>
      </c>
      <c r="D407" s="52">
        <v>1</v>
      </c>
      <c r="E407" s="81">
        <v>2</v>
      </c>
      <c r="F407" s="218" t="s">
        <v>853</v>
      </c>
      <c r="G407" s="218" t="s">
        <v>1664</v>
      </c>
      <c r="H407" s="219">
        <v>92192</v>
      </c>
      <c r="I407" s="49"/>
      <c r="J407" s="52"/>
      <c r="K407" s="49"/>
      <c r="L407" s="10"/>
    </row>
    <row r="408" spans="1:16" ht="15">
      <c r="A408" s="153">
        <v>406</v>
      </c>
      <c r="B408" s="197" t="s">
        <v>19</v>
      </c>
      <c r="C408" s="218" t="s">
        <v>21</v>
      </c>
      <c r="D408" s="52">
        <v>1</v>
      </c>
      <c r="E408" s="81" t="s">
        <v>2437</v>
      </c>
      <c r="F408" s="218" t="s">
        <v>22</v>
      </c>
      <c r="G408" s="218" t="s">
        <v>1664</v>
      </c>
      <c r="H408" s="219">
        <v>8</v>
      </c>
      <c r="I408" s="49" t="s">
        <v>2692</v>
      </c>
      <c r="J408" s="52">
        <v>3</v>
      </c>
      <c r="K408" s="49" t="s">
        <v>3154</v>
      </c>
      <c r="L408" s="10"/>
    </row>
    <row r="409" spans="1:16" ht="15">
      <c r="B409" s="197"/>
      <c r="C409" s="218"/>
      <c r="D409" s="52"/>
      <c r="E409" s="81"/>
      <c r="F409" s="218"/>
      <c r="G409" s="218"/>
      <c r="H409" s="219"/>
      <c r="I409" s="49"/>
      <c r="J409" s="52"/>
      <c r="K409" s="49"/>
      <c r="L409" s="10"/>
    </row>
    <row r="410" spans="1:16" ht="15">
      <c r="B410" s="197"/>
      <c r="C410" s="218"/>
      <c r="D410" s="52"/>
      <c r="E410" s="81"/>
      <c r="F410" s="218"/>
      <c r="G410" s="218"/>
      <c r="H410" s="219"/>
      <c r="I410" s="49"/>
      <c r="J410" s="52"/>
      <c r="K410" s="49"/>
      <c r="L410" s="10"/>
    </row>
    <row r="411" spans="1:16" ht="15">
      <c r="B411" s="197"/>
      <c r="C411" s="218"/>
      <c r="D411" s="52"/>
      <c r="E411" s="81"/>
      <c r="F411" s="218"/>
      <c r="G411" s="218"/>
      <c r="H411" s="219"/>
      <c r="I411" s="49"/>
      <c r="J411" s="52"/>
      <c r="K411" s="49"/>
      <c r="L411" s="10"/>
    </row>
    <row r="412" spans="1:16" ht="15">
      <c r="B412" s="197"/>
      <c r="C412" s="218"/>
      <c r="D412" s="52"/>
      <c r="E412" s="81"/>
      <c r="F412" s="218"/>
      <c r="G412" s="218"/>
      <c r="H412" s="219"/>
      <c r="I412" s="49"/>
      <c r="J412" s="52"/>
      <c r="K412" s="49"/>
      <c r="L412" s="10"/>
    </row>
    <row r="413" spans="1:16" ht="15">
      <c r="B413" s="197"/>
      <c r="C413" s="218"/>
      <c r="D413" s="52"/>
      <c r="E413" s="81"/>
      <c r="F413" s="218"/>
      <c r="G413" s="218"/>
      <c r="H413" s="219"/>
      <c r="I413" s="49"/>
      <c r="J413" s="52"/>
      <c r="K413" s="49"/>
      <c r="L413" s="10"/>
    </row>
    <row r="414" spans="1:16" ht="15">
      <c r="B414" s="197"/>
      <c r="C414" s="218"/>
      <c r="D414" s="52"/>
      <c r="E414" s="81"/>
      <c r="F414" s="218"/>
      <c r="G414" s="218"/>
      <c r="H414" s="219"/>
      <c r="I414" s="49"/>
      <c r="J414" s="52"/>
      <c r="K414" s="49"/>
      <c r="L414" s="10"/>
    </row>
    <row r="415" spans="1:16" ht="15">
      <c r="B415" s="197"/>
      <c r="C415" s="218"/>
      <c r="D415" s="52"/>
      <c r="E415" s="81"/>
      <c r="F415" s="218"/>
      <c r="G415" s="218"/>
      <c r="H415" s="219"/>
      <c r="I415" s="49"/>
      <c r="J415" s="52"/>
      <c r="K415" s="49"/>
      <c r="L415" s="10"/>
    </row>
    <row r="416" spans="1:16" ht="15">
      <c r="B416" s="197"/>
      <c r="C416" s="218"/>
      <c r="D416" s="52"/>
      <c r="E416" s="81"/>
      <c r="F416" s="218"/>
      <c r="G416" s="218"/>
      <c r="H416" s="219"/>
      <c r="I416" s="49"/>
      <c r="J416" s="52"/>
      <c r="K416" s="49"/>
      <c r="L416" s="10"/>
    </row>
    <row r="417" spans="2:12" ht="15">
      <c r="B417" s="197"/>
      <c r="C417" s="218"/>
      <c r="D417" s="52"/>
      <c r="E417" s="81"/>
      <c r="F417" s="218"/>
      <c r="G417" s="218"/>
      <c r="H417" s="219"/>
      <c r="I417" s="49"/>
      <c r="J417" s="52"/>
      <c r="K417" s="49"/>
      <c r="L417" s="10"/>
    </row>
    <row r="418" spans="2:12" ht="15">
      <c r="B418" s="197"/>
      <c r="C418" s="218"/>
      <c r="D418" s="52"/>
      <c r="E418" s="81"/>
      <c r="F418" s="218"/>
      <c r="G418" s="218"/>
      <c r="H418" s="219"/>
      <c r="I418" s="49"/>
      <c r="J418" s="52"/>
      <c r="K418" s="49"/>
      <c r="L418" s="10"/>
    </row>
    <row r="419" spans="2:12" ht="15">
      <c r="B419" s="197"/>
      <c r="C419" s="218"/>
      <c r="D419" s="52"/>
      <c r="E419" s="81"/>
      <c r="F419" s="218"/>
      <c r="G419" s="218"/>
      <c r="H419" s="219"/>
      <c r="I419" s="49"/>
      <c r="J419" s="52"/>
      <c r="K419" s="49"/>
      <c r="L419" s="10"/>
    </row>
    <row r="420" spans="2:12" ht="15">
      <c r="B420" s="197"/>
      <c r="C420" s="218"/>
      <c r="D420" s="52"/>
      <c r="E420" s="81"/>
      <c r="F420" s="218"/>
      <c r="G420" s="218"/>
      <c r="H420" s="219"/>
      <c r="I420" s="49"/>
      <c r="J420" s="52"/>
      <c r="K420" s="49"/>
      <c r="L420" s="10"/>
    </row>
    <row r="421" spans="2:12" ht="15">
      <c r="B421" s="197"/>
      <c r="C421" s="218"/>
      <c r="D421" s="52"/>
      <c r="E421" s="81"/>
      <c r="F421" s="218"/>
      <c r="G421" s="218"/>
      <c r="H421" s="219"/>
      <c r="I421" s="49"/>
      <c r="J421" s="52"/>
      <c r="K421" s="49"/>
      <c r="L421" s="10"/>
    </row>
    <row r="422" spans="2:12" ht="15">
      <c r="B422" s="197"/>
      <c r="C422" s="218"/>
      <c r="D422" s="52"/>
      <c r="E422" s="81"/>
      <c r="F422" s="218"/>
      <c r="G422" s="218"/>
      <c r="H422" s="219"/>
      <c r="I422" s="49"/>
      <c r="J422" s="52"/>
      <c r="K422" s="49"/>
      <c r="L422" s="10"/>
    </row>
    <row r="423" spans="2:12" ht="15">
      <c r="B423" s="197"/>
      <c r="C423" s="218"/>
      <c r="D423" s="52"/>
      <c r="E423" s="81"/>
      <c r="F423" s="218"/>
      <c r="G423" s="218"/>
      <c r="H423" s="219"/>
      <c r="I423" s="49"/>
      <c r="J423" s="52"/>
      <c r="K423" s="49"/>
      <c r="L423" s="10"/>
    </row>
    <row r="424" spans="2:12" ht="15">
      <c r="B424" s="197"/>
      <c r="C424" s="218"/>
      <c r="D424" s="52"/>
      <c r="E424" s="81"/>
      <c r="F424" s="218"/>
      <c r="G424" s="218"/>
      <c r="H424" s="219"/>
      <c r="I424" s="49"/>
      <c r="J424" s="52"/>
      <c r="K424" s="49"/>
      <c r="L424" s="10"/>
    </row>
    <row r="425" spans="2:12" ht="15">
      <c r="B425" s="197"/>
      <c r="C425" s="218"/>
      <c r="D425" s="52"/>
      <c r="E425" s="81"/>
      <c r="F425" s="218"/>
      <c r="G425" s="218"/>
      <c r="H425" s="219"/>
      <c r="I425" s="49"/>
      <c r="J425" s="52"/>
      <c r="K425" s="49"/>
      <c r="L425" s="10"/>
    </row>
    <row r="426" spans="2:12" ht="15">
      <c r="B426" s="197"/>
      <c r="C426" s="218"/>
      <c r="D426" s="52"/>
      <c r="E426" s="81"/>
      <c r="F426" s="218"/>
      <c r="G426" s="218"/>
      <c r="H426" s="219"/>
      <c r="I426" s="49"/>
      <c r="J426" s="52"/>
      <c r="K426" s="49"/>
      <c r="L426" s="10"/>
    </row>
    <row r="427" spans="2:12" ht="15">
      <c r="B427" s="197"/>
      <c r="C427" s="218"/>
      <c r="D427" s="52"/>
      <c r="E427" s="81"/>
      <c r="F427" s="218"/>
      <c r="G427" s="218"/>
      <c r="H427" s="219"/>
      <c r="I427" s="49"/>
      <c r="J427" s="52"/>
      <c r="K427" s="49"/>
      <c r="L427" s="10"/>
    </row>
    <row r="428" spans="2:12" ht="15">
      <c r="B428" s="197"/>
      <c r="C428" s="218"/>
      <c r="D428" s="52"/>
      <c r="E428" s="81"/>
      <c r="F428" s="218"/>
      <c r="G428" s="218"/>
      <c r="H428" s="219"/>
      <c r="I428" s="49"/>
      <c r="J428" s="52"/>
      <c r="K428" s="49"/>
      <c r="L428" s="10"/>
    </row>
    <row r="429" spans="2:12" ht="15">
      <c r="B429" s="197"/>
      <c r="C429" s="218"/>
      <c r="D429" s="52"/>
      <c r="E429" s="81"/>
      <c r="F429" s="218"/>
      <c r="G429" s="218"/>
      <c r="H429" s="219"/>
      <c r="I429" s="49"/>
      <c r="J429" s="52"/>
      <c r="K429" s="49"/>
      <c r="L429" s="10"/>
    </row>
    <row r="430" spans="2:12" ht="15">
      <c r="B430" s="197"/>
      <c r="C430" s="218"/>
      <c r="D430" s="52"/>
      <c r="E430" s="81"/>
      <c r="F430" s="218"/>
      <c r="G430" s="218"/>
      <c r="H430" s="219"/>
      <c r="I430" s="49"/>
      <c r="J430" s="52"/>
      <c r="K430" s="49"/>
      <c r="L430" s="10"/>
    </row>
    <row r="431" spans="2:12" ht="15">
      <c r="B431" s="197"/>
      <c r="C431" s="218"/>
      <c r="D431" s="52"/>
      <c r="E431" s="81"/>
      <c r="F431" s="218"/>
      <c r="G431" s="218"/>
      <c r="H431" s="219"/>
      <c r="I431" s="49"/>
      <c r="J431" s="52"/>
      <c r="K431" s="49"/>
      <c r="L431" s="10"/>
    </row>
    <row r="432" spans="2:12" ht="15">
      <c r="B432" s="197"/>
      <c r="C432" s="218"/>
      <c r="D432" s="52"/>
      <c r="E432" s="81"/>
      <c r="F432" s="218"/>
      <c r="G432" s="218"/>
      <c r="H432" s="219"/>
      <c r="I432" s="49"/>
      <c r="J432" s="52"/>
      <c r="K432" s="49"/>
      <c r="L432" s="10"/>
    </row>
    <row r="433" spans="2:12" ht="15">
      <c r="B433" s="197"/>
      <c r="C433" s="218"/>
      <c r="D433" s="52"/>
      <c r="E433" s="81"/>
      <c r="F433" s="218"/>
      <c r="G433" s="218"/>
      <c r="H433" s="219"/>
      <c r="I433" s="49"/>
      <c r="J433" s="52"/>
      <c r="K433" s="49"/>
      <c r="L433" s="10"/>
    </row>
    <row r="434" spans="2:12" ht="15">
      <c r="B434" s="197"/>
      <c r="C434" s="218"/>
      <c r="D434" s="52"/>
      <c r="E434" s="81"/>
      <c r="F434" s="218"/>
      <c r="G434" s="218"/>
      <c r="H434" s="219"/>
      <c r="I434" s="49"/>
      <c r="J434" s="52"/>
      <c r="K434" s="49"/>
      <c r="L434" s="10"/>
    </row>
    <row r="435" spans="2:12" ht="15">
      <c r="B435" s="197"/>
      <c r="C435" s="218"/>
      <c r="D435" s="52"/>
      <c r="E435" s="81"/>
      <c r="F435" s="218"/>
      <c r="G435" s="218"/>
      <c r="H435" s="219"/>
      <c r="I435" s="49"/>
      <c r="J435" s="52"/>
      <c r="K435" s="49"/>
      <c r="L435" s="10"/>
    </row>
    <row r="436" spans="2:12" ht="15">
      <c r="B436" s="197"/>
      <c r="C436" s="218"/>
      <c r="D436" s="52"/>
      <c r="E436" s="81"/>
      <c r="F436" s="218"/>
      <c r="G436" s="218"/>
      <c r="H436" s="219"/>
      <c r="I436" s="49"/>
      <c r="J436" s="52"/>
      <c r="K436" s="49"/>
      <c r="L436" s="10"/>
    </row>
    <row r="437" spans="2:12" ht="15">
      <c r="B437" s="197"/>
      <c r="C437" s="218"/>
      <c r="D437" s="52"/>
      <c r="E437" s="81"/>
      <c r="F437" s="218"/>
      <c r="G437" s="218"/>
      <c r="H437" s="219"/>
      <c r="I437" s="49"/>
      <c r="J437" s="52"/>
      <c r="K437" s="49"/>
      <c r="L437" s="10"/>
    </row>
    <row r="438" spans="2:12" ht="15">
      <c r="B438" s="197"/>
      <c r="C438" s="218"/>
      <c r="D438" s="52"/>
      <c r="E438" s="81"/>
      <c r="F438" s="218"/>
      <c r="G438" s="218"/>
      <c r="H438" s="219"/>
      <c r="I438" s="49"/>
      <c r="J438" s="52"/>
      <c r="K438" s="49"/>
      <c r="L438" s="10"/>
    </row>
    <row r="439" spans="2:12" ht="15">
      <c r="B439" s="197"/>
      <c r="C439" s="218"/>
      <c r="D439" s="52"/>
      <c r="E439" s="81"/>
      <c r="F439" s="218"/>
      <c r="G439" s="218"/>
      <c r="H439" s="219"/>
      <c r="I439" s="49"/>
      <c r="J439" s="52"/>
      <c r="K439" s="49"/>
      <c r="L439" s="10"/>
    </row>
    <row r="440" spans="2:12" ht="15">
      <c r="B440" s="197"/>
      <c r="C440" s="218"/>
      <c r="D440" s="52"/>
      <c r="E440" s="81"/>
      <c r="F440" s="218"/>
      <c r="G440" s="218"/>
      <c r="H440" s="219"/>
      <c r="I440" s="49"/>
      <c r="J440" s="52"/>
      <c r="K440" s="49"/>
      <c r="L440" s="10"/>
    </row>
    <row r="441" spans="2:12" ht="15">
      <c r="B441" s="197"/>
      <c r="C441" s="218"/>
      <c r="D441" s="52"/>
      <c r="E441" s="81"/>
      <c r="F441" s="218"/>
      <c r="G441" s="218"/>
      <c r="H441" s="219"/>
      <c r="I441" s="49"/>
      <c r="J441" s="52"/>
      <c r="K441" s="49"/>
      <c r="L441" s="10"/>
    </row>
    <row r="442" spans="2:12" ht="15">
      <c r="B442" s="197"/>
      <c r="C442" s="218"/>
      <c r="D442" s="52"/>
      <c r="E442" s="81"/>
      <c r="F442" s="218"/>
      <c r="G442" s="218"/>
      <c r="H442" s="219"/>
      <c r="I442" s="49"/>
      <c r="J442" s="52"/>
      <c r="K442" s="49"/>
      <c r="L442" s="10"/>
    </row>
    <row r="443" spans="2:12" ht="15">
      <c r="B443" s="197"/>
      <c r="C443" s="218"/>
      <c r="D443" s="52"/>
      <c r="E443" s="81"/>
      <c r="F443" s="218"/>
      <c r="G443" s="218"/>
      <c r="H443" s="219"/>
      <c r="I443" s="49"/>
      <c r="J443" s="52"/>
      <c r="K443" s="49"/>
      <c r="L443" s="10"/>
    </row>
    <row r="444" spans="2:12" ht="15">
      <c r="B444" s="197"/>
      <c r="C444" s="218"/>
      <c r="D444" s="52"/>
      <c r="E444" s="81"/>
      <c r="F444" s="218"/>
      <c r="G444" s="218"/>
      <c r="H444" s="219"/>
      <c r="I444" s="49"/>
      <c r="J444" s="52"/>
      <c r="K444" s="49"/>
      <c r="L444" s="10"/>
    </row>
    <row r="445" spans="2:12" ht="15">
      <c r="B445" s="197"/>
      <c r="C445" s="218"/>
      <c r="D445" s="52"/>
      <c r="E445" s="81"/>
      <c r="F445" s="218"/>
      <c r="G445" s="218"/>
      <c r="H445" s="219"/>
      <c r="I445" s="49"/>
      <c r="J445" s="52"/>
      <c r="K445" s="49"/>
      <c r="L445" s="10"/>
    </row>
    <row r="446" spans="2:12" ht="15">
      <c r="B446" s="197"/>
      <c r="C446" s="218"/>
      <c r="D446" s="52"/>
      <c r="E446" s="81"/>
      <c r="F446" s="218"/>
      <c r="G446" s="218"/>
      <c r="H446" s="219"/>
      <c r="I446" s="49"/>
      <c r="J446" s="52"/>
      <c r="K446" s="49"/>
      <c r="L446" s="10"/>
    </row>
    <row r="447" spans="2:12" ht="15">
      <c r="B447" s="197"/>
      <c r="C447" s="218"/>
      <c r="D447" s="52"/>
      <c r="E447" s="81"/>
      <c r="F447" s="218"/>
      <c r="G447" s="218"/>
      <c r="H447" s="219"/>
      <c r="I447" s="49"/>
      <c r="J447" s="52"/>
      <c r="K447" s="49"/>
      <c r="L447" s="10"/>
    </row>
    <row r="448" spans="2:12" ht="15">
      <c r="B448" s="197"/>
      <c r="C448" s="218"/>
      <c r="D448" s="52"/>
      <c r="E448" s="81"/>
      <c r="F448" s="218"/>
      <c r="G448" s="218"/>
      <c r="H448" s="219"/>
      <c r="I448" s="49"/>
      <c r="J448" s="52"/>
      <c r="K448" s="49"/>
      <c r="L448" s="10"/>
    </row>
    <row r="449" spans="2:12" ht="15">
      <c r="B449" s="197"/>
      <c r="C449" s="218"/>
      <c r="D449" s="52"/>
      <c r="E449" s="81"/>
      <c r="F449" s="218"/>
      <c r="G449" s="218"/>
      <c r="H449" s="219"/>
      <c r="I449" s="49"/>
      <c r="J449" s="52"/>
      <c r="K449" s="49"/>
      <c r="L449" s="10"/>
    </row>
    <row r="450" spans="2:12" ht="15">
      <c r="B450" s="198"/>
      <c r="C450" s="220"/>
      <c r="D450" s="164"/>
      <c r="E450" s="165"/>
      <c r="F450" s="220"/>
      <c r="G450" s="220"/>
      <c r="H450" s="221"/>
      <c r="I450" s="167"/>
      <c r="J450" s="164"/>
      <c r="K450" s="167"/>
      <c r="L450" s="10"/>
    </row>
  </sheetData>
  <conditionalFormatting sqref="B3">
    <cfRule type="duplicateValues" dxfId="705" priority="11"/>
  </conditionalFormatting>
  <conditionalFormatting sqref="B26">
    <cfRule type="duplicateValues" dxfId="704" priority="363"/>
  </conditionalFormatting>
  <conditionalFormatting sqref="B53">
    <cfRule type="duplicateValues" dxfId="703" priority="50"/>
  </conditionalFormatting>
  <conditionalFormatting sqref="B69">
    <cfRule type="duplicateValues" dxfId="702" priority="24"/>
  </conditionalFormatting>
  <conditionalFormatting sqref="B98">
    <cfRule type="duplicateValues" dxfId="701" priority="41"/>
  </conditionalFormatting>
  <conditionalFormatting sqref="B113">
    <cfRule type="duplicateValues" dxfId="700" priority="40"/>
  </conditionalFormatting>
  <conditionalFormatting sqref="B166:B175">
    <cfRule type="duplicateValues" dxfId="699" priority="23"/>
  </conditionalFormatting>
  <conditionalFormatting sqref="B176">
    <cfRule type="duplicateValues" dxfId="698" priority="22"/>
  </conditionalFormatting>
  <conditionalFormatting sqref="B180">
    <cfRule type="duplicateValues" dxfId="697" priority="14"/>
    <cfRule type="duplicateValues" dxfId="696" priority="15"/>
  </conditionalFormatting>
  <conditionalFormatting sqref="B181">
    <cfRule type="duplicateValues" dxfId="695" priority="21"/>
  </conditionalFormatting>
  <conditionalFormatting sqref="B182:B183">
    <cfRule type="duplicateValues" dxfId="694" priority="20"/>
  </conditionalFormatting>
  <conditionalFormatting sqref="B184">
    <cfRule type="duplicateValues" dxfId="693" priority="19"/>
  </conditionalFormatting>
  <conditionalFormatting sqref="B188">
    <cfRule type="duplicateValues" dxfId="692" priority="17"/>
  </conditionalFormatting>
  <conditionalFormatting sqref="B189 B185:B187">
    <cfRule type="duplicateValues" dxfId="691" priority="18"/>
  </conditionalFormatting>
  <conditionalFormatting sqref="B202:B215">
    <cfRule type="duplicateValues" dxfId="690" priority="49"/>
  </conditionalFormatting>
  <conditionalFormatting sqref="B205">
    <cfRule type="duplicateValues" dxfId="689" priority="32"/>
    <cfRule type="duplicateValues" dxfId="688" priority="33"/>
  </conditionalFormatting>
  <conditionalFormatting sqref="B206">
    <cfRule type="duplicateValues" dxfId="687" priority="34"/>
    <cfRule type="duplicateValues" dxfId="686" priority="35"/>
  </conditionalFormatting>
  <conditionalFormatting sqref="B210">
    <cfRule type="duplicateValues" dxfId="685" priority="45"/>
  </conditionalFormatting>
  <conditionalFormatting sqref="B213">
    <cfRule type="duplicateValues" dxfId="684" priority="31"/>
  </conditionalFormatting>
  <conditionalFormatting sqref="B219:B221">
    <cfRule type="duplicateValues" dxfId="683" priority="30"/>
  </conditionalFormatting>
  <conditionalFormatting sqref="B223">
    <cfRule type="duplicateValues" dxfId="682" priority="39"/>
  </conditionalFormatting>
  <conditionalFormatting sqref="B228 B230">
    <cfRule type="duplicateValues" dxfId="681" priority="43"/>
  </conditionalFormatting>
  <conditionalFormatting sqref="B229">
    <cfRule type="duplicateValues" dxfId="680" priority="37"/>
  </conditionalFormatting>
  <conditionalFormatting sqref="B235">
    <cfRule type="duplicateValues" dxfId="679" priority="28"/>
  </conditionalFormatting>
  <conditionalFormatting sqref="B236">
    <cfRule type="duplicateValues" dxfId="678" priority="29"/>
  </conditionalFormatting>
  <conditionalFormatting sqref="B244">
    <cfRule type="duplicateValues" dxfId="677" priority="27"/>
  </conditionalFormatting>
  <conditionalFormatting sqref="B246">
    <cfRule type="duplicateValues" dxfId="676" priority="26"/>
  </conditionalFormatting>
  <conditionalFormatting sqref="B253">
    <cfRule type="duplicateValues" dxfId="675" priority="25"/>
  </conditionalFormatting>
  <conditionalFormatting sqref="B255">
    <cfRule type="duplicateValues" dxfId="674" priority="51"/>
  </conditionalFormatting>
  <conditionalFormatting sqref="B263">
    <cfRule type="duplicateValues" dxfId="673" priority="38"/>
  </conditionalFormatting>
  <conditionalFormatting sqref="B266">
    <cfRule type="duplicateValues" dxfId="672" priority="42"/>
  </conditionalFormatting>
  <conditionalFormatting sqref="B272">
    <cfRule type="duplicateValues" dxfId="671" priority="47"/>
  </conditionalFormatting>
  <conditionalFormatting sqref="B324">
    <cfRule type="duplicateValues" dxfId="670" priority="44"/>
  </conditionalFormatting>
  <conditionalFormatting sqref="B398">
    <cfRule type="duplicateValues" dxfId="669" priority="10"/>
  </conditionalFormatting>
  <conditionalFormatting sqref="B399 B329:B397">
    <cfRule type="duplicateValues" dxfId="668" priority="362"/>
  </conditionalFormatting>
  <conditionalFormatting sqref="B400">
    <cfRule type="duplicateValues" dxfId="667" priority="9"/>
  </conditionalFormatting>
  <conditionalFormatting sqref="B401">
    <cfRule type="duplicateValues" dxfId="666" priority="7"/>
    <cfRule type="duplicateValues" dxfId="665" priority="8"/>
  </conditionalFormatting>
  <conditionalFormatting sqref="B402:B405">
    <cfRule type="duplicateValues" dxfId="664" priority="5"/>
    <cfRule type="duplicateValues" dxfId="663" priority="6"/>
  </conditionalFormatting>
  <conditionalFormatting sqref="B406">
    <cfRule type="duplicateValues" dxfId="662" priority="1"/>
    <cfRule type="duplicateValues" dxfId="661" priority="2"/>
  </conditionalFormatting>
  <conditionalFormatting sqref="B407:B1048576 B399 B222 B27:B37 B231:B234 B267:B271 B256:B262 B264:B265 B204:B218 B237:B243 B245 B247:B252 B54:B68 B254 B70:B97 B99:B112 B224:B227 B177:B180 B273:B323 B2:B25 B325:B397 B39:B52 B114:B165 B190:B201">
    <cfRule type="duplicateValues" dxfId="660" priority="48"/>
  </conditionalFormatting>
  <conditionalFormatting sqref="O1 O407:O1048576 P2:P406">
    <cfRule type="cellIs" dxfId="659" priority="16" operator="equal">
      <formula>"ok"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5" fitToHeight="10" orientation="landscape" r:id="rId1"/>
  <headerFooter>
    <oddHeader>&amp;L&amp;"Arial"&amp;8&amp;K000000INTERNAL&amp;1#</oddHeader>
    <oddFooter>&amp;CFecha rev – Planeamiento – CC:8760 – KSU: 4.2- Interno
&amp;R &amp;P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P524"/>
  <sheetViews>
    <sheetView zoomScale="85" zoomScaleNormal="85" workbookViewId="0">
      <pane ySplit="2" topLeftCell="C130" activePane="bottomLeft" state="frozen"/>
      <selection pane="bottomLeft" activeCell="I158" sqref="I158"/>
      <selection activeCell="B23" sqref="A1:M486"/>
    </sheetView>
  </sheetViews>
  <sheetFormatPr defaultColWidth="9.140625" defaultRowHeight="14.45"/>
  <cols>
    <col min="1" max="1" width="6.5703125" style="65" customWidth="1"/>
    <col min="2" max="2" width="17.28515625" style="66" customWidth="1"/>
    <col min="3" max="3" width="45.140625" style="10" bestFit="1" customWidth="1"/>
    <col min="4" max="4" width="16.140625" style="65" customWidth="1"/>
    <col min="5" max="5" width="17.28515625" style="10" customWidth="1"/>
    <col min="6" max="6" width="20.85546875" style="10" customWidth="1"/>
    <col min="7" max="7" width="22" style="10" customWidth="1"/>
    <col min="8" max="8" width="22" style="65" customWidth="1"/>
    <col min="9" max="9" width="34.42578125" style="10" customWidth="1"/>
    <col min="10" max="10" width="8.5703125" style="65" customWidth="1"/>
    <col min="11" max="11" width="22.5703125" style="10" customWidth="1"/>
    <col min="12" max="12" width="20" style="10" hidden="1" customWidth="1"/>
    <col min="13" max="15" width="9.140625" style="10" customWidth="1"/>
    <col min="16" max="16384" width="9.140625" style="10"/>
  </cols>
  <sheetData>
    <row r="1" spans="1:13">
      <c r="A1" s="46" t="s">
        <v>3331</v>
      </c>
      <c r="B1" s="46"/>
      <c r="C1" s="46"/>
      <c r="D1" s="47"/>
      <c r="E1" s="46"/>
      <c r="F1" s="46" t="s">
        <v>3332</v>
      </c>
      <c r="G1" s="46" t="s">
        <v>3333</v>
      </c>
      <c r="H1" s="46"/>
      <c r="I1" s="46"/>
      <c r="J1" s="47" t="s">
        <v>2371</v>
      </c>
      <c r="K1" s="48">
        <f>+BOM!D2</f>
        <v>45953</v>
      </c>
      <c r="L1" s="49"/>
    </row>
    <row r="2" spans="1:13" ht="30" customHeight="1">
      <c r="A2" s="50" t="s">
        <v>2372</v>
      </c>
      <c r="B2" s="191" t="s">
        <v>2373</v>
      </c>
      <c r="C2" s="50" t="s">
        <v>2374</v>
      </c>
      <c r="D2" s="192" t="s">
        <v>2375</v>
      </c>
      <c r="E2" s="193" t="s">
        <v>3334</v>
      </c>
      <c r="F2" s="194" t="s">
        <v>2377</v>
      </c>
      <c r="G2" s="195" t="s">
        <v>2378</v>
      </c>
      <c r="H2" s="196" t="s">
        <v>2379</v>
      </c>
      <c r="I2" s="159" t="s">
        <v>2380</v>
      </c>
      <c r="J2" s="195" t="s">
        <v>2381</v>
      </c>
      <c r="K2" s="51" t="s">
        <v>2382</v>
      </c>
      <c r="L2" s="185" t="s">
        <v>2383</v>
      </c>
      <c r="M2" s="51" t="s">
        <v>2384</v>
      </c>
    </row>
    <row r="3" spans="1:13" ht="15">
      <c r="A3" s="52">
        <v>1</v>
      </c>
      <c r="B3" s="53" t="s">
        <v>2026</v>
      </c>
      <c r="C3" s="126" t="s">
        <v>1920</v>
      </c>
      <c r="D3" s="55">
        <v>1</v>
      </c>
      <c r="E3" s="52" t="s">
        <v>2385</v>
      </c>
      <c r="F3" s="126" t="s">
        <v>289</v>
      </c>
      <c r="G3" s="126" t="s">
        <v>1667</v>
      </c>
      <c r="H3" s="131">
        <v>1</v>
      </c>
      <c r="I3" s="49" t="s">
        <v>2386</v>
      </c>
      <c r="J3" s="52">
        <v>1</v>
      </c>
      <c r="K3" s="49"/>
      <c r="L3" s="49" t="s">
        <v>3335</v>
      </c>
      <c r="M3" s="58"/>
    </row>
    <row r="4" spans="1:13" ht="15">
      <c r="A4" s="52">
        <v>2</v>
      </c>
      <c r="B4" s="53" t="s">
        <v>1045</v>
      </c>
      <c r="C4" s="126" t="s">
        <v>59</v>
      </c>
      <c r="D4" s="55">
        <v>1</v>
      </c>
      <c r="E4" s="52" t="s">
        <v>2388</v>
      </c>
      <c r="F4" s="126" t="s">
        <v>1047</v>
      </c>
      <c r="G4" s="126" t="s">
        <v>1667</v>
      </c>
      <c r="H4" s="131">
        <v>1</v>
      </c>
      <c r="I4" s="49" t="s">
        <v>3336</v>
      </c>
      <c r="J4" s="52"/>
      <c r="K4" s="49"/>
      <c r="L4" s="49" t="s">
        <v>3337</v>
      </c>
      <c r="M4" s="58"/>
    </row>
    <row r="5" spans="1:13" ht="15">
      <c r="A5" s="52">
        <v>3</v>
      </c>
      <c r="B5" s="53" t="s">
        <v>2002</v>
      </c>
      <c r="C5" s="126" t="s">
        <v>2001</v>
      </c>
      <c r="D5" s="55">
        <v>1</v>
      </c>
      <c r="E5" s="52" t="s">
        <v>2388</v>
      </c>
      <c r="F5" s="126" t="s">
        <v>195</v>
      </c>
      <c r="G5" s="126" t="s">
        <v>1667</v>
      </c>
      <c r="H5" s="131">
        <v>1</v>
      </c>
      <c r="I5" s="49" t="s">
        <v>3336</v>
      </c>
      <c r="J5" s="52"/>
      <c r="K5" s="49"/>
      <c r="L5" s="49" t="s">
        <v>3338</v>
      </c>
      <c r="M5" s="58"/>
    </row>
    <row r="6" spans="1:13" ht="15">
      <c r="A6" s="52">
        <v>4</v>
      </c>
      <c r="B6" s="53" t="s">
        <v>2012</v>
      </c>
      <c r="C6" s="126" t="s">
        <v>1913</v>
      </c>
      <c r="D6" s="55">
        <v>4</v>
      </c>
      <c r="E6" s="52" t="s">
        <v>2427</v>
      </c>
      <c r="F6" s="126" t="s">
        <v>230</v>
      </c>
      <c r="G6" s="126" t="s">
        <v>1667</v>
      </c>
      <c r="H6" s="131">
        <v>3</v>
      </c>
      <c r="I6" s="49" t="s">
        <v>3339</v>
      </c>
      <c r="J6" s="52"/>
      <c r="K6" s="49"/>
      <c r="L6" s="49" t="s">
        <v>3340</v>
      </c>
      <c r="M6" s="58"/>
    </row>
    <row r="7" spans="1:13" ht="15">
      <c r="A7" s="52">
        <v>5</v>
      </c>
      <c r="B7" s="53" t="s">
        <v>2013</v>
      </c>
      <c r="C7" s="126" t="s">
        <v>1913</v>
      </c>
      <c r="D7" s="55">
        <v>3</v>
      </c>
      <c r="E7" s="52" t="s">
        <v>2427</v>
      </c>
      <c r="F7" s="126" t="s">
        <v>230</v>
      </c>
      <c r="G7" s="126" t="s">
        <v>1667</v>
      </c>
      <c r="H7" s="131">
        <v>4</v>
      </c>
      <c r="I7" s="49" t="s">
        <v>3339</v>
      </c>
      <c r="J7" s="52"/>
      <c r="K7" s="49"/>
      <c r="L7" s="49" t="s">
        <v>3341</v>
      </c>
      <c r="M7" s="58"/>
    </row>
    <row r="8" spans="1:13" ht="15">
      <c r="A8" s="52">
        <v>6</v>
      </c>
      <c r="B8" s="53" t="s">
        <v>1846</v>
      </c>
      <c r="C8" s="126" t="s">
        <v>1848</v>
      </c>
      <c r="D8" s="55">
        <v>1</v>
      </c>
      <c r="E8" s="52" t="s">
        <v>2385</v>
      </c>
      <c r="F8" s="126" t="s">
        <v>18</v>
      </c>
      <c r="G8" s="126" t="s">
        <v>1667</v>
      </c>
      <c r="H8" s="131">
        <v>1</v>
      </c>
      <c r="I8" s="49" t="s">
        <v>2386</v>
      </c>
      <c r="J8" s="52">
        <v>1</v>
      </c>
      <c r="K8" s="49"/>
      <c r="L8" s="49" t="s">
        <v>3342</v>
      </c>
      <c r="M8" s="58">
        <v>45533</v>
      </c>
    </row>
    <row r="9" spans="1:13" ht="15">
      <c r="A9" s="52">
        <v>7</v>
      </c>
      <c r="B9" s="53" t="s">
        <v>1109</v>
      </c>
      <c r="C9" s="126" t="s">
        <v>179</v>
      </c>
      <c r="D9" s="55">
        <v>1</v>
      </c>
      <c r="E9" s="52" t="s">
        <v>2385</v>
      </c>
      <c r="F9" s="126" t="s">
        <v>18</v>
      </c>
      <c r="G9" s="126" t="s">
        <v>1667</v>
      </c>
      <c r="H9" s="131">
        <v>1</v>
      </c>
      <c r="I9" s="49" t="s">
        <v>2386</v>
      </c>
      <c r="J9" s="52">
        <v>1</v>
      </c>
      <c r="K9" s="49"/>
      <c r="L9" s="49" t="s">
        <v>3343</v>
      </c>
      <c r="M9" s="58"/>
    </row>
    <row r="10" spans="1:13" ht="15">
      <c r="A10" s="52">
        <v>8</v>
      </c>
      <c r="B10" s="59" t="s">
        <v>1132</v>
      </c>
      <c r="C10" s="126" t="s">
        <v>179</v>
      </c>
      <c r="D10" s="55">
        <v>1</v>
      </c>
      <c r="E10" s="52" t="s">
        <v>2385</v>
      </c>
      <c r="F10" s="126" t="s">
        <v>18</v>
      </c>
      <c r="G10" s="126" t="s">
        <v>1667</v>
      </c>
      <c r="H10" s="131">
        <v>1</v>
      </c>
      <c r="I10" s="49" t="s">
        <v>2386</v>
      </c>
      <c r="J10" s="52">
        <v>1</v>
      </c>
      <c r="K10" s="49"/>
      <c r="L10" s="49" t="s">
        <v>3344</v>
      </c>
      <c r="M10" s="58"/>
    </row>
    <row r="11" spans="1:13" ht="15">
      <c r="A11" s="52">
        <v>9</v>
      </c>
      <c r="B11" s="53" t="s">
        <v>1304</v>
      </c>
      <c r="C11" s="126" t="s">
        <v>1306</v>
      </c>
      <c r="D11" s="55">
        <v>1</v>
      </c>
      <c r="E11" s="52" t="s">
        <v>2385</v>
      </c>
      <c r="F11" s="126" t="s">
        <v>18</v>
      </c>
      <c r="G11" s="126" t="s">
        <v>1667</v>
      </c>
      <c r="H11" s="131">
        <v>1</v>
      </c>
      <c r="I11" s="49" t="s">
        <v>2386</v>
      </c>
      <c r="J11" s="52">
        <v>1</v>
      </c>
      <c r="K11" s="49"/>
      <c r="L11" s="49" t="s">
        <v>3345</v>
      </c>
      <c r="M11" s="58"/>
    </row>
    <row r="12" spans="1:13" ht="15">
      <c r="A12" s="52">
        <v>10</v>
      </c>
      <c r="B12" s="53" t="s">
        <v>1082</v>
      </c>
      <c r="C12" s="126" t="s">
        <v>41</v>
      </c>
      <c r="D12" s="55">
        <v>1</v>
      </c>
      <c r="E12" s="52" t="s">
        <v>2437</v>
      </c>
      <c r="F12" s="126" t="s">
        <v>18</v>
      </c>
      <c r="G12" s="126" t="s">
        <v>1667</v>
      </c>
      <c r="H12" s="131">
        <v>1</v>
      </c>
      <c r="I12" s="49" t="s">
        <v>2438</v>
      </c>
      <c r="J12" s="52">
        <v>1</v>
      </c>
      <c r="K12" s="49"/>
      <c r="L12" s="49" t="s">
        <v>3346</v>
      </c>
      <c r="M12" s="58"/>
    </row>
    <row r="13" spans="1:13" ht="15">
      <c r="A13" s="52">
        <v>11</v>
      </c>
      <c r="B13" s="53" t="s">
        <v>899</v>
      </c>
      <c r="C13" s="126" t="s">
        <v>900</v>
      </c>
      <c r="D13" s="55">
        <v>1</v>
      </c>
      <c r="E13" s="52" t="s">
        <v>2385</v>
      </c>
      <c r="F13" s="126" t="s">
        <v>18</v>
      </c>
      <c r="G13" s="126" t="s">
        <v>1667</v>
      </c>
      <c r="H13" s="131">
        <v>1</v>
      </c>
      <c r="I13" s="49" t="s">
        <v>2386</v>
      </c>
      <c r="J13" s="52">
        <v>2</v>
      </c>
      <c r="K13" s="49"/>
      <c r="L13" s="49" t="s">
        <v>3347</v>
      </c>
      <c r="M13" s="58"/>
    </row>
    <row r="14" spans="1:13" ht="15">
      <c r="A14" s="52">
        <v>12</v>
      </c>
      <c r="B14" s="53" t="s">
        <v>1080</v>
      </c>
      <c r="C14" s="126" t="s">
        <v>41</v>
      </c>
      <c r="D14" s="55">
        <v>1</v>
      </c>
      <c r="E14" s="52" t="s">
        <v>2385</v>
      </c>
      <c r="F14" s="126" t="s">
        <v>18</v>
      </c>
      <c r="G14" s="126" t="s">
        <v>1667</v>
      </c>
      <c r="H14" s="131">
        <v>1</v>
      </c>
      <c r="I14" s="49" t="s">
        <v>2386</v>
      </c>
      <c r="J14" s="52">
        <v>2</v>
      </c>
      <c r="K14" s="49"/>
      <c r="L14" s="49" t="s">
        <v>3348</v>
      </c>
      <c r="M14" s="58"/>
    </row>
    <row r="15" spans="1:13" ht="15">
      <c r="A15" s="52">
        <v>13</v>
      </c>
      <c r="B15" s="53" t="s">
        <v>1083</v>
      </c>
      <c r="C15" s="126" t="s">
        <v>41</v>
      </c>
      <c r="D15" s="55">
        <v>1</v>
      </c>
      <c r="E15" s="52" t="s">
        <v>2385</v>
      </c>
      <c r="F15" s="126" t="s">
        <v>18</v>
      </c>
      <c r="G15" s="126" t="s">
        <v>1667</v>
      </c>
      <c r="H15" s="131">
        <v>1</v>
      </c>
      <c r="I15" s="49" t="s">
        <v>2386</v>
      </c>
      <c r="J15" s="52">
        <v>2</v>
      </c>
      <c r="K15" s="49"/>
      <c r="L15" s="49" t="s">
        <v>3349</v>
      </c>
      <c r="M15" s="58"/>
    </row>
    <row r="16" spans="1:13" ht="15">
      <c r="A16" s="52">
        <v>14</v>
      </c>
      <c r="B16" s="59" t="s">
        <v>1084</v>
      </c>
      <c r="C16" s="126" t="s">
        <v>41</v>
      </c>
      <c r="D16" s="55">
        <v>1</v>
      </c>
      <c r="E16" s="52" t="s">
        <v>2385</v>
      </c>
      <c r="F16" s="126" t="s">
        <v>18</v>
      </c>
      <c r="G16" s="126" t="s">
        <v>1667</v>
      </c>
      <c r="H16" s="131">
        <v>1</v>
      </c>
      <c r="I16" s="49" t="s">
        <v>2386</v>
      </c>
      <c r="J16" s="52">
        <v>2</v>
      </c>
      <c r="K16" s="49"/>
      <c r="L16" s="188" t="s">
        <v>3350</v>
      </c>
      <c r="M16" s="58"/>
    </row>
    <row r="17" spans="1:13" ht="15">
      <c r="A17" s="52">
        <v>15</v>
      </c>
      <c r="B17" s="53" t="s">
        <v>1100</v>
      </c>
      <c r="C17" s="126" t="s">
        <v>1101</v>
      </c>
      <c r="D17" s="55">
        <v>1</v>
      </c>
      <c r="E17" s="52" t="s">
        <v>2385</v>
      </c>
      <c r="F17" s="126" t="s">
        <v>18</v>
      </c>
      <c r="G17" s="126" t="s">
        <v>1667</v>
      </c>
      <c r="H17" s="131">
        <v>1</v>
      </c>
      <c r="I17" s="49" t="s">
        <v>2386</v>
      </c>
      <c r="J17" s="52">
        <v>2</v>
      </c>
      <c r="K17" s="49"/>
      <c r="L17" s="49" t="s">
        <v>3351</v>
      </c>
      <c r="M17" s="58"/>
    </row>
    <row r="18" spans="1:13" ht="15">
      <c r="A18" s="52">
        <v>16</v>
      </c>
      <c r="B18" s="53" t="s">
        <v>1161</v>
      </c>
      <c r="C18" s="126" t="s">
        <v>1162</v>
      </c>
      <c r="D18" s="55">
        <v>1</v>
      </c>
      <c r="E18" s="52" t="s">
        <v>2385</v>
      </c>
      <c r="F18" s="126" t="s">
        <v>18</v>
      </c>
      <c r="G18" s="126" t="s">
        <v>1667</v>
      </c>
      <c r="H18" s="131">
        <v>1</v>
      </c>
      <c r="I18" s="49" t="s">
        <v>2386</v>
      </c>
      <c r="J18" s="52">
        <v>2</v>
      </c>
      <c r="K18" s="49"/>
      <c r="L18" s="49" t="s">
        <v>3352</v>
      </c>
      <c r="M18" s="58"/>
    </row>
    <row r="19" spans="1:13" ht="15">
      <c r="A19" s="52">
        <v>17</v>
      </c>
      <c r="B19" s="67" t="s">
        <v>889</v>
      </c>
      <c r="C19" s="126" t="s">
        <v>890</v>
      </c>
      <c r="D19" s="55">
        <v>1</v>
      </c>
      <c r="E19" s="52" t="s">
        <v>2385</v>
      </c>
      <c r="F19" s="126" t="s">
        <v>18</v>
      </c>
      <c r="G19" s="126" t="s">
        <v>1667</v>
      </c>
      <c r="H19" s="131">
        <v>1</v>
      </c>
      <c r="I19" s="49" t="s">
        <v>2386</v>
      </c>
      <c r="J19" s="52">
        <v>2</v>
      </c>
      <c r="K19" s="49"/>
      <c r="L19" s="49" t="s">
        <v>3353</v>
      </c>
      <c r="M19" s="58"/>
    </row>
    <row r="20" spans="1:13" ht="15">
      <c r="A20" s="52">
        <v>18</v>
      </c>
      <c r="B20" s="53" t="s">
        <v>1038</v>
      </c>
      <c r="C20" s="126" t="s">
        <v>41</v>
      </c>
      <c r="D20" s="55">
        <v>1</v>
      </c>
      <c r="E20" s="56" t="s">
        <v>2385</v>
      </c>
      <c r="F20" s="126" t="s">
        <v>18</v>
      </c>
      <c r="G20" s="126" t="s">
        <v>1667</v>
      </c>
      <c r="H20" s="131">
        <v>1</v>
      </c>
      <c r="I20" s="49" t="s">
        <v>2386</v>
      </c>
      <c r="J20" s="52">
        <v>2</v>
      </c>
      <c r="K20" s="49"/>
      <c r="L20" s="49" t="s">
        <v>3354</v>
      </c>
      <c r="M20" s="58"/>
    </row>
    <row r="21" spans="1:13" ht="15">
      <c r="A21" s="52">
        <v>19</v>
      </c>
      <c r="B21" s="59" t="s">
        <v>887</v>
      </c>
      <c r="C21" s="126" t="s">
        <v>888</v>
      </c>
      <c r="D21" s="55">
        <v>1</v>
      </c>
      <c r="E21" s="56" t="s">
        <v>2394</v>
      </c>
      <c r="F21" s="126" t="s">
        <v>18</v>
      </c>
      <c r="G21" s="126" t="s">
        <v>1667</v>
      </c>
      <c r="H21" s="131">
        <v>1</v>
      </c>
      <c r="I21" s="49" t="s">
        <v>2425</v>
      </c>
      <c r="J21" s="52">
        <v>2</v>
      </c>
      <c r="K21" s="49"/>
      <c r="L21" s="49" t="s">
        <v>3355</v>
      </c>
      <c r="M21" s="58">
        <v>45533</v>
      </c>
    </row>
    <row r="22" spans="1:13" ht="15">
      <c r="A22" s="52">
        <v>20</v>
      </c>
      <c r="B22" s="53" t="s">
        <v>1252</v>
      </c>
      <c r="C22" s="126" t="s">
        <v>506</v>
      </c>
      <c r="D22" s="55">
        <v>2</v>
      </c>
      <c r="E22" s="56" t="s">
        <v>2394</v>
      </c>
      <c r="F22" s="126" t="s">
        <v>18</v>
      </c>
      <c r="G22" s="126" t="s">
        <v>1667</v>
      </c>
      <c r="H22" s="131">
        <v>2</v>
      </c>
      <c r="I22" s="49" t="s">
        <v>2425</v>
      </c>
      <c r="J22" s="52">
        <v>2</v>
      </c>
      <c r="K22" s="49"/>
      <c r="L22" s="49" t="s">
        <v>3356</v>
      </c>
      <c r="M22" s="58"/>
    </row>
    <row r="23" spans="1:13" ht="15">
      <c r="A23" s="52">
        <v>21</v>
      </c>
      <c r="B23" s="59" t="s">
        <v>1266</v>
      </c>
      <c r="C23" s="126" t="s">
        <v>1267</v>
      </c>
      <c r="D23" s="55">
        <v>1</v>
      </c>
      <c r="E23" s="56" t="s">
        <v>2394</v>
      </c>
      <c r="F23" s="126" t="s">
        <v>18</v>
      </c>
      <c r="G23" s="126" t="s">
        <v>1667</v>
      </c>
      <c r="H23" s="131">
        <v>1</v>
      </c>
      <c r="I23" s="49" t="s">
        <v>2425</v>
      </c>
      <c r="J23" s="52">
        <v>2</v>
      </c>
      <c r="K23" s="49"/>
      <c r="L23" s="49" t="s">
        <v>3357</v>
      </c>
      <c r="M23" s="58"/>
    </row>
    <row r="24" spans="1:13" ht="15">
      <c r="A24" s="52">
        <v>22</v>
      </c>
      <c r="B24" s="59" t="s">
        <v>1268</v>
      </c>
      <c r="C24" s="126" t="s">
        <v>1267</v>
      </c>
      <c r="D24" s="55">
        <v>1</v>
      </c>
      <c r="E24" s="56" t="s">
        <v>2394</v>
      </c>
      <c r="F24" s="126" t="s">
        <v>18</v>
      </c>
      <c r="G24" s="126" t="s">
        <v>1667</v>
      </c>
      <c r="H24" s="131">
        <v>1</v>
      </c>
      <c r="I24" s="49" t="s">
        <v>2425</v>
      </c>
      <c r="J24" s="52">
        <v>2</v>
      </c>
      <c r="K24" s="49"/>
      <c r="L24" s="49" t="s">
        <v>3358</v>
      </c>
      <c r="M24" s="58"/>
    </row>
    <row r="25" spans="1:13" ht="15">
      <c r="A25" s="52">
        <v>23</v>
      </c>
      <c r="B25" s="60" t="s">
        <v>741</v>
      </c>
      <c r="C25" s="126" t="s">
        <v>41</v>
      </c>
      <c r="D25" s="52">
        <v>1</v>
      </c>
      <c r="E25" s="56" t="s">
        <v>2427</v>
      </c>
      <c r="F25" s="126" t="s">
        <v>18</v>
      </c>
      <c r="G25" s="126" t="s">
        <v>1667</v>
      </c>
      <c r="H25" s="131">
        <v>1</v>
      </c>
      <c r="I25" s="49" t="s">
        <v>2428</v>
      </c>
      <c r="J25" s="52">
        <v>2</v>
      </c>
      <c r="K25" s="49"/>
      <c r="L25" s="49" t="s">
        <v>3359</v>
      </c>
      <c r="M25" s="58"/>
    </row>
    <row r="26" spans="1:13" ht="15">
      <c r="A26" s="52">
        <v>24</v>
      </c>
      <c r="B26" s="53" t="s">
        <v>1017</v>
      </c>
      <c r="C26" s="126" t="s">
        <v>1019</v>
      </c>
      <c r="D26" s="55">
        <v>2</v>
      </c>
      <c r="E26" s="56" t="s">
        <v>2437</v>
      </c>
      <c r="F26" s="126" t="s">
        <v>18</v>
      </c>
      <c r="G26" s="126" t="s">
        <v>1667</v>
      </c>
      <c r="H26" s="131">
        <v>2</v>
      </c>
      <c r="I26" s="49" t="s">
        <v>2438</v>
      </c>
      <c r="J26" s="52">
        <v>2</v>
      </c>
      <c r="K26" s="49"/>
      <c r="L26" s="49" t="s">
        <v>3360</v>
      </c>
      <c r="M26" s="58"/>
    </row>
    <row r="27" spans="1:13" ht="15">
      <c r="A27" s="52">
        <v>25</v>
      </c>
      <c r="B27" s="53" t="s">
        <v>1085</v>
      </c>
      <c r="C27" s="126" t="s">
        <v>41</v>
      </c>
      <c r="D27" s="55">
        <v>1</v>
      </c>
      <c r="E27" s="56" t="s">
        <v>2437</v>
      </c>
      <c r="F27" s="126" t="s">
        <v>18</v>
      </c>
      <c r="G27" s="126" t="s">
        <v>1667</v>
      </c>
      <c r="H27" s="131">
        <v>1</v>
      </c>
      <c r="I27" s="49" t="s">
        <v>2438</v>
      </c>
      <c r="J27" s="52">
        <v>2</v>
      </c>
      <c r="K27" s="49"/>
      <c r="L27" s="49" t="s">
        <v>3361</v>
      </c>
      <c r="M27" s="58"/>
    </row>
    <row r="28" spans="1:13" ht="15">
      <c r="A28" s="52">
        <v>26</v>
      </c>
      <c r="B28" s="53" t="s">
        <v>2358</v>
      </c>
      <c r="C28" s="126" t="s">
        <v>2360</v>
      </c>
      <c r="D28" s="55">
        <v>1</v>
      </c>
      <c r="E28" s="56" t="s">
        <v>2391</v>
      </c>
      <c r="F28" s="126" t="s">
        <v>18</v>
      </c>
      <c r="G28" s="126" t="s">
        <v>1667</v>
      </c>
      <c r="H28" s="131">
        <v>1</v>
      </c>
      <c r="I28" s="49" t="s">
        <v>2449</v>
      </c>
      <c r="J28" s="52">
        <v>2</v>
      </c>
      <c r="K28" s="49"/>
      <c r="L28" s="49" t="s">
        <v>3362</v>
      </c>
      <c r="M28" s="58"/>
    </row>
    <row r="29" spans="1:13" ht="15">
      <c r="A29" s="52">
        <v>27</v>
      </c>
      <c r="B29" s="53" t="s">
        <v>836</v>
      </c>
      <c r="C29" s="126" t="s">
        <v>837</v>
      </c>
      <c r="D29" s="55">
        <v>1</v>
      </c>
      <c r="E29" s="56" t="s">
        <v>2391</v>
      </c>
      <c r="F29" s="126" t="s">
        <v>18</v>
      </c>
      <c r="G29" s="126" t="s">
        <v>1667</v>
      </c>
      <c r="H29" s="131">
        <v>1</v>
      </c>
      <c r="I29" s="49" t="s">
        <v>2511</v>
      </c>
      <c r="J29" s="52">
        <v>2</v>
      </c>
      <c r="K29" s="49"/>
      <c r="L29" s="49" t="s">
        <v>3363</v>
      </c>
      <c r="M29" s="58"/>
    </row>
    <row r="30" spans="1:13" ht="15">
      <c r="A30" s="52">
        <v>28</v>
      </c>
      <c r="B30" s="53" t="s">
        <v>838</v>
      </c>
      <c r="C30" s="126" t="s">
        <v>839</v>
      </c>
      <c r="D30" s="55">
        <v>1</v>
      </c>
      <c r="E30" s="56" t="s">
        <v>2391</v>
      </c>
      <c r="F30" s="126" t="s">
        <v>18</v>
      </c>
      <c r="G30" s="126" t="s">
        <v>1667</v>
      </c>
      <c r="H30" s="131">
        <v>1</v>
      </c>
      <c r="I30" s="49" t="s">
        <v>2511</v>
      </c>
      <c r="J30" s="52">
        <v>2</v>
      </c>
      <c r="K30" s="49"/>
      <c r="L30" s="49" t="s">
        <v>3364</v>
      </c>
      <c r="M30" s="58"/>
    </row>
    <row r="31" spans="1:13" ht="15">
      <c r="A31" s="52">
        <v>29</v>
      </c>
      <c r="B31" s="53" t="s">
        <v>1307</v>
      </c>
      <c r="C31" s="126" t="s">
        <v>403</v>
      </c>
      <c r="D31" s="55">
        <v>1</v>
      </c>
      <c r="E31" s="56" t="s">
        <v>2391</v>
      </c>
      <c r="F31" s="126" t="s">
        <v>18</v>
      </c>
      <c r="G31" s="126" t="s">
        <v>1667</v>
      </c>
      <c r="H31" s="131">
        <v>1</v>
      </c>
      <c r="I31" s="49" t="s">
        <v>2449</v>
      </c>
      <c r="J31" s="52">
        <v>2</v>
      </c>
      <c r="K31" s="49" t="s">
        <v>3365</v>
      </c>
      <c r="L31" s="49" t="s">
        <v>3366</v>
      </c>
      <c r="M31" s="58"/>
    </row>
    <row r="32" spans="1:13" ht="15">
      <c r="A32" s="52">
        <v>30</v>
      </c>
      <c r="B32" s="53" t="s">
        <v>1078</v>
      </c>
      <c r="C32" s="126" t="s">
        <v>1079</v>
      </c>
      <c r="D32" s="55">
        <v>1</v>
      </c>
      <c r="E32" s="56" t="s">
        <v>2391</v>
      </c>
      <c r="F32" s="126" t="s">
        <v>18</v>
      </c>
      <c r="G32" s="126" t="s">
        <v>1667</v>
      </c>
      <c r="H32" s="131">
        <v>1</v>
      </c>
      <c r="I32" s="49" t="s">
        <v>2449</v>
      </c>
      <c r="J32" s="52">
        <v>2</v>
      </c>
      <c r="K32" s="49" t="s">
        <v>3365</v>
      </c>
      <c r="L32" s="49" t="s">
        <v>3367</v>
      </c>
      <c r="M32" s="58"/>
    </row>
    <row r="33" spans="1:13" ht="15">
      <c r="A33" s="52">
        <v>31</v>
      </c>
      <c r="B33" s="53" t="s">
        <v>1353</v>
      </c>
      <c r="C33" s="126" t="s">
        <v>41</v>
      </c>
      <c r="D33" s="55">
        <v>1</v>
      </c>
      <c r="E33" s="56" t="s">
        <v>2391</v>
      </c>
      <c r="F33" s="126" t="s">
        <v>18</v>
      </c>
      <c r="G33" s="126" t="s">
        <v>1667</v>
      </c>
      <c r="H33" s="131">
        <v>1</v>
      </c>
      <c r="I33" s="49" t="s">
        <v>2449</v>
      </c>
      <c r="J33" s="52">
        <v>2</v>
      </c>
      <c r="K33" s="49" t="s">
        <v>3365</v>
      </c>
      <c r="L33" s="49" t="s">
        <v>3368</v>
      </c>
      <c r="M33" s="58"/>
    </row>
    <row r="34" spans="1:13" ht="15">
      <c r="A34" s="52">
        <v>32</v>
      </c>
      <c r="B34" s="53" t="s">
        <v>1368</v>
      </c>
      <c r="C34" s="126" t="s">
        <v>984</v>
      </c>
      <c r="D34" s="55">
        <v>1</v>
      </c>
      <c r="E34" s="56" t="s">
        <v>2391</v>
      </c>
      <c r="F34" s="126" t="s">
        <v>18</v>
      </c>
      <c r="G34" s="126" t="s">
        <v>1667</v>
      </c>
      <c r="H34" s="131">
        <v>1</v>
      </c>
      <c r="I34" s="49" t="s">
        <v>2449</v>
      </c>
      <c r="J34" s="52">
        <v>2</v>
      </c>
      <c r="K34" s="49" t="s">
        <v>3365</v>
      </c>
      <c r="L34" s="49" t="s">
        <v>3369</v>
      </c>
      <c r="M34" s="58"/>
    </row>
    <row r="35" spans="1:13" ht="15">
      <c r="A35" s="52">
        <v>33</v>
      </c>
      <c r="B35" s="60" t="s">
        <v>3370</v>
      </c>
      <c r="C35" s="126" t="s">
        <v>984</v>
      </c>
      <c r="D35" s="52">
        <v>1</v>
      </c>
      <c r="E35" s="56" t="s">
        <v>2391</v>
      </c>
      <c r="F35" s="126" t="s">
        <v>18</v>
      </c>
      <c r="G35" s="126" t="s">
        <v>1667</v>
      </c>
      <c r="H35" s="131">
        <v>1</v>
      </c>
      <c r="I35" s="49" t="s">
        <v>2449</v>
      </c>
      <c r="J35" s="52">
        <v>2</v>
      </c>
      <c r="K35" s="49" t="s">
        <v>3365</v>
      </c>
      <c r="L35" s="49" t="s">
        <v>3371</v>
      </c>
      <c r="M35" s="58"/>
    </row>
    <row r="36" spans="1:13" ht="15">
      <c r="A36" s="52">
        <v>34</v>
      </c>
      <c r="B36" s="53" t="s">
        <v>565</v>
      </c>
      <c r="C36" s="126" t="s">
        <v>17</v>
      </c>
      <c r="D36" s="55">
        <v>2</v>
      </c>
      <c r="E36" s="56" t="s">
        <v>2391</v>
      </c>
      <c r="F36" s="126" t="s">
        <v>18</v>
      </c>
      <c r="G36" s="126" t="s">
        <v>1667</v>
      </c>
      <c r="H36" s="131">
        <v>2</v>
      </c>
      <c r="I36" s="49" t="s">
        <v>2449</v>
      </c>
      <c r="J36" s="52">
        <v>2</v>
      </c>
      <c r="K36" s="49" t="s">
        <v>3365</v>
      </c>
      <c r="L36" s="49" t="s">
        <v>3372</v>
      </c>
      <c r="M36" s="58"/>
    </row>
    <row r="37" spans="1:13" ht="15">
      <c r="A37" s="52">
        <v>35</v>
      </c>
      <c r="B37" s="60" t="s">
        <v>1059</v>
      </c>
      <c r="C37" s="126" t="s">
        <v>1031</v>
      </c>
      <c r="D37" s="52">
        <v>1</v>
      </c>
      <c r="E37" s="56" t="s">
        <v>2385</v>
      </c>
      <c r="F37" s="126" t="s">
        <v>18</v>
      </c>
      <c r="G37" s="126" t="s">
        <v>1667</v>
      </c>
      <c r="H37" s="131">
        <v>1</v>
      </c>
      <c r="I37" s="49" t="s">
        <v>2386</v>
      </c>
      <c r="J37" s="52">
        <v>3</v>
      </c>
      <c r="K37" s="49"/>
      <c r="L37" s="49" t="s">
        <v>3373</v>
      </c>
      <c r="M37" s="58"/>
    </row>
    <row r="38" spans="1:13" ht="15">
      <c r="A38" s="52">
        <v>36</v>
      </c>
      <c r="B38" s="59" t="s">
        <v>530</v>
      </c>
      <c r="C38" s="126" t="s">
        <v>532</v>
      </c>
      <c r="D38" s="55">
        <v>1</v>
      </c>
      <c r="E38" s="56" t="s">
        <v>2437</v>
      </c>
      <c r="F38" s="126" t="s">
        <v>18</v>
      </c>
      <c r="G38" s="126" t="s">
        <v>1667</v>
      </c>
      <c r="H38" s="131">
        <v>1</v>
      </c>
      <c r="I38" s="49" t="s">
        <v>2438</v>
      </c>
      <c r="J38" s="52">
        <v>3</v>
      </c>
      <c r="K38" s="49"/>
      <c r="L38" s="49" t="s">
        <v>3374</v>
      </c>
      <c r="M38" s="58"/>
    </row>
    <row r="39" spans="1:13" ht="15">
      <c r="A39" s="52">
        <v>37</v>
      </c>
      <c r="B39" s="53" t="s">
        <v>843</v>
      </c>
      <c r="C39" s="126" t="s">
        <v>845</v>
      </c>
      <c r="D39" s="55">
        <v>1</v>
      </c>
      <c r="E39" s="56" t="s">
        <v>2443</v>
      </c>
      <c r="F39" s="126" t="s">
        <v>18</v>
      </c>
      <c r="G39" s="126" t="s">
        <v>1667</v>
      </c>
      <c r="H39" s="131">
        <v>1</v>
      </c>
      <c r="I39" s="49" t="s">
        <v>2444</v>
      </c>
      <c r="J39" s="52">
        <v>3</v>
      </c>
      <c r="K39" s="49"/>
      <c r="L39" s="49" t="s">
        <v>3375</v>
      </c>
      <c r="M39" s="58"/>
    </row>
    <row r="40" spans="1:13" ht="15">
      <c r="A40" s="52">
        <v>38</v>
      </c>
      <c r="B40" s="53" t="s">
        <v>846</v>
      </c>
      <c r="C40" s="126" t="s">
        <v>845</v>
      </c>
      <c r="D40" s="55">
        <v>1</v>
      </c>
      <c r="E40" s="56" t="s">
        <v>2443</v>
      </c>
      <c r="F40" s="126" t="s">
        <v>18</v>
      </c>
      <c r="G40" s="126" t="s">
        <v>1667</v>
      </c>
      <c r="H40" s="131">
        <v>1</v>
      </c>
      <c r="I40" s="49" t="s">
        <v>2444</v>
      </c>
      <c r="J40" s="52">
        <v>3</v>
      </c>
      <c r="K40" s="49"/>
      <c r="L40" s="49" t="s">
        <v>3376</v>
      </c>
      <c r="M40" s="58"/>
    </row>
    <row r="41" spans="1:13" ht="15">
      <c r="A41" s="52">
        <v>39</v>
      </c>
      <c r="B41" s="53" t="s">
        <v>1077</v>
      </c>
      <c r="C41" s="126" t="s">
        <v>41</v>
      </c>
      <c r="D41" s="55">
        <v>1</v>
      </c>
      <c r="E41" s="56" t="s">
        <v>2391</v>
      </c>
      <c r="F41" s="126" t="s">
        <v>18</v>
      </c>
      <c r="G41" s="126" t="s">
        <v>1667</v>
      </c>
      <c r="H41" s="131">
        <v>1</v>
      </c>
      <c r="I41" s="49" t="s">
        <v>2449</v>
      </c>
      <c r="J41" s="52">
        <v>3</v>
      </c>
      <c r="K41" s="49" t="s">
        <v>3365</v>
      </c>
      <c r="L41" s="49" t="s">
        <v>3377</v>
      </c>
      <c r="M41" s="58"/>
    </row>
    <row r="42" spans="1:13" ht="15">
      <c r="A42" s="52">
        <v>40</v>
      </c>
      <c r="B42" s="53" t="s">
        <v>1060</v>
      </c>
      <c r="C42" s="126" t="s">
        <v>181</v>
      </c>
      <c r="D42" s="55">
        <v>1</v>
      </c>
      <c r="E42" s="56" t="s">
        <v>2385</v>
      </c>
      <c r="F42" s="126" t="s">
        <v>18</v>
      </c>
      <c r="G42" s="126" t="s">
        <v>1667</v>
      </c>
      <c r="H42" s="131">
        <v>1</v>
      </c>
      <c r="I42" s="49" t="s">
        <v>2386</v>
      </c>
      <c r="J42" s="52">
        <v>4</v>
      </c>
      <c r="K42" s="49"/>
      <c r="L42" s="49" t="s">
        <v>3378</v>
      </c>
      <c r="M42" s="58"/>
    </row>
    <row r="43" spans="1:13" ht="15">
      <c r="A43" s="52">
        <v>41</v>
      </c>
      <c r="B43" s="53" t="s">
        <v>1009</v>
      </c>
      <c r="C43" s="126" t="s">
        <v>789</v>
      </c>
      <c r="D43" s="55">
        <v>2</v>
      </c>
      <c r="E43" s="56" t="s">
        <v>2394</v>
      </c>
      <c r="F43" s="126" t="s">
        <v>18</v>
      </c>
      <c r="G43" s="126" t="s">
        <v>1667</v>
      </c>
      <c r="H43" s="131">
        <v>2</v>
      </c>
      <c r="I43" s="49" t="s">
        <v>2425</v>
      </c>
      <c r="J43" s="52">
        <v>4</v>
      </c>
      <c r="K43" s="49"/>
      <c r="L43" s="49" t="s">
        <v>3379</v>
      </c>
      <c r="M43" s="58"/>
    </row>
    <row r="44" spans="1:13" ht="15">
      <c r="A44" s="52">
        <v>42</v>
      </c>
      <c r="B44" s="53" t="s">
        <v>1127</v>
      </c>
      <c r="C44" s="126" t="s">
        <v>41</v>
      </c>
      <c r="D44" s="55">
        <v>1</v>
      </c>
      <c r="E44" s="56" t="s">
        <v>2385</v>
      </c>
      <c r="F44" s="126" t="s">
        <v>18</v>
      </c>
      <c r="G44" s="126" t="s">
        <v>1667</v>
      </c>
      <c r="H44" s="131">
        <v>1</v>
      </c>
      <c r="I44" s="49" t="s">
        <v>2386</v>
      </c>
      <c r="J44" s="52"/>
      <c r="K44" s="49"/>
      <c r="L44" s="49" t="s">
        <v>3380</v>
      </c>
      <c r="M44" s="58"/>
    </row>
    <row r="45" spans="1:13" ht="15">
      <c r="A45" s="52">
        <v>43</v>
      </c>
      <c r="B45" s="59" t="s">
        <v>994</v>
      </c>
      <c r="C45" s="126" t="s">
        <v>996</v>
      </c>
      <c r="D45" s="55">
        <v>1</v>
      </c>
      <c r="E45" s="56" t="s">
        <v>2385</v>
      </c>
      <c r="F45" s="126" t="s">
        <v>18</v>
      </c>
      <c r="G45" s="126" t="s">
        <v>1667</v>
      </c>
      <c r="H45" s="131">
        <v>1</v>
      </c>
      <c r="I45" s="49" t="s">
        <v>2386</v>
      </c>
      <c r="J45" s="52"/>
      <c r="K45" s="49"/>
      <c r="L45" s="49" t="s">
        <v>3381</v>
      </c>
      <c r="M45" s="58"/>
    </row>
    <row r="46" spans="1:13" ht="15">
      <c r="A46" s="52">
        <v>44</v>
      </c>
      <c r="B46" s="59" t="s">
        <v>882</v>
      </c>
      <c r="C46" s="126" t="s">
        <v>883</v>
      </c>
      <c r="D46" s="55">
        <v>1</v>
      </c>
      <c r="E46" s="56" t="s">
        <v>2385</v>
      </c>
      <c r="F46" s="126" t="s">
        <v>18</v>
      </c>
      <c r="G46" s="126" t="s">
        <v>1667</v>
      </c>
      <c r="H46" s="131">
        <v>1</v>
      </c>
      <c r="I46" s="49" t="s">
        <v>3382</v>
      </c>
      <c r="J46" s="52"/>
      <c r="K46" s="49"/>
      <c r="L46" s="49" t="s">
        <v>3383</v>
      </c>
      <c r="M46" s="58"/>
    </row>
    <row r="47" spans="1:13" ht="15">
      <c r="A47" s="52">
        <v>45</v>
      </c>
      <c r="B47" s="59" t="s">
        <v>964</v>
      </c>
      <c r="C47" s="126" t="s">
        <v>965</v>
      </c>
      <c r="D47" s="55">
        <v>1</v>
      </c>
      <c r="E47" s="56" t="s">
        <v>2385</v>
      </c>
      <c r="F47" s="126" t="s">
        <v>18</v>
      </c>
      <c r="G47" s="126" t="s">
        <v>1667</v>
      </c>
      <c r="H47" s="131">
        <v>1</v>
      </c>
      <c r="I47" s="49" t="s">
        <v>3384</v>
      </c>
      <c r="J47" s="52"/>
      <c r="K47" s="49"/>
      <c r="L47" s="49" t="s">
        <v>3385</v>
      </c>
      <c r="M47" s="58"/>
    </row>
    <row r="48" spans="1:13" ht="15">
      <c r="A48" s="52">
        <v>46</v>
      </c>
      <c r="B48" s="60" t="s">
        <v>966</v>
      </c>
      <c r="C48" s="126" t="s">
        <v>965</v>
      </c>
      <c r="D48" s="52">
        <v>1</v>
      </c>
      <c r="E48" s="56" t="s">
        <v>2385</v>
      </c>
      <c r="F48" s="126" t="s">
        <v>18</v>
      </c>
      <c r="G48" s="126" t="s">
        <v>1667</v>
      </c>
      <c r="H48" s="131">
        <v>1</v>
      </c>
      <c r="I48" s="49" t="s">
        <v>3384</v>
      </c>
      <c r="J48" s="52"/>
      <c r="K48" s="49"/>
      <c r="L48" s="49" t="s">
        <v>3386</v>
      </c>
      <c r="M48" s="58"/>
    </row>
    <row r="49" spans="1:13" ht="15">
      <c r="A49" s="52">
        <v>47</v>
      </c>
      <c r="B49" s="60" t="s">
        <v>2049</v>
      </c>
      <c r="C49" s="126" t="s">
        <v>2050</v>
      </c>
      <c r="D49" s="52">
        <v>1</v>
      </c>
      <c r="E49" s="56" t="s">
        <v>2417</v>
      </c>
      <c r="F49" s="126" t="s">
        <v>18</v>
      </c>
      <c r="G49" s="126" t="s">
        <v>1667</v>
      </c>
      <c r="H49" s="131">
        <v>0</v>
      </c>
      <c r="I49" s="49" t="s">
        <v>2418</v>
      </c>
      <c r="J49" s="52"/>
      <c r="K49" s="49"/>
      <c r="L49" s="49" t="s">
        <v>3387</v>
      </c>
      <c r="M49" s="58"/>
    </row>
    <row r="50" spans="1:13" ht="15">
      <c r="A50" s="52">
        <v>48</v>
      </c>
      <c r="B50" s="60" t="s">
        <v>2051</v>
      </c>
      <c r="C50" s="126" t="s">
        <v>2052</v>
      </c>
      <c r="D50" s="55">
        <v>1</v>
      </c>
      <c r="E50" s="56" t="s">
        <v>2417</v>
      </c>
      <c r="F50" s="126" t="s">
        <v>18</v>
      </c>
      <c r="G50" s="126" t="s">
        <v>1667</v>
      </c>
      <c r="H50" s="131">
        <v>1</v>
      </c>
      <c r="I50" s="49" t="s">
        <v>2418</v>
      </c>
      <c r="J50" s="52"/>
      <c r="K50" s="49"/>
      <c r="L50" s="49" t="s">
        <v>3388</v>
      </c>
      <c r="M50" s="58"/>
    </row>
    <row r="51" spans="1:13" ht="15">
      <c r="A51" s="52">
        <v>49</v>
      </c>
      <c r="B51" s="60" t="s">
        <v>1030</v>
      </c>
      <c r="C51" s="126" t="s">
        <v>1032</v>
      </c>
      <c r="D51" s="52">
        <v>1</v>
      </c>
      <c r="E51" s="56" t="s">
        <v>2417</v>
      </c>
      <c r="F51" s="126" t="s">
        <v>18</v>
      </c>
      <c r="G51" s="126" t="s">
        <v>1667</v>
      </c>
      <c r="H51" s="131">
        <v>1</v>
      </c>
      <c r="I51" s="49" t="s">
        <v>2418</v>
      </c>
      <c r="J51" s="52"/>
      <c r="K51" s="49"/>
      <c r="L51" s="49" t="s">
        <v>3389</v>
      </c>
      <c r="M51" s="58"/>
    </row>
    <row r="52" spans="1:13" ht="15">
      <c r="A52" s="52">
        <v>50</v>
      </c>
      <c r="B52" s="60" t="s">
        <v>1034</v>
      </c>
      <c r="C52" s="126" t="s">
        <v>1035</v>
      </c>
      <c r="D52" s="52">
        <v>1</v>
      </c>
      <c r="E52" s="56" t="s">
        <v>2417</v>
      </c>
      <c r="F52" s="126" t="s">
        <v>18</v>
      </c>
      <c r="G52" s="126" t="s">
        <v>1667</v>
      </c>
      <c r="H52" s="131">
        <v>1</v>
      </c>
      <c r="I52" s="49" t="s">
        <v>2418</v>
      </c>
      <c r="J52" s="52"/>
      <c r="K52" s="49"/>
      <c r="L52" s="49" t="s">
        <v>3390</v>
      </c>
      <c r="M52" s="58"/>
    </row>
    <row r="53" spans="1:13" ht="15">
      <c r="A53" s="52">
        <v>51</v>
      </c>
      <c r="B53" s="60" t="s">
        <v>1036</v>
      </c>
      <c r="C53" s="126" t="s">
        <v>1035</v>
      </c>
      <c r="D53" s="52">
        <v>1</v>
      </c>
      <c r="E53" s="56" t="s">
        <v>2417</v>
      </c>
      <c r="F53" s="126" t="s">
        <v>18</v>
      </c>
      <c r="G53" s="126" t="s">
        <v>1667</v>
      </c>
      <c r="H53" s="131">
        <v>1</v>
      </c>
      <c r="I53" s="49" t="s">
        <v>2418</v>
      </c>
      <c r="J53" s="52"/>
      <c r="K53" s="49"/>
      <c r="L53" s="49" t="s">
        <v>3391</v>
      </c>
      <c r="M53" s="58"/>
    </row>
    <row r="54" spans="1:13" ht="15">
      <c r="A54" s="52">
        <v>52</v>
      </c>
      <c r="B54" s="59" t="s">
        <v>2022</v>
      </c>
      <c r="C54" s="126" t="s">
        <v>1918</v>
      </c>
      <c r="D54" s="55">
        <v>1</v>
      </c>
      <c r="E54" s="56" t="s">
        <v>2417</v>
      </c>
      <c r="F54" s="126" t="s">
        <v>18</v>
      </c>
      <c r="G54" s="126" t="s">
        <v>1667</v>
      </c>
      <c r="H54" s="131">
        <v>1</v>
      </c>
      <c r="I54" s="49" t="s">
        <v>2418</v>
      </c>
      <c r="J54" s="52"/>
      <c r="K54" s="49"/>
      <c r="L54" s="49" t="s">
        <v>3392</v>
      </c>
      <c r="M54" s="58"/>
    </row>
    <row r="55" spans="1:13" ht="15">
      <c r="A55" s="52">
        <v>53</v>
      </c>
      <c r="B55" s="59" t="s">
        <v>1086</v>
      </c>
      <c r="C55" s="126" t="s">
        <v>1087</v>
      </c>
      <c r="D55" s="55">
        <v>1</v>
      </c>
      <c r="E55" s="56" t="s">
        <v>2417</v>
      </c>
      <c r="F55" s="126" t="s">
        <v>18</v>
      </c>
      <c r="G55" s="126" t="s">
        <v>1667</v>
      </c>
      <c r="H55" s="131">
        <v>1</v>
      </c>
      <c r="I55" s="49" t="s">
        <v>2418</v>
      </c>
      <c r="J55" s="52"/>
      <c r="K55" s="49"/>
      <c r="L55" s="49" t="s">
        <v>3393</v>
      </c>
      <c r="M55" s="58"/>
    </row>
    <row r="56" spans="1:13" ht="15">
      <c r="A56" s="52">
        <v>54</v>
      </c>
      <c r="B56" s="53" t="s">
        <v>2044</v>
      </c>
      <c r="C56" s="126" t="s">
        <v>2046</v>
      </c>
      <c r="D56" s="55">
        <v>1</v>
      </c>
      <c r="E56" s="56" t="s">
        <v>2385</v>
      </c>
      <c r="F56" s="126" t="s">
        <v>18</v>
      </c>
      <c r="G56" s="126" t="s">
        <v>1667</v>
      </c>
      <c r="H56" s="131">
        <v>1</v>
      </c>
      <c r="I56" s="49" t="s">
        <v>2386</v>
      </c>
      <c r="J56" s="52"/>
      <c r="K56" s="49"/>
      <c r="L56" s="49" t="s">
        <v>3394</v>
      </c>
      <c r="M56" s="58"/>
    </row>
    <row r="57" spans="1:13" ht="15">
      <c r="A57" s="52">
        <v>55</v>
      </c>
      <c r="B57" s="60" t="s">
        <v>1067</v>
      </c>
      <c r="C57" s="126" t="s">
        <v>1069</v>
      </c>
      <c r="D57" s="52">
        <v>1</v>
      </c>
      <c r="E57" s="56" t="s">
        <v>2427</v>
      </c>
      <c r="F57" s="126" t="s">
        <v>18</v>
      </c>
      <c r="G57" s="126" t="s">
        <v>1667</v>
      </c>
      <c r="H57" s="131">
        <v>1</v>
      </c>
      <c r="I57" s="49" t="s">
        <v>2428</v>
      </c>
      <c r="J57" s="52"/>
      <c r="K57" s="49"/>
      <c r="L57" s="188" t="s">
        <v>3395</v>
      </c>
      <c r="M57" s="58"/>
    </row>
    <row r="58" spans="1:13" ht="15">
      <c r="A58" s="52">
        <v>56</v>
      </c>
      <c r="B58" s="53" t="s">
        <v>1075</v>
      </c>
      <c r="C58" s="126" t="s">
        <v>1076</v>
      </c>
      <c r="D58" s="55">
        <v>1</v>
      </c>
      <c r="E58" s="56" t="s">
        <v>2427</v>
      </c>
      <c r="F58" s="126" t="s">
        <v>18</v>
      </c>
      <c r="G58" s="126" t="s">
        <v>1667</v>
      </c>
      <c r="H58" s="131">
        <v>1</v>
      </c>
      <c r="I58" s="49" t="s">
        <v>2428</v>
      </c>
      <c r="J58" s="52"/>
      <c r="K58" s="49"/>
      <c r="L58" s="188" t="s">
        <v>3396</v>
      </c>
      <c r="M58" s="58"/>
    </row>
    <row r="59" spans="1:13" ht="15">
      <c r="A59" s="52">
        <v>57</v>
      </c>
      <c r="B59" s="53" t="s">
        <v>1247</v>
      </c>
      <c r="C59" s="126" t="s">
        <v>1248</v>
      </c>
      <c r="D59" s="55">
        <v>2</v>
      </c>
      <c r="E59" s="56" t="s">
        <v>2388</v>
      </c>
      <c r="F59" s="126" t="s">
        <v>18</v>
      </c>
      <c r="G59" s="126" t="s">
        <v>1667</v>
      </c>
      <c r="H59" s="131">
        <v>2</v>
      </c>
      <c r="I59" s="49" t="s">
        <v>3397</v>
      </c>
      <c r="J59" s="52"/>
      <c r="K59" s="49"/>
      <c r="L59" s="49" t="s">
        <v>3398</v>
      </c>
      <c r="M59" s="58"/>
    </row>
    <row r="60" spans="1:13" ht="15">
      <c r="A60" s="52">
        <v>58</v>
      </c>
      <c r="B60" s="53" t="s">
        <v>988</v>
      </c>
      <c r="C60" s="126" t="s">
        <v>989</v>
      </c>
      <c r="D60" s="55">
        <v>1</v>
      </c>
      <c r="E60" s="56" t="s">
        <v>2391</v>
      </c>
      <c r="F60" s="126" t="s">
        <v>18</v>
      </c>
      <c r="G60" s="126" t="s">
        <v>1667</v>
      </c>
      <c r="H60" s="131">
        <v>1</v>
      </c>
      <c r="I60" s="49" t="s">
        <v>2449</v>
      </c>
      <c r="J60" s="52"/>
      <c r="K60" s="49" t="s">
        <v>3365</v>
      </c>
      <c r="L60" s="49" t="s">
        <v>3399</v>
      </c>
      <c r="M60" s="58"/>
    </row>
    <row r="61" spans="1:13" ht="15">
      <c r="A61" s="52">
        <v>59</v>
      </c>
      <c r="B61" s="60" t="s">
        <v>2149</v>
      </c>
      <c r="C61" s="126" t="s">
        <v>2151</v>
      </c>
      <c r="D61" s="52">
        <v>1</v>
      </c>
      <c r="E61" s="56" t="s">
        <v>2391</v>
      </c>
      <c r="F61" s="126" t="s">
        <v>18</v>
      </c>
      <c r="G61" s="126" t="s">
        <v>1667</v>
      </c>
      <c r="H61" s="131">
        <v>1</v>
      </c>
      <c r="I61" s="49" t="s">
        <v>2449</v>
      </c>
      <c r="J61" s="52"/>
      <c r="K61" s="49" t="s">
        <v>3400</v>
      </c>
      <c r="L61" s="49" t="s">
        <v>3401</v>
      </c>
      <c r="M61" s="58"/>
    </row>
    <row r="62" spans="1:13" ht="15">
      <c r="A62" s="52">
        <v>60</v>
      </c>
      <c r="B62" s="53" t="s">
        <v>2152</v>
      </c>
      <c r="C62" s="126" t="s">
        <v>2151</v>
      </c>
      <c r="D62" s="55">
        <v>1</v>
      </c>
      <c r="E62" s="56" t="s">
        <v>2391</v>
      </c>
      <c r="F62" s="126" t="s">
        <v>18</v>
      </c>
      <c r="G62" s="126" t="s">
        <v>1667</v>
      </c>
      <c r="H62" s="131">
        <v>1</v>
      </c>
      <c r="I62" s="49" t="s">
        <v>2449</v>
      </c>
      <c r="J62" s="52"/>
      <c r="K62" s="49" t="s">
        <v>3400</v>
      </c>
      <c r="L62" s="49" t="s">
        <v>3402</v>
      </c>
      <c r="M62" s="58">
        <v>45533</v>
      </c>
    </row>
    <row r="63" spans="1:13" ht="15">
      <c r="A63" s="52">
        <v>61</v>
      </c>
      <c r="B63" s="53" t="s">
        <v>2153</v>
      </c>
      <c r="C63" s="126" t="s">
        <v>2151</v>
      </c>
      <c r="D63" s="55">
        <v>1</v>
      </c>
      <c r="E63" s="56" t="s">
        <v>2391</v>
      </c>
      <c r="F63" s="126" t="s">
        <v>18</v>
      </c>
      <c r="G63" s="126" t="s">
        <v>1667</v>
      </c>
      <c r="H63" s="131">
        <v>1</v>
      </c>
      <c r="I63" s="49" t="s">
        <v>2449</v>
      </c>
      <c r="J63" s="52"/>
      <c r="K63" s="49" t="s">
        <v>3400</v>
      </c>
      <c r="L63" s="49" t="s">
        <v>3403</v>
      </c>
      <c r="M63" s="58">
        <v>45533</v>
      </c>
    </row>
    <row r="64" spans="1:13" ht="15">
      <c r="A64" s="52">
        <v>62</v>
      </c>
      <c r="B64" s="60" t="s">
        <v>1091</v>
      </c>
      <c r="C64" s="126" t="s">
        <v>913</v>
      </c>
      <c r="D64" s="52">
        <v>1</v>
      </c>
      <c r="E64" s="56" t="s">
        <v>2391</v>
      </c>
      <c r="F64" s="126" t="s">
        <v>18</v>
      </c>
      <c r="G64" s="126" t="s">
        <v>1667</v>
      </c>
      <c r="H64" s="131">
        <v>1</v>
      </c>
      <c r="I64" s="49" t="s">
        <v>2447</v>
      </c>
      <c r="J64" s="52"/>
      <c r="K64" s="49"/>
      <c r="L64" s="49" t="s">
        <v>3404</v>
      </c>
      <c r="M64" s="58"/>
    </row>
    <row r="65" spans="1:16" ht="15">
      <c r="A65" s="52">
        <v>63</v>
      </c>
      <c r="B65" s="60" t="s">
        <v>1070</v>
      </c>
      <c r="C65" s="126" t="s">
        <v>1072</v>
      </c>
      <c r="D65" s="52">
        <v>1</v>
      </c>
      <c r="E65" s="56" t="s">
        <v>2391</v>
      </c>
      <c r="F65" s="126" t="s">
        <v>18</v>
      </c>
      <c r="G65" s="126" t="s">
        <v>1667</v>
      </c>
      <c r="H65" s="131">
        <v>1</v>
      </c>
      <c r="I65" s="49" t="s">
        <v>2447</v>
      </c>
      <c r="J65" s="52"/>
      <c r="K65" s="49"/>
      <c r="L65" s="49" t="s">
        <v>3405</v>
      </c>
      <c r="M65" s="58">
        <v>45533</v>
      </c>
    </row>
    <row r="66" spans="1:16" ht="15">
      <c r="A66" s="52">
        <v>64</v>
      </c>
      <c r="B66" s="60" t="s">
        <v>1073</v>
      </c>
      <c r="C66" s="126" t="s">
        <v>1074</v>
      </c>
      <c r="D66" s="52">
        <v>1</v>
      </c>
      <c r="E66" s="56" t="s">
        <v>2391</v>
      </c>
      <c r="F66" s="126" t="s">
        <v>18</v>
      </c>
      <c r="G66" s="126" t="s">
        <v>1667</v>
      </c>
      <c r="H66" s="131">
        <v>1</v>
      </c>
      <c r="I66" s="49" t="s">
        <v>2447</v>
      </c>
      <c r="J66" s="52"/>
      <c r="K66" s="49"/>
      <c r="L66" s="49" t="s">
        <v>3406</v>
      </c>
      <c r="M66" s="58"/>
    </row>
    <row r="67" spans="1:16" ht="15">
      <c r="A67" s="52">
        <v>65</v>
      </c>
      <c r="B67" s="60" t="s">
        <v>2129</v>
      </c>
      <c r="C67" s="126" t="s">
        <v>2131</v>
      </c>
      <c r="D67" s="52">
        <v>1</v>
      </c>
      <c r="E67" s="56" t="s">
        <v>2391</v>
      </c>
      <c r="F67" s="126" t="s">
        <v>18</v>
      </c>
      <c r="G67" s="126" t="s">
        <v>1667</v>
      </c>
      <c r="H67" s="131">
        <v>1</v>
      </c>
      <c r="I67" s="49" t="s">
        <v>2449</v>
      </c>
      <c r="J67" s="52"/>
      <c r="K67" s="49" t="s">
        <v>3365</v>
      </c>
      <c r="L67" s="49" t="s">
        <v>3407</v>
      </c>
      <c r="M67" s="58"/>
    </row>
    <row r="68" spans="1:16" ht="15">
      <c r="A68" s="52">
        <v>66</v>
      </c>
      <c r="B68" s="60" t="s">
        <v>1898</v>
      </c>
      <c r="C68" s="126" t="s">
        <v>1900</v>
      </c>
      <c r="D68" s="52">
        <v>1</v>
      </c>
      <c r="E68" s="56" t="s">
        <v>2391</v>
      </c>
      <c r="F68" s="126" t="s">
        <v>18</v>
      </c>
      <c r="G68" s="126" t="s">
        <v>1667</v>
      </c>
      <c r="H68" s="131">
        <v>1</v>
      </c>
      <c r="I68" s="49" t="s">
        <v>2511</v>
      </c>
      <c r="J68" s="52"/>
      <c r="K68" s="49"/>
      <c r="L68" s="49" t="s">
        <v>3408</v>
      </c>
      <c r="M68" s="58"/>
    </row>
    <row r="69" spans="1:16" ht="15">
      <c r="A69" s="52">
        <v>67</v>
      </c>
      <c r="B69" s="60" t="s">
        <v>1114</v>
      </c>
      <c r="C69" s="126" t="s">
        <v>1116</v>
      </c>
      <c r="D69" s="52">
        <v>1</v>
      </c>
      <c r="E69" s="56" t="s">
        <v>2417</v>
      </c>
      <c r="F69" s="126" t="s">
        <v>18</v>
      </c>
      <c r="G69" s="126" t="s">
        <v>1667</v>
      </c>
      <c r="H69" s="131">
        <v>1</v>
      </c>
      <c r="I69" s="49" t="s">
        <v>2418</v>
      </c>
      <c r="J69" s="52"/>
      <c r="K69" s="49"/>
      <c r="L69" s="49" t="s">
        <v>3409</v>
      </c>
      <c r="M69" s="58"/>
    </row>
    <row r="70" spans="1:16" ht="15">
      <c r="A70" s="52">
        <v>68</v>
      </c>
      <c r="B70" s="60" t="s">
        <v>1843</v>
      </c>
      <c r="C70" s="126" t="s">
        <v>1845</v>
      </c>
      <c r="D70" s="52">
        <v>1</v>
      </c>
      <c r="E70" s="56" t="s">
        <v>2385</v>
      </c>
      <c r="F70" s="126" t="s">
        <v>39</v>
      </c>
      <c r="G70" s="126" t="s">
        <v>1667</v>
      </c>
      <c r="H70" s="131">
        <v>1</v>
      </c>
      <c r="I70" s="49" t="s">
        <v>2386</v>
      </c>
      <c r="J70" s="52">
        <v>1</v>
      </c>
      <c r="K70" s="49"/>
      <c r="L70" s="49" t="s">
        <v>3410</v>
      </c>
      <c r="M70" s="58"/>
    </row>
    <row r="71" spans="1:16" ht="15">
      <c r="A71" s="52">
        <v>69</v>
      </c>
      <c r="B71" s="60" t="s">
        <v>1895</v>
      </c>
      <c r="C71" s="126" t="s">
        <v>1896</v>
      </c>
      <c r="D71" s="52">
        <v>1</v>
      </c>
      <c r="E71" s="56" t="s">
        <v>2385</v>
      </c>
      <c r="F71" s="126" t="s">
        <v>39</v>
      </c>
      <c r="G71" s="126" t="s">
        <v>1667</v>
      </c>
      <c r="H71" s="131">
        <v>1</v>
      </c>
      <c r="I71" s="49" t="s">
        <v>2386</v>
      </c>
      <c r="J71" s="52">
        <v>1</v>
      </c>
      <c r="K71" s="49"/>
      <c r="L71" s="49" t="s">
        <v>3411</v>
      </c>
      <c r="M71" s="58"/>
    </row>
    <row r="72" spans="1:16" ht="15">
      <c r="A72" s="52">
        <v>70</v>
      </c>
      <c r="B72" s="60" t="s">
        <v>1010</v>
      </c>
      <c r="C72" s="126" t="s">
        <v>41</v>
      </c>
      <c r="D72" s="52">
        <v>1</v>
      </c>
      <c r="E72" s="56" t="s">
        <v>2437</v>
      </c>
      <c r="F72" s="126" t="s">
        <v>39</v>
      </c>
      <c r="G72" s="126" t="s">
        <v>1667</v>
      </c>
      <c r="H72" s="131">
        <v>1</v>
      </c>
      <c r="I72" s="49" t="s">
        <v>2438</v>
      </c>
      <c r="J72" s="52">
        <v>1</v>
      </c>
      <c r="K72" s="49"/>
      <c r="L72" s="49" t="s">
        <v>3412</v>
      </c>
      <c r="M72" s="58"/>
    </row>
    <row r="73" spans="1:16" ht="15">
      <c r="A73" s="52">
        <v>71</v>
      </c>
      <c r="B73" s="60" t="s">
        <v>1435</v>
      </c>
      <c r="C73" s="126" t="s">
        <v>512</v>
      </c>
      <c r="D73" s="52">
        <v>1</v>
      </c>
      <c r="E73" s="52" t="s">
        <v>2443</v>
      </c>
      <c r="F73" s="126" t="s">
        <v>39</v>
      </c>
      <c r="G73" s="126" t="s">
        <v>1667</v>
      </c>
      <c r="H73" s="131">
        <v>1</v>
      </c>
      <c r="I73" s="49" t="s">
        <v>2444</v>
      </c>
      <c r="J73" s="52">
        <v>1</v>
      </c>
      <c r="K73" s="49"/>
      <c r="L73" s="49" t="s">
        <v>3413</v>
      </c>
      <c r="M73" s="58"/>
    </row>
    <row r="74" spans="1:16" ht="15">
      <c r="A74" s="52">
        <v>72</v>
      </c>
      <c r="B74" s="60" t="s">
        <v>967</v>
      </c>
      <c r="C74" s="126" t="s">
        <v>41</v>
      </c>
      <c r="D74" s="52">
        <v>1</v>
      </c>
      <c r="E74" s="52" t="s">
        <v>2385</v>
      </c>
      <c r="F74" s="126" t="s">
        <v>39</v>
      </c>
      <c r="G74" s="126" t="s">
        <v>1667</v>
      </c>
      <c r="H74" s="131">
        <v>1</v>
      </c>
      <c r="I74" s="49" t="s">
        <v>2386</v>
      </c>
      <c r="J74" s="52">
        <v>2</v>
      </c>
      <c r="K74" s="49"/>
      <c r="L74" s="49" t="s">
        <v>3414</v>
      </c>
      <c r="M74" s="58"/>
      <c r="N74" s="62"/>
      <c r="O74" s="62"/>
      <c r="P74" s="62"/>
    </row>
    <row r="75" spans="1:16" ht="15">
      <c r="A75" s="52">
        <v>73</v>
      </c>
      <c r="B75" s="60" t="s">
        <v>1044</v>
      </c>
      <c r="C75" s="126" t="s">
        <v>41</v>
      </c>
      <c r="D75" s="52">
        <v>1</v>
      </c>
      <c r="E75" s="52" t="s">
        <v>2385</v>
      </c>
      <c r="F75" s="126" t="s">
        <v>39</v>
      </c>
      <c r="G75" s="126" t="s">
        <v>1667</v>
      </c>
      <c r="H75" s="131">
        <v>1</v>
      </c>
      <c r="I75" s="49" t="s">
        <v>2386</v>
      </c>
      <c r="J75" s="52">
        <v>2</v>
      </c>
      <c r="K75" s="49"/>
      <c r="L75" s="49" t="s">
        <v>3415</v>
      </c>
      <c r="M75" s="58"/>
    </row>
    <row r="76" spans="1:16" ht="15">
      <c r="A76" s="52">
        <v>74</v>
      </c>
      <c r="B76" s="60" t="s">
        <v>911</v>
      </c>
      <c r="C76" s="126" t="s">
        <v>913</v>
      </c>
      <c r="D76" s="52">
        <v>1</v>
      </c>
      <c r="E76" s="52" t="s">
        <v>2385</v>
      </c>
      <c r="F76" s="126" t="s">
        <v>39</v>
      </c>
      <c r="G76" s="126" t="s">
        <v>1667</v>
      </c>
      <c r="H76" s="131">
        <v>1</v>
      </c>
      <c r="I76" s="49" t="s">
        <v>2386</v>
      </c>
      <c r="J76" s="52">
        <v>2</v>
      </c>
      <c r="K76" s="49"/>
      <c r="L76" s="49" t="s">
        <v>3416</v>
      </c>
      <c r="M76" s="58"/>
    </row>
    <row r="77" spans="1:16" ht="15">
      <c r="A77" s="52">
        <v>75</v>
      </c>
      <c r="B77" s="59" t="s">
        <v>914</v>
      </c>
      <c r="C77" s="126" t="s">
        <v>913</v>
      </c>
      <c r="D77" s="55">
        <v>1</v>
      </c>
      <c r="E77" s="52" t="s">
        <v>2385</v>
      </c>
      <c r="F77" s="126" t="s">
        <v>39</v>
      </c>
      <c r="G77" s="126" t="s">
        <v>1667</v>
      </c>
      <c r="H77" s="131">
        <v>1</v>
      </c>
      <c r="I77" s="49" t="s">
        <v>2386</v>
      </c>
      <c r="J77" s="52">
        <v>2</v>
      </c>
      <c r="K77" s="49"/>
      <c r="L77" s="49" t="s">
        <v>3417</v>
      </c>
      <c r="M77" s="58"/>
    </row>
    <row r="78" spans="1:16" ht="15">
      <c r="A78" s="52">
        <v>76</v>
      </c>
      <c r="B78" s="53" t="s">
        <v>783</v>
      </c>
      <c r="C78" s="126" t="s">
        <v>41</v>
      </c>
      <c r="D78" s="55">
        <v>2</v>
      </c>
      <c r="E78" s="56" t="s">
        <v>2385</v>
      </c>
      <c r="F78" s="126" t="s">
        <v>39</v>
      </c>
      <c r="G78" s="126" t="s">
        <v>1667</v>
      </c>
      <c r="H78" s="131">
        <v>2</v>
      </c>
      <c r="I78" s="49" t="s">
        <v>2386</v>
      </c>
      <c r="J78" s="52">
        <v>2</v>
      </c>
      <c r="K78" s="49" t="s">
        <v>3418</v>
      </c>
      <c r="L78" s="49" t="s">
        <v>3419</v>
      </c>
      <c r="M78" s="58"/>
    </row>
    <row r="79" spans="1:16" ht="15">
      <c r="A79" s="52">
        <v>77</v>
      </c>
      <c r="B79" s="60" t="s">
        <v>1217</v>
      </c>
      <c r="C79" s="126" t="s">
        <v>1216</v>
      </c>
      <c r="D79" s="52">
        <v>2</v>
      </c>
      <c r="E79" s="56" t="s">
        <v>2394</v>
      </c>
      <c r="F79" s="126" t="s">
        <v>39</v>
      </c>
      <c r="G79" s="126" t="s">
        <v>1667</v>
      </c>
      <c r="H79" s="131">
        <v>2</v>
      </c>
      <c r="I79" s="49" t="s">
        <v>2425</v>
      </c>
      <c r="J79" s="52">
        <v>2</v>
      </c>
      <c r="K79" s="49"/>
      <c r="L79" s="188" t="s">
        <v>3420</v>
      </c>
      <c r="M79" s="58"/>
    </row>
    <row r="80" spans="1:16" ht="15">
      <c r="A80" s="52">
        <v>78</v>
      </c>
      <c r="B80" s="53" t="s">
        <v>1253</v>
      </c>
      <c r="C80" s="126" t="s">
        <v>1255</v>
      </c>
      <c r="D80" s="55">
        <v>2</v>
      </c>
      <c r="E80" s="52" t="s">
        <v>2394</v>
      </c>
      <c r="F80" s="126" t="s">
        <v>39</v>
      </c>
      <c r="G80" s="126" t="s">
        <v>1667</v>
      </c>
      <c r="H80" s="131">
        <v>2</v>
      </c>
      <c r="I80" s="49" t="s">
        <v>2425</v>
      </c>
      <c r="J80" s="52">
        <v>2</v>
      </c>
      <c r="K80" s="49"/>
      <c r="L80" s="49" t="s">
        <v>3421</v>
      </c>
      <c r="M80" s="58"/>
    </row>
    <row r="81" spans="1:13" ht="15">
      <c r="A81" s="52">
        <v>79</v>
      </c>
      <c r="B81" s="60" t="s">
        <v>1024</v>
      </c>
      <c r="C81" s="126" t="s">
        <v>1026</v>
      </c>
      <c r="D81" s="52">
        <v>1</v>
      </c>
      <c r="E81" s="52" t="s">
        <v>2437</v>
      </c>
      <c r="F81" s="126" t="s">
        <v>39</v>
      </c>
      <c r="G81" s="126" t="s">
        <v>1667</v>
      </c>
      <c r="H81" s="131">
        <v>1</v>
      </c>
      <c r="I81" s="49" t="s">
        <v>2438</v>
      </c>
      <c r="J81" s="52">
        <v>2</v>
      </c>
      <c r="K81" s="49"/>
      <c r="L81" s="49" t="s">
        <v>3422</v>
      </c>
      <c r="M81" s="58"/>
    </row>
    <row r="82" spans="1:13" ht="15">
      <c r="A82" s="52">
        <v>80</v>
      </c>
      <c r="B82" s="60" t="s">
        <v>1244</v>
      </c>
      <c r="C82" s="126" t="s">
        <v>1220</v>
      </c>
      <c r="D82" s="52">
        <v>2</v>
      </c>
      <c r="E82" s="52" t="s">
        <v>2388</v>
      </c>
      <c r="F82" s="126" t="s">
        <v>39</v>
      </c>
      <c r="G82" s="126" t="s">
        <v>1667</v>
      </c>
      <c r="H82" s="131">
        <v>2</v>
      </c>
      <c r="I82" s="49" t="s">
        <v>3397</v>
      </c>
      <c r="J82" s="52">
        <v>2</v>
      </c>
      <c r="K82" s="49"/>
      <c r="L82" s="49" t="s">
        <v>3423</v>
      </c>
      <c r="M82" s="58"/>
    </row>
    <row r="83" spans="1:13" ht="15">
      <c r="A83" s="52">
        <v>81</v>
      </c>
      <c r="B83" s="60" t="s">
        <v>872</v>
      </c>
      <c r="C83" s="126" t="s">
        <v>874</v>
      </c>
      <c r="D83" s="52">
        <v>4</v>
      </c>
      <c r="E83" s="52" t="s">
        <v>2391</v>
      </c>
      <c r="F83" s="126" t="s">
        <v>39</v>
      </c>
      <c r="G83" s="126" t="s">
        <v>1667</v>
      </c>
      <c r="H83" s="131">
        <v>2</v>
      </c>
      <c r="I83" s="49" t="s">
        <v>2511</v>
      </c>
      <c r="J83" s="52">
        <v>2</v>
      </c>
      <c r="K83" s="49"/>
      <c r="L83" s="49" t="s">
        <v>3424</v>
      </c>
      <c r="M83" s="58"/>
    </row>
    <row r="84" spans="1:13" ht="15">
      <c r="A84" s="52">
        <v>82</v>
      </c>
      <c r="B84" s="60" t="s">
        <v>971</v>
      </c>
      <c r="C84" s="126" t="s">
        <v>972</v>
      </c>
      <c r="D84" s="52">
        <v>1</v>
      </c>
      <c r="E84" s="52" t="s">
        <v>2391</v>
      </c>
      <c r="F84" s="126" t="s">
        <v>39</v>
      </c>
      <c r="G84" s="126" t="s">
        <v>1667</v>
      </c>
      <c r="H84" s="131">
        <v>1</v>
      </c>
      <c r="I84" s="49" t="s">
        <v>2511</v>
      </c>
      <c r="J84" s="52">
        <v>2</v>
      </c>
      <c r="K84" s="49"/>
      <c r="L84" s="49" t="s">
        <v>3425</v>
      </c>
      <c r="M84" s="58"/>
    </row>
    <row r="85" spans="1:13" ht="15">
      <c r="A85" s="52">
        <v>83</v>
      </c>
      <c r="B85" s="60" t="s">
        <v>2091</v>
      </c>
      <c r="C85" s="126" t="s">
        <v>1896</v>
      </c>
      <c r="D85" s="52">
        <v>1</v>
      </c>
      <c r="E85" s="52" t="s">
        <v>2385</v>
      </c>
      <c r="F85" s="126" t="s">
        <v>39</v>
      </c>
      <c r="G85" s="126" t="s">
        <v>1667</v>
      </c>
      <c r="H85" s="131">
        <v>1</v>
      </c>
      <c r="I85" s="49" t="s">
        <v>2386</v>
      </c>
      <c r="J85" s="52">
        <v>3</v>
      </c>
      <c r="K85" s="49"/>
      <c r="L85" s="49" t="s">
        <v>3426</v>
      </c>
      <c r="M85" s="58"/>
    </row>
    <row r="86" spans="1:13" ht="15">
      <c r="A86" s="52">
        <v>84</v>
      </c>
      <c r="B86" s="60" t="s">
        <v>1011</v>
      </c>
      <c r="C86" s="126" t="s">
        <v>41</v>
      </c>
      <c r="D86" s="52">
        <v>1</v>
      </c>
      <c r="E86" s="56" t="s">
        <v>2385</v>
      </c>
      <c r="F86" s="126" t="s">
        <v>39</v>
      </c>
      <c r="G86" s="126" t="s">
        <v>1667</v>
      </c>
      <c r="H86" s="131">
        <v>1</v>
      </c>
      <c r="I86" s="49" t="s">
        <v>2386</v>
      </c>
      <c r="J86" s="52">
        <v>3</v>
      </c>
      <c r="K86" s="49"/>
      <c r="L86" s="49" t="s">
        <v>3427</v>
      </c>
      <c r="M86" s="58"/>
    </row>
    <row r="87" spans="1:13" ht="15">
      <c r="A87" s="52">
        <v>85</v>
      </c>
      <c r="B87" s="59" t="s">
        <v>1041</v>
      </c>
      <c r="C87" s="126" t="s">
        <v>1043</v>
      </c>
      <c r="D87" s="55">
        <v>1</v>
      </c>
      <c r="E87" s="52" t="s">
        <v>2394</v>
      </c>
      <c r="F87" s="126" t="s">
        <v>39</v>
      </c>
      <c r="G87" s="126" t="s">
        <v>1667</v>
      </c>
      <c r="H87" s="131">
        <v>1</v>
      </c>
      <c r="I87" s="49" t="s">
        <v>2425</v>
      </c>
      <c r="J87" s="52">
        <v>3</v>
      </c>
      <c r="K87" s="49"/>
      <c r="L87" s="49" t="s">
        <v>3428</v>
      </c>
      <c r="M87" s="58">
        <v>45533</v>
      </c>
    </row>
    <row r="88" spans="1:13" ht="15">
      <c r="A88" s="52">
        <v>86</v>
      </c>
      <c r="B88" s="59" t="s">
        <v>1263</v>
      </c>
      <c r="C88" s="126" t="s">
        <v>1265</v>
      </c>
      <c r="D88" s="55">
        <v>2</v>
      </c>
      <c r="E88" s="52" t="s">
        <v>2394</v>
      </c>
      <c r="F88" s="126" t="s">
        <v>39</v>
      </c>
      <c r="G88" s="126" t="s">
        <v>1667</v>
      </c>
      <c r="H88" s="131">
        <v>2</v>
      </c>
      <c r="I88" s="49" t="s">
        <v>2425</v>
      </c>
      <c r="J88" s="52">
        <v>3</v>
      </c>
      <c r="K88" s="49"/>
      <c r="L88" s="49" t="s">
        <v>3429</v>
      </c>
      <c r="M88" s="58"/>
    </row>
    <row r="89" spans="1:13" ht="15">
      <c r="A89" s="52">
        <v>87</v>
      </c>
      <c r="B89" s="60" t="s">
        <v>1805</v>
      </c>
      <c r="C89" s="126" t="s">
        <v>1808</v>
      </c>
      <c r="D89" s="52">
        <v>1</v>
      </c>
      <c r="E89" s="56" t="s">
        <v>2437</v>
      </c>
      <c r="F89" s="126" t="s">
        <v>39</v>
      </c>
      <c r="G89" s="126" t="s">
        <v>1667</v>
      </c>
      <c r="H89" s="131">
        <v>1</v>
      </c>
      <c r="I89" s="49" t="s">
        <v>2438</v>
      </c>
      <c r="J89" s="52">
        <v>3</v>
      </c>
      <c r="K89" s="49" t="s">
        <v>3430</v>
      </c>
      <c r="L89" s="49" t="s">
        <v>3431</v>
      </c>
      <c r="M89" s="58"/>
    </row>
    <row r="90" spans="1:13" ht="15">
      <c r="A90" s="52">
        <v>88</v>
      </c>
      <c r="B90" s="60" t="s">
        <v>481</v>
      </c>
      <c r="C90" s="126" t="s">
        <v>483</v>
      </c>
      <c r="D90" s="52">
        <v>1</v>
      </c>
      <c r="E90" s="56" t="s">
        <v>2443</v>
      </c>
      <c r="F90" s="126" t="s">
        <v>39</v>
      </c>
      <c r="G90" s="126" t="s">
        <v>1667</v>
      </c>
      <c r="H90" s="131">
        <v>1</v>
      </c>
      <c r="I90" s="49" t="s">
        <v>2444</v>
      </c>
      <c r="J90" s="52">
        <v>3</v>
      </c>
      <c r="K90" s="49"/>
      <c r="L90" s="49" t="s">
        <v>3432</v>
      </c>
      <c r="M90" s="58"/>
    </row>
    <row r="91" spans="1:13" ht="15">
      <c r="A91" s="52">
        <v>89</v>
      </c>
      <c r="B91" s="60" t="s">
        <v>1012</v>
      </c>
      <c r="C91" s="126" t="s">
        <v>232</v>
      </c>
      <c r="D91" s="52">
        <v>1</v>
      </c>
      <c r="E91" s="52" t="s">
        <v>2391</v>
      </c>
      <c r="F91" s="126" t="s">
        <v>39</v>
      </c>
      <c r="G91" s="126" t="s">
        <v>1667</v>
      </c>
      <c r="H91" s="131">
        <v>1</v>
      </c>
      <c r="I91" s="49" t="s">
        <v>2511</v>
      </c>
      <c r="J91" s="52">
        <v>3</v>
      </c>
      <c r="K91" s="49"/>
      <c r="L91" s="49" t="s">
        <v>3433</v>
      </c>
      <c r="M91" s="58"/>
    </row>
    <row r="92" spans="1:13" ht="15">
      <c r="A92" s="52">
        <v>90</v>
      </c>
      <c r="B92" s="60" t="s">
        <v>1131</v>
      </c>
      <c r="C92" s="126" t="s">
        <v>41</v>
      </c>
      <c r="D92" s="52">
        <v>3</v>
      </c>
      <c r="E92" s="52" t="s">
        <v>2385</v>
      </c>
      <c r="F92" s="126" t="s">
        <v>39</v>
      </c>
      <c r="G92" s="126" t="s">
        <v>1667</v>
      </c>
      <c r="H92" s="131">
        <v>3</v>
      </c>
      <c r="I92" s="49" t="s">
        <v>2386</v>
      </c>
      <c r="J92" s="52">
        <v>4</v>
      </c>
      <c r="K92" s="49"/>
      <c r="L92" s="49" t="s">
        <v>3434</v>
      </c>
      <c r="M92" s="58"/>
    </row>
    <row r="93" spans="1:13" ht="15">
      <c r="A93" s="52">
        <v>91</v>
      </c>
      <c r="B93" s="60" t="s">
        <v>1003</v>
      </c>
      <c r="C93" s="126" t="s">
        <v>1005</v>
      </c>
      <c r="D93" s="52">
        <v>1</v>
      </c>
      <c r="E93" s="52" t="s">
        <v>2437</v>
      </c>
      <c r="F93" s="126" t="s">
        <v>39</v>
      </c>
      <c r="G93" s="126" t="s">
        <v>1667</v>
      </c>
      <c r="H93" s="131">
        <v>1</v>
      </c>
      <c r="I93" s="49" t="s">
        <v>2438</v>
      </c>
      <c r="J93" s="52">
        <v>4</v>
      </c>
      <c r="K93" s="49" t="s">
        <v>3435</v>
      </c>
      <c r="L93" s="49" t="s">
        <v>3436</v>
      </c>
      <c r="M93" s="58"/>
    </row>
    <row r="94" spans="1:13" ht="15">
      <c r="A94" s="52">
        <v>92</v>
      </c>
      <c r="B94" s="60" t="s">
        <v>815</v>
      </c>
      <c r="C94" s="126" t="s">
        <v>817</v>
      </c>
      <c r="D94" s="52">
        <v>2</v>
      </c>
      <c r="E94" s="52" t="s">
        <v>2443</v>
      </c>
      <c r="F94" s="126" t="s">
        <v>39</v>
      </c>
      <c r="G94" s="126" t="s">
        <v>1667</v>
      </c>
      <c r="H94" s="131">
        <v>2</v>
      </c>
      <c r="I94" s="49" t="s">
        <v>2444</v>
      </c>
      <c r="J94" s="52">
        <v>4</v>
      </c>
      <c r="K94" s="49"/>
      <c r="L94" s="49" t="s">
        <v>3437</v>
      </c>
      <c r="M94" s="58"/>
    </row>
    <row r="95" spans="1:13" ht="15">
      <c r="A95" s="52">
        <v>93</v>
      </c>
      <c r="B95" s="60" t="s">
        <v>1027</v>
      </c>
      <c r="C95" s="126" t="s">
        <v>1029</v>
      </c>
      <c r="D95" s="52">
        <v>1</v>
      </c>
      <c r="E95" s="52" t="s">
        <v>2385</v>
      </c>
      <c r="F95" s="126" t="s">
        <v>39</v>
      </c>
      <c r="G95" s="126" t="s">
        <v>1667</v>
      </c>
      <c r="H95" s="131">
        <v>1</v>
      </c>
      <c r="I95" s="49" t="s">
        <v>2386</v>
      </c>
      <c r="J95" s="52"/>
      <c r="K95" s="49"/>
      <c r="L95" s="49" t="s">
        <v>3438</v>
      </c>
      <c r="M95" s="58"/>
    </row>
    <row r="96" spans="1:13" ht="15">
      <c r="A96" s="52">
        <v>94</v>
      </c>
      <c r="B96" s="60" t="s">
        <v>1313</v>
      </c>
      <c r="C96" s="126" t="s">
        <v>1315</v>
      </c>
      <c r="D96" s="52">
        <v>1</v>
      </c>
      <c r="E96" s="56" t="s">
        <v>2385</v>
      </c>
      <c r="F96" s="126" t="s">
        <v>39</v>
      </c>
      <c r="G96" s="126" t="s">
        <v>1667</v>
      </c>
      <c r="H96" s="131">
        <v>1</v>
      </c>
      <c r="I96" s="49" t="s">
        <v>3382</v>
      </c>
      <c r="J96" s="52"/>
      <c r="K96" s="49"/>
      <c r="L96" s="49" t="s">
        <v>3439</v>
      </c>
      <c r="M96" s="58"/>
    </row>
    <row r="97" spans="1:13" ht="15">
      <c r="A97" s="52">
        <v>95</v>
      </c>
      <c r="B97" s="60" t="s">
        <v>1096</v>
      </c>
      <c r="C97" s="126" t="s">
        <v>1097</v>
      </c>
      <c r="D97" s="52">
        <v>1</v>
      </c>
      <c r="E97" s="52" t="s">
        <v>2385</v>
      </c>
      <c r="F97" s="126" t="s">
        <v>39</v>
      </c>
      <c r="G97" s="126" t="s">
        <v>1667</v>
      </c>
      <c r="H97" s="131">
        <v>1</v>
      </c>
      <c r="I97" s="49" t="s">
        <v>3382</v>
      </c>
      <c r="J97" s="52"/>
      <c r="K97" s="49"/>
      <c r="L97" s="49" t="s">
        <v>3440</v>
      </c>
      <c r="M97" s="58"/>
    </row>
    <row r="98" spans="1:13" ht="15">
      <c r="A98" s="52">
        <v>96</v>
      </c>
      <c r="B98" s="53" t="s">
        <v>1098</v>
      </c>
      <c r="C98" s="126" t="s">
        <v>1099</v>
      </c>
      <c r="D98" s="55">
        <v>1</v>
      </c>
      <c r="E98" s="52" t="s">
        <v>2385</v>
      </c>
      <c r="F98" s="126" t="s">
        <v>39</v>
      </c>
      <c r="G98" s="126" t="s">
        <v>1667</v>
      </c>
      <c r="H98" s="131">
        <v>1</v>
      </c>
      <c r="I98" s="49" t="s">
        <v>3382</v>
      </c>
      <c r="J98" s="52"/>
      <c r="K98" s="49"/>
      <c r="L98" s="49" t="s">
        <v>3441</v>
      </c>
      <c r="M98" s="58"/>
    </row>
    <row r="99" spans="1:13" ht="15">
      <c r="A99" s="52">
        <v>97</v>
      </c>
      <c r="B99" s="53" t="s">
        <v>1033</v>
      </c>
      <c r="C99" s="126" t="s">
        <v>41</v>
      </c>
      <c r="D99" s="55">
        <v>4</v>
      </c>
      <c r="E99" s="52" t="s">
        <v>2385</v>
      </c>
      <c r="F99" s="126" t="s">
        <v>39</v>
      </c>
      <c r="G99" s="126" t="s">
        <v>1667</v>
      </c>
      <c r="H99" s="131">
        <v>4</v>
      </c>
      <c r="I99" s="49" t="s">
        <v>3384</v>
      </c>
      <c r="J99" s="52"/>
      <c r="K99" s="49"/>
      <c r="L99" s="49" t="s">
        <v>3442</v>
      </c>
      <c r="M99" s="58"/>
    </row>
    <row r="100" spans="1:13" ht="15">
      <c r="A100" s="52">
        <v>98</v>
      </c>
      <c r="B100" s="53" t="s">
        <v>976</v>
      </c>
      <c r="C100" s="126" t="s">
        <v>162</v>
      </c>
      <c r="D100" s="55">
        <v>2</v>
      </c>
      <c r="E100" s="52" t="s">
        <v>2394</v>
      </c>
      <c r="F100" s="126" t="s">
        <v>39</v>
      </c>
      <c r="G100" s="126" t="s">
        <v>1667</v>
      </c>
      <c r="H100" s="131">
        <v>2</v>
      </c>
      <c r="I100" s="49" t="s">
        <v>2425</v>
      </c>
      <c r="J100" s="52"/>
      <c r="K100" s="49"/>
      <c r="L100" s="49" t="s">
        <v>3443</v>
      </c>
      <c r="M100" s="58"/>
    </row>
    <row r="101" spans="1:13" ht="15">
      <c r="A101" s="52">
        <v>99</v>
      </c>
      <c r="B101" s="59" t="s">
        <v>1214</v>
      </c>
      <c r="C101" s="126" t="s">
        <v>1216</v>
      </c>
      <c r="D101" s="55">
        <v>2</v>
      </c>
      <c r="E101" s="52" t="s">
        <v>2394</v>
      </c>
      <c r="F101" s="126" t="s">
        <v>39</v>
      </c>
      <c r="G101" s="126" t="s">
        <v>1667</v>
      </c>
      <c r="H101" s="131">
        <v>2</v>
      </c>
      <c r="I101" s="49" t="s">
        <v>2425</v>
      </c>
      <c r="J101" s="52"/>
      <c r="K101" s="49"/>
      <c r="L101" s="188" t="s">
        <v>3444</v>
      </c>
      <c r="M101" s="58"/>
    </row>
    <row r="102" spans="1:13" ht="15">
      <c r="A102" s="52">
        <v>100</v>
      </c>
      <c r="B102" s="53" t="s">
        <v>1382</v>
      </c>
      <c r="C102" s="126" t="s">
        <v>1384</v>
      </c>
      <c r="D102" s="55">
        <v>2</v>
      </c>
      <c r="E102" s="52" t="s">
        <v>2394</v>
      </c>
      <c r="F102" s="126" t="s">
        <v>39</v>
      </c>
      <c r="G102" s="126" t="s">
        <v>1667</v>
      </c>
      <c r="H102" s="131">
        <v>2</v>
      </c>
      <c r="I102" s="49" t="s">
        <v>2425</v>
      </c>
      <c r="J102" s="52"/>
      <c r="K102" s="49"/>
      <c r="L102" s="49" t="s">
        <v>3445</v>
      </c>
      <c r="M102" s="58"/>
    </row>
    <row r="103" spans="1:13" ht="15">
      <c r="A103" s="52">
        <v>101</v>
      </c>
      <c r="B103" s="59" t="s">
        <v>1050</v>
      </c>
      <c r="C103" s="126" t="s">
        <v>1051</v>
      </c>
      <c r="D103" s="55">
        <v>1</v>
      </c>
      <c r="E103" s="52" t="s">
        <v>2388</v>
      </c>
      <c r="F103" s="126" t="s">
        <v>39</v>
      </c>
      <c r="G103" s="126" t="s">
        <v>1667</v>
      </c>
      <c r="H103" s="131">
        <v>1</v>
      </c>
      <c r="I103" s="49" t="s">
        <v>3397</v>
      </c>
      <c r="J103" s="52"/>
      <c r="K103" s="49"/>
      <c r="L103" s="49" t="s">
        <v>3446</v>
      </c>
      <c r="M103" s="58"/>
    </row>
    <row r="104" spans="1:13" ht="15">
      <c r="A104" s="52">
        <v>102</v>
      </c>
      <c r="B104" s="53" t="s">
        <v>1052</v>
      </c>
      <c r="C104" s="126" t="s">
        <v>41</v>
      </c>
      <c r="D104" s="55">
        <v>2</v>
      </c>
      <c r="E104" s="52" t="s">
        <v>2388</v>
      </c>
      <c r="F104" s="126" t="s">
        <v>39</v>
      </c>
      <c r="G104" s="126" t="s">
        <v>1667</v>
      </c>
      <c r="H104" s="131">
        <v>2</v>
      </c>
      <c r="I104" s="49" t="s">
        <v>3397</v>
      </c>
      <c r="J104" s="52"/>
      <c r="K104" s="49"/>
      <c r="L104" s="49" t="s">
        <v>3447</v>
      </c>
      <c r="M104" s="58"/>
    </row>
    <row r="105" spans="1:13" ht="15">
      <c r="A105" s="52">
        <v>103</v>
      </c>
      <c r="B105" s="53" t="s">
        <v>1053</v>
      </c>
      <c r="C105" s="126" t="s">
        <v>1054</v>
      </c>
      <c r="D105" s="55">
        <v>1</v>
      </c>
      <c r="E105" s="52" t="s">
        <v>2388</v>
      </c>
      <c r="F105" s="126" t="s">
        <v>39</v>
      </c>
      <c r="G105" s="126" t="s">
        <v>1667</v>
      </c>
      <c r="H105" s="131">
        <v>1</v>
      </c>
      <c r="I105" s="49" t="s">
        <v>3397</v>
      </c>
      <c r="J105" s="57"/>
      <c r="K105" s="61"/>
      <c r="L105" s="61" t="s">
        <v>3448</v>
      </c>
      <c r="M105" s="58"/>
    </row>
    <row r="106" spans="1:13" ht="15">
      <c r="A106" s="52">
        <v>104</v>
      </c>
      <c r="B106" s="53" t="s">
        <v>1055</v>
      </c>
      <c r="C106" s="126" t="s">
        <v>1056</v>
      </c>
      <c r="D106" s="55">
        <v>1</v>
      </c>
      <c r="E106" s="52" t="s">
        <v>2388</v>
      </c>
      <c r="F106" s="126" t="s">
        <v>39</v>
      </c>
      <c r="G106" s="126" t="s">
        <v>1667</v>
      </c>
      <c r="H106" s="131">
        <v>1</v>
      </c>
      <c r="I106" s="49" t="s">
        <v>3397</v>
      </c>
      <c r="J106" s="52"/>
      <c r="K106" s="49"/>
      <c r="L106" s="49" t="s">
        <v>3449</v>
      </c>
      <c r="M106" s="58"/>
    </row>
    <row r="107" spans="1:13" ht="15">
      <c r="A107" s="52">
        <v>105</v>
      </c>
      <c r="B107" s="53" t="s">
        <v>1143</v>
      </c>
      <c r="C107" s="126" t="s">
        <v>1144</v>
      </c>
      <c r="D107" s="55">
        <v>4</v>
      </c>
      <c r="E107" s="52" t="s">
        <v>2388</v>
      </c>
      <c r="F107" s="126" t="s">
        <v>39</v>
      </c>
      <c r="G107" s="126" t="s">
        <v>1667</v>
      </c>
      <c r="H107" s="131">
        <v>4</v>
      </c>
      <c r="I107" s="49" t="s">
        <v>3397</v>
      </c>
      <c r="J107" s="52"/>
      <c r="K107" s="49"/>
      <c r="L107" s="49" t="s">
        <v>3450</v>
      </c>
      <c r="M107" s="58"/>
    </row>
    <row r="108" spans="1:13" ht="15">
      <c r="A108" s="52">
        <v>106</v>
      </c>
      <c r="B108" s="53" t="s">
        <v>1249</v>
      </c>
      <c r="C108" s="126" t="s">
        <v>1250</v>
      </c>
      <c r="D108" s="55">
        <v>1</v>
      </c>
      <c r="E108" s="52" t="s">
        <v>2388</v>
      </c>
      <c r="F108" s="126" t="s">
        <v>39</v>
      </c>
      <c r="G108" s="126" t="s">
        <v>1667</v>
      </c>
      <c r="H108" s="131">
        <v>1</v>
      </c>
      <c r="I108" s="49" t="s">
        <v>3397</v>
      </c>
      <c r="J108" s="52"/>
      <c r="K108" s="49"/>
      <c r="L108" s="49" t="s">
        <v>3451</v>
      </c>
      <c r="M108" s="58"/>
    </row>
    <row r="109" spans="1:13" ht="15">
      <c r="A109" s="52">
        <v>107</v>
      </c>
      <c r="B109" s="53" t="s">
        <v>1251</v>
      </c>
      <c r="C109" s="126" t="s">
        <v>1250</v>
      </c>
      <c r="D109" s="55">
        <v>1</v>
      </c>
      <c r="E109" s="52" t="s">
        <v>2388</v>
      </c>
      <c r="F109" s="126" t="s">
        <v>39</v>
      </c>
      <c r="G109" s="126" t="s">
        <v>1667</v>
      </c>
      <c r="H109" s="131">
        <v>1</v>
      </c>
      <c r="I109" s="49" t="s">
        <v>3397</v>
      </c>
      <c r="J109" s="52"/>
      <c r="K109" s="49"/>
      <c r="L109" s="49" t="s">
        <v>3452</v>
      </c>
      <c r="M109" s="58"/>
    </row>
    <row r="110" spans="1:13" ht="15">
      <c r="A110" s="52">
        <v>108</v>
      </c>
      <c r="B110" s="53" t="s">
        <v>1269</v>
      </c>
      <c r="C110" s="126" t="s">
        <v>558</v>
      </c>
      <c r="D110" s="55">
        <v>2</v>
      </c>
      <c r="E110" s="52" t="s">
        <v>2388</v>
      </c>
      <c r="F110" s="126" t="s">
        <v>39</v>
      </c>
      <c r="G110" s="126" t="s">
        <v>1667</v>
      </c>
      <c r="H110" s="131">
        <v>2</v>
      </c>
      <c r="I110" s="49" t="s">
        <v>3397</v>
      </c>
      <c r="J110" s="57"/>
      <c r="K110" s="61"/>
      <c r="L110" s="61" t="s">
        <v>3453</v>
      </c>
      <c r="M110" s="58"/>
    </row>
    <row r="111" spans="1:13" ht="15">
      <c r="A111" s="52">
        <v>109</v>
      </c>
      <c r="B111" s="53" t="s">
        <v>1212</v>
      </c>
      <c r="C111" s="126" t="s">
        <v>1213</v>
      </c>
      <c r="D111" s="55">
        <v>2</v>
      </c>
      <c r="E111" s="52" t="s">
        <v>2388</v>
      </c>
      <c r="F111" s="126" t="s">
        <v>39</v>
      </c>
      <c r="G111" s="126" t="s">
        <v>1667</v>
      </c>
      <c r="H111" s="131">
        <v>2</v>
      </c>
      <c r="I111" s="49" t="s">
        <v>2389</v>
      </c>
      <c r="J111" s="52"/>
      <c r="K111" s="49"/>
      <c r="L111" s="49" t="s">
        <v>3454</v>
      </c>
      <c r="M111" s="58"/>
    </row>
    <row r="112" spans="1:13" ht="15">
      <c r="A112" s="52">
        <v>110</v>
      </c>
      <c r="B112" s="53" t="s">
        <v>1256</v>
      </c>
      <c r="C112" s="126" t="s">
        <v>1257</v>
      </c>
      <c r="D112" s="55">
        <v>2</v>
      </c>
      <c r="E112" s="52" t="s">
        <v>2388</v>
      </c>
      <c r="F112" s="126" t="s">
        <v>39</v>
      </c>
      <c r="G112" s="126" t="s">
        <v>1667</v>
      </c>
      <c r="H112" s="131">
        <v>2</v>
      </c>
      <c r="I112" s="49" t="s">
        <v>2389</v>
      </c>
      <c r="J112" s="52"/>
      <c r="K112" s="49"/>
      <c r="L112" s="49" t="s">
        <v>3455</v>
      </c>
      <c r="M112" s="58"/>
    </row>
    <row r="113" spans="1:13" ht="15">
      <c r="A113" s="52">
        <v>111</v>
      </c>
      <c r="B113" s="53" t="s">
        <v>1385</v>
      </c>
      <c r="C113" s="126" t="s">
        <v>1387</v>
      </c>
      <c r="D113" s="55">
        <v>1</v>
      </c>
      <c r="E113" s="52" t="s">
        <v>2388</v>
      </c>
      <c r="F113" s="126" t="s">
        <v>39</v>
      </c>
      <c r="G113" s="126" t="s">
        <v>1667</v>
      </c>
      <c r="H113" s="131">
        <v>1</v>
      </c>
      <c r="I113" s="49" t="s">
        <v>2389</v>
      </c>
      <c r="J113" s="52"/>
      <c r="K113" s="49"/>
      <c r="L113" s="49" t="s">
        <v>3456</v>
      </c>
      <c r="M113" s="58"/>
    </row>
    <row r="114" spans="1:13" ht="15">
      <c r="A114" s="52">
        <v>112</v>
      </c>
      <c r="B114" s="53" t="s">
        <v>1211</v>
      </c>
      <c r="C114" s="126" t="s">
        <v>1144</v>
      </c>
      <c r="D114" s="55">
        <v>4</v>
      </c>
      <c r="E114" s="52" t="s">
        <v>2388</v>
      </c>
      <c r="F114" s="126" t="s">
        <v>39</v>
      </c>
      <c r="G114" s="126" t="s">
        <v>1667</v>
      </c>
      <c r="H114" s="131">
        <v>4</v>
      </c>
      <c r="I114" s="49" t="s">
        <v>2389</v>
      </c>
      <c r="J114" s="52"/>
      <c r="K114" s="49"/>
      <c r="L114" s="49" t="s">
        <v>3457</v>
      </c>
      <c r="M114" s="58"/>
    </row>
    <row r="115" spans="1:13" ht="15">
      <c r="A115" s="52">
        <v>113</v>
      </c>
      <c r="B115" s="53" t="s">
        <v>1219</v>
      </c>
      <c r="C115" s="126" t="s">
        <v>1220</v>
      </c>
      <c r="D115" s="55">
        <v>2</v>
      </c>
      <c r="E115" s="52" t="s">
        <v>2388</v>
      </c>
      <c r="F115" s="126" t="s">
        <v>39</v>
      </c>
      <c r="G115" s="126" t="s">
        <v>1667</v>
      </c>
      <c r="H115" s="131">
        <v>2</v>
      </c>
      <c r="I115" s="49" t="s">
        <v>2389</v>
      </c>
      <c r="J115" s="52"/>
      <c r="K115" s="49"/>
      <c r="L115" s="49" t="s">
        <v>3458</v>
      </c>
      <c r="M115" s="58"/>
    </row>
    <row r="116" spans="1:13" ht="15">
      <c r="A116" s="52">
        <v>114</v>
      </c>
      <c r="B116" s="53" t="s">
        <v>1233</v>
      </c>
      <c r="C116" s="126" t="s">
        <v>1234</v>
      </c>
      <c r="D116" s="55">
        <v>2</v>
      </c>
      <c r="E116" s="52" t="s">
        <v>2388</v>
      </c>
      <c r="F116" s="126" t="s">
        <v>39</v>
      </c>
      <c r="G116" s="126" t="s">
        <v>1667</v>
      </c>
      <c r="H116" s="131">
        <v>2</v>
      </c>
      <c r="I116" s="49" t="s">
        <v>2389</v>
      </c>
      <c r="J116" s="52"/>
      <c r="K116" s="49"/>
      <c r="L116" s="49" t="s">
        <v>3459</v>
      </c>
      <c r="M116" s="58"/>
    </row>
    <row r="117" spans="1:13" ht="15">
      <c r="A117" s="52">
        <v>115</v>
      </c>
      <c r="B117" s="53" t="s">
        <v>1258</v>
      </c>
      <c r="C117" s="126" t="s">
        <v>1248</v>
      </c>
      <c r="D117" s="55">
        <v>2</v>
      </c>
      <c r="E117" s="52" t="s">
        <v>2388</v>
      </c>
      <c r="F117" s="126" t="s">
        <v>39</v>
      </c>
      <c r="G117" s="126" t="s">
        <v>1667</v>
      </c>
      <c r="H117" s="131">
        <v>2</v>
      </c>
      <c r="I117" s="49" t="s">
        <v>2389</v>
      </c>
      <c r="J117" s="52"/>
      <c r="K117" s="49"/>
      <c r="L117" s="49" t="s">
        <v>3460</v>
      </c>
      <c r="M117" s="58"/>
    </row>
    <row r="118" spans="1:13" ht="15">
      <c r="A118" s="52">
        <v>116</v>
      </c>
      <c r="B118" s="53" t="s">
        <v>1118</v>
      </c>
      <c r="C118" s="126" t="s">
        <v>41</v>
      </c>
      <c r="D118" s="55">
        <v>1</v>
      </c>
      <c r="E118" s="52" t="s">
        <v>2388</v>
      </c>
      <c r="F118" s="126" t="s">
        <v>39</v>
      </c>
      <c r="G118" s="126" t="s">
        <v>1667</v>
      </c>
      <c r="H118" s="131">
        <v>1</v>
      </c>
      <c r="I118" s="49" t="s">
        <v>2389</v>
      </c>
      <c r="J118" s="52"/>
      <c r="K118" s="49"/>
      <c r="L118" s="49" t="s">
        <v>3461</v>
      </c>
      <c r="M118" s="58"/>
    </row>
    <row r="119" spans="1:13" ht="15">
      <c r="A119" s="52">
        <v>117</v>
      </c>
      <c r="B119" s="59" t="s">
        <v>1119</v>
      </c>
      <c r="C119" s="126" t="s">
        <v>41</v>
      </c>
      <c r="D119" s="55">
        <v>1</v>
      </c>
      <c r="E119" s="52" t="s">
        <v>2388</v>
      </c>
      <c r="F119" s="126" t="s">
        <v>39</v>
      </c>
      <c r="G119" s="126" t="s">
        <v>1667</v>
      </c>
      <c r="H119" s="131">
        <v>1</v>
      </c>
      <c r="I119" s="49" t="s">
        <v>2389</v>
      </c>
      <c r="J119" s="52"/>
      <c r="K119" s="49"/>
      <c r="L119" s="49" t="s">
        <v>3462</v>
      </c>
      <c r="M119" s="58"/>
    </row>
    <row r="120" spans="1:13" ht="15">
      <c r="A120" s="52">
        <v>118</v>
      </c>
      <c r="B120" s="59" t="s">
        <v>2037</v>
      </c>
      <c r="C120" s="126" t="s">
        <v>2039</v>
      </c>
      <c r="D120" s="55">
        <v>1</v>
      </c>
      <c r="E120" s="52" t="s">
        <v>2391</v>
      </c>
      <c r="F120" s="126" t="s">
        <v>39</v>
      </c>
      <c r="G120" s="126" t="s">
        <v>1667</v>
      </c>
      <c r="H120" s="131">
        <v>1</v>
      </c>
      <c r="I120" s="49" t="s">
        <v>2511</v>
      </c>
      <c r="J120" s="52"/>
      <c r="K120" s="49"/>
      <c r="L120" s="49" t="s">
        <v>3463</v>
      </c>
      <c r="M120" s="58"/>
    </row>
    <row r="121" spans="1:13" ht="15">
      <c r="A121" s="52">
        <v>119</v>
      </c>
      <c r="B121" s="66" t="s">
        <v>985</v>
      </c>
      <c r="C121" s="126" t="s">
        <v>987</v>
      </c>
      <c r="D121" s="52">
        <v>1</v>
      </c>
      <c r="E121" s="52" t="s">
        <v>2391</v>
      </c>
      <c r="F121" s="126" t="s">
        <v>39</v>
      </c>
      <c r="G121" s="126" t="s">
        <v>1667</v>
      </c>
      <c r="H121" s="131">
        <v>1</v>
      </c>
      <c r="I121" s="49" t="s">
        <v>2449</v>
      </c>
      <c r="J121" s="52"/>
      <c r="K121" s="49" t="s">
        <v>3365</v>
      </c>
      <c r="L121" s="49" t="s">
        <v>3464</v>
      </c>
      <c r="M121" s="58"/>
    </row>
    <row r="122" spans="1:13" ht="15">
      <c r="A122" s="52">
        <v>120</v>
      </c>
      <c r="B122" s="53" t="s">
        <v>2088</v>
      </c>
      <c r="C122" s="126" t="s">
        <v>1896</v>
      </c>
      <c r="D122" s="55">
        <v>1</v>
      </c>
      <c r="E122" s="52" t="s">
        <v>2391</v>
      </c>
      <c r="F122" s="126" t="s">
        <v>39</v>
      </c>
      <c r="G122" s="126" t="s">
        <v>1667</v>
      </c>
      <c r="H122" s="131">
        <v>1</v>
      </c>
      <c r="I122" s="49" t="s">
        <v>2449</v>
      </c>
      <c r="J122" s="52"/>
      <c r="K122" s="49" t="s">
        <v>3400</v>
      </c>
      <c r="L122" s="49" t="s">
        <v>3465</v>
      </c>
      <c r="M122" s="58"/>
    </row>
    <row r="123" spans="1:13" ht="15">
      <c r="A123" s="52">
        <v>121</v>
      </c>
      <c r="B123" s="53" t="s">
        <v>2089</v>
      </c>
      <c r="C123" s="126" t="s">
        <v>1896</v>
      </c>
      <c r="D123" s="55">
        <v>1</v>
      </c>
      <c r="E123" s="52" t="s">
        <v>2391</v>
      </c>
      <c r="F123" s="126" t="s">
        <v>39</v>
      </c>
      <c r="G123" s="126" t="s">
        <v>1667</v>
      </c>
      <c r="H123" s="131">
        <v>1</v>
      </c>
      <c r="I123" s="49" t="s">
        <v>2449</v>
      </c>
      <c r="J123" s="52"/>
      <c r="K123" s="49" t="s">
        <v>3400</v>
      </c>
      <c r="L123" s="49" t="s">
        <v>3466</v>
      </c>
      <c r="M123" s="58"/>
    </row>
    <row r="124" spans="1:13" ht="15">
      <c r="A124" s="52">
        <v>122</v>
      </c>
      <c r="B124" s="53" t="s">
        <v>1344</v>
      </c>
      <c r="C124" s="126" t="s">
        <v>1346</v>
      </c>
      <c r="D124" s="55">
        <v>1</v>
      </c>
      <c r="E124" s="52" t="s">
        <v>2391</v>
      </c>
      <c r="F124" s="126" t="s">
        <v>39</v>
      </c>
      <c r="G124" s="126" t="s">
        <v>1667</v>
      </c>
      <c r="H124" s="131">
        <v>1</v>
      </c>
      <c r="I124" s="49" t="s">
        <v>2447</v>
      </c>
      <c r="J124" s="52"/>
      <c r="K124" s="49"/>
      <c r="L124" s="49" t="s">
        <v>3467</v>
      </c>
      <c r="M124" s="58">
        <v>45533</v>
      </c>
    </row>
    <row r="125" spans="1:13" ht="15">
      <c r="A125" s="52">
        <v>123</v>
      </c>
      <c r="B125" s="53" t="s">
        <v>1347</v>
      </c>
      <c r="C125" s="126" t="s">
        <v>1346</v>
      </c>
      <c r="D125" s="55">
        <v>1</v>
      </c>
      <c r="E125" s="52" t="s">
        <v>3468</v>
      </c>
      <c r="F125" s="126" t="s">
        <v>39</v>
      </c>
      <c r="G125" s="126" t="s">
        <v>1667</v>
      </c>
      <c r="H125" s="131">
        <v>1</v>
      </c>
      <c r="I125" s="49" t="s">
        <v>2447</v>
      </c>
      <c r="J125" s="52"/>
      <c r="K125" s="49"/>
      <c r="L125" s="49" t="s">
        <v>3469</v>
      </c>
      <c r="M125" s="58"/>
    </row>
    <row r="126" spans="1:13" ht="15">
      <c r="A126" s="52">
        <v>124</v>
      </c>
      <c r="B126" s="53" t="s">
        <v>2090</v>
      </c>
      <c r="C126" s="126" t="s">
        <v>1896</v>
      </c>
      <c r="D126" s="55">
        <v>1</v>
      </c>
      <c r="E126" s="52" t="s">
        <v>2391</v>
      </c>
      <c r="F126" s="126" t="s">
        <v>39</v>
      </c>
      <c r="G126" s="126" t="s">
        <v>1667</v>
      </c>
      <c r="H126" s="131">
        <v>1</v>
      </c>
      <c r="I126" s="49" t="s">
        <v>2449</v>
      </c>
      <c r="J126" s="52"/>
      <c r="K126" s="49" t="s">
        <v>3365</v>
      </c>
      <c r="L126" s="49" t="s">
        <v>3470</v>
      </c>
      <c r="M126" s="58"/>
    </row>
    <row r="127" spans="1:13" ht="15">
      <c r="A127" s="52">
        <v>125</v>
      </c>
      <c r="B127" s="59" t="s">
        <v>3471</v>
      </c>
      <c r="C127" s="126" t="s">
        <v>775</v>
      </c>
      <c r="D127" s="55">
        <v>1</v>
      </c>
      <c r="E127" s="52" t="s">
        <v>2443</v>
      </c>
      <c r="F127" s="126" t="s">
        <v>39</v>
      </c>
      <c r="G127" s="126" t="s">
        <v>1667</v>
      </c>
      <c r="H127" s="131">
        <v>1</v>
      </c>
      <c r="I127" s="49" t="s">
        <v>2444</v>
      </c>
      <c r="J127" s="52"/>
      <c r="K127" s="49"/>
      <c r="L127" s="49" t="s">
        <v>3472</v>
      </c>
      <c r="M127" s="58"/>
    </row>
    <row r="128" spans="1:13" ht="15">
      <c r="A128" s="52">
        <v>126</v>
      </c>
      <c r="B128" s="53" t="s">
        <v>1261</v>
      </c>
      <c r="C128" s="126" t="s">
        <v>1262</v>
      </c>
      <c r="D128" s="55">
        <v>1</v>
      </c>
      <c r="E128" s="52" t="s">
        <v>2394</v>
      </c>
      <c r="F128" s="126" t="s">
        <v>12</v>
      </c>
      <c r="G128" s="126" t="s">
        <v>1667</v>
      </c>
      <c r="H128" s="131">
        <v>1</v>
      </c>
      <c r="I128" s="49" t="s">
        <v>2425</v>
      </c>
      <c r="J128" s="52">
        <v>1</v>
      </c>
      <c r="K128" s="49"/>
      <c r="L128" s="49" t="s">
        <v>3473</v>
      </c>
      <c r="M128" s="58"/>
    </row>
    <row r="129" spans="1:13" ht="15">
      <c r="A129" s="52">
        <v>127</v>
      </c>
      <c r="B129" s="63" t="s">
        <v>1002</v>
      </c>
      <c r="C129" s="126" t="s">
        <v>745</v>
      </c>
      <c r="D129" s="55">
        <v>2</v>
      </c>
      <c r="E129" s="52" t="s">
        <v>2437</v>
      </c>
      <c r="F129" s="126" t="s">
        <v>12</v>
      </c>
      <c r="G129" s="126" t="s">
        <v>1667</v>
      </c>
      <c r="H129" s="131">
        <v>2</v>
      </c>
      <c r="I129" s="49" t="s">
        <v>2438</v>
      </c>
      <c r="J129" s="52">
        <v>1</v>
      </c>
      <c r="K129" s="49"/>
      <c r="L129" s="49" t="s">
        <v>3474</v>
      </c>
      <c r="M129" s="58"/>
    </row>
    <row r="130" spans="1:13" ht="15">
      <c r="A130" s="52">
        <v>128</v>
      </c>
      <c r="B130" s="53" t="s">
        <v>1299</v>
      </c>
      <c r="C130" s="126" t="s">
        <v>1301</v>
      </c>
      <c r="D130" s="55">
        <v>2</v>
      </c>
      <c r="E130" s="56" t="s">
        <v>2443</v>
      </c>
      <c r="F130" s="126" t="s">
        <v>12</v>
      </c>
      <c r="G130" s="126" t="s">
        <v>1667</v>
      </c>
      <c r="H130" s="131">
        <v>2</v>
      </c>
      <c r="I130" s="49" t="s">
        <v>3475</v>
      </c>
      <c r="J130" s="52">
        <v>1</v>
      </c>
      <c r="K130" s="49"/>
      <c r="L130" s="49" t="s">
        <v>3476</v>
      </c>
      <c r="M130" s="58"/>
    </row>
    <row r="131" spans="1:13" ht="15">
      <c r="A131" s="52">
        <v>129</v>
      </c>
      <c r="B131" s="53" t="s">
        <v>813</v>
      </c>
      <c r="C131" s="126" t="s">
        <v>814</v>
      </c>
      <c r="D131" s="55">
        <v>1</v>
      </c>
      <c r="E131" s="56" t="s">
        <v>2385</v>
      </c>
      <c r="F131" s="126" t="s">
        <v>12</v>
      </c>
      <c r="G131" s="126" t="s">
        <v>1667</v>
      </c>
      <c r="H131" s="131">
        <v>1</v>
      </c>
      <c r="I131" s="49" t="s">
        <v>2386</v>
      </c>
      <c r="J131" s="52">
        <v>2</v>
      </c>
      <c r="K131" s="49"/>
      <c r="L131" s="49" t="s">
        <v>3477</v>
      </c>
      <c r="M131" s="58"/>
    </row>
    <row r="132" spans="1:13" ht="15">
      <c r="A132" s="52">
        <v>130</v>
      </c>
      <c r="B132" s="60" t="s">
        <v>831</v>
      </c>
      <c r="C132" s="126" t="s">
        <v>833</v>
      </c>
      <c r="D132" s="52">
        <v>1</v>
      </c>
      <c r="E132" s="56" t="s">
        <v>2385</v>
      </c>
      <c r="F132" s="126" t="s">
        <v>12</v>
      </c>
      <c r="G132" s="126" t="s">
        <v>1667</v>
      </c>
      <c r="H132" s="131">
        <v>1</v>
      </c>
      <c r="I132" s="49" t="s">
        <v>2386</v>
      </c>
      <c r="J132" s="52">
        <v>2</v>
      </c>
      <c r="K132" s="49"/>
      <c r="L132" s="49" t="s">
        <v>3478</v>
      </c>
      <c r="M132" s="58"/>
    </row>
    <row r="133" spans="1:13" ht="15">
      <c r="A133" s="52">
        <v>131</v>
      </c>
      <c r="B133" s="53" t="s">
        <v>896</v>
      </c>
      <c r="C133" s="126" t="s">
        <v>898</v>
      </c>
      <c r="D133" s="55">
        <v>1</v>
      </c>
      <c r="E133" s="56" t="s">
        <v>2385</v>
      </c>
      <c r="F133" s="126" t="s">
        <v>12</v>
      </c>
      <c r="G133" s="126" t="s">
        <v>1667</v>
      </c>
      <c r="H133" s="131">
        <v>1</v>
      </c>
      <c r="I133" s="49" t="s">
        <v>2386</v>
      </c>
      <c r="J133" s="52">
        <v>2</v>
      </c>
      <c r="K133" s="49"/>
      <c r="L133" s="49" t="s">
        <v>3479</v>
      </c>
      <c r="M133" s="58"/>
    </row>
    <row r="134" spans="1:13" ht="15">
      <c r="A134" s="52">
        <v>132</v>
      </c>
      <c r="B134" s="60" t="s">
        <v>907</v>
      </c>
      <c r="C134" s="126" t="s">
        <v>41</v>
      </c>
      <c r="D134" s="52">
        <v>1</v>
      </c>
      <c r="E134" s="56" t="s">
        <v>2385</v>
      </c>
      <c r="F134" s="126" t="s">
        <v>12</v>
      </c>
      <c r="G134" s="126" t="s">
        <v>1667</v>
      </c>
      <c r="H134" s="131">
        <v>1</v>
      </c>
      <c r="I134" s="49" t="s">
        <v>2386</v>
      </c>
      <c r="J134" s="52">
        <v>2</v>
      </c>
      <c r="K134" s="49"/>
      <c r="L134" s="49" t="s">
        <v>3480</v>
      </c>
      <c r="M134" s="58"/>
    </row>
    <row r="135" spans="1:13" ht="15">
      <c r="A135" s="52">
        <v>133</v>
      </c>
      <c r="B135" s="53" t="s">
        <v>1137</v>
      </c>
      <c r="C135" s="126" t="s">
        <v>1139</v>
      </c>
      <c r="D135" s="55">
        <v>1</v>
      </c>
      <c r="E135" s="56" t="s">
        <v>2437</v>
      </c>
      <c r="F135" s="126" t="s">
        <v>12</v>
      </c>
      <c r="G135" s="126" t="s">
        <v>1667</v>
      </c>
      <c r="H135" s="131">
        <v>1</v>
      </c>
      <c r="I135" s="49" t="s">
        <v>2438</v>
      </c>
      <c r="J135" s="52">
        <v>2</v>
      </c>
      <c r="K135" s="49"/>
      <c r="L135" s="49" t="s">
        <v>3481</v>
      </c>
      <c r="M135" s="58"/>
    </row>
    <row r="136" spans="1:13" ht="15">
      <c r="A136" s="52">
        <v>134</v>
      </c>
      <c r="B136" s="53" t="s">
        <v>1159</v>
      </c>
      <c r="C136" s="126" t="s">
        <v>21</v>
      </c>
      <c r="D136" s="55">
        <v>1</v>
      </c>
      <c r="E136" s="56" t="s">
        <v>2437</v>
      </c>
      <c r="F136" s="126" t="s">
        <v>12</v>
      </c>
      <c r="G136" s="126" t="s">
        <v>1667</v>
      </c>
      <c r="H136" s="131">
        <v>1</v>
      </c>
      <c r="I136" s="49" t="s">
        <v>2438</v>
      </c>
      <c r="J136" s="52">
        <v>2</v>
      </c>
      <c r="K136" s="49"/>
      <c r="L136" s="49" t="s">
        <v>3482</v>
      </c>
      <c r="M136" s="58"/>
    </row>
    <row r="137" spans="1:13" ht="15">
      <c r="A137" s="52">
        <v>135</v>
      </c>
      <c r="B137" s="53" t="s">
        <v>1330</v>
      </c>
      <c r="C137" s="126" t="s">
        <v>564</v>
      </c>
      <c r="D137" s="55">
        <v>1</v>
      </c>
      <c r="E137" s="56" t="s">
        <v>2391</v>
      </c>
      <c r="F137" s="126" t="s">
        <v>12</v>
      </c>
      <c r="G137" s="126" t="s">
        <v>1667</v>
      </c>
      <c r="H137" s="131">
        <v>1</v>
      </c>
      <c r="I137" s="49" t="s">
        <v>2511</v>
      </c>
      <c r="J137" s="52">
        <v>2</v>
      </c>
      <c r="K137" s="49"/>
      <c r="L137" s="49" t="s">
        <v>3483</v>
      </c>
      <c r="M137" s="58"/>
    </row>
    <row r="138" spans="1:13" ht="15">
      <c r="A138" s="52">
        <v>136</v>
      </c>
      <c r="B138" s="53" t="s">
        <v>1232</v>
      </c>
      <c r="C138" s="126" t="s">
        <v>560</v>
      </c>
      <c r="D138" s="55">
        <v>4</v>
      </c>
      <c r="E138" s="56" t="s">
        <v>2391</v>
      </c>
      <c r="F138" s="126" t="s">
        <v>12</v>
      </c>
      <c r="G138" s="126" t="s">
        <v>1667</v>
      </c>
      <c r="H138" s="131">
        <v>4</v>
      </c>
      <c r="I138" s="49" t="s">
        <v>2511</v>
      </c>
      <c r="J138" s="52">
        <v>2</v>
      </c>
      <c r="K138" s="49"/>
      <c r="L138" s="49" t="s">
        <v>3484</v>
      </c>
      <c r="M138" s="58"/>
    </row>
    <row r="139" spans="1:13" ht="15">
      <c r="A139" s="52">
        <v>137</v>
      </c>
      <c r="B139" s="59" t="s">
        <v>879</v>
      </c>
      <c r="C139" s="126" t="s">
        <v>881</v>
      </c>
      <c r="D139" s="55">
        <v>2</v>
      </c>
      <c r="E139" s="56" t="s">
        <v>2391</v>
      </c>
      <c r="F139" s="126" t="s">
        <v>12</v>
      </c>
      <c r="G139" s="126" t="s">
        <v>1667</v>
      </c>
      <c r="H139" s="131">
        <v>2</v>
      </c>
      <c r="I139" s="49" t="s">
        <v>2511</v>
      </c>
      <c r="J139" s="52">
        <v>2</v>
      </c>
      <c r="K139" s="49"/>
      <c r="L139" s="49" t="s">
        <v>3485</v>
      </c>
      <c r="M139" s="58"/>
    </row>
    <row r="140" spans="1:13" ht="15">
      <c r="A140" s="52">
        <v>138</v>
      </c>
      <c r="B140" s="59" t="s">
        <v>1095</v>
      </c>
      <c r="C140" s="126" t="s">
        <v>316</v>
      </c>
      <c r="D140" s="55">
        <v>1</v>
      </c>
      <c r="E140" s="56" t="s">
        <v>2391</v>
      </c>
      <c r="F140" s="126" t="s">
        <v>12</v>
      </c>
      <c r="G140" s="126" t="s">
        <v>1667</v>
      </c>
      <c r="H140" s="131">
        <v>1</v>
      </c>
      <c r="I140" s="49" t="s">
        <v>2511</v>
      </c>
      <c r="J140" s="52">
        <v>2</v>
      </c>
      <c r="K140" s="49"/>
      <c r="L140" s="49" t="s">
        <v>3486</v>
      </c>
      <c r="M140" s="58"/>
    </row>
    <row r="141" spans="1:13" ht="15">
      <c r="A141" s="52">
        <v>139</v>
      </c>
      <c r="B141" s="53" t="s">
        <v>1270</v>
      </c>
      <c r="C141" s="126" t="s">
        <v>116</v>
      </c>
      <c r="D141" s="55">
        <v>1</v>
      </c>
      <c r="E141" s="56" t="s">
        <v>2391</v>
      </c>
      <c r="F141" s="126" t="s">
        <v>12</v>
      </c>
      <c r="G141" s="126" t="s">
        <v>1667</v>
      </c>
      <c r="H141" s="131">
        <v>1</v>
      </c>
      <c r="I141" s="49" t="s">
        <v>2511</v>
      </c>
      <c r="J141" s="52">
        <v>2</v>
      </c>
      <c r="K141" s="49"/>
      <c r="L141" s="49" t="s">
        <v>3487</v>
      </c>
      <c r="M141" s="58"/>
    </row>
    <row r="142" spans="1:13" ht="15">
      <c r="A142" s="52">
        <v>140</v>
      </c>
      <c r="B142" s="60" t="s">
        <v>1122</v>
      </c>
      <c r="C142" s="126" t="s">
        <v>1124</v>
      </c>
      <c r="D142" s="55">
        <v>1</v>
      </c>
      <c r="E142" s="56" t="s">
        <v>2391</v>
      </c>
      <c r="F142" s="126" t="s">
        <v>12</v>
      </c>
      <c r="G142" s="126" t="s">
        <v>1667</v>
      </c>
      <c r="H142" s="131">
        <v>1</v>
      </c>
      <c r="I142" s="49" t="s">
        <v>2449</v>
      </c>
      <c r="J142" s="52">
        <v>2</v>
      </c>
      <c r="K142" s="49" t="s">
        <v>3365</v>
      </c>
      <c r="L142" s="49" t="s">
        <v>3488</v>
      </c>
      <c r="M142" s="58"/>
    </row>
    <row r="143" spans="1:13" ht="15">
      <c r="A143" s="52">
        <v>141</v>
      </c>
      <c r="B143" s="60" t="s">
        <v>1125</v>
      </c>
      <c r="C143" s="126" t="s">
        <v>1126</v>
      </c>
      <c r="D143" s="52">
        <v>1</v>
      </c>
      <c r="E143" s="56" t="s">
        <v>2391</v>
      </c>
      <c r="F143" s="126" t="s">
        <v>12</v>
      </c>
      <c r="G143" s="126" t="s">
        <v>1667</v>
      </c>
      <c r="H143" s="131">
        <v>1</v>
      </c>
      <c r="I143" s="49" t="s">
        <v>2449</v>
      </c>
      <c r="J143" s="52">
        <v>2</v>
      </c>
      <c r="K143" s="49" t="s">
        <v>3365</v>
      </c>
      <c r="L143" s="49" t="s">
        <v>3489</v>
      </c>
      <c r="M143" s="58"/>
    </row>
    <row r="144" spans="1:13" ht="15">
      <c r="A144" s="52">
        <v>142</v>
      </c>
      <c r="B144" s="60" t="s">
        <v>891</v>
      </c>
      <c r="C144" s="126" t="s">
        <v>893</v>
      </c>
      <c r="D144" s="52">
        <v>1</v>
      </c>
      <c r="E144" s="56" t="s">
        <v>2394</v>
      </c>
      <c r="F144" s="126" t="s">
        <v>12</v>
      </c>
      <c r="G144" s="126" t="s">
        <v>1667</v>
      </c>
      <c r="H144" s="131">
        <v>1</v>
      </c>
      <c r="I144" s="49" t="s">
        <v>2425</v>
      </c>
      <c r="J144" s="52">
        <v>3</v>
      </c>
      <c r="K144" s="49"/>
      <c r="L144" s="188" t="s">
        <v>3490</v>
      </c>
      <c r="M144" s="58"/>
    </row>
    <row r="145" spans="1:13" ht="15">
      <c r="A145" s="52">
        <v>143</v>
      </c>
      <c r="B145" s="60" t="s">
        <v>894</v>
      </c>
      <c r="C145" s="126" t="s">
        <v>895</v>
      </c>
      <c r="D145" s="52">
        <v>1</v>
      </c>
      <c r="E145" s="56" t="s">
        <v>2437</v>
      </c>
      <c r="F145" s="126" t="s">
        <v>12</v>
      </c>
      <c r="G145" s="126" t="s">
        <v>1667</v>
      </c>
      <c r="H145" s="131">
        <v>1</v>
      </c>
      <c r="I145" s="49" t="s">
        <v>2438</v>
      </c>
      <c r="J145" s="52">
        <v>3</v>
      </c>
      <c r="K145" s="49"/>
      <c r="L145" s="49" t="s">
        <v>3491</v>
      </c>
      <c r="M145" s="58"/>
    </row>
    <row r="146" spans="1:13" ht="15">
      <c r="A146" s="52">
        <v>144</v>
      </c>
      <c r="B146" s="60" t="s">
        <v>997</v>
      </c>
      <c r="C146" s="126" t="s">
        <v>998</v>
      </c>
      <c r="D146" s="52">
        <v>1</v>
      </c>
      <c r="E146" s="56" t="s">
        <v>2437</v>
      </c>
      <c r="F146" s="126" t="s">
        <v>12</v>
      </c>
      <c r="G146" s="126" t="s">
        <v>1667</v>
      </c>
      <c r="H146" s="131">
        <v>1</v>
      </c>
      <c r="I146" s="49" t="s">
        <v>2438</v>
      </c>
      <c r="J146" s="52">
        <v>3</v>
      </c>
      <c r="K146" s="49"/>
      <c r="L146" s="49" t="s">
        <v>3492</v>
      </c>
      <c r="M146" s="58"/>
    </row>
    <row r="147" spans="1:13" ht="15">
      <c r="A147" s="52">
        <v>145</v>
      </c>
      <c r="B147" s="60" t="s">
        <v>773</v>
      </c>
      <c r="C147" s="126" t="s">
        <v>775</v>
      </c>
      <c r="D147" s="52">
        <v>1</v>
      </c>
      <c r="E147" s="56" t="s">
        <v>2443</v>
      </c>
      <c r="F147" s="126" t="s">
        <v>12</v>
      </c>
      <c r="G147" s="126" t="s">
        <v>1667</v>
      </c>
      <c r="H147" s="131">
        <v>1</v>
      </c>
      <c r="I147" s="49" t="s">
        <v>2444</v>
      </c>
      <c r="J147" s="52">
        <v>3</v>
      </c>
      <c r="K147" s="49"/>
      <c r="L147" s="49" t="s">
        <v>3493</v>
      </c>
      <c r="M147" s="58"/>
    </row>
    <row r="148" spans="1:13" ht="15">
      <c r="A148" s="52">
        <v>146</v>
      </c>
      <c r="B148" s="53" t="s">
        <v>924</v>
      </c>
      <c r="C148" s="126" t="s">
        <v>925</v>
      </c>
      <c r="D148" s="55">
        <v>1</v>
      </c>
      <c r="E148" s="56" t="s">
        <v>2443</v>
      </c>
      <c r="F148" s="126" t="s">
        <v>12</v>
      </c>
      <c r="G148" s="126" t="s">
        <v>1667</v>
      </c>
      <c r="H148" s="131">
        <v>1</v>
      </c>
      <c r="I148" s="49" t="s">
        <v>2444</v>
      </c>
      <c r="J148" s="52">
        <v>3</v>
      </c>
      <c r="K148" s="49"/>
      <c r="L148" s="49" t="s">
        <v>3494</v>
      </c>
      <c r="M148" s="58"/>
    </row>
    <row r="149" spans="1:13" ht="15">
      <c r="A149" s="52">
        <v>147</v>
      </c>
      <c r="B149" s="53" t="s">
        <v>8</v>
      </c>
      <c r="C149" s="126" t="s">
        <v>11</v>
      </c>
      <c r="D149" s="55">
        <v>1</v>
      </c>
      <c r="E149" s="56" t="s">
        <v>2443</v>
      </c>
      <c r="F149" s="126" t="s">
        <v>12</v>
      </c>
      <c r="G149" s="126" t="s">
        <v>1667</v>
      </c>
      <c r="H149" s="131">
        <v>1</v>
      </c>
      <c r="I149" s="49" t="s">
        <v>2444</v>
      </c>
      <c r="J149" s="52">
        <v>3</v>
      </c>
      <c r="K149" s="49"/>
      <c r="L149" s="49" t="s">
        <v>3495</v>
      </c>
      <c r="M149" s="58">
        <v>45533</v>
      </c>
    </row>
    <row r="150" spans="1:13" ht="15">
      <c r="A150" s="52">
        <v>148</v>
      </c>
      <c r="B150" s="53" t="s">
        <v>992</v>
      </c>
      <c r="C150" s="126" t="s">
        <v>24</v>
      </c>
      <c r="D150" s="55">
        <v>1</v>
      </c>
      <c r="E150" s="56" t="s">
        <v>2443</v>
      </c>
      <c r="F150" s="126" t="s">
        <v>12</v>
      </c>
      <c r="G150" s="126" t="s">
        <v>1667</v>
      </c>
      <c r="H150" s="131">
        <v>1</v>
      </c>
      <c r="I150" s="49" t="s">
        <v>2548</v>
      </c>
      <c r="J150" s="52">
        <v>3</v>
      </c>
      <c r="K150" s="49"/>
      <c r="L150" s="49" t="s">
        <v>3496</v>
      </c>
      <c r="M150" s="58"/>
    </row>
    <row r="151" spans="1:13" ht="15">
      <c r="A151" s="52">
        <v>149</v>
      </c>
      <c r="B151" s="60" t="s">
        <v>1092</v>
      </c>
      <c r="C151" s="126" t="s">
        <v>1094</v>
      </c>
      <c r="D151" s="55">
        <v>1</v>
      </c>
      <c r="E151" s="56" t="s">
        <v>2391</v>
      </c>
      <c r="F151" s="126" t="s">
        <v>12</v>
      </c>
      <c r="G151" s="126" t="s">
        <v>1667</v>
      </c>
      <c r="H151" s="131">
        <v>1</v>
      </c>
      <c r="I151" s="49" t="s">
        <v>2511</v>
      </c>
      <c r="J151" s="52">
        <v>3</v>
      </c>
      <c r="K151" s="49"/>
      <c r="L151" s="49" t="s">
        <v>3497</v>
      </c>
      <c r="M151" s="58"/>
    </row>
    <row r="152" spans="1:13" ht="15">
      <c r="A152" s="52">
        <v>150</v>
      </c>
      <c r="B152" s="53" t="s">
        <v>746</v>
      </c>
      <c r="C152" s="126" t="s">
        <v>41</v>
      </c>
      <c r="D152" s="55">
        <v>1</v>
      </c>
      <c r="E152" s="56" t="s">
        <v>2391</v>
      </c>
      <c r="F152" s="126" t="s">
        <v>12</v>
      </c>
      <c r="G152" s="126" t="s">
        <v>1667</v>
      </c>
      <c r="H152" s="131">
        <v>1</v>
      </c>
      <c r="I152" s="49" t="s">
        <v>2511</v>
      </c>
      <c r="J152" s="52">
        <v>3</v>
      </c>
      <c r="K152" s="49"/>
      <c r="L152" s="49" t="s">
        <v>3498</v>
      </c>
      <c r="M152" s="58"/>
    </row>
    <row r="153" spans="1:13" ht="15">
      <c r="A153" s="52">
        <v>151</v>
      </c>
      <c r="B153" s="49" t="s">
        <v>1364</v>
      </c>
      <c r="C153" s="126" t="s">
        <v>41</v>
      </c>
      <c r="D153" s="52">
        <v>1</v>
      </c>
      <c r="E153" s="56" t="s">
        <v>2391</v>
      </c>
      <c r="F153" s="126" t="s">
        <v>12</v>
      </c>
      <c r="G153" s="126" t="s">
        <v>1667</v>
      </c>
      <c r="H153" s="131">
        <v>1</v>
      </c>
      <c r="I153" s="49" t="s">
        <v>2449</v>
      </c>
      <c r="J153" s="52">
        <v>3</v>
      </c>
      <c r="K153" s="49" t="s">
        <v>3365</v>
      </c>
      <c r="L153" s="49" t="s">
        <v>3499</v>
      </c>
      <c r="M153" s="58"/>
    </row>
    <row r="154" spans="1:13" ht="15">
      <c r="A154" s="52">
        <v>152</v>
      </c>
      <c r="B154" s="60" t="s">
        <v>1065</v>
      </c>
      <c r="C154" s="126" t="s">
        <v>1066</v>
      </c>
      <c r="D154" s="52">
        <v>2</v>
      </c>
      <c r="E154" s="56" t="s">
        <v>2417</v>
      </c>
      <c r="F154" s="126" t="s">
        <v>12</v>
      </c>
      <c r="G154" s="126" t="s">
        <v>1667</v>
      </c>
      <c r="H154" s="131">
        <v>2</v>
      </c>
      <c r="I154" s="49" t="s">
        <v>2418</v>
      </c>
      <c r="J154" s="52"/>
      <c r="K154" s="49"/>
      <c r="L154" s="49" t="s">
        <v>3500</v>
      </c>
      <c r="M154" s="58"/>
    </row>
    <row r="155" spans="1:13" ht="15">
      <c r="A155" s="52">
        <v>153</v>
      </c>
      <c r="B155" s="53" t="s">
        <v>544</v>
      </c>
      <c r="C155" s="126" t="s">
        <v>116</v>
      </c>
      <c r="D155" s="55">
        <v>1</v>
      </c>
      <c r="E155" s="56" t="s">
        <v>2388</v>
      </c>
      <c r="F155" s="126" t="s">
        <v>12</v>
      </c>
      <c r="G155" s="126" t="s">
        <v>1667</v>
      </c>
      <c r="H155" s="131">
        <v>1</v>
      </c>
      <c r="I155" s="49" t="s">
        <v>2389</v>
      </c>
      <c r="J155" s="52"/>
      <c r="K155" s="49"/>
      <c r="L155" s="49" t="s">
        <v>3501</v>
      </c>
      <c r="M155" s="58"/>
    </row>
    <row r="156" spans="1:13" ht="15">
      <c r="A156" s="52">
        <v>154</v>
      </c>
      <c r="B156" s="60" t="s">
        <v>1239</v>
      </c>
      <c r="C156" s="126" t="s">
        <v>116</v>
      </c>
      <c r="D156" s="52">
        <v>1</v>
      </c>
      <c r="E156" s="56" t="s">
        <v>2391</v>
      </c>
      <c r="F156" s="126" t="s">
        <v>12</v>
      </c>
      <c r="G156" s="126" t="s">
        <v>1667</v>
      </c>
      <c r="H156" s="131">
        <v>1</v>
      </c>
      <c r="I156" s="49" t="s">
        <v>2511</v>
      </c>
      <c r="J156" s="52"/>
      <c r="K156" s="49"/>
      <c r="L156" s="49" t="s">
        <v>3502</v>
      </c>
      <c r="M156" s="58"/>
    </row>
    <row r="157" spans="1:13" ht="15">
      <c r="A157" s="52">
        <v>155</v>
      </c>
      <c r="B157" s="60" t="s">
        <v>1088</v>
      </c>
      <c r="C157" s="126" t="s">
        <v>1090</v>
      </c>
      <c r="D157" s="52">
        <v>1</v>
      </c>
      <c r="E157" s="56" t="s">
        <v>2391</v>
      </c>
      <c r="F157" s="126" t="s">
        <v>12</v>
      </c>
      <c r="G157" s="126" t="s">
        <v>1667</v>
      </c>
      <c r="H157" s="131">
        <v>1</v>
      </c>
      <c r="I157" s="49" t="s">
        <v>2447</v>
      </c>
      <c r="J157" s="52"/>
      <c r="K157" s="49"/>
      <c r="L157" s="49" t="s">
        <v>3503</v>
      </c>
      <c r="M157" s="58"/>
    </row>
    <row r="158" spans="1:13" ht="15">
      <c r="A158" s="52">
        <v>156</v>
      </c>
      <c r="B158" s="60" t="s">
        <v>1907</v>
      </c>
      <c r="C158" s="126" t="s">
        <v>1909</v>
      </c>
      <c r="D158" s="52">
        <v>1</v>
      </c>
      <c r="E158" s="56" t="s">
        <v>2394</v>
      </c>
      <c r="F158" s="126" t="s">
        <v>12</v>
      </c>
      <c r="G158" s="126" t="s">
        <v>1667</v>
      </c>
      <c r="H158" s="131">
        <v>1</v>
      </c>
      <c r="I158" s="49" t="s">
        <v>2425</v>
      </c>
      <c r="J158" s="52"/>
      <c r="K158" s="49"/>
      <c r="L158" s="49" t="s">
        <v>3504</v>
      </c>
      <c r="M158" s="58"/>
    </row>
    <row r="159" spans="1:13" ht="15">
      <c r="A159" s="52">
        <v>157</v>
      </c>
      <c r="B159" s="60" t="s">
        <v>515</v>
      </c>
      <c r="C159" s="126" t="s">
        <v>517</v>
      </c>
      <c r="D159" s="52">
        <v>1</v>
      </c>
      <c r="E159" s="56" t="s">
        <v>2385</v>
      </c>
      <c r="F159" s="126" t="s">
        <v>308</v>
      </c>
      <c r="G159" s="126" t="s">
        <v>1667</v>
      </c>
      <c r="H159" s="131">
        <v>1</v>
      </c>
      <c r="I159" s="49" t="s">
        <v>2386</v>
      </c>
      <c r="J159" s="52">
        <v>1</v>
      </c>
      <c r="K159" s="49"/>
      <c r="L159" s="49" t="s">
        <v>3505</v>
      </c>
      <c r="M159" s="58"/>
    </row>
    <row r="160" spans="1:13" ht="15">
      <c r="A160" s="52">
        <v>158</v>
      </c>
      <c r="B160" s="53" t="s">
        <v>821</v>
      </c>
      <c r="C160" s="126" t="s">
        <v>820</v>
      </c>
      <c r="D160" s="55">
        <v>1</v>
      </c>
      <c r="E160" s="56" t="s">
        <v>2427</v>
      </c>
      <c r="F160" s="126" t="s">
        <v>308</v>
      </c>
      <c r="G160" s="126" t="s">
        <v>1667</v>
      </c>
      <c r="H160" s="131">
        <v>1</v>
      </c>
      <c r="I160" s="49" t="s">
        <v>2428</v>
      </c>
      <c r="J160" s="52">
        <v>1</v>
      </c>
      <c r="K160" s="49"/>
      <c r="L160" s="49" t="s">
        <v>3506</v>
      </c>
      <c r="M160" s="58">
        <v>45533</v>
      </c>
    </row>
    <row r="161" spans="1:13" ht="15">
      <c r="A161" s="52">
        <v>159</v>
      </c>
      <c r="B161" s="60" t="s">
        <v>1102</v>
      </c>
      <c r="C161" s="126" t="s">
        <v>1103</v>
      </c>
      <c r="D161" s="52">
        <v>1</v>
      </c>
      <c r="E161" s="56" t="s">
        <v>2427</v>
      </c>
      <c r="F161" s="126" t="s">
        <v>308</v>
      </c>
      <c r="G161" s="126" t="s">
        <v>1667</v>
      </c>
      <c r="H161" s="131">
        <v>1</v>
      </c>
      <c r="I161" s="49" t="s">
        <v>2428</v>
      </c>
      <c r="J161" s="52">
        <v>1</v>
      </c>
      <c r="K161" s="49"/>
      <c r="L161" s="49" t="s">
        <v>3507</v>
      </c>
      <c r="M161" s="58"/>
    </row>
    <row r="162" spans="1:13" ht="15">
      <c r="A162" s="52">
        <v>160</v>
      </c>
      <c r="B162" s="53" t="s">
        <v>1104</v>
      </c>
      <c r="C162" s="126" t="s">
        <v>1103</v>
      </c>
      <c r="D162" s="55">
        <v>1</v>
      </c>
      <c r="E162" s="56" t="s">
        <v>2427</v>
      </c>
      <c r="F162" s="126" t="s">
        <v>308</v>
      </c>
      <c r="G162" s="126" t="s">
        <v>1667</v>
      </c>
      <c r="H162" s="131">
        <v>1</v>
      </c>
      <c r="I162" s="49" t="s">
        <v>2428</v>
      </c>
      <c r="J162" s="52">
        <v>1</v>
      </c>
      <c r="K162" s="49"/>
      <c r="L162" s="49" t="s">
        <v>3508</v>
      </c>
      <c r="M162" s="58"/>
    </row>
    <row r="163" spans="1:13" ht="15">
      <c r="A163" s="52">
        <v>161</v>
      </c>
      <c r="B163" s="60" t="s">
        <v>2041</v>
      </c>
      <c r="C163" s="126" t="s">
        <v>2043</v>
      </c>
      <c r="D163" s="52">
        <v>1</v>
      </c>
      <c r="E163" s="56" t="s">
        <v>2443</v>
      </c>
      <c r="F163" s="126" t="s">
        <v>308</v>
      </c>
      <c r="G163" s="126" t="s">
        <v>1667</v>
      </c>
      <c r="H163" s="131">
        <v>1</v>
      </c>
      <c r="I163" s="49" t="s">
        <v>2548</v>
      </c>
      <c r="J163" s="52">
        <v>1</v>
      </c>
      <c r="K163" s="49"/>
      <c r="L163" s="49" t="s">
        <v>3509</v>
      </c>
      <c r="M163" s="58"/>
    </row>
    <row r="164" spans="1:13" ht="15">
      <c r="A164" s="52">
        <v>162</v>
      </c>
      <c r="B164" s="60" t="s">
        <v>1921</v>
      </c>
      <c r="C164" s="126" t="s">
        <v>1923</v>
      </c>
      <c r="D164" s="52">
        <v>1</v>
      </c>
      <c r="E164" s="56" t="s">
        <v>2443</v>
      </c>
      <c r="F164" s="126" t="s">
        <v>308</v>
      </c>
      <c r="G164" s="126" t="s">
        <v>1667</v>
      </c>
      <c r="H164" s="131">
        <v>1</v>
      </c>
      <c r="I164" s="49" t="s">
        <v>2548</v>
      </c>
      <c r="J164" s="52">
        <v>1</v>
      </c>
      <c r="K164" s="49"/>
      <c r="L164" s="49" t="s">
        <v>3510</v>
      </c>
      <c r="M164" s="58"/>
    </row>
    <row r="165" spans="1:13" ht="15">
      <c r="A165" s="52">
        <v>163</v>
      </c>
      <c r="B165" s="53" t="s">
        <v>999</v>
      </c>
      <c r="C165" s="126" t="s">
        <v>1001</v>
      </c>
      <c r="D165" s="55">
        <v>1</v>
      </c>
      <c r="E165" s="56" t="s">
        <v>2391</v>
      </c>
      <c r="F165" s="126" t="s">
        <v>308</v>
      </c>
      <c r="G165" s="126" t="s">
        <v>1667</v>
      </c>
      <c r="H165" s="131">
        <v>1</v>
      </c>
      <c r="I165" s="49" t="s">
        <v>2511</v>
      </c>
      <c r="J165" s="52">
        <v>1</v>
      </c>
      <c r="K165" s="49"/>
      <c r="L165" s="49" t="s">
        <v>3511</v>
      </c>
      <c r="M165" s="58"/>
    </row>
    <row r="166" spans="1:13" ht="15">
      <c r="A166" s="52">
        <v>164</v>
      </c>
      <c r="B166" s="53" t="s">
        <v>954</v>
      </c>
      <c r="C166" s="126" t="s">
        <v>956</v>
      </c>
      <c r="D166" s="55">
        <v>1</v>
      </c>
      <c r="E166" s="56" t="s">
        <v>2385</v>
      </c>
      <c r="F166" s="126" t="s">
        <v>308</v>
      </c>
      <c r="G166" s="126" t="s">
        <v>1667</v>
      </c>
      <c r="H166" s="131">
        <v>1</v>
      </c>
      <c r="I166" s="49" t="s">
        <v>2386</v>
      </c>
      <c r="J166" s="52">
        <v>2</v>
      </c>
      <c r="K166" s="49"/>
      <c r="L166" s="49" t="s">
        <v>3512</v>
      </c>
      <c r="M166" s="58"/>
    </row>
    <row r="167" spans="1:13" ht="15">
      <c r="A167" s="52">
        <v>165</v>
      </c>
      <c r="B167" s="53" t="s">
        <v>740</v>
      </c>
      <c r="C167" s="126" t="s">
        <v>41</v>
      </c>
      <c r="D167" s="55">
        <v>1</v>
      </c>
      <c r="E167" s="56" t="s">
        <v>2385</v>
      </c>
      <c r="F167" s="126" t="s">
        <v>308</v>
      </c>
      <c r="G167" s="126" t="s">
        <v>1667</v>
      </c>
      <c r="H167" s="131">
        <v>1</v>
      </c>
      <c r="I167" s="49" t="s">
        <v>2386</v>
      </c>
      <c r="J167" s="52">
        <v>2</v>
      </c>
      <c r="K167" s="49"/>
      <c r="L167" s="49" t="s">
        <v>3513</v>
      </c>
      <c r="M167" s="58">
        <v>45533</v>
      </c>
    </row>
    <row r="168" spans="1:13" ht="15">
      <c r="A168" s="52">
        <v>166</v>
      </c>
      <c r="B168" s="53" t="s">
        <v>1924</v>
      </c>
      <c r="C168" s="126" t="s">
        <v>1923</v>
      </c>
      <c r="D168" s="55">
        <v>1</v>
      </c>
      <c r="E168" s="56" t="s">
        <v>2443</v>
      </c>
      <c r="F168" s="126" t="s">
        <v>308</v>
      </c>
      <c r="G168" s="126" t="s">
        <v>1667</v>
      </c>
      <c r="H168" s="131">
        <v>1</v>
      </c>
      <c r="I168" s="49" t="s">
        <v>2444</v>
      </c>
      <c r="J168" s="52">
        <v>2</v>
      </c>
      <c r="K168" s="49"/>
      <c r="L168" s="49" t="s">
        <v>3514</v>
      </c>
      <c r="M168" s="58">
        <v>45533</v>
      </c>
    </row>
    <row r="169" spans="1:13" ht="15">
      <c r="A169" s="52">
        <v>167</v>
      </c>
      <c r="B169" s="53" t="s">
        <v>2040</v>
      </c>
      <c r="C169" s="126" t="s">
        <v>1926</v>
      </c>
      <c r="D169" s="55">
        <v>1</v>
      </c>
      <c r="E169" s="56" t="s">
        <v>2443</v>
      </c>
      <c r="F169" s="126" t="s">
        <v>308</v>
      </c>
      <c r="G169" s="126" t="s">
        <v>1667</v>
      </c>
      <c r="H169" s="131">
        <v>1</v>
      </c>
      <c r="I169" s="49" t="s">
        <v>2444</v>
      </c>
      <c r="J169" s="52">
        <v>2</v>
      </c>
      <c r="K169" s="49"/>
      <c r="L169" s="49" t="s">
        <v>3515</v>
      </c>
      <c r="M169" s="58">
        <v>45533</v>
      </c>
    </row>
    <row r="170" spans="1:13" ht="15">
      <c r="A170" s="52">
        <v>168</v>
      </c>
      <c r="B170" s="60" t="s">
        <v>1925</v>
      </c>
      <c r="C170" s="126" t="s">
        <v>1926</v>
      </c>
      <c r="D170" s="52">
        <v>1</v>
      </c>
      <c r="E170" s="56" t="s">
        <v>2443</v>
      </c>
      <c r="F170" s="126" t="s">
        <v>308</v>
      </c>
      <c r="G170" s="126" t="s">
        <v>1667</v>
      </c>
      <c r="H170" s="131">
        <v>1</v>
      </c>
      <c r="I170" s="49" t="s">
        <v>2548</v>
      </c>
      <c r="J170" s="52">
        <v>2</v>
      </c>
      <c r="K170" s="49"/>
      <c r="L170" s="49" t="s">
        <v>3516</v>
      </c>
      <c r="M170" s="58"/>
    </row>
    <row r="171" spans="1:13" ht="15">
      <c r="A171" s="52">
        <v>169</v>
      </c>
      <c r="B171" s="60" t="s">
        <v>968</v>
      </c>
      <c r="C171" s="126" t="s">
        <v>970</v>
      </c>
      <c r="D171" s="52">
        <v>1</v>
      </c>
      <c r="E171" s="56" t="s">
        <v>2443</v>
      </c>
      <c r="F171" s="126" t="s">
        <v>308</v>
      </c>
      <c r="G171" s="126" t="s">
        <v>1667</v>
      </c>
      <c r="H171" s="131">
        <v>1</v>
      </c>
      <c r="I171" s="49" t="s">
        <v>2548</v>
      </c>
      <c r="J171" s="52">
        <v>2</v>
      </c>
      <c r="K171" s="49"/>
      <c r="L171" s="49" t="s">
        <v>3517</v>
      </c>
      <c r="M171" s="58"/>
    </row>
    <row r="172" spans="1:13" ht="15">
      <c r="A172" s="52">
        <v>170</v>
      </c>
      <c r="B172" s="60" t="s">
        <v>1381</v>
      </c>
      <c r="C172" s="126" t="s">
        <v>41</v>
      </c>
      <c r="D172" s="52">
        <v>2</v>
      </c>
      <c r="E172" s="56" t="s">
        <v>2391</v>
      </c>
      <c r="F172" s="126" t="s">
        <v>308</v>
      </c>
      <c r="G172" s="126" t="s">
        <v>1667</v>
      </c>
      <c r="H172" s="131">
        <v>2</v>
      </c>
      <c r="I172" s="49" t="s">
        <v>2511</v>
      </c>
      <c r="J172" s="52">
        <v>2</v>
      </c>
      <c r="K172" s="49" t="s">
        <v>3518</v>
      </c>
      <c r="L172" s="49" t="s">
        <v>3519</v>
      </c>
      <c r="M172" s="58"/>
    </row>
    <row r="173" spans="1:13" ht="15">
      <c r="A173" s="52">
        <v>171</v>
      </c>
      <c r="B173" s="60" t="s">
        <v>1120</v>
      </c>
      <c r="C173" s="126" t="s">
        <v>1121</v>
      </c>
      <c r="D173" s="52">
        <v>2</v>
      </c>
      <c r="E173" s="56" t="s">
        <v>2391</v>
      </c>
      <c r="F173" s="126" t="s">
        <v>308</v>
      </c>
      <c r="G173" s="126" t="s">
        <v>1667</v>
      </c>
      <c r="H173" s="131">
        <v>2</v>
      </c>
      <c r="I173" s="49" t="s">
        <v>2511</v>
      </c>
      <c r="J173" s="52">
        <v>2</v>
      </c>
      <c r="K173" s="49"/>
      <c r="L173" s="49" t="s">
        <v>3520</v>
      </c>
      <c r="M173" s="58"/>
    </row>
    <row r="174" spans="1:13" ht="15">
      <c r="A174" s="52">
        <v>172</v>
      </c>
      <c r="B174" s="60" t="s">
        <v>518</v>
      </c>
      <c r="C174" s="126" t="s">
        <v>519</v>
      </c>
      <c r="D174" s="52">
        <v>1</v>
      </c>
      <c r="E174" s="56" t="s">
        <v>2385</v>
      </c>
      <c r="F174" s="126" t="s">
        <v>308</v>
      </c>
      <c r="G174" s="126" t="s">
        <v>1667</v>
      </c>
      <c r="H174" s="131">
        <v>1</v>
      </c>
      <c r="I174" s="49" t="s">
        <v>2386</v>
      </c>
      <c r="J174" s="52">
        <v>3</v>
      </c>
      <c r="K174" s="49"/>
      <c r="L174" s="49" t="s">
        <v>3521</v>
      </c>
      <c r="M174" s="58"/>
    </row>
    <row r="175" spans="1:13" ht="15">
      <c r="A175" s="52">
        <v>173</v>
      </c>
      <c r="B175" s="60" t="s">
        <v>1341</v>
      </c>
      <c r="C175" s="126" t="s">
        <v>1343</v>
      </c>
      <c r="D175" s="52">
        <v>2</v>
      </c>
      <c r="E175" s="56" t="s">
        <v>2385</v>
      </c>
      <c r="F175" s="126" t="s">
        <v>308</v>
      </c>
      <c r="G175" s="126" t="s">
        <v>1667</v>
      </c>
      <c r="H175" s="131">
        <v>2</v>
      </c>
      <c r="I175" s="49" t="s">
        <v>2386</v>
      </c>
      <c r="J175" s="52">
        <v>3</v>
      </c>
      <c r="K175" s="49"/>
      <c r="L175" s="49" t="s">
        <v>3522</v>
      </c>
      <c r="M175" s="58"/>
    </row>
    <row r="176" spans="1:13" ht="15">
      <c r="A176" s="52">
        <v>174</v>
      </c>
      <c r="B176" s="60" t="s">
        <v>847</v>
      </c>
      <c r="C176" s="126" t="s">
        <v>848</v>
      </c>
      <c r="D176" s="52">
        <v>2</v>
      </c>
      <c r="E176" s="56" t="s">
        <v>2443</v>
      </c>
      <c r="F176" s="126" t="s">
        <v>308</v>
      </c>
      <c r="G176" s="126" t="s">
        <v>1667</v>
      </c>
      <c r="H176" s="131">
        <v>2</v>
      </c>
      <c r="I176" s="49" t="s">
        <v>2444</v>
      </c>
      <c r="J176" s="52">
        <v>3</v>
      </c>
      <c r="K176" s="49"/>
      <c r="L176" s="49" t="s">
        <v>3523</v>
      </c>
      <c r="M176" s="58"/>
    </row>
    <row r="177" spans="1:16" ht="15">
      <c r="A177" s="52">
        <v>175</v>
      </c>
      <c r="B177" s="60" t="s">
        <v>2084</v>
      </c>
      <c r="C177" s="126" t="s">
        <v>2085</v>
      </c>
      <c r="D177" s="52">
        <v>1</v>
      </c>
      <c r="E177" s="56" t="s">
        <v>2443</v>
      </c>
      <c r="F177" s="126" t="s">
        <v>308</v>
      </c>
      <c r="G177" s="126" t="s">
        <v>1667</v>
      </c>
      <c r="H177" s="131">
        <v>1</v>
      </c>
      <c r="I177" s="49" t="s">
        <v>2444</v>
      </c>
      <c r="J177" s="52">
        <v>3</v>
      </c>
      <c r="K177" s="49"/>
      <c r="L177" s="49" t="s">
        <v>3524</v>
      </c>
      <c r="M177" s="58">
        <v>45533</v>
      </c>
    </row>
    <row r="178" spans="1:16" ht="15">
      <c r="A178" s="52">
        <v>176</v>
      </c>
      <c r="B178" s="53" t="s">
        <v>1140</v>
      </c>
      <c r="C178" s="126" t="s">
        <v>1141</v>
      </c>
      <c r="D178" s="55">
        <v>1</v>
      </c>
      <c r="E178" s="56" t="s">
        <v>2443</v>
      </c>
      <c r="F178" s="126" t="s">
        <v>308</v>
      </c>
      <c r="G178" s="126" t="s">
        <v>1667</v>
      </c>
      <c r="H178" s="131">
        <v>1</v>
      </c>
      <c r="I178" s="49" t="s">
        <v>2548</v>
      </c>
      <c r="J178" s="52">
        <v>3</v>
      </c>
      <c r="K178" s="49"/>
      <c r="L178" s="49" t="s">
        <v>3525</v>
      </c>
      <c r="M178" s="58"/>
    </row>
    <row r="179" spans="1:16" ht="15">
      <c r="A179" s="52">
        <v>177</v>
      </c>
      <c r="B179" s="60" t="s">
        <v>951</v>
      </c>
      <c r="C179" s="126" t="s">
        <v>952</v>
      </c>
      <c r="D179" s="52">
        <v>1</v>
      </c>
      <c r="E179" s="56" t="s">
        <v>2443</v>
      </c>
      <c r="F179" s="126" t="s">
        <v>308</v>
      </c>
      <c r="G179" s="126" t="s">
        <v>1667</v>
      </c>
      <c r="H179" s="131">
        <v>1</v>
      </c>
      <c r="I179" s="49" t="s">
        <v>2548</v>
      </c>
      <c r="J179" s="52">
        <v>3</v>
      </c>
      <c r="K179" s="49"/>
      <c r="L179" s="49" t="s">
        <v>3526</v>
      </c>
      <c r="M179" s="58"/>
      <c r="N179" s="62"/>
      <c r="O179" s="62"/>
      <c r="P179" s="62"/>
    </row>
    <row r="180" spans="1:16" ht="15">
      <c r="A180" s="52">
        <v>178</v>
      </c>
      <c r="B180" s="60" t="s">
        <v>1388</v>
      </c>
      <c r="C180" s="126" t="s">
        <v>1389</v>
      </c>
      <c r="D180" s="52">
        <v>1</v>
      </c>
      <c r="E180" s="56" t="s">
        <v>2391</v>
      </c>
      <c r="F180" s="126" t="s">
        <v>308</v>
      </c>
      <c r="G180" s="126" t="s">
        <v>1667</v>
      </c>
      <c r="H180" s="131">
        <v>1</v>
      </c>
      <c r="I180" s="49" t="s">
        <v>2511</v>
      </c>
      <c r="J180" s="52">
        <v>3</v>
      </c>
      <c r="K180" s="49"/>
      <c r="L180" s="49" t="s">
        <v>3527</v>
      </c>
      <c r="M180" s="58"/>
    </row>
    <row r="181" spans="1:16" ht="15">
      <c r="A181" s="52">
        <v>179</v>
      </c>
      <c r="B181" s="60" t="s">
        <v>818</v>
      </c>
      <c r="C181" s="126" t="s">
        <v>820</v>
      </c>
      <c r="D181" s="52">
        <v>1</v>
      </c>
      <c r="E181" s="56" t="s">
        <v>2427</v>
      </c>
      <c r="F181" s="126" t="s">
        <v>308</v>
      </c>
      <c r="G181" s="126" t="s">
        <v>1667</v>
      </c>
      <c r="H181" s="131">
        <v>1</v>
      </c>
      <c r="I181" s="49" t="s">
        <v>2428</v>
      </c>
      <c r="J181" s="52">
        <v>4</v>
      </c>
      <c r="K181" s="49"/>
      <c r="L181" s="49" t="s">
        <v>3528</v>
      </c>
      <c r="M181" s="58"/>
    </row>
    <row r="182" spans="1:16" ht="15">
      <c r="A182" s="52">
        <v>180</v>
      </c>
      <c r="B182" s="53" t="s">
        <v>1105</v>
      </c>
      <c r="C182" s="126" t="s">
        <v>1107</v>
      </c>
      <c r="D182" s="55">
        <v>1</v>
      </c>
      <c r="E182" s="56" t="s">
        <v>2437</v>
      </c>
      <c r="F182" s="126" t="s">
        <v>308</v>
      </c>
      <c r="G182" s="126" t="s">
        <v>1667</v>
      </c>
      <c r="H182" s="131">
        <v>1</v>
      </c>
      <c r="I182" s="49" t="s">
        <v>2438</v>
      </c>
      <c r="J182" s="52">
        <v>4</v>
      </c>
      <c r="K182" s="49"/>
      <c r="L182" s="49" t="s">
        <v>3529</v>
      </c>
      <c r="M182" s="58"/>
    </row>
    <row r="183" spans="1:16" ht="15">
      <c r="A183" s="52">
        <v>181</v>
      </c>
      <c r="B183" s="53" t="s">
        <v>834</v>
      </c>
      <c r="C183" s="126" t="s">
        <v>835</v>
      </c>
      <c r="D183" s="55">
        <v>1</v>
      </c>
      <c r="E183" s="56" t="s">
        <v>2443</v>
      </c>
      <c r="F183" s="126" t="s">
        <v>308</v>
      </c>
      <c r="G183" s="126" t="s">
        <v>1667</v>
      </c>
      <c r="H183" s="131">
        <v>1</v>
      </c>
      <c r="I183" s="49" t="s">
        <v>2444</v>
      </c>
      <c r="J183" s="52">
        <v>4</v>
      </c>
      <c r="K183" s="49"/>
      <c r="L183" s="49" t="s">
        <v>3530</v>
      </c>
      <c r="M183" s="58"/>
    </row>
    <row r="184" spans="1:16" ht="15">
      <c r="A184" s="52">
        <v>182</v>
      </c>
      <c r="B184" s="60" t="s">
        <v>953</v>
      </c>
      <c r="C184" s="126" t="s">
        <v>952</v>
      </c>
      <c r="D184" s="52">
        <v>1</v>
      </c>
      <c r="E184" s="52" t="s">
        <v>2443</v>
      </c>
      <c r="F184" s="126" t="s">
        <v>308</v>
      </c>
      <c r="G184" s="126" t="s">
        <v>1667</v>
      </c>
      <c r="H184" s="131">
        <v>1</v>
      </c>
      <c r="I184" s="49" t="s">
        <v>2444</v>
      </c>
      <c r="J184" s="52">
        <v>4</v>
      </c>
      <c r="K184" s="49"/>
      <c r="L184" s="49" t="s">
        <v>3531</v>
      </c>
      <c r="M184" s="58"/>
    </row>
    <row r="185" spans="1:16" ht="15">
      <c r="A185" s="52">
        <v>183</v>
      </c>
      <c r="B185" s="60" t="s">
        <v>957</v>
      </c>
      <c r="C185" s="126" t="s">
        <v>366</v>
      </c>
      <c r="D185" s="52">
        <v>1</v>
      </c>
      <c r="E185" s="52" t="s">
        <v>2443</v>
      </c>
      <c r="F185" s="126" t="s">
        <v>308</v>
      </c>
      <c r="G185" s="126" t="s">
        <v>1667</v>
      </c>
      <c r="H185" s="131">
        <v>1</v>
      </c>
      <c r="I185" s="49" t="s">
        <v>2548</v>
      </c>
      <c r="J185" s="52">
        <v>4</v>
      </c>
      <c r="K185" s="49"/>
      <c r="L185" s="49" t="s">
        <v>3532</v>
      </c>
      <c r="M185" s="58"/>
    </row>
    <row r="186" spans="1:16" ht="15">
      <c r="A186" s="52">
        <v>184</v>
      </c>
      <c r="B186" s="60" t="s">
        <v>787</v>
      </c>
      <c r="C186" s="126" t="s">
        <v>789</v>
      </c>
      <c r="D186" s="52">
        <v>1</v>
      </c>
      <c r="E186" s="56" t="s">
        <v>2443</v>
      </c>
      <c r="F186" s="126" t="s">
        <v>790</v>
      </c>
      <c r="G186" s="126" t="s">
        <v>1667</v>
      </c>
      <c r="H186" s="131">
        <v>1</v>
      </c>
      <c r="I186" s="49" t="s">
        <v>2444</v>
      </c>
      <c r="J186" s="52">
        <v>1</v>
      </c>
      <c r="K186" s="49"/>
      <c r="L186" s="49" t="s">
        <v>3533</v>
      </c>
      <c r="M186" s="58"/>
    </row>
    <row r="187" spans="1:16" ht="15">
      <c r="A187" s="52">
        <v>185</v>
      </c>
      <c r="B187" s="59" t="s">
        <v>915</v>
      </c>
      <c r="C187" s="126" t="s">
        <v>917</v>
      </c>
      <c r="D187" s="55">
        <v>1</v>
      </c>
      <c r="E187" s="56" t="s">
        <v>2391</v>
      </c>
      <c r="F187" s="126" t="s">
        <v>790</v>
      </c>
      <c r="G187" s="126" t="s">
        <v>1667</v>
      </c>
      <c r="H187" s="131">
        <v>1</v>
      </c>
      <c r="I187" s="49" t="s">
        <v>2511</v>
      </c>
      <c r="J187" s="52">
        <v>1</v>
      </c>
      <c r="K187" s="49"/>
      <c r="L187" s="49" t="s">
        <v>3534</v>
      </c>
      <c r="M187" s="58"/>
    </row>
    <row r="188" spans="1:16" ht="15">
      <c r="A188" s="52">
        <v>186</v>
      </c>
      <c r="B188" s="60" t="s">
        <v>926</v>
      </c>
      <c r="C188" s="126" t="s">
        <v>321</v>
      </c>
      <c r="D188" s="52">
        <v>1</v>
      </c>
      <c r="E188" s="52" t="s">
        <v>2391</v>
      </c>
      <c r="F188" s="126" t="s">
        <v>790</v>
      </c>
      <c r="G188" s="126" t="s">
        <v>1667</v>
      </c>
      <c r="H188" s="131">
        <v>1</v>
      </c>
      <c r="I188" s="49" t="s">
        <v>2511</v>
      </c>
      <c r="J188" s="52">
        <v>1</v>
      </c>
      <c r="K188" s="49"/>
      <c r="L188" s="49" t="s">
        <v>3535</v>
      </c>
      <c r="M188" s="58"/>
    </row>
    <row r="189" spans="1:16" ht="15">
      <c r="A189" s="52">
        <v>187</v>
      </c>
      <c r="B189" s="60" t="s">
        <v>1020</v>
      </c>
      <c r="C189" s="126" t="s">
        <v>1022</v>
      </c>
      <c r="D189" s="52">
        <v>1</v>
      </c>
      <c r="E189" s="52" t="s">
        <v>2437</v>
      </c>
      <c r="F189" s="126" t="s">
        <v>790</v>
      </c>
      <c r="G189" s="126" t="s">
        <v>1667</v>
      </c>
      <c r="H189" s="131">
        <v>1</v>
      </c>
      <c r="I189" s="49" t="s">
        <v>2438</v>
      </c>
      <c r="J189" s="52">
        <v>2</v>
      </c>
      <c r="K189" s="49"/>
      <c r="L189" s="49" t="s">
        <v>3536</v>
      </c>
      <c r="M189" s="58"/>
    </row>
    <row r="190" spans="1:16" ht="15">
      <c r="A190" s="52">
        <v>188</v>
      </c>
      <c r="B190" s="53" t="s">
        <v>1992</v>
      </c>
      <c r="C190" s="126" t="s">
        <v>1988</v>
      </c>
      <c r="D190" s="55">
        <v>1</v>
      </c>
      <c r="E190" s="52" t="s">
        <v>2437</v>
      </c>
      <c r="F190" s="126" t="s">
        <v>790</v>
      </c>
      <c r="G190" s="126" t="s">
        <v>1667</v>
      </c>
      <c r="H190" s="131">
        <v>1</v>
      </c>
      <c r="I190" s="49" t="s">
        <v>2438</v>
      </c>
      <c r="J190" s="52">
        <v>2</v>
      </c>
      <c r="K190" s="49"/>
      <c r="L190" s="49" t="s">
        <v>3537</v>
      </c>
      <c r="M190" s="58"/>
    </row>
    <row r="191" spans="1:16" ht="15">
      <c r="A191" s="52">
        <v>189</v>
      </c>
      <c r="B191" s="53" t="s">
        <v>806</v>
      </c>
      <c r="C191" s="126" t="s">
        <v>808</v>
      </c>
      <c r="D191" s="55">
        <v>1</v>
      </c>
      <c r="E191" s="52" t="s">
        <v>2443</v>
      </c>
      <c r="F191" s="126" t="s">
        <v>790</v>
      </c>
      <c r="G191" s="126" t="s">
        <v>1667</v>
      </c>
      <c r="H191" s="131">
        <v>1</v>
      </c>
      <c r="I191" s="49" t="s">
        <v>2444</v>
      </c>
      <c r="J191" s="52">
        <v>2</v>
      </c>
      <c r="K191" s="49"/>
      <c r="L191" s="49" t="s">
        <v>3538</v>
      </c>
      <c r="M191" s="58"/>
    </row>
    <row r="192" spans="1:16" ht="15">
      <c r="A192" s="52">
        <v>190</v>
      </c>
      <c r="B192" s="53" t="s">
        <v>943</v>
      </c>
      <c r="C192" s="126" t="s">
        <v>945</v>
      </c>
      <c r="D192" s="55">
        <v>1</v>
      </c>
      <c r="E192" s="52" t="s">
        <v>2443</v>
      </c>
      <c r="F192" s="126" t="s">
        <v>790</v>
      </c>
      <c r="G192" s="126" t="s">
        <v>1667</v>
      </c>
      <c r="H192" s="131">
        <v>1</v>
      </c>
      <c r="I192" s="49" t="s">
        <v>2444</v>
      </c>
      <c r="J192" s="52">
        <v>3</v>
      </c>
      <c r="K192" s="49"/>
      <c r="L192" s="49" t="s">
        <v>3539</v>
      </c>
      <c r="M192" s="58"/>
    </row>
    <row r="193" spans="1:16" ht="15">
      <c r="A193" s="52">
        <v>191</v>
      </c>
      <c r="B193" s="60" t="s">
        <v>946</v>
      </c>
      <c r="C193" s="126" t="s">
        <v>947</v>
      </c>
      <c r="D193" s="52">
        <v>1</v>
      </c>
      <c r="E193" s="52" t="s">
        <v>2443</v>
      </c>
      <c r="F193" s="126" t="s">
        <v>790</v>
      </c>
      <c r="G193" s="126" t="s">
        <v>1667</v>
      </c>
      <c r="H193" s="131">
        <v>1</v>
      </c>
      <c r="I193" s="49" t="s">
        <v>2444</v>
      </c>
      <c r="J193" s="52">
        <v>3</v>
      </c>
      <c r="K193" s="49"/>
      <c r="L193" s="49" t="s">
        <v>3540</v>
      </c>
      <c r="M193" s="58"/>
    </row>
    <row r="194" spans="1:16" ht="15">
      <c r="A194" s="52">
        <v>192</v>
      </c>
      <c r="B194" s="60" t="s">
        <v>950</v>
      </c>
      <c r="C194" s="126" t="s">
        <v>945</v>
      </c>
      <c r="D194" s="52">
        <v>1</v>
      </c>
      <c r="E194" s="52" t="s">
        <v>2443</v>
      </c>
      <c r="F194" s="126" t="s">
        <v>790</v>
      </c>
      <c r="G194" s="126" t="s">
        <v>1667</v>
      </c>
      <c r="H194" s="131">
        <v>1</v>
      </c>
      <c r="I194" s="49" t="s">
        <v>2444</v>
      </c>
      <c r="J194" s="52">
        <v>3</v>
      </c>
      <c r="K194" s="49"/>
      <c r="L194" s="49" t="s">
        <v>3541</v>
      </c>
      <c r="M194" s="58"/>
    </row>
    <row r="195" spans="1:16" ht="15">
      <c r="A195" s="52">
        <v>193</v>
      </c>
      <c r="B195" s="60" t="s">
        <v>948</v>
      </c>
      <c r="C195" s="126" t="s">
        <v>949</v>
      </c>
      <c r="D195" s="52">
        <v>1</v>
      </c>
      <c r="E195" s="52" t="s">
        <v>2443</v>
      </c>
      <c r="F195" s="126" t="s">
        <v>790</v>
      </c>
      <c r="G195" s="126" t="s">
        <v>1667</v>
      </c>
      <c r="H195" s="131">
        <v>1</v>
      </c>
      <c r="I195" s="49" t="s">
        <v>2548</v>
      </c>
      <c r="J195" s="52">
        <v>3</v>
      </c>
      <c r="K195" s="49"/>
      <c r="L195" s="49" t="s">
        <v>3542</v>
      </c>
      <c r="M195" s="58"/>
    </row>
    <row r="196" spans="1:16" ht="15">
      <c r="A196" s="52">
        <v>194</v>
      </c>
      <c r="B196" s="60" t="s">
        <v>928</v>
      </c>
      <c r="C196" s="126" t="s">
        <v>930</v>
      </c>
      <c r="D196" s="52">
        <v>2</v>
      </c>
      <c r="E196" s="52" t="s">
        <v>2391</v>
      </c>
      <c r="F196" s="126" t="s">
        <v>790</v>
      </c>
      <c r="G196" s="126" t="s">
        <v>1667</v>
      </c>
      <c r="H196" s="131">
        <v>2</v>
      </c>
      <c r="I196" s="49" t="s">
        <v>2511</v>
      </c>
      <c r="J196" s="52">
        <v>3</v>
      </c>
      <c r="K196" s="49"/>
      <c r="L196" s="49" t="s">
        <v>3543</v>
      </c>
      <c r="M196" s="58"/>
    </row>
    <row r="197" spans="1:16" ht="15">
      <c r="A197" s="52">
        <v>195</v>
      </c>
      <c r="B197" s="60" t="s">
        <v>927</v>
      </c>
      <c r="C197" s="126" t="s">
        <v>321</v>
      </c>
      <c r="D197" s="52">
        <v>1</v>
      </c>
      <c r="E197" s="52" t="s">
        <v>2391</v>
      </c>
      <c r="F197" s="126" t="s">
        <v>790</v>
      </c>
      <c r="G197" s="126" t="s">
        <v>1667</v>
      </c>
      <c r="H197" s="131">
        <v>1</v>
      </c>
      <c r="I197" s="49" t="s">
        <v>2511</v>
      </c>
      <c r="J197" s="52">
        <v>3</v>
      </c>
      <c r="K197" s="49"/>
      <c r="L197" s="49" t="s">
        <v>3544</v>
      </c>
      <c r="M197" s="58"/>
    </row>
    <row r="198" spans="1:16" ht="15">
      <c r="A198" s="52">
        <v>196</v>
      </c>
      <c r="B198" s="60" t="s">
        <v>942</v>
      </c>
      <c r="C198" s="126" t="s">
        <v>941</v>
      </c>
      <c r="D198" s="52">
        <v>1</v>
      </c>
      <c r="E198" s="52" t="s">
        <v>2391</v>
      </c>
      <c r="F198" s="126" t="s">
        <v>790</v>
      </c>
      <c r="G198" s="126" t="s">
        <v>1667</v>
      </c>
      <c r="H198" s="131">
        <v>1</v>
      </c>
      <c r="I198" s="49" t="s">
        <v>2511</v>
      </c>
      <c r="J198" s="52">
        <v>4</v>
      </c>
      <c r="K198" s="49"/>
      <c r="L198" s="49" t="s">
        <v>3545</v>
      </c>
      <c r="M198" s="58"/>
      <c r="N198" s="62"/>
      <c r="O198" s="62"/>
      <c r="P198" s="62"/>
    </row>
    <row r="199" spans="1:16" ht="15">
      <c r="A199" s="52">
        <v>197</v>
      </c>
      <c r="B199" s="60" t="s">
        <v>940</v>
      </c>
      <c r="C199" s="126" t="s">
        <v>941</v>
      </c>
      <c r="D199" s="52">
        <v>1</v>
      </c>
      <c r="E199" s="52" t="s">
        <v>2391</v>
      </c>
      <c r="F199" s="126" t="s">
        <v>790</v>
      </c>
      <c r="G199" s="126" t="s">
        <v>1667</v>
      </c>
      <c r="H199" s="131">
        <v>1</v>
      </c>
      <c r="I199" s="49" t="s">
        <v>2511</v>
      </c>
      <c r="J199" s="52">
        <v>4</v>
      </c>
      <c r="K199" s="49"/>
      <c r="L199" s="49" t="s">
        <v>3546</v>
      </c>
      <c r="M199" s="58"/>
      <c r="N199" s="62"/>
      <c r="O199" s="62"/>
      <c r="P199" s="62"/>
    </row>
    <row r="200" spans="1:16" ht="15">
      <c r="A200" s="52">
        <v>198</v>
      </c>
      <c r="B200" s="60" t="s">
        <v>908</v>
      </c>
      <c r="C200" s="126" t="s">
        <v>910</v>
      </c>
      <c r="D200" s="52">
        <v>1</v>
      </c>
      <c r="E200" s="52" t="s">
        <v>2443</v>
      </c>
      <c r="F200" s="126" t="s">
        <v>790</v>
      </c>
      <c r="G200" s="126" t="s">
        <v>1667</v>
      </c>
      <c r="H200" s="131">
        <v>1</v>
      </c>
      <c r="I200" s="49" t="s">
        <v>2548</v>
      </c>
      <c r="J200" s="52"/>
      <c r="K200" s="49"/>
      <c r="L200" s="49" t="s">
        <v>3547</v>
      </c>
      <c r="M200" s="58"/>
    </row>
    <row r="201" spans="1:16" ht="15">
      <c r="A201" s="52">
        <v>199</v>
      </c>
      <c r="B201" s="60" t="s">
        <v>1128</v>
      </c>
      <c r="C201" s="126" t="s">
        <v>1130</v>
      </c>
      <c r="D201" s="52">
        <v>1</v>
      </c>
      <c r="E201" s="52" t="s">
        <v>2391</v>
      </c>
      <c r="F201" s="126" t="s">
        <v>790</v>
      </c>
      <c r="G201" s="126" t="s">
        <v>1667</v>
      </c>
      <c r="H201" s="131">
        <v>1</v>
      </c>
      <c r="I201" s="49" t="s">
        <v>2447</v>
      </c>
      <c r="J201" s="52"/>
      <c r="K201" s="49"/>
      <c r="L201" s="49" t="s">
        <v>3548</v>
      </c>
      <c r="M201" s="58"/>
    </row>
    <row r="202" spans="1:16" ht="15">
      <c r="A202" s="52">
        <v>200</v>
      </c>
      <c r="B202" s="60" t="s">
        <v>918</v>
      </c>
      <c r="C202" s="126" t="s">
        <v>321</v>
      </c>
      <c r="D202" s="52">
        <v>1</v>
      </c>
      <c r="E202" s="52" t="s">
        <v>2391</v>
      </c>
      <c r="F202" s="126" t="s">
        <v>790</v>
      </c>
      <c r="G202" s="126" t="s">
        <v>1667</v>
      </c>
      <c r="H202" s="131">
        <v>1</v>
      </c>
      <c r="I202" s="49" t="s">
        <v>2511</v>
      </c>
      <c r="J202" s="52"/>
      <c r="K202" s="49"/>
      <c r="L202" s="49" t="s">
        <v>3549</v>
      </c>
      <c r="M202" s="58"/>
    </row>
    <row r="203" spans="1:16" ht="15">
      <c r="A203" s="52">
        <v>201</v>
      </c>
      <c r="B203" s="60" t="s">
        <v>919</v>
      </c>
      <c r="C203" s="126" t="s">
        <v>321</v>
      </c>
      <c r="D203" s="52">
        <v>1</v>
      </c>
      <c r="E203" s="52" t="s">
        <v>2391</v>
      </c>
      <c r="F203" s="126" t="s">
        <v>790</v>
      </c>
      <c r="G203" s="126" t="s">
        <v>1667</v>
      </c>
      <c r="H203" s="131">
        <v>1</v>
      </c>
      <c r="I203" s="49" t="s">
        <v>2511</v>
      </c>
      <c r="J203" s="52"/>
      <c r="K203" s="49"/>
      <c r="L203" s="49" t="s">
        <v>3550</v>
      </c>
      <c r="M203" s="58"/>
    </row>
    <row r="204" spans="1:16" ht="15">
      <c r="A204" s="52">
        <v>202</v>
      </c>
      <c r="B204" s="60" t="s">
        <v>1006</v>
      </c>
      <c r="C204" s="126" t="s">
        <v>1008</v>
      </c>
      <c r="D204" s="52">
        <v>1</v>
      </c>
      <c r="E204" s="52" t="s">
        <v>2437</v>
      </c>
      <c r="F204" s="126" t="s">
        <v>923</v>
      </c>
      <c r="G204" s="126" t="s">
        <v>1667</v>
      </c>
      <c r="H204" s="131">
        <v>1</v>
      </c>
      <c r="I204" s="49" t="s">
        <v>3336</v>
      </c>
      <c r="J204" s="52"/>
      <c r="K204" s="49"/>
      <c r="L204" s="49" t="s">
        <v>3551</v>
      </c>
      <c r="M204" s="58"/>
    </row>
    <row r="205" spans="1:16" ht="15">
      <c r="A205" s="52">
        <v>203</v>
      </c>
      <c r="B205" s="60" t="s">
        <v>920</v>
      </c>
      <c r="C205" s="126" t="s">
        <v>922</v>
      </c>
      <c r="D205" s="52">
        <v>1</v>
      </c>
      <c r="E205" s="52" t="s">
        <v>2391</v>
      </c>
      <c r="F205" s="126" t="s">
        <v>923</v>
      </c>
      <c r="G205" s="126" t="s">
        <v>1667</v>
      </c>
      <c r="H205" s="131">
        <v>1</v>
      </c>
      <c r="I205" s="49" t="s">
        <v>2447</v>
      </c>
      <c r="J205" s="52"/>
      <c r="K205" s="49"/>
      <c r="L205" s="49" t="s">
        <v>3552</v>
      </c>
      <c r="M205" s="58"/>
    </row>
    <row r="206" spans="1:16" ht="15">
      <c r="A206" s="52">
        <v>204</v>
      </c>
      <c r="B206" s="60" t="s">
        <v>877</v>
      </c>
      <c r="C206" s="126" t="s">
        <v>878</v>
      </c>
      <c r="D206" s="52">
        <v>1</v>
      </c>
      <c r="E206" s="56" t="s">
        <v>2391</v>
      </c>
      <c r="F206" s="126" t="s">
        <v>1875</v>
      </c>
      <c r="G206" s="126" t="s">
        <v>1667</v>
      </c>
      <c r="H206" s="131">
        <v>1</v>
      </c>
      <c r="I206" s="49" t="s">
        <v>3009</v>
      </c>
      <c r="J206" s="52"/>
      <c r="K206" s="49"/>
      <c r="L206" s="49" t="s">
        <v>3553</v>
      </c>
      <c r="M206" s="58"/>
    </row>
    <row r="207" spans="1:16" ht="15">
      <c r="A207" s="52">
        <v>205</v>
      </c>
      <c r="B207" s="60" t="s">
        <v>1327</v>
      </c>
      <c r="C207" s="126" t="s">
        <v>1329</v>
      </c>
      <c r="D207" s="52">
        <v>1</v>
      </c>
      <c r="E207" s="52" t="s">
        <v>2391</v>
      </c>
      <c r="F207" s="126" t="s">
        <v>1875</v>
      </c>
      <c r="G207" s="126" t="s">
        <v>1667</v>
      </c>
      <c r="H207" s="131">
        <v>1</v>
      </c>
      <c r="I207" s="49" t="s">
        <v>3009</v>
      </c>
      <c r="J207" s="52"/>
      <c r="K207" s="49"/>
      <c r="L207" s="49" t="s">
        <v>3554</v>
      </c>
      <c r="M207" s="58"/>
    </row>
    <row r="208" spans="1:16" ht="15">
      <c r="A208" s="52">
        <v>206</v>
      </c>
      <c r="B208" s="60" t="s">
        <v>1974</v>
      </c>
      <c r="C208" s="126" t="s">
        <v>1885</v>
      </c>
      <c r="D208" s="52">
        <v>1</v>
      </c>
      <c r="E208" s="52" t="s">
        <v>2443</v>
      </c>
      <c r="F208" s="126" t="s">
        <v>51</v>
      </c>
      <c r="G208" s="126" t="s">
        <v>1667</v>
      </c>
      <c r="H208" s="131">
        <v>1</v>
      </c>
      <c r="I208" s="49" t="s">
        <v>3555</v>
      </c>
      <c r="J208" s="52"/>
      <c r="K208" s="49"/>
      <c r="L208" s="49" t="s">
        <v>3556</v>
      </c>
      <c r="M208" s="58"/>
    </row>
    <row r="209" spans="1:13" ht="15">
      <c r="A209" s="52">
        <v>207</v>
      </c>
      <c r="B209" s="60" t="s">
        <v>1978</v>
      </c>
      <c r="C209" s="126" t="s">
        <v>1890</v>
      </c>
      <c r="D209" s="52">
        <v>1</v>
      </c>
      <c r="E209" s="52" t="s">
        <v>2437</v>
      </c>
      <c r="F209" s="126" t="s">
        <v>1340</v>
      </c>
      <c r="G209" s="126" t="s">
        <v>1667</v>
      </c>
      <c r="H209" s="131">
        <v>1</v>
      </c>
      <c r="I209" s="49" t="s">
        <v>3336</v>
      </c>
      <c r="J209" s="52"/>
      <c r="K209" s="49"/>
      <c r="L209" s="49" t="s">
        <v>3557</v>
      </c>
      <c r="M209" s="58"/>
    </row>
    <row r="210" spans="1:13" ht="15">
      <c r="A210" s="52">
        <v>208</v>
      </c>
      <c r="B210" s="53" t="s">
        <v>1993</v>
      </c>
      <c r="C210" s="126" t="s">
        <v>1890</v>
      </c>
      <c r="D210" s="55">
        <v>1</v>
      </c>
      <c r="E210" s="56" t="s">
        <v>2437</v>
      </c>
      <c r="F210" s="126" t="s">
        <v>1340</v>
      </c>
      <c r="G210" s="126" t="s">
        <v>1667</v>
      </c>
      <c r="H210" s="131">
        <v>1</v>
      </c>
      <c r="I210" s="49" t="s">
        <v>3336</v>
      </c>
      <c r="J210" s="52"/>
      <c r="K210" s="49"/>
      <c r="L210" s="49" t="s">
        <v>3558</v>
      </c>
      <c r="M210" s="58"/>
    </row>
    <row r="211" spans="1:13" ht="15">
      <c r="A211" s="52">
        <v>209</v>
      </c>
      <c r="B211" s="59" t="s">
        <v>1198</v>
      </c>
      <c r="C211" s="126" t="s">
        <v>627</v>
      </c>
      <c r="D211" s="55">
        <v>3</v>
      </c>
      <c r="E211" s="52" t="s">
        <v>2385</v>
      </c>
      <c r="F211" s="126" t="s">
        <v>22</v>
      </c>
      <c r="G211" s="126" t="s">
        <v>1664</v>
      </c>
      <c r="H211" s="131">
        <v>24</v>
      </c>
      <c r="I211" s="49" t="s">
        <v>3559</v>
      </c>
      <c r="J211" s="52">
        <v>1</v>
      </c>
      <c r="K211" s="49" t="s">
        <v>3560</v>
      </c>
      <c r="L211" s="49" t="s">
        <v>3561</v>
      </c>
      <c r="M211" s="58"/>
    </row>
    <row r="212" spans="1:13" ht="15">
      <c r="A212" s="52">
        <v>210</v>
      </c>
      <c r="B212" s="60" t="s">
        <v>644</v>
      </c>
      <c r="C212" s="126" t="s">
        <v>645</v>
      </c>
      <c r="D212" s="52">
        <v>1</v>
      </c>
      <c r="E212" s="52" t="s">
        <v>2385</v>
      </c>
      <c r="F212" s="126" t="s">
        <v>22</v>
      </c>
      <c r="G212" s="126" t="s">
        <v>1664</v>
      </c>
      <c r="H212" s="131">
        <v>8</v>
      </c>
      <c r="I212" s="49" t="s">
        <v>3559</v>
      </c>
      <c r="J212" s="52">
        <v>3</v>
      </c>
      <c r="K212" s="49"/>
      <c r="L212" s="49" t="s">
        <v>3562</v>
      </c>
      <c r="M212" s="58"/>
    </row>
    <row r="213" spans="1:13" ht="15">
      <c r="A213" s="52">
        <v>211</v>
      </c>
      <c r="B213" s="60" t="s">
        <v>738</v>
      </c>
      <c r="C213" s="126" t="s">
        <v>739</v>
      </c>
      <c r="D213" s="52">
        <v>4</v>
      </c>
      <c r="E213" s="52" t="s">
        <v>2385</v>
      </c>
      <c r="F213" s="126" t="s">
        <v>22</v>
      </c>
      <c r="G213" s="126" t="s">
        <v>1664</v>
      </c>
      <c r="H213" s="131">
        <v>32</v>
      </c>
      <c r="I213" s="49" t="s">
        <v>3563</v>
      </c>
      <c r="J213" s="52">
        <v>1</v>
      </c>
      <c r="K213" s="49"/>
      <c r="L213" s="49" t="s">
        <v>3564</v>
      </c>
      <c r="M213" s="58"/>
    </row>
    <row r="214" spans="1:13" ht="15">
      <c r="A214" s="52">
        <v>212</v>
      </c>
      <c r="B214" s="60" t="s">
        <v>1272</v>
      </c>
      <c r="C214" s="126" t="s">
        <v>492</v>
      </c>
      <c r="D214" s="52">
        <v>2</v>
      </c>
      <c r="E214" s="52" t="s">
        <v>2385</v>
      </c>
      <c r="F214" s="126" t="s">
        <v>22</v>
      </c>
      <c r="G214" s="126" t="s">
        <v>1664</v>
      </c>
      <c r="H214" s="131">
        <v>16</v>
      </c>
      <c r="I214" s="49" t="s">
        <v>3563</v>
      </c>
      <c r="J214" s="52">
        <v>1</v>
      </c>
      <c r="K214" s="49"/>
      <c r="L214" s="49" t="s">
        <v>3565</v>
      </c>
      <c r="M214" s="58"/>
    </row>
    <row r="215" spans="1:13" ht="15">
      <c r="A215" s="52">
        <v>213</v>
      </c>
      <c r="B215" s="60" t="s">
        <v>1276</v>
      </c>
      <c r="C215" s="126" t="s">
        <v>492</v>
      </c>
      <c r="D215" s="52">
        <v>4</v>
      </c>
      <c r="E215" s="52" t="s">
        <v>2385</v>
      </c>
      <c r="F215" s="126" t="s">
        <v>22</v>
      </c>
      <c r="G215" s="126" t="s">
        <v>1664</v>
      </c>
      <c r="H215" s="131">
        <v>32</v>
      </c>
      <c r="I215" s="49" t="s">
        <v>3563</v>
      </c>
      <c r="J215" s="52">
        <v>1</v>
      </c>
      <c r="K215" s="49"/>
      <c r="L215" s="49" t="s">
        <v>3566</v>
      </c>
      <c r="M215" s="58"/>
    </row>
    <row r="216" spans="1:13" ht="15">
      <c r="A216" s="52">
        <v>214</v>
      </c>
      <c r="B216" s="60" t="s">
        <v>1292</v>
      </c>
      <c r="C216" s="126" t="s">
        <v>492</v>
      </c>
      <c r="D216" s="52">
        <v>2</v>
      </c>
      <c r="E216" s="52" t="s">
        <v>2385</v>
      </c>
      <c r="F216" s="126" t="s">
        <v>22</v>
      </c>
      <c r="G216" s="126" t="s">
        <v>1664</v>
      </c>
      <c r="H216" s="131">
        <v>16</v>
      </c>
      <c r="I216" s="49" t="s">
        <v>3563</v>
      </c>
      <c r="J216" s="52">
        <v>1</v>
      </c>
      <c r="K216" s="49"/>
      <c r="L216" s="49" t="s">
        <v>3567</v>
      </c>
      <c r="M216" s="58"/>
    </row>
    <row r="217" spans="1:13" ht="15">
      <c r="A217" s="52">
        <v>215</v>
      </c>
      <c r="B217" s="53" t="s">
        <v>1293</v>
      </c>
      <c r="C217" s="126" t="s">
        <v>489</v>
      </c>
      <c r="D217" s="55">
        <v>3</v>
      </c>
      <c r="E217" s="52" t="s">
        <v>2385</v>
      </c>
      <c r="F217" s="126" t="s">
        <v>22</v>
      </c>
      <c r="G217" s="126" t="s">
        <v>1664</v>
      </c>
      <c r="H217" s="131">
        <v>24</v>
      </c>
      <c r="I217" s="49" t="s">
        <v>3563</v>
      </c>
      <c r="J217" s="52">
        <v>1</v>
      </c>
      <c r="K217" s="49"/>
      <c r="L217" s="49" t="s">
        <v>3568</v>
      </c>
      <c r="M217" s="58"/>
    </row>
    <row r="218" spans="1:13" ht="15">
      <c r="A218" s="52">
        <v>216</v>
      </c>
      <c r="B218" s="60" t="s">
        <v>1316</v>
      </c>
      <c r="C218" s="126" t="s">
        <v>1318</v>
      </c>
      <c r="D218" s="52">
        <v>1</v>
      </c>
      <c r="E218" s="52" t="s">
        <v>2385</v>
      </c>
      <c r="F218" s="126" t="s">
        <v>22</v>
      </c>
      <c r="G218" s="126" t="s">
        <v>1664</v>
      </c>
      <c r="H218" s="131">
        <v>8</v>
      </c>
      <c r="I218" s="49" t="s">
        <v>3563</v>
      </c>
      <c r="J218" s="52">
        <v>1</v>
      </c>
      <c r="K218" s="49"/>
      <c r="L218" s="49" t="s">
        <v>3569</v>
      </c>
      <c r="M218" s="58"/>
    </row>
    <row r="219" spans="1:13" ht="15">
      <c r="A219" s="52">
        <v>217</v>
      </c>
      <c r="B219" s="53" t="s">
        <v>692</v>
      </c>
      <c r="C219" s="126" t="s">
        <v>693</v>
      </c>
      <c r="D219" s="55">
        <v>9</v>
      </c>
      <c r="E219" s="52" t="s">
        <v>2385</v>
      </c>
      <c r="F219" s="126" t="s">
        <v>22</v>
      </c>
      <c r="G219" s="126" t="s">
        <v>1664</v>
      </c>
      <c r="H219" s="131">
        <v>160</v>
      </c>
      <c r="I219" s="49" t="s">
        <v>3570</v>
      </c>
      <c r="J219" s="52">
        <v>1</v>
      </c>
      <c r="K219" s="49"/>
      <c r="L219" s="49" t="s">
        <v>3571</v>
      </c>
      <c r="M219" s="58"/>
    </row>
    <row r="220" spans="1:13" ht="15">
      <c r="A220" s="52">
        <v>218</v>
      </c>
      <c r="B220" s="60" t="s">
        <v>1274</v>
      </c>
      <c r="C220" s="126" t="s">
        <v>489</v>
      </c>
      <c r="D220" s="52">
        <v>12</v>
      </c>
      <c r="E220" s="52" t="s">
        <v>2385</v>
      </c>
      <c r="F220" s="126" t="s">
        <v>22</v>
      </c>
      <c r="G220" s="126" t="s">
        <v>1664</v>
      </c>
      <c r="H220" s="131">
        <v>144</v>
      </c>
      <c r="I220" s="49" t="s">
        <v>3570</v>
      </c>
      <c r="J220" s="52">
        <v>1</v>
      </c>
      <c r="K220" s="49"/>
      <c r="L220" s="49" t="s">
        <v>3572</v>
      </c>
      <c r="M220" s="58"/>
    </row>
    <row r="221" spans="1:13" ht="15">
      <c r="A221" s="52">
        <v>219</v>
      </c>
      <c r="B221" s="53" t="s">
        <v>794</v>
      </c>
      <c r="C221" s="126" t="s">
        <v>485</v>
      </c>
      <c r="D221" s="55">
        <v>2</v>
      </c>
      <c r="E221" s="52" t="s">
        <v>2417</v>
      </c>
      <c r="F221" s="126" t="s">
        <v>22</v>
      </c>
      <c r="G221" s="126" t="s">
        <v>1664</v>
      </c>
      <c r="H221" s="131">
        <v>16</v>
      </c>
      <c r="I221" s="49" t="s">
        <v>3559</v>
      </c>
      <c r="J221" s="52">
        <v>1</v>
      </c>
      <c r="K221" s="49"/>
      <c r="L221" s="49" t="s">
        <v>3573</v>
      </c>
      <c r="M221" s="58"/>
    </row>
    <row r="222" spans="1:13" ht="15">
      <c r="A222" s="52">
        <v>220</v>
      </c>
      <c r="B222" s="53" t="s">
        <v>559</v>
      </c>
      <c r="C222" s="126" t="s">
        <v>560</v>
      </c>
      <c r="D222" s="55">
        <v>65</v>
      </c>
      <c r="E222" s="52" t="s">
        <v>2417</v>
      </c>
      <c r="F222" s="126" t="s">
        <v>22</v>
      </c>
      <c r="G222" s="126" t="s">
        <v>1686</v>
      </c>
      <c r="H222" s="131">
        <v>960</v>
      </c>
      <c r="I222" s="49" t="s">
        <v>3559</v>
      </c>
      <c r="J222" s="52">
        <v>1</v>
      </c>
      <c r="K222" s="49" t="s">
        <v>3574</v>
      </c>
      <c r="L222" s="49" t="s">
        <v>3575</v>
      </c>
      <c r="M222" s="58"/>
    </row>
    <row r="223" spans="1:13" ht="15">
      <c r="A223" s="52">
        <v>221</v>
      </c>
      <c r="B223" s="60" t="s">
        <v>1171</v>
      </c>
      <c r="C223" s="126" t="s">
        <v>630</v>
      </c>
      <c r="D223" s="52">
        <v>1</v>
      </c>
      <c r="E223" s="52" t="s">
        <v>2417</v>
      </c>
      <c r="F223" s="126" t="s">
        <v>22</v>
      </c>
      <c r="G223" s="126" t="s">
        <v>1664</v>
      </c>
      <c r="H223" s="131">
        <v>8</v>
      </c>
      <c r="I223" s="49" t="s">
        <v>3559</v>
      </c>
      <c r="J223" s="52">
        <v>1</v>
      </c>
      <c r="K223" s="49"/>
      <c r="L223" s="49" t="s">
        <v>3576</v>
      </c>
      <c r="M223" s="58"/>
    </row>
    <row r="224" spans="1:13" ht="15">
      <c r="A224" s="52">
        <v>222</v>
      </c>
      <c r="B224" s="53" t="s">
        <v>612</v>
      </c>
      <c r="C224" s="126" t="s">
        <v>614</v>
      </c>
      <c r="D224" s="55">
        <v>46</v>
      </c>
      <c r="E224" s="52" t="s">
        <v>2417</v>
      </c>
      <c r="F224" s="126" t="s">
        <v>22</v>
      </c>
      <c r="G224" s="126" t="s">
        <v>1686</v>
      </c>
      <c r="H224" s="131">
        <v>1072</v>
      </c>
      <c r="I224" s="49" t="s">
        <v>3559</v>
      </c>
      <c r="J224" s="52">
        <v>1</v>
      </c>
      <c r="K224" s="49"/>
      <c r="L224" s="49" t="s">
        <v>3577</v>
      </c>
      <c r="M224" s="58"/>
    </row>
    <row r="225" spans="1:13" ht="15">
      <c r="A225" s="52">
        <v>223</v>
      </c>
      <c r="B225" s="53" t="s">
        <v>2270</v>
      </c>
      <c r="C225" s="126" t="s">
        <v>2271</v>
      </c>
      <c r="D225" s="55">
        <v>1</v>
      </c>
      <c r="E225" s="52" t="s">
        <v>2417</v>
      </c>
      <c r="F225" s="126" t="s">
        <v>22</v>
      </c>
      <c r="G225" s="126" t="s">
        <v>1664</v>
      </c>
      <c r="H225" s="131">
        <v>8</v>
      </c>
      <c r="I225" s="49" t="s">
        <v>3570</v>
      </c>
      <c r="J225" s="52">
        <v>1</v>
      </c>
      <c r="K225" s="49"/>
      <c r="L225" s="49" t="s">
        <v>3578</v>
      </c>
      <c r="M225" s="58"/>
    </row>
    <row r="226" spans="1:13" ht="15">
      <c r="A226" s="52">
        <v>224</v>
      </c>
      <c r="B226" s="59" t="s">
        <v>547</v>
      </c>
      <c r="C226" s="126" t="s">
        <v>548</v>
      </c>
      <c r="D226" s="55">
        <v>1</v>
      </c>
      <c r="E226" s="52" t="s">
        <v>2417</v>
      </c>
      <c r="F226" s="126" t="s">
        <v>22</v>
      </c>
      <c r="G226" s="126" t="s">
        <v>1664</v>
      </c>
      <c r="H226" s="131">
        <v>80</v>
      </c>
      <c r="I226" s="49" t="s">
        <v>3570</v>
      </c>
      <c r="J226" s="52">
        <v>1</v>
      </c>
      <c r="K226" s="49"/>
      <c r="L226" s="49" t="s">
        <v>3579</v>
      </c>
      <c r="M226" s="58"/>
    </row>
    <row r="227" spans="1:13" ht="15">
      <c r="A227" s="52">
        <v>225</v>
      </c>
      <c r="B227" s="59" t="s">
        <v>793</v>
      </c>
      <c r="C227" s="126" t="s">
        <v>485</v>
      </c>
      <c r="D227" s="55">
        <v>6</v>
      </c>
      <c r="E227" s="52" t="s">
        <v>2394</v>
      </c>
      <c r="F227" s="126" t="s">
        <v>22</v>
      </c>
      <c r="G227" s="126" t="s">
        <v>1664</v>
      </c>
      <c r="H227" s="131">
        <v>32</v>
      </c>
      <c r="I227" s="49" t="s">
        <v>3563</v>
      </c>
      <c r="J227" s="52">
        <v>1</v>
      </c>
      <c r="K227" s="49"/>
      <c r="L227" s="49" t="s">
        <v>3580</v>
      </c>
      <c r="M227" s="58"/>
    </row>
    <row r="228" spans="1:13" ht="15">
      <c r="A228" s="52">
        <v>226</v>
      </c>
      <c r="B228" s="53" t="s">
        <v>1189</v>
      </c>
      <c r="C228" s="126" t="s">
        <v>492</v>
      </c>
      <c r="D228" s="55">
        <v>6</v>
      </c>
      <c r="E228" s="52" t="s">
        <v>2394</v>
      </c>
      <c r="F228" s="126" t="s">
        <v>22</v>
      </c>
      <c r="G228" s="126" t="s">
        <v>1664</v>
      </c>
      <c r="H228" s="131">
        <v>48</v>
      </c>
      <c r="I228" s="49" t="s">
        <v>3563</v>
      </c>
      <c r="J228" s="52">
        <v>1</v>
      </c>
      <c r="K228" s="49"/>
      <c r="L228" s="49" t="s">
        <v>3581</v>
      </c>
      <c r="M228" s="58"/>
    </row>
    <row r="229" spans="1:13" ht="15">
      <c r="A229" s="52">
        <v>227</v>
      </c>
      <c r="B229" s="53" t="s">
        <v>1218</v>
      </c>
      <c r="C229" s="126" t="s">
        <v>587</v>
      </c>
      <c r="D229" s="55">
        <v>2</v>
      </c>
      <c r="E229" s="56" t="s">
        <v>2394</v>
      </c>
      <c r="F229" s="126" t="s">
        <v>22</v>
      </c>
      <c r="G229" s="126" t="s">
        <v>1664</v>
      </c>
      <c r="H229" s="131">
        <v>16</v>
      </c>
      <c r="I229" s="49" t="s">
        <v>3563</v>
      </c>
      <c r="J229" s="52">
        <v>1</v>
      </c>
      <c r="K229" s="49"/>
      <c r="L229" s="49" t="s">
        <v>3582</v>
      </c>
      <c r="M229" s="58">
        <v>45533</v>
      </c>
    </row>
    <row r="230" spans="1:13" ht="15">
      <c r="A230" s="52">
        <v>228</v>
      </c>
      <c r="B230" s="59" t="s">
        <v>1246</v>
      </c>
      <c r="C230" s="126" t="s">
        <v>506</v>
      </c>
      <c r="D230" s="55">
        <v>2</v>
      </c>
      <c r="E230" s="52" t="s">
        <v>2394</v>
      </c>
      <c r="F230" s="126" t="s">
        <v>22</v>
      </c>
      <c r="G230" s="126" t="s">
        <v>1664</v>
      </c>
      <c r="H230" s="131">
        <v>16</v>
      </c>
      <c r="I230" s="49" t="s">
        <v>3563</v>
      </c>
      <c r="J230" s="52">
        <v>1</v>
      </c>
      <c r="K230" s="49"/>
      <c r="L230" s="49" t="s">
        <v>3583</v>
      </c>
      <c r="M230" s="58"/>
    </row>
    <row r="231" spans="1:13" ht="15">
      <c r="A231" s="52">
        <v>229</v>
      </c>
      <c r="B231" s="53" t="s">
        <v>1259</v>
      </c>
      <c r="C231" s="126" t="s">
        <v>1260</v>
      </c>
      <c r="D231" s="55">
        <v>2</v>
      </c>
      <c r="E231" s="52" t="s">
        <v>2394</v>
      </c>
      <c r="F231" s="126" t="s">
        <v>22</v>
      </c>
      <c r="G231" s="126" t="s">
        <v>1664</v>
      </c>
      <c r="H231" s="131">
        <v>16</v>
      </c>
      <c r="I231" s="49" t="s">
        <v>3563</v>
      </c>
      <c r="J231" s="52">
        <v>1</v>
      </c>
      <c r="K231" s="49"/>
      <c r="L231" s="49" t="s">
        <v>3584</v>
      </c>
      <c r="M231" s="58"/>
    </row>
    <row r="232" spans="1:13" ht="15">
      <c r="A232" s="52">
        <v>230</v>
      </c>
      <c r="B232" s="53" t="s">
        <v>1245</v>
      </c>
      <c r="C232" s="126" t="s">
        <v>506</v>
      </c>
      <c r="D232" s="55">
        <v>2</v>
      </c>
      <c r="E232" s="52" t="s">
        <v>2394</v>
      </c>
      <c r="F232" s="126" t="s">
        <v>22</v>
      </c>
      <c r="G232" s="126" t="s">
        <v>1664</v>
      </c>
      <c r="H232" s="131">
        <v>16</v>
      </c>
      <c r="I232" s="49" t="s">
        <v>3585</v>
      </c>
      <c r="J232" s="52">
        <v>1</v>
      </c>
      <c r="K232" s="49"/>
      <c r="L232" s="49" t="s">
        <v>3586</v>
      </c>
      <c r="M232" s="58"/>
    </row>
    <row r="233" spans="1:13" ht="15">
      <c r="A233" s="52">
        <v>231</v>
      </c>
      <c r="B233" s="53" t="s">
        <v>752</v>
      </c>
      <c r="C233" s="126" t="s">
        <v>489</v>
      </c>
      <c r="D233" s="55">
        <v>4</v>
      </c>
      <c r="E233" s="52" t="s">
        <v>2394</v>
      </c>
      <c r="F233" s="126" t="s">
        <v>22</v>
      </c>
      <c r="G233" s="126" t="s">
        <v>1664</v>
      </c>
      <c r="H233" s="131">
        <v>112</v>
      </c>
      <c r="I233" s="49" t="s">
        <v>3570</v>
      </c>
      <c r="J233" s="52">
        <v>1</v>
      </c>
      <c r="K233" s="49"/>
      <c r="L233" s="49" t="s">
        <v>3587</v>
      </c>
      <c r="M233" s="58"/>
    </row>
    <row r="234" spans="1:13" ht="15">
      <c r="A234" s="52">
        <v>232</v>
      </c>
      <c r="B234" s="53" t="s">
        <v>768</v>
      </c>
      <c r="C234" s="126" t="s">
        <v>769</v>
      </c>
      <c r="D234" s="55">
        <v>2</v>
      </c>
      <c r="E234" s="52" t="s">
        <v>2427</v>
      </c>
      <c r="F234" s="126" t="s">
        <v>22</v>
      </c>
      <c r="G234" s="126" t="s">
        <v>1664</v>
      </c>
      <c r="H234" s="131">
        <v>16</v>
      </c>
      <c r="I234" s="49" t="s">
        <v>3559</v>
      </c>
      <c r="J234" s="52">
        <v>1</v>
      </c>
      <c r="K234" s="49"/>
      <c r="L234" s="49" t="s">
        <v>3588</v>
      </c>
      <c r="M234" s="58"/>
    </row>
    <row r="235" spans="1:13" ht="15">
      <c r="A235" s="52">
        <v>233</v>
      </c>
      <c r="B235" s="53" t="s">
        <v>770</v>
      </c>
      <c r="C235" s="126" t="s">
        <v>772</v>
      </c>
      <c r="D235" s="55">
        <v>1</v>
      </c>
      <c r="E235" s="52" t="s">
        <v>2427</v>
      </c>
      <c r="F235" s="126" t="s">
        <v>22</v>
      </c>
      <c r="G235" s="126" t="s">
        <v>1664</v>
      </c>
      <c r="H235" s="131">
        <v>8</v>
      </c>
      <c r="I235" s="49" t="s">
        <v>3559</v>
      </c>
      <c r="J235" s="52">
        <v>1</v>
      </c>
      <c r="K235" s="49"/>
      <c r="L235" s="49" t="s">
        <v>3589</v>
      </c>
      <c r="M235" s="58"/>
    </row>
    <row r="236" spans="1:13" ht="15">
      <c r="A236" s="52">
        <v>234</v>
      </c>
      <c r="B236" s="53" t="s">
        <v>520</v>
      </c>
      <c r="C236" s="126" t="s">
        <v>521</v>
      </c>
      <c r="D236" s="55">
        <v>1</v>
      </c>
      <c r="E236" s="56" t="s">
        <v>2427</v>
      </c>
      <c r="F236" s="126" t="s">
        <v>22</v>
      </c>
      <c r="G236" s="126" t="s">
        <v>1664</v>
      </c>
      <c r="H236" s="131">
        <v>8</v>
      </c>
      <c r="I236" s="49" t="s">
        <v>3559</v>
      </c>
      <c r="J236" s="52">
        <v>1</v>
      </c>
      <c r="K236" s="49"/>
      <c r="L236" s="49" t="s">
        <v>3590</v>
      </c>
      <c r="M236" s="58"/>
    </row>
    <row r="237" spans="1:13" ht="15">
      <c r="A237" s="52">
        <v>235</v>
      </c>
      <c r="B237" s="53" t="s">
        <v>522</v>
      </c>
      <c r="C237" s="126" t="s">
        <v>521</v>
      </c>
      <c r="D237" s="55">
        <v>1</v>
      </c>
      <c r="E237" s="56" t="s">
        <v>2427</v>
      </c>
      <c r="F237" s="126" t="s">
        <v>22</v>
      </c>
      <c r="G237" s="126" t="s">
        <v>1664</v>
      </c>
      <c r="H237" s="131">
        <v>8</v>
      </c>
      <c r="I237" s="49" t="s">
        <v>3559</v>
      </c>
      <c r="J237" s="52">
        <v>1</v>
      </c>
      <c r="K237" s="49"/>
      <c r="L237" s="49" t="s">
        <v>3591</v>
      </c>
      <c r="M237" s="58"/>
    </row>
    <row r="238" spans="1:13" ht="15">
      <c r="A238" s="52">
        <v>236</v>
      </c>
      <c r="B238" s="64" t="s">
        <v>561</v>
      </c>
      <c r="C238" s="126" t="s">
        <v>521</v>
      </c>
      <c r="D238" s="55">
        <v>1</v>
      </c>
      <c r="E238" s="56" t="s">
        <v>2427</v>
      </c>
      <c r="F238" s="126" t="s">
        <v>22</v>
      </c>
      <c r="G238" s="126" t="s">
        <v>1664</v>
      </c>
      <c r="H238" s="131">
        <v>8</v>
      </c>
      <c r="I238" s="49" t="s">
        <v>3559</v>
      </c>
      <c r="J238" s="52">
        <v>1</v>
      </c>
      <c r="K238" s="49"/>
      <c r="L238" s="49" t="s">
        <v>3592</v>
      </c>
      <c r="M238" s="58"/>
    </row>
    <row r="239" spans="1:13" ht="15">
      <c r="A239" s="52">
        <v>237</v>
      </c>
      <c r="B239" s="53" t="s">
        <v>612</v>
      </c>
      <c r="C239" s="126" t="s">
        <v>614</v>
      </c>
      <c r="D239" s="55">
        <v>12</v>
      </c>
      <c r="E239" s="56" t="s">
        <v>2427</v>
      </c>
      <c r="F239" s="126" t="s">
        <v>22</v>
      </c>
      <c r="G239" s="126" t="s">
        <v>1686</v>
      </c>
      <c r="H239" s="131">
        <v>1072</v>
      </c>
      <c r="I239" s="49" t="s">
        <v>3563</v>
      </c>
      <c r="J239" s="52">
        <v>1</v>
      </c>
      <c r="K239" s="49"/>
      <c r="L239" s="49" t="s">
        <v>3593</v>
      </c>
      <c r="M239" s="58"/>
    </row>
    <row r="240" spans="1:13" ht="15">
      <c r="A240" s="52">
        <v>238</v>
      </c>
      <c r="B240" s="60" t="s">
        <v>866</v>
      </c>
      <c r="C240" s="126" t="s">
        <v>21</v>
      </c>
      <c r="D240" s="52">
        <v>2</v>
      </c>
      <c r="E240" s="56" t="s">
        <v>2437</v>
      </c>
      <c r="F240" s="126" t="s">
        <v>22</v>
      </c>
      <c r="G240" s="126" t="s">
        <v>1664</v>
      </c>
      <c r="H240" s="131">
        <v>16</v>
      </c>
      <c r="I240" s="49" t="s">
        <v>3594</v>
      </c>
      <c r="J240" s="52">
        <v>1</v>
      </c>
      <c r="K240" s="49"/>
      <c r="L240" s="49" t="s">
        <v>3595</v>
      </c>
      <c r="M240" s="58"/>
    </row>
    <row r="241" spans="1:13" ht="15">
      <c r="A241" s="52">
        <v>239</v>
      </c>
      <c r="B241" s="60" t="s">
        <v>1149</v>
      </c>
      <c r="C241" s="126" t="s">
        <v>558</v>
      </c>
      <c r="D241" s="52">
        <v>8</v>
      </c>
      <c r="E241" s="56" t="s">
        <v>2437</v>
      </c>
      <c r="F241" s="126" t="s">
        <v>22</v>
      </c>
      <c r="G241" s="126" t="s">
        <v>1664</v>
      </c>
      <c r="H241" s="131">
        <v>72</v>
      </c>
      <c r="I241" s="49" t="s">
        <v>3594</v>
      </c>
      <c r="J241" s="52">
        <v>1</v>
      </c>
      <c r="K241" s="49"/>
      <c r="L241" s="49" t="s">
        <v>3596</v>
      </c>
      <c r="M241" s="58"/>
    </row>
    <row r="242" spans="1:13" ht="15">
      <c r="A242" s="52">
        <v>240</v>
      </c>
      <c r="B242" s="60" t="s">
        <v>1235</v>
      </c>
      <c r="C242" s="126" t="s">
        <v>1236</v>
      </c>
      <c r="D242" s="52">
        <v>4</v>
      </c>
      <c r="E242" s="56" t="s">
        <v>2437</v>
      </c>
      <c r="F242" s="126" t="s">
        <v>22</v>
      </c>
      <c r="G242" s="126" t="s">
        <v>1664</v>
      </c>
      <c r="H242" s="131">
        <v>32</v>
      </c>
      <c r="I242" s="49" t="s">
        <v>3594</v>
      </c>
      <c r="J242" s="52">
        <v>1</v>
      </c>
      <c r="K242" s="49"/>
      <c r="L242" s="188" t="s">
        <v>3597</v>
      </c>
      <c r="M242" s="58"/>
    </row>
    <row r="243" spans="1:13" ht="15">
      <c r="A243" s="52">
        <v>241</v>
      </c>
      <c r="B243" s="53" t="s">
        <v>1259</v>
      </c>
      <c r="C243" s="126" t="s">
        <v>1260</v>
      </c>
      <c r="D243" s="55">
        <v>2</v>
      </c>
      <c r="E243" s="56" t="s">
        <v>2437</v>
      </c>
      <c r="F243" s="126" t="s">
        <v>22</v>
      </c>
      <c r="G243" s="126" t="s">
        <v>1664</v>
      </c>
      <c r="H243" s="131">
        <v>16</v>
      </c>
      <c r="I243" s="49" t="s">
        <v>3594</v>
      </c>
      <c r="J243" s="52">
        <v>1</v>
      </c>
      <c r="K243" s="49"/>
      <c r="L243" s="49" t="s">
        <v>3598</v>
      </c>
      <c r="M243" s="58"/>
    </row>
    <row r="244" spans="1:13" ht="15">
      <c r="A244" s="52">
        <v>242</v>
      </c>
      <c r="B244" s="59" t="s">
        <v>612</v>
      </c>
      <c r="C244" s="126" t="s">
        <v>614</v>
      </c>
      <c r="D244" s="55">
        <v>30</v>
      </c>
      <c r="E244" s="56" t="s">
        <v>2437</v>
      </c>
      <c r="F244" s="126" t="s">
        <v>22</v>
      </c>
      <c r="G244" s="126" t="s">
        <v>1686</v>
      </c>
      <c r="H244" s="131">
        <v>1072</v>
      </c>
      <c r="I244" s="49" t="s">
        <v>3563</v>
      </c>
      <c r="J244" s="52">
        <v>1</v>
      </c>
      <c r="K244" s="49"/>
      <c r="L244" s="49" t="s">
        <v>3599</v>
      </c>
      <c r="M244" s="58"/>
    </row>
    <row r="245" spans="1:13" ht="15">
      <c r="A245" s="52">
        <v>243</v>
      </c>
      <c r="B245" s="53" t="s">
        <v>513</v>
      </c>
      <c r="C245" s="126" t="s">
        <v>514</v>
      </c>
      <c r="D245" s="55">
        <v>1</v>
      </c>
      <c r="E245" s="56" t="s">
        <v>2437</v>
      </c>
      <c r="F245" s="126" t="s">
        <v>22</v>
      </c>
      <c r="G245" s="126" t="s">
        <v>1664</v>
      </c>
      <c r="H245" s="131">
        <v>8</v>
      </c>
      <c r="I245" s="49" t="s">
        <v>3570</v>
      </c>
      <c r="J245" s="52">
        <v>1</v>
      </c>
      <c r="K245" s="49"/>
      <c r="L245" s="49" t="s">
        <v>3600</v>
      </c>
      <c r="M245" s="58"/>
    </row>
    <row r="246" spans="1:13" ht="15">
      <c r="A246" s="52">
        <v>244</v>
      </c>
      <c r="B246" s="53" t="s">
        <v>886</v>
      </c>
      <c r="C246" s="126" t="s">
        <v>21</v>
      </c>
      <c r="D246" s="55">
        <v>1</v>
      </c>
      <c r="E246" s="56" t="s">
        <v>2437</v>
      </c>
      <c r="F246" s="126" t="s">
        <v>22</v>
      </c>
      <c r="G246" s="126" t="s">
        <v>1664</v>
      </c>
      <c r="H246" s="131">
        <v>8</v>
      </c>
      <c r="I246" s="49" t="s">
        <v>3570</v>
      </c>
      <c r="J246" s="52">
        <v>1</v>
      </c>
      <c r="K246" s="49"/>
      <c r="L246" s="49" t="s">
        <v>3601</v>
      </c>
      <c r="M246" s="58">
        <v>45533</v>
      </c>
    </row>
    <row r="247" spans="1:13" ht="15">
      <c r="A247" s="52">
        <v>245</v>
      </c>
      <c r="B247" s="59" t="s">
        <v>644</v>
      </c>
      <c r="C247" s="126" t="s">
        <v>645</v>
      </c>
      <c r="D247" s="55">
        <v>1</v>
      </c>
      <c r="E247" s="56" t="s">
        <v>2443</v>
      </c>
      <c r="F247" s="126" t="s">
        <v>22</v>
      </c>
      <c r="G247" s="126" t="s">
        <v>1664</v>
      </c>
      <c r="H247" s="131">
        <v>8</v>
      </c>
      <c r="I247" s="49" t="s">
        <v>3559</v>
      </c>
      <c r="J247" s="52">
        <v>3</v>
      </c>
      <c r="K247" s="49"/>
      <c r="L247" s="49" t="s">
        <v>3602</v>
      </c>
      <c r="M247" s="58"/>
    </row>
    <row r="248" spans="1:13" ht="15">
      <c r="A248" s="52">
        <v>246</v>
      </c>
      <c r="B248" s="59" t="s">
        <v>559</v>
      </c>
      <c r="C248" s="126" t="s">
        <v>560</v>
      </c>
      <c r="D248" s="55">
        <v>2</v>
      </c>
      <c r="E248" s="56" t="s">
        <v>2443</v>
      </c>
      <c r="F248" s="126" t="s">
        <v>22</v>
      </c>
      <c r="G248" s="126" t="s">
        <v>1686</v>
      </c>
      <c r="H248" s="131">
        <v>960</v>
      </c>
      <c r="I248" s="49" t="s">
        <v>3563</v>
      </c>
      <c r="J248" s="52">
        <v>1</v>
      </c>
      <c r="K248" s="49" t="s">
        <v>3574</v>
      </c>
      <c r="L248" s="49" t="s">
        <v>3603</v>
      </c>
      <c r="M248" s="58"/>
    </row>
    <row r="249" spans="1:13" ht="15">
      <c r="A249" s="52">
        <v>247</v>
      </c>
      <c r="B249" s="53" t="s">
        <v>752</v>
      </c>
      <c r="C249" s="126" t="s">
        <v>489</v>
      </c>
      <c r="D249" s="55">
        <v>1</v>
      </c>
      <c r="E249" s="56" t="s">
        <v>2443</v>
      </c>
      <c r="F249" s="126" t="s">
        <v>22</v>
      </c>
      <c r="G249" s="126" t="s">
        <v>1664</v>
      </c>
      <c r="H249" s="131">
        <v>112</v>
      </c>
      <c r="I249" s="49" t="s">
        <v>3563</v>
      </c>
      <c r="J249" s="52">
        <v>1</v>
      </c>
      <c r="K249" s="49"/>
      <c r="L249" s="49" t="s">
        <v>3604</v>
      </c>
      <c r="M249" s="58"/>
    </row>
    <row r="250" spans="1:13" ht="15">
      <c r="A250" s="52">
        <v>248</v>
      </c>
      <c r="B250" s="59" t="s">
        <v>784</v>
      </c>
      <c r="C250" s="126" t="s">
        <v>54</v>
      </c>
      <c r="D250" s="55">
        <v>1</v>
      </c>
      <c r="E250" s="56" t="s">
        <v>2443</v>
      </c>
      <c r="F250" s="126" t="s">
        <v>22</v>
      </c>
      <c r="G250" s="126" t="s">
        <v>1664</v>
      </c>
      <c r="H250" s="131">
        <v>8</v>
      </c>
      <c r="I250" s="49" t="s">
        <v>3570</v>
      </c>
      <c r="J250" s="52">
        <v>1</v>
      </c>
      <c r="K250" s="49"/>
      <c r="L250" s="49" t="s">
        <v>3605</v>
      </c>
      <c r="M250" s="58"/>
    </row>
    <row r="251" spans="1:13" ht="15">
      <c r="A251" s="52">
        <v>249</v>
      </c>
      <c r="B251" s="53" t="s">
        <v>1170</v>
      </c>
      <c r="C251" s="126" t="s">
        <v>630</v>
      </c>
      <c r="D251" s="55">
        <v>16</v>
      </c>
      <c r="E251" s="56" t="s">
        <v>2443</v>
      </c>
      <c r="F251" s="126" t="s">
        <v>22</v>
      </c>
      <c r="G251" s="126" t="s">
        <v>1664</v>
      </c>
      <c r="H251" s="131">
        <v>160</v>
      </c>
      <c r="I251" s="49" t="s">
        <v>3570</v>
      </c>
      <c r="J251" s="52">
        <v>1</v>
      </c>
      <c r="K251" s="49"/>
      <c r="L251" s="49" t="s">
        <v>3606</v>
      </c>
      <c r="M251" s="58"/>
    </row>
    <row r="252" spans="1:13" ht="15">
      <c r="A252" s="52">
        <v>250</v>
      </c>
      <c r="B252" s="53" t="s">
        <v>1202</v>
      </c>
      <c r="C252" s="126" t="s">
        <v>715</v>
      </c>
      <c r="D252" s="55">
        <v>8</v>
      </c>
      <c r="E252" s="56" t="s">
        <v>2443</v>
      </c>
      <c r="F252" s="126" t="s">
        <v>22</v>
      </c>
      <c r="G252" s="126" t="s">
        <v>1664</v>
      </c>
      <c r="H252" s="131">
        <v>64</v>
      </c>
      <c r="I252" s="49" t="s">
        <v>3570</v>
      </c>
      <c r="J252" s="52">
        <v>1</v>
      </c>
      <c r="K252" s="49"/>
      <c r="L252" s="49" t="s">
        <v>3607</v>
      </c>
      <c r="M252" s="58"/>
    </row>
    <row r="253" spans="1:13" ht="15">
      <c r="A253" s="52">
        <v>251</v>
      </c>
      <c r="B253" s="53" t="s">
        <v>713</v>
      </c>
      <c r="C253" s="126" t="s">
        <v>715</v>
      </c>
      <c r="D253" s="55">
        <v>1</v>
      </c>
      <c r="E253" s="56" t="s">
        <v>2443</v>
      </c>
      <c r="F253" s="126" t="s">
        <v>22</v>
      </c>
      <c r="G253" s="126" t="s">
        <v>1664</v>
      </c>
      <c r="H253" s="131">
        <v>8</v>
      </c>
      <c r="I253" s="49" t="s">
        <v>3570</v>
      </c>
      <c r="J253" s="52">
        <v>1</v>
      </c>
      <c r="K253" s="49"/>
      <c r="L253" s="49" t="s">
        <v>3608</v>
      </c>
      <c r="M253" s="58"/>
    </row>
    <row r="254" spans="1:13" ht="15">
      <c r="A254" s="52">
        <v>252</v>
      </c>
      <c r="B254" s="53" t="s">
        <v>1289</v>
      </c>
      <c r="C254" s="126" t="s">
        <v>489</v>
      </c>
      <c r="D254" s="55">
        <v>8</v>
      </c>
      <c r="E254" s="56" t="s">
        <v>2388</v>
      </c>
      <c r="F254" s="126" t="s">
        <v>22</v>
      </c>
      <c r="G254" s="126" t="s">
        <v>1664</v>
      </c>
      <c r="H254" s="131">
        <v>64</v>
      </c>
      <c r="I254" s="49" t="s">
        <v>3559</v>
      </c>
      <c r="J254" s="52">
        <v>1</v>
      </c>
      <c r="K254" s="49"/>
      <c r="L254" s="49" t="s">
        <v>3609</v>
      </c>
      <c r="M254" s="58"/>
    </row>
    <row r="255" spans="1:13" ht="15">
      <c r="A255" s="52">
        <v>253</v>
      </c>
      <c r="B255" s="59" t="s">
        <v>1281</v>
      </c>
      <c r="C255" s="126" t="s">
        <v>492</v>
      </c>
      <c r="D255" s="55">
        <v>8</v>
      </c>
      <c r="E255" s="56" t="s">
        <v>2388</v>
      </c>
      <c r="F255" s="126" t="s">
        <v>22</v>
      </c>
      <c r="G255" s="126" t="s">
        <v>1664</v>
      </c>
      <c r="H255" s="131">
        <v>64</v>
      </c>
      <c r="I255" s="49" t="s">
        <v>3559</v>
      </c>
      <c r="J255" s="52">
        <v>1</v>
      </c>
      <c r="K255" s="49" t="s">
        <v>3610</v>
      </c>
      <c r="L255" s="49" t="s">
        <v>3611</v>
      </c>
      <c r="M255" s="58"/>
    </row>
    <row r="256" spans="1:13" ht="15">
      <c r="A256" s="52">
        <v>254</v>
      </c>
      <c r="B256" s="60" t="s">
        <v>527</v>
      </c>
      <c r="C256" s="126" t="s">
        <v>529</v>
      </c>
      <c r="D256" s="52">
        <v>1</v>
      </c>
      <c r="E256" s="56" t="s">
        <v>2388</v>
      </c>
      <c r="F256" s="126" t="s">
        <v>22</v>
      </c>
      <c r="G256" s="126" t="s">
        <v>1664</v>
      </c>
      <c r="H256" s="131">
        <v>16</v>
      </c>
      <c r="I256" s="49" t="s">
        <v>3559</v>
      </c>
      <c r="J256" s="52">
        <v>1</v>
      </c>
      <c r="K256" s="49"/>
      <c r="L256" s="49" t="s">
        <v>3612</v>
      </c>
      <c r="M256" s="58"/>
    </row>
    <row r="257" spans="1:16" ht="15">
      <c r="A257" s="52">
        <v>255</v>
      </c>
      <c r="B257" s="53" t="s">
        <v>1154</v>
      </c>
      <c r="C257" s="126" t="s">
        <v>558</v>
      </c>
      <c r="D257" s="55">
        <v>8</v>
      </c>
      <c r="E257" s="56" t="s">
        <v>2388</v>
      </c>
      <c r="F257" s="126" t="s">
        <v>22</v>
      </c>
      <c r="G257" s="126" t="s">
        <v>1664</v>
      </c>
      <c r="H257" s="131">
        <v>96</v>
      </c>
      <c r="I257" s="49" t="s">
        <v>3559</v>
      </c>
      <c r="J257" s="52">
        <v>1</v>
      </c>
      <c r="K257" s="49"/>
      <c r="L257" s="49" t="s">
        <v>3613</v>
      </c>
      <c r="M257" s="58">
        <v>45533</v>
      </c>
    </row>
    <row r="258" spans="1:16" ht="15">
      <c r="A258" s="52">
        <v>256</v>
      </c>
      <c r="B258" s="60" t="s">
        <v>1155</v>
      </c>
      <c r="C258" s="126" t="s">
        <v>558</v>
      </c>
      <c r="D258" s="52">
        <v>8</v>
      </c>
      <c r="E258" s="56" t="s">
        <v>2388</v>
      </c>
      <c r="F258" s="126" t="s">
        <v>22</v>
      </c>
      <c r="G258" s="126" t="s">
        <v>1664</v>
      </c>
      <c r="H258" s="131">
        <v>64</v>
      </c>
      <c r="I258" s="49" t="s">
        <v>3559</v>
      </c>
      <c r="J258" s="52">
        <v>1</v>
      </c>
      <c r="K258" s="49"/>
      <c r="L258" s="49" t="s">
        <v>3614</v>
      </c>
      <c r="M258" s="58"/>
    </row>
    <row r="259" spans="1:16" ht="15">
      <c r="A259" s="52">
        <v>257</v>
      </c>
      <c r="B259" s="60" t="s">
        <v>1288</v>
      </c>
      <c r="C259" s="126" t="s">
        <v>489</v>
      </c>
      <c r="D259" s="52">
        <v>8</v>
      </c>
      <c r="E259" s="56" t="s">
        <v>2388</v>
      </c>
      <c r="F259" s="126" t="s">
        <v>22</v>
      </c>
      <c r="G259" s="126" t="s">
        <v>1664</v>
      </c>
      <c r="H259" s="131">
        <v>64</v>
      </c>
      <c r="I259" s="49" t="s">
        <v>3559</v>
      </c>
      <c r="J259" s="52">
        <v>1</v>
      </c>
      <c r="K259" s="49"/>
      <c r="L259" s="49" t="s">
        <v>3615</v>
      </c>
      <c r="M259" s="58"/>
    </row>
    <row r="260" spans="1:16" ht="15">
      <c r="A260" s="52">
        <v>258</v>
      </c>
      <c r="B260" s="60" t="s">
        <v>612</v>
      </c>
      <c r="C260" s="126" t="s">
        <v>614</v>
      </c>
      <c r="D260" s="52">
        <v>2</v>
      </c>
      <c r="E260" s="56" t="s">
        <v>2388</v>
      </c>
      <c r="F260" s="126" t="s">
        <v>22</v>
      </c>
      <c r="G260" s="126" t="s">
        <v>1686</v>
      </c>
      <c r="H260" s="131">
        <v>1072</v>
      </c>
      <c r="I260" s="49" t="s">
        <v>3563</v>
      </c>
      <c r="J260" s="52">
        <v>1</v>
      </c>
      <c r="K260" s="49"/>
      <c r="L260" s="49" t="s">
        <v>3616</v>
      </c>
      <c r="M260" s="58"/>
    </row>
    <row r="261" spans="1:16" ht="15">
      <c r="A261" s="52">
        <v>259</v>
      </c>
      <c r="B261" s="60" t="s">
        <v>1245</v>
      </c>
      <c r="C261" s="126" t="s">
        <v>506</v>
      </c>
      <c r="D261" s="52">
        <v>2</v>
      </c>
      <c r="E261" s="56" t="s">
        <v>2388</v>
      </c>
      <c r="F261" s="126" t="s">
        <v>22</v>
      </c>
      <c r="G261" s="126" t="s">
        <v>1664</v>
      </c>
      <c r="H261" s="131">
        <v>16</v>
      </c>
      <c r="I261" s="49" t="s">
        <v>3585</v>
      </c>
      <c r="J261" s="52">
        <v>1</v>
      </c>
      <c r="K261" s="49"/>
      <c r="L261" s="49" t="s">
        <v>3617</v>
      </c>
      <c r="M261" s="58"/>
    </row>
    <row r="262" spans="1:16" ht="15">
      <c r="A262" s="52">
        <v>260</v>
      </c>
      <c r="B262" s="60" t="s">
        <v>752</v>
      </c>
      <c r="C262" s="126" t="s">
        <v>489</v>
      </c>
      <c r="D262" s="52">
        <v>4</v>
      </c>
      <c r="E262" s="56" t="s">
        <v>2388</v>
      </c>
      <c r="F262" s="126" t="s">
        <v>22</v>
      </c>
      <c r="G262" s="126" t="s">
        <v>1664</v>
      </c>
      <c r="H262" s="131">
        <v>112</v>
      </c>
      <c r="I262" s="49" t="s">
        <v>3570</v>
      </c>
      <c r="J262" s="52">
        <v>1</v>
      </c>
      <c r="K262" s="49"/>
      <c r="L262" s="49" t="s">
        <v>3618</v>
      </c>
      <c r="M262" s="58"/>
    </row>
    <row r="263" spans="1:16" ht="15">
      <c r="A263" s="52">
        <v>261</v>
      </c>
      <c r="B263" s="60" t="s">
        <v>527</v>
      </c>
      <c r="C263" s="126" t="s">
        <v>529</v>
      </c>
      <c r="D263" s="52">
        <v>2</v>
      </c>
      <c r="E263" s="56" t="s">
        <v>2391</v>
      </c>
      <c r="F263" s="126" t="s">
        <v>22</v>
      </c>
      <c r="G263" s="126" t="s">
        <v>1664</v>
      </c>
      <c r="H263" s="131">
        <v>16</v>
      </c>
      <c r="I263" s="49" t="s">
        <v>3559</v>
      </c>
      <c r="J263" s="52">
        <v>1</v>
      </c>
      <c r="K263" s="49"/>
      <c r="L263" s="49" t="s">
        <v>3619</v>
      </c>
      <c r="M263" s="58"/>
    </row>
    <row r="264" spans="1:16" ht="15">
      <c r="A264" s="52">
        <v>262</v>
      </c>
      <c r="B264" s="60" t="s">
        <v>1235</v>
      </c>
      <c r="C264" s="126" t="s">
        <v>1236</v>
      </c>
      <c r="D264" s="52">
        <v>4</v>
      </c>
      <c r="E264" s="56" t="s">
        <v>2391</v>
      </c>
      <c r="F264" s="126" t="s">
        <v>22</v>
      </c>
      <c r="G264" s="126" t="s">
        <v>1664</v>
      </c>
      <c r="H264" s="131">
        <v>32</v>
      </c>
      <c r="I264" s="49" t="s">
        <v>3594</v>
      </c>
      <c r="J264" s="52">
        <v>1</v>
      </c>
      <c r="K264" s="49"/>
      <c r="L264" s="49" t="s">
        <v>3620</v>
      </c>
      <c r="M264" s="58"/>
    </row>
    <row r="265" spans="1:16" ht="15">
      <c r="A265" s="52">
        <v>263</v>
      </c>
      <c r="B265" s="60" t="s">
        <v>1259</v>
      </c>
      <c r="C265" s="126" t="s">
        <v>1260</v>
      </c>
      <c r="D265" s="52">
        <v>2</v>
      </c>
      <c r="E265" s="56" t="s">
        <v>2391</v>
      </c>
      <c r="F265" s="126" t="s">
        <v>22</v>
      </c>
      <c r="G265" s="126" t="s">
        <v>1664</v>
      </c>
      <c r="H265" s="131">
        <v>16</v>
      </c>
      <c r="I265" s="49" t="s">
        <v>3594</v>
      </c>
      <c r="J265" s="52">
        <v>1</v>
      </c>
      <c r="K265" s="49"/>
      <c r="L265" s="49" t="s">
        <v>3621</v>
      </c>
      <c r="M265" s="58"/>
    </row>
    <row r="266" spans="1:16" ht="15">
      <c r="A266" s="52">
        <v>264</v>
      </c>
      <c r="B266" s="60" t="s">
        <v>559</v>
      </c>
      <c r="C266" s="126" t="s">
        <v>560</v>
      </c>
      <c r="D266" s="52">
        <v>4</v>
      </c>
      <c r="E266" s="56" t="s">
        <v>2391</v>
      </c>
      <c r="F266" s="126" t="s">
        <v>22</v>
      </c>
      <c r="G266" s="126" t="s">
        <v>1686</v>
      </c>
      <c r="H266" s="131">
        <v>960</v>
      </c>
      <c r="I266" s="49" t="s">
        <v>3563</v>
      </c>
      <c r="J266" s="52">
        <v>1</v>
      </c>
      <c r="K266" s="49" t="s">
        <v>3574</v>
      </c>
      <c r="L266" s="49" t="s">
        <v>3622</v>
      </c>
      <c r="M266" s="58"/>
    </row>
    <row r="267" spans="1:16" ht="15">
      <c r="A267" s="52">
        <v>265</v>
      </c>
      <c r="B267" s="60" t="s">
        <v>1145</v>
      </c>
      <c r="C267" s="126" t="s">
        <v>1134</v>
      </c>
      <c r="D267" s="52">
        <v>2</v>
      </c>
      <c r="E267" s="56" t="s">
        <v>2391</v>
      </c>
      <c r="F267" s="126" t="s">
        <v>22</v>
      </c>
      <c r="G267" s="126" t="s">
        <v>1664</v>
      </c>
      <c r="H267" s="131">
        <v>16</v>
      </c>
      <c r="I267" s="49" t="s">
        <v>3570</v>
      </c>
      <c r="J267" s="52">
        <v>1</v>
      </c>
      <c r="K267" s="49"/>
      <c r="L267" s="188" t="s">
        <v>3623</v>
      </c>
      <c r="M267" s="58">
        <v>45475</v>
      </c>
    </row>
    <row r="268" spans="1:16" ht="15">
      <c r="A268" s="52">
        <v>266</v>
      </c>
      <c r="B268" s="60" t="s">
        <v>1375</v>
      </c>
      <c r="C268" s="126" t="s">
        <v>587</v>
      </c>
      <c r="D268" s="52">
        <v>2</v>
      </c>
      <c r="E268" s="56" t="s">
        <v>2391</v>
      </c>
      <c r="F268" s="126" t="s">
        <v>22</v>
      </c>
      <c r="G268" s="126" t="s">
        <v>1664</v>
      </c>
      <c r="H268" s="131">
        <v>16</v>
      </c>
      <c r="I268" s="49" t="s">
        <v>3570</v>
      </c>
      <c r="J268" s="52">
        <v>1</v>
      </c>
      <c r="K268" s="49"/>
      <c r="L268" s="49" t="s">
        <v>3624</v>
      </c>
      <c r="M268" s="58"/>
      <c r="N268" s="62"/>
      <c r="O268" s="62"/>
      <c r="P268" s="62"/>
    </row>
    <row r="269" spans="1:16" ht="15">
      <c r="A269" s="52">
        <v>267</v>
      </c>
      <c r="B269" s="60" t="s">
        <v>1209</v>
      </c>
      <c r="C269" s="126" t="s">
        <v>492</v>
      </c>
      <c r="D269" s="52">
        <v>16</v>
      </c>
      <c r="E269" s="56">
        <v>6</v>
      </c>
      <c r="F269" s="126" t="s">
        <v>22</v>
      </c>
      <c r="G269" s="126" t="s">
        <v>1664</v>
      </c>
      <c r="H269" s="131">
        <v>128</v>
      </c>
      <c r="I269" s="49" t="s">
        <v>3570</v>
      </c>
      <c r="J269" s="52">
        <v>1</v>
      </c>
      <c r="K269" s="49"/>
      <c r="L269" s="49" t="s">
        <v>3625</v>
      </c>
      <c r="M269" s="58"/>
    </row>
    <row r="270" spans="1:16" ht="15">
      <c r="A270" s="52">
        <v>268</v>
      </c>
      <c r="B270" s="60" t="s">
        <v>469</v>
      </c>
      <c r="C270" s="126" t="s">
        <v>471</v>
      </c>
      <c r="D270" s="52">
        <v>2</v>
      </c>
      <c r="E270" s="56" t="s">
        <v>2391</v>
      </c>
      <c r="F270" s="126" t="s">
        <v>22</v>
      </c>
      <c r="G270" s="126" t="s">
        <v>1664</v>
      </c>
      <c r="H270" s="131">
        <v>16</v>
      </c>
      <c r="I270" s="49" t="s">
        <v>3570</v>
      </c>
      <c r="J270" s="52">
        <v>1</v>
      </c>
      <c r="K270" s="49"/>
      <c r="L270" s="49" t="s">
        <v>3626</v>
      </c>
      <c r="M270" s="58"/>
    </row>
    <row r="271" spans="1:16" ht="15">
      <c r="A271" s="52">
        <v>269</v>
      </c>
      <c r="B271" s="60" t="s">
        <v>870</v>
      </c>
      <c r="C271" s="126" t="s">
        <v>21</v>
      </c>
      <c r="D271" s="52">
        <v>2</v>
      </c>
      <c r="E271" s="56" t="s">
        <v>2391</v>
      </c>
      <c r="F271" s="126" t="s">
        <v>22</v>
      </c>
      <c r="G271" s="126" t="s">
        <v>1664</v>
      </c>
      <c r="H271" s="131">
        <v>16</v>
      </c>
      <c r="I271" s="49" t="s">
        <v>3570</v>
      </c>
      <c r="J271" s="52">
        <v>1</v>
      </c>
      <c r="K271" s="49"/>
      <c r="L271" s="49" t="s">
        <v>3627</v>
      </c>
      <c r="M271" s="58"/>
    </row>
    <row r="272" spans="1:16" ht="15">
      <c r="A272" s="52">
        <v>270</v>
      </c>
      <c r="B272" s="60" t="s">
        <v>1166</v>
      </c>
      <c r="C272" s="126" t="s">
        <v>630</v>
      </c>
      <c r="D272" s="52">
        <v>6</v>
      </c>
      <c r="E272" s="56" t="s">
        <v>2391</v>
      </c>
      <c r="F272" s="126" t="s">
        <v>22</v>
      </c>
      <c r="G272" s="126" t="s">
        <v>1664</v>
      </c>
      <c r="H272" s="131">
        <v>56</v>
      </c>
      <c r="I272" s="49" t="s">
        <v>3570</v>
      </c>
      <c r="J272" s="52">
        <v>1</v>
      </c>
      <c r="K272" s="49"/>
      <c r="L272" s="49" t="s">
        <v>3628</v>
      </c>
      <c r="M272" s="58"/>
    </row>
    <row r="273" spans="1:16" ht="15">
      <c r="A273" s="52">
        <v>271</v>
      </c>
      <c r="B273" s="60" t="s">
        <v>1206</v>
      </c>
      <c r="C273" s="126" t="s">
        <v>627</v>
      </c>
      <c r="D273" s="52">
        <v>4</v>
      </c>
      <c r="E273" s="56" t="s">
        <v>2391</v>
      </c>
      <c r="F273" s="126" t="s">
        <v>22</v>
      </c>
      <c r="G273" s="126" t="s">
        <v>1664</v>
      </c>
      <c r="H273" s="131">
        <v>32</v>
      </c>
      <c r="I273" s="49" t="s">
        <v>3570</v>
      </c>
      <c r="J273" s="52">
        <v>1</v>
      </c>
      <c r="K273" s="49"/>
      <c r="L273" s="49" t="s">
        <v>3629</v>
      </c>
      <c r="M273" s="58"/>
    </row>
    <row r="274" spans="1:16" ht="15">
      <c r="A274" s="52">
        <v>272</v>
      </c>
      <c r="B274" s="60" t="s">
        <v>1390</v>
      </c>
      <c r="C274" s="126" t="s">
        <v>1392</v>
      </c>
      <c r="D274" s="52">
        <v>2</v>
      </c>
      <c r="E274" s="56" t="s">
        <v>2391</v>
      </c>
      <c r="F274" s="126" t="s">
        <v>22</v>
      </c>
      <c r="G274" s="126" t="s">
        <v>1664</v>
      </c>
      <c r="H274" s="131">
        <v>16</v>
      </c>
      <c r="I274" s="49" t="s">
        <v>3570</v>
      </c>
      <c r="J274" s="52">
        <v>1</v>
      </c>
      <c r="K274" s="49"/>
      <c r="L274" s="49" t="s">
        <v>3630</v>
      </c>
      <c r="M274" s="58"/>
    </row>
    <row r="275" spans="1:16" ht="15">
      <c r="A275" s="52">
        <v>273</v>
      </c>
      <c r="B275" s="60" t="s">
        <v>1170</v>
      </c>
      <c r="C275" s="126" t="s">
        <v>630</v>
      </c>
      <c r="D275" s="52">
        <v>20</v>
      </c>
      <c r="E275" s="56" t="s">
        <v>2391</v>
      </c>
      <c r="F275" s="126" t="s">
        <v>22</v>
      </c>
      <c r="G275" s="126" t="s">
        <v>1664</v>
      </c>
      <c r="H275" s="131">
        <v>160</v>
      </c>
      <c r="I275" s="49" t="s">
        <v>3570</v>
      </c>
      <c r="J275" s="52">
        <v>1</v>
      </c>
      <c r="K275" s="49"/>
      <c r="L275" s="49" t="s">
        <v>3631</v>
      </c>
      <c r="M275" s="58"/>
    </row>
    <row r="276" spans="1:16" s="62" customFormat="1" ht="15">
      <c r="A276" s="52">
        <v>274</v>
      </c>
      <c r="B276" s="53" t="s">
        <v>795</v>
      </c>
      <c r="C276" s="126" t="s">
        <v>485</v>
      </c>
      <c r="D276" s="55">
        <v>20</v>
      </c>
      <c r="E276" s="56" t="s">
        <v>2385</v>
      </c>
      <c r="F276" s="126" t="s">
        <v>22</v>
      </c>
      <c r="G276" s="126" t="s">
        <v>1664</v>
      </c>
      <c r="H276" s="131">
        <v>192</v>
      </c>
      <c r="I276" s="49" t="s">
        <v>3563</v>
      </c>
      <c r="J276" s="52">
        <v>2</v>
      </c>
      <c r="K276" s="49"/>
      <c r="L276" s="49" t="s">
        <v>3632</v>
      </c>
      <c r="M276" s="58">
        <v>45533</v>
      </c>
      <c r="N276" s="10"/>
      <c r="O276" s="10"/>
      <c r="P276" s="10"/>
    </row>
    <row r="277" spans="1:16" ht="15">
      <c r="A277" s="52">
        <v>275</v>
      </c>
      <c r="B277" s="60" t="s">
        <v>797</v>
      </c>
      <c r="C277" s="126" t="s">
        <v>485</v>
      </c>
      <c r="D277" s="52">
        <v>2</v>
      </c>
      <c r="E277" s="56" t="s">
        <v>2385</v>
      </c>
      <c r="F277" s="126" t="s">
        <v>22</v>
      </c>
      <c r="G277" s="126" t="s">
        <v>1664</v>
      </c>
      <c r="H277" s="131">
        <v>16</v>
      </c>
      <c r="I277" s="49" t="s">
        <v>3563</v>
      </c>
      <c r="J277" s="52">
        <v>2</v>
      </c>
      <c r="K277" s="49"/>
      <c r="L277" s="49" t="s">
        <v>3633</v>
      </c>
      <c r="M277" s="58"/>
    </row>
    <row r="278" spans="1:16" ht="15">
      <c r="A278" s="52">
        <v>276</v>
      </c>
      <c r="B278" s="60" t="s">
        <v>800</v>
      </c>
      <c r="C278" s="126" t="s">
        <v>485</v>
      </c>
      <c r="D278" s="52">
        <v>2</v>
      </c>
      <c r="E278" s="56" t="s">
        <v>2385</v>
      </c>
      <c r="F278" s="126" t="s">
        <v>22</v>
      </c>
      <c r="G278" s="126" t="s">
        <v>1664</v>
      </c>
      <c r="H278" s="131">
        <v>16</v>
      </c>
      <c r="I278" s="49" t="s">
        <v>3563</v>
      </c>
      <c r="J278" s="52">
        <v>2</v>
      </c>
      <c r="K278" s="49"/>
      <c r="L278" s="49" t="s">
        <v>3634</v>
      </c>
      <c r="M278" s="58"/>
      <c r="N278" s="62"/>
      <c r="O278" s="62"/>
      <c r="P278" s="62"/>
    </row>
    <row r="279" spans="1:16" ht="15">
      <c r="A279" s="52">
        <v>277</v>
      </c>
      <c r="B279" s="60" t="s">
        <v>1222</v>
      </c>
      <c r="C279" s="126" t="s">
        <v>739</v>
      </c>
      <c r="D279" s="52">
        <v>3</v>
      </c>
      <c r="E279" s="56" t="s">
        <v>2385</v>
      </c>
      <c r="F279" s="126" t="s">
        <v>22</v>
      </c>
      <c r="G279" s="126" t="s">
        <v>1664</v>
      </c>
      <c r="H279" s="131">
        <v>24</v>
      </c>
      <c r="I279" s="49" t="s">
        <v>3563</v>
      </c>
      <c r="J279" s="52">
        <v>2</v>
      </c>
      <c r="K279" s="49"/>
      <c r="L279" s="49" t="s">
        <v>3635</v>
      </c>
      <c r="M279" s="58"/>
    </row>
    <row r="280" spans="1:16" ht="15">
      <c r="A280" s="52">
        <v>278</v>
      </c>
      <c r="B280" s="60" t="s">
        <v>793</v>
      </c>
      <c r="C280" s="126" t="s">
        <v>485</v>
      </c>
      <c r="D280" s="52">
        <v>4</v>
      </c>
      <c r="E280" s="56" t="s">
        <v>2385</v>
      </c>
      <c r="F280" s="126" t="s">
        <v>22</v>
      </c>
      <c r="G280" s="126" t="s">
        <v>1664</v>
      </c>
      <c r="H280" s="131">
        <v>32</v>
      </c>
      <c r="I280" s="49" t="s">
        <v>3570</v>
      </c>
      <c r="J280" s="52">
        <v>2</v>
      </c>
      <c r="K280" s="49"/>
      <c r="L280" s="49" t="s">
        <v>3636</v>
      </c>
      <c r="M280" s="58"/>
    </row>
    <row r="281" spans="1:16" ht="15">
      <c r="A281" s="52">
        <v>279</v>
      </c>
      <c r="B281" s="60" t="s">
        <v>486</v>
      </c>
      <c r="C281" s="126" t="s">
        <v>485</v>
      </c>
      <c r="D281" s="52">
        <v>29</v>
      </c>
      <c r="E281" s="56" t="s">
        <v>2385</v>
      </c>
      <c r="F281" s="126" t="s">
        <v>22</v>
      </c>
      <c r="G281" s="126" t="s">
        <v>1664</v>
      </c>
      <c r="H281" s="127">
        <v>232</v>
      </c>
      <c r="I281" s="49" t="s">
        <v>3570</v>
      </c>
      <c r="J281" s="52">
        <v>2</v>
      </c>
      <c r="K281" s="49"/>
      <c r="L281" s="49" t="s">
        <v>3637</v>
      </c>
      <c r="M281" s="58"/>
    </row>
    <row r="282" spans="1:16" ht="15">
      <c r="A282" s="52">
        <v>280</v>
      </c>
      <c r="B282" s="60" t="s">
        <v>796</v>
      </c>
      <c r="C282" s="126" t="s">
        <v>485</v>
      </c>
      <c r="D282" s="52">
        <v>2</v>
      </c>
      <c r="E282" s="56" t="s">
        <v>2385</v>
      </c>
      <c r="F282" s="126" t="s">
        <v>22</v>
      </c>
      <c r="G282" s="126" t="s">
        <v>1664</v>
      </c>
      <c r="H282" s="127">
        <v>32</v>
      </c>
      <c r="I282" s="49" t="s">
        <v>3570</v>
      </c>
      <c r="J282" s="52">
        <v>2</v>
      </c>
      <c r="K282" s="49" t="s">
        <v>3638</v>
      </c>
      <c r="L282" s="49" t="s">
        <v>3639</v>
      </c>
      <c r="M282" s="58"/>
    </row>
    <row r="283" spans="1:16" ht="15">
      <c r="A283" s="52">
        <v>281</v>
      </c>
      <c r="B283" s="60" t="s">
        <v>556</v>
      </c>
      <c r="C283" s="126" t="s">
        <v>558</v>
      </c>
      <c r="D283" s="52">
        <v>2</v>
      </c>
      <c r="E283" s="56" t="s">
        <v>2385</v>
      </c>
      <c r="F283" s="126" t="s">
        <v>22</v>
      </c>
      <c r="G283" s="126" t="s">
        <v>1664</v>
      </c>
      <c r="H283" s="131">
        <v>160</v>
      </c>
      <c r="I283" s="49" t="s">
        <v>3570</v>
      </c>
      <c r="J283" s="52">
        <v>2</v>
      </c>
      <c r="K283" s="49"/>
      <c r="L283" s="49" t="s">
        <v>3640</v>
      </c>
      <c r="M283" s="58"/>
    </row>
    <row r="284" spans="1:16" ht="15">
      <c r="A284" s="52">
        <v>282</v>
      </c>
      <c r="B284" s="60" t="s">
        <v>585</v>
      </c>
      <c r="C284" s="126" t="s">
        <v>587</v>
      </c>
      <c r="D284" s="52">
        <v>6</v>
      </c>
      <c r="E284" s="56" t="s">
        <v>2385</v>
      </c>
      <c r="F284" s="126" t="s">
        <v>22</v>
      </c>
      <c r="G284" s="126" t="s">
        <v>1664</v>
      </c>
      <c r="H284" s="131">
        <v>48</v>
      </c>
      <c r="I284" s="49" t="s">
        <v>3570</v>
      </c>
      <c r="J284" s="52">
        <v>2</v>
      </c>
      <c r="K284" s="49"/>
      <c r="L284" s="49" t="s">
        <v>3641</v>
      </c>
      <c r="M284" s="58"/>
    </row>
    <row r="285" spans="1:16" ht="15">
      <c r="A285" s="52">
        <v>283</v>
      </c>
      <c r="B285" s="60" t="s">
        <v>608</v>
      </c>
      <c r="C285" s="126" t="s">
        <v>609</v>
      </c>
      <c r="D285" s="52">
        <v>2</v>
      </c>
      <c r="E285" s="56" t="s">
        <v>2385</v>
      </c>
      <c r="F285" s="126" t="s">
        <v>22</v>
      </c>
      <c r="G285" s="126" t="s">
        <v>1664</v>
      </c>
      <c r="H285" s="131">
        <v>32</v>
      </c>
      <c r="I285" s="49" t="s">
        <v>3570</v>
      </c>
      <c r="J285" s="52">
        <v>2</v>
      </c>
      <c r="K285" s="49"/>
      <c r="L285" s="49" t="s">
        <v>3642</v>
      </c>
      <c r="M285" s="58"/>
    </row>
    <row r="286" spans="1:16" ht="15">
      <c r="A286" s="52">
        <v>284</v>
      </c>
      <c r="B286" s="60" t="s">
        <v>1187</v>
      </c>
      <c r="C286" s="126" t="s">
        <v>1188</v>
      </c>
      <c r="D286" s="52">
        <v>8</v>
      </c>
      <c r="E286" s="56" t="s">
        <v>2385</v>
      </c>
      <c r="F286" s="126" t="s">
        <v>22</v>
      </c>
      <c r="G286" s="126" t="s">
        <v>1664</v>
      </c>
      <c r="H286" s="131">
        <v>88</v>
      </c>
      <c r="I286" s="49" t="s">
        <v>3570</v>
      </c>
      <c r="J286" s="52">
        <v>2</v>
      </c>
      <c r="K286" s="49"/>
      <c r="L286" s="49" t="s">
        <v>3643</v>
      </c>
      <c r="M286" s="58"/>
    </row>
    <row r="287" spans="1:16" ht="15">
      <c r="A287" s="52">
        <v>285</v>
      </c>
      <c r="B287" s="60" t="s">
        <v>1187</v>
      </c>
      <c r="C287" s="126" t="s">
        <v>1188</v>
      </c>
      <c r="D287" s="52">
        <v>1</v>
      </c>
      <c r="E287" s="56" t="s">
        <v>2417</v>
      </c>
      <c r="F287" s="126" t="s">
        <v>22</v>
      </c>
      <c r="G287" s="126" t="s">
        <v>1664</v>
      </c>
      <c r="H287" s="131">
        <v>88</v>
      </c>
      <c r="I287" s="49" t="s">
        <v>3559</v>
      </c>
      <c r="J287" s="52">
        <v>2</v>
      </c>
      <c r="K287" s="49"/>
      <c r="L287" s="49" t="s">
        <v>3644</v>
      </c>
      <c r="M287" s="58"/>
    </row>
    <row r="288" spans="1:16" ht="15">
      <c r="A288" s="52">
        <v>286</v>
      </c>
      <c r="B288" s="60" t="s">
        <v>624</v>
      </c>
      <c r="C288" s="126" t="s">
        <v>625</v>
      </c>
      <c r="D288" s="52">
        <v>3</v>
      </c>
      <c r="E288" s="56" t="s">
        <v>2417</v>
      </c>
      <c r="F288" s="126" t="s">
        <v>22</v>
      </c>
      <c r="G288" s="126" t="s">
        <v>1664</v>
      </c>
      <c r="H288" s="131">
        <v>88</v>
      </c>
      <c r="I288" s="49" t="s">
        <v>3563</v>
      </c>
      <c r="J288" s="52">
        <v>2</v>
      </c>
      <c r="K288" s="49"/>
      <c r="L288" s="49" t="s">
        <v>3645</v>
      </c>
      <c r="M288" s="58"/>
    </row>
    <row r="289" spans="1:16" ht="15">
      <c r="A289" s="52">
        <v>287</v>
      </c>
      <c r="B289" s="60" t="s">
        <v>608</v>
      </c>
      <c r="C289" s="126" t="s">
        <v>609</v>
      </c>
      <c r="D289" s="52">
        <v>1</v>
      </c>
      <c r="E289" s="56" t="s">
        <v>2417</v>
      </c>
      <c r="F289" s="126" t="s">
        <v>22</v>
      </c>
      <c r="G289" s="126" t="s">
        <v>1664</v>
      </c>
      <c r="H289" s="131">
        <v>32</v>
      </c>
      <c r="I289" s="49" t="s">
        <v>3570</v>
      </c>
      <c r="J289" s="52">
        <v>2</v>
      </c>
      <c r="K289" s="49"/>
      <c r="L289" s="49" t="s">
        <v>3646</v>
      </c>
      <c r="M289" s="58"/>
    </row>
    <row r="290" spans="1:16" ht="15">
      <c r="A290" s="52">
        <v>288</v>
      </c>
      <c r="B290" s="60" t="s">
        <v>556</v>
      </c>
      <c r="C290" s="126" t="s">
        <v>558</v>
      </c>
      <c r="D290" s="52">
        <v>8</v>
      </c>
      <c r="E290" s="56" t="s">
        <v>2394</v>
      </c>
      <c r="F290" s="126" t="s">
        <v>22</v>
      </c>
      <c r="G290" s="126" t="s">
        <v>1664</v>
      </c>
      <c r="H290" s="131">
        <v>160</v>
      </c>
      <c r="I290" s="49" t="s">
        <v>3563</v>
      </c>
      <c r="J290" s="52">
        <v>2</v>
      </c>
      <c r="K290" s="49"/>
      <c r="L290" s="49" t="s">
        <v>3647</v>
      </c>
      <c r="M290" s="58"/>
    </row>
    <row r="291" spans="1:16" ht="15">
      <c r="A291" s="52">
        <v>289</v>
      </c>
      <c r="B291" s="53" t="s">
        <v>641</v>
      </c>
      <c r="C291" s="126" t="s">
        <v>611</v>
      </c>
      <c r="D291" s="55">
        <v>6</v>
      </c>
      <c r="E291" s="56" t="s">
        <v>2394</v>
      </c>
      <c r="F291" s="126" t="s">
        <v>22</v>
      </c>
      <c r="G291" s="126" t="s">
        <v>1664</v>
      </c>
      <c r="H291" s="131">
        <v>48</v>
      </c>
      <c r="I291" s="49" t="s">
        <v>3563</v>
      </c>
      <c r="J291" s="52">
        <v>2</v>
      </c>
      <c r="K291" s="49"/>
      <c r="L291" s="49" t="s">
        <v>3648</v>
      </c>
      <c r="M291" s="58">
        <v>45533</v>
      </c>
    </row>
    <row r="292" spans="1:16" ht="15">
      <c r="A292" s="52">
        <v>290</v>
      </c>
      <c r="B292" s="53" t="s">
        <v>1235</v>
      </c>
      <c r="C292" s="126" t="s">
        <v>1236</v>
      </c>
      <c r="D292" s="55">
        <v>4</v>
      </c>
      <c r="E292" s="52" t="s">
        <v>2394</v>
      </c>
      <c r="F292" s="126" t="s">
        <v>22</v>
      </c>
      <c r="G292" s="126" t="s">
        <v>1664</v>
      </c>
      <c r="H292" s="131">
        <v>32</v>
      </c>
      <c r="I292" s="49" t="s">
        <v>3563</v>
      </c>
      <c r="J292" s="52">
        <v>2</v>
      </c>
      <c r="K292" s="49"/>
      <c r="L292" s="49" t="s">
        <v>3649</v>
      </c>
      <c r="M292" s="58"/>
    </row>
    <row r="293" spans="1:16" ht="15">
      <c r="A293" s="52">
        <v>291</v>
      </c>
      <c r="B293" s="60" t="s">
        <v>1277</v>
      </c>
      <c r="C293" s="126" t="s">
        <v>492</v>
      </c>
      <c r="D293" s="52">
        <v>4</v>
      </c>
      <c r="E293" s="52" t="s">
        <v>2394</v>
      </c>
      <c r="F293" s="126" t="s">
        <v>22</v>
      </c>
      <c r="G293" s="126" t="s">
        <v>1664</v>
      </c>
      <c r="H293" s="131">
        <v>32</v>
      </c>
      <c r="I293" s="49" t="s">
        <v>3563</v>
      </c>
      <c r="J293" s="52">
        <v>2</v>
      </c>
      <c r="K293" s="49"/>
      <c r="L293" s="49" t="s">
        <v>3650</v>
      </c>
      <c r="M293" s="58"/>
    </row>
    <row r="294" spans="1:16" ht="15">
      <c r="A294" s="52">
        <v>292</v>
      </c>
      <c r="B294" s="60" t="s">
        <v>1279</v>
      </c>
      <c r="C294" s="126" t="s">
        <v>492</v>
      </c>
      <c r="D294" s="52">
        <v>2</v>
      </c>
      <c r="E294" s="52" t="s">
        <v>2394</v>
      </c>
      <c r="F294" s="126" t="s">
        <v>22</v>
      </c>
      <c r="G294" s="126" t="s">
        <v>1664</v>
      </c>
      <c r="H294" s="131">
        <v>32</v>
      </c>
      <c r="I294" s="49" t="s">
        <v>3563</v>
      </c>
      <c r="J294" s="52">
        <v>2</v>
      </c>
      <c r="K294" s="49"/>
      <c r="L294" s="49" t="s">
        <v>3651</v>
      </c>
      <c r="M294" s="58"/>
    </row>
    <row r="295" spans="1:16" ht="15">
      <c r="A295" s="52">
        <v>293</v>
      </c>
      <c r="B295" s="60" t="s">
        <v>1280</v>
      </c>
      <c r="C295" s="126" t="s">
        <v>492</v>
      </c>
      <c r="D295" s="52">
        <v>2</v>
      </c>
      <c r="E295" s="52" t="s">
        <v>2394</v>
      </c>
      <c r="F295" s="126" t="s">
        <v>22</v>
      </c>
      <c r="G295" s="126" t="s">
        <v>1664</v>
      </c>
      <c r="H295" s="131">
        <v>96</v>
      </c>
      <c r="I295" s="49" t="s">
        <v>3563</v>
      </c>
      <c r="J295" s="52">
        <v>2</v>
      </c>
      <c r="K295" s="49"/>
      <c r="L295" s="49" t="s">
        <v>3652</v>
      </c>
      <c r="M295" s="58"/>
    </row>
    <row r="296" spans="1:16" ht="15">
      <c r="A296" s="52">
        <v>294</v>
      </c>
      <c r="B296" s="60" t="s">
        <v>1287</v>
      </c>
      <c r="C296" s="126" t="s">
        <v>489</v>
      </c>
      <c r="D296" s="52">
        <v>2</v>
      </c>
      <c r="E296" s="52" t="s">
        <v>2394</v>
      </c>
      <c r="F296" s="126" t="s">
        <v>22</v>
      </c>
      <c r="G296" s="126" t="s">
        <v>1664</v>
      </c>
      <c r="H296" s="131">
        <v>32</v>
      </c>
      <c r="I296" s="49" t="s">
        <v>3563</v>
      </c>
      <c r="J296" s="52">
        <v>2</v>
      </c>
      <c r="K296" s="49"/>
      <c r="L296" s="49" t="s">
        <v>3653</v>
      </c>
      <c r="M296" s="58"/>
    </row>
    <row r="297" spans="1:16" s="62" customFormat="1" ht="15.75" customHeight="1">
      <c r="A297" s="52">
        <v>295</v>
      </c>
      <c r="B297" s="53" t="s">
        <v>1039</v>
      </c>
      <c r="C297" s="126" t="s">
        <v>21</v>
      </c>
      <c r="D297" s="55">
        <v>1</v>
      </c>
      <c r="E297" s="52" t="s">
        <v>2394</v>
      </c>
      <c r="F297" s="126" t="s">
        <v>22</v>
      </c>
      <c r="G297" s="126" t="s">
        <v>1664</v>
      </c>
      <c r="H297" s="131">
        <v>8</v>
      </c>
      <c r="I297" s="49" t="s">
        <v>3570</v>
      </c>
      <c r="J297" s="52">
        <v>2</v>
      </c>
      <c r="K297" s="49" t="s">
        <v>3654</v>
      </c>
      <c r="L297" s="49" t="s">
        <v>3655</v>
      </c>
      <c r="M297" s="58"/>
      <c r="N297" s="10"/>
      <c r="O297" s="10"/>
      <c r="P297" s="10"/>
    </row>
    <row r="298" spans="1:16" ht="15">
      <c r="A298" s="52">
        <v>296</v>
      </c>
      <c r="B298" s="60" t="s">
        <v>1040</v>
      </c>
      <c r="C298" s="126" t="s">
        <v>21</v>
      </c>
      <c r="D298" s="52">
        <v>1</v>
      </c>
      <c r="E298" s="52" t="s">
        <v>2394</v>
      </c>
      <c r="F298" s="126" t="s">
        <v>22</v>
      </c>
      <c r="G298" s="126" t="s">
        <v>1664</v>
      </c>
      <c r="H298" s="131">
        <v>8</v>
      </c>
      <c r="I298" s="49" t="s">
        <v>3570</v>
      </c>
      <c r="J298" s="52">
        <v>2</v>
      </c>
      <c r="K298" s="49" t="s">
        <v>3654</v>
      </c>
      <c r="L298" s="49" t="s">
        <v>3656</v>
      </c>
      <c r="M298" s="58"/>
    </row>
    <row r="299" spans="1:16" ht="15">
      <c r="A299" s="52">
        <v>297</v>
      </c>
      <c r="B299" s="60" t="s">
        <v>796</v>
      </c>
      <c r="C299" s="126" t="s">
        <v>485</v>
      </c>
      <c r="D299" s="52">
        <v>2</v>
      </c>
      <c r="E299" s="52" t="s">
        <v>2394</v>
      </c>
      <c r="F299" s="126" t="s">
        <v>22</v>
      </c>
      <c r="G299" s="126" t="s">
        <v>1664</v>
      </c>
      <c r="H299" s="131">
        <v>32</v>
      </c>
      <c r="I299" s="49" t="s">
        <v>3570</v>
      </c>
      <c r="J299" s="52">
        <v>2</v>
      </c>
      <c r="K299" s="49" t="s">
        <v>3638</v>
      </c>
      <c r="L299" s="49" t="s">
        <v>3657</v>
      </c>
      <c r="M299" s="58"/>
    </row>
    <row r="300" spans="1:16" ht="15">
      <c r="A300" s="52">
        <v>298</v>
      </c>
      <c r="B300" s="59" t="s">
        <v>490</v>
      </c>
      <c r="C300" s="126" t="s">
        <v>485</v>
      </c>
      <c r="D300" s="55">
        <v>2</v>
      </c>
      <c r="E300" s="52" t="s">
        <v>2427</v>
      </c>
      <c r="F300" s="126" t="s">
        <v>22</v>
      </c>
      <c r="G300" s="126" t="s">
        <v>1664</v>
      </c>
      <c r="H300" s="131">
        <v>48</v>
      </c>
      <c r="I300" s="49" t="s">
        <v>3559</v>
      </c>
      <c r="J300" s="52">
        <v>2</v>
      </c>
      <c r="K300" s="49"/>
      <c r="L300" s="49" t="s">
        <v>3658</v>
      </c>
      <c r="M300" s="58"/>
    </row>
    <row r="301" spans="1:16" ht="15">
      <c r="A301" s="52">
        <v>299</v>
      </c>
      <c r="B301" s="53" t="s">
        <v>1062</v>
      </c>
      <c r="C301" s="126" t="s">
        <v>1064</v>
      </c>
      <c r="D301" s="55">
        <v>20</v>
      </c>
      <c r="E301" s="56" t="s">
        <v>2427</v>
      </c>
      <c r="F301" s="126" t="s">
        <v>22</v>
      </c>
      <c r="G301" s="126" t="s">
        <v>1664</v>
      </c>
      <c r="H301" s="131">
        <v>160</v>
      </c>
      <c r="I301" s="49" t="s">
        <v>3559</v>
      </c>
      <c r="J301" s="52">
        <v>2</v>
      </c>
      <c r="K301" s="49"/>
      <c r="L301" s="49" t="s">
        <v>3659</v>
      </c>
      <c r="M301" s="58"/>
    </row>
    <row r="302" spans="1:16" ht="15">
      <c r="A302" s="52">
        <v>300</v>
      </c>
      <c r="B302" s="53" t="s">
        <v>1271</v>
      </c>
      <c r="C302" s="126" t="s">
        <v>630</v>
      </c>
      <c r="D302" s="55">
        <v>7</v>
      </c>
      <c r="E302" s="52" t="s">
        <v>2427</v>
      </c>
      <c r="F302" s="126" t="s">
        <v>22</v>
      </c>
      <c r="G302" s="126" t="s">
        <v>1664</v>
      </c>
      <c r="H302" s="131">
        <v>72</v>
      </c>
      <c r="I302" s="49" t="s">
        <v>3563</v>
      </c>
      <c r="J302" s="52">
        <v>2</v>
      </c>
      <c r="K302" s="49"/>
      <c r="L302" s="49" t="s">
        <v>3660</v>
      </c>
      <c r="M302" s="58"/>
    </row>
    <row r="303" spans="1:16" ht="15">
      <c r="A303" s="52">
        <v>301</v>
      </c>
      <c r="B303" s="53" t="s">
        <v>1181</v>
      </c>
      <c r="C303" s="126" t="s">
        <v>587</v>
      </c>
      <c r="D303" s="55">
        <v>1</v>
      </c>
      <c r="E303" s="52" t="s">
        <v>2437</v>
      </c>
      <c r="F303" s="126" t="s">
        <v>22</v>
      </c>
      <c r="G303" s="126" t="s">
        <v>1664</v>
      </c>
      <c r="H303" s="131">
        <v>48</v>
      </c>
      <c r="I303" s="49" t="s">
        <v>3594</v>
      </c>
      <c r="J303" s="52">
        <v>2</v>
      </c>
      <c r="K303" s="49"/>
      <c r="L303" s="49" t="s">
        <v>3661</v>
      </c>
      <c r="M303" s="58"/>
    </row>
    <row r="304" spans="1:16" ht="15">
      <c r="A304" s="52">
        <v>302</v>
      </c>
      <c r="B304" s="53" t="s">
        <v>692</v>
      </c>
      <c r="C304" s="126" t="s">
        <v>693</v>
      </c>
      <c r="D304" s="55">
        <v>8</v>
      </c>
      <c r="E304" s="52" t="s">
        <v>2437</v>
      </c>
      <c r="F304" s="126" t="s">
        <v>22</v>
      </c>
      <c r="G304" s="126" t="s">
        <v>1664</v>
      </c>
      <c r="H304" s="131">
        <v>160</v>
      </c>
      <c r="I304" s="49" t="s">
        <v>3594</v>
      </c>
      <c r="J304" s="52">
        <v>2</v>
      </c>
      <c r="K304" s="49"/>
      <c r="L304" s="49" t="s">
        <v>3662</v>
      </c>
      <c r="M304" s="58"/>
    </row>
    <row r="305" spans="1:16" ht="15">
      <c r="A305" s="52">
        <v>303</v>
      </c>
      <c r="B305" s="60" t="s">
        <v>1187</v>
      </c>
      <c r="C305" s="126" t="s">
        <v>1188</v>
      </c>
      <c r="D305" s="52">
        <v>4</v>
      </c>
      <c r="E305" s="52" t="s">
        <v>2437</v>
      </c>
      <c r="F305" s="126" t="s">
        <v>22</v>
      </c>
      <c r="G305" s="126" t="s">
        <v>1664</v>
      </c>
      <c r="H305" s="131">
        <v>88</v>
      </c>
      <c r="I305" s="49" t="s">
        <v>3563</v>
      </c>
      <c r="J305" s="52">
        <v>2</v>
      </c>
      <c r="K305" s="49"/>
      <c r="L305" s="49" t="s">
        <v>3663</v>
      </c>
      <c r="M305" s="58"/>
    </row>
    <row r="306" spans="1:16" ht="15">
      <c r="A306" s="52">
        <v>304</v>
      </c>
      <c r="B306" s="59" t="s">
        <v>1271</v>
      </c>
      <c r="C306" s="126" t="s">
        <v>630</v>
      </c>
      <c r="D306" s="55">
        <v>4</v>
      </c>
      <c r="E306" s="52" t="s">
        <v>2437</v>
      </c>
      <c r="F306" s="126" t="s">
        <v>22</v>
      </c>
      <c r="G306" s="126" t="s">
        <v>1664</v>
      </c>
      <c r="H306" s="131">
        <v>72</v>
      </c>
      <c r="I306" s="49" t="s">
        <v>3563</v>
      </c>
      <c r="J306" s="52">
        <v>2</v>
      </c>
      <c r="K306" s="49"/>
      <c r="L306" s="49" t="s">
        <v>3664</v>
      </c>
      <c r="M306" s="58"/>
    </row>
    <row r="307" spans="1:16" ht="15">
      <c r="A307" s="52">
        <v>305</v>
      </c>
      <c r="B307" s="60" t="s">
        <v>1579</v>
      </c>
      <c r="C307" s="126" t="s">
        <v>492</v>
      </c>
      <c r="D307" s="52">
        <v>1</v>
      </c>
      <c r="E307" s="52" t="s">
        <v>2437</v>
      </c>
      <c r="F307" s="126" t="s">
        <v>22</v>
      </c>
      <c r="G307" s="126" t="s">
        <v>1664</v>
      </c>
      <c r="H307" s="131">
        <v>8</v>
      </c>
      <c r="I307" s="49" t="s">
        <v>3570</v>
      </c>
      <c r="J307" s="52">
        <v>2</v>
      </c>
      <c r="K307" s="49"/>
      <c r="L307" s="49" t="s">
        <v>3665</v>
      </c>
      <c r="M307" s="58"/>
    </row>
    <row r="308" spans="1:16" ht="15">
      <c r="A308" s="52">
        <v>306</v>
      </c>
      <c r="B308" s="59" t="s">
        <v>556</v>
      </c>
      <c r="C308" s="126" t="s">
        <v>558</v>
      </c>
      <c r="D308" s="55">
        <v>2</v>
      </c>
      <c r="E308" s="52" t="s">
        <v>2443</v>
      </c>
      <c r="F308" s="126" t="s">
        <v>22</v>
      </c>
      <c r="G308" s="126" t="s">
        <v>1664</v>
      </c>
      <c r="H308" s="131">
        <v>160</v>
      </c>
      <c r="I308" s="49" t="s">
        <v>3563</v>
      </c>
      <c r="J308" s="52">
        <v>2</v>
      </c>
      <c r="K308" s="49"/>
      <c r="L308" s="49" t="s">
        <v>3666</v>
      </c>
      <c r="M308" s="58"/>
    </row>
    <row r="309" spans="1:16" ht="15">
      <c r="A309" s="52">
        <v>307</v>
      </c>
      <c r="B309" s="60" t="s">
        <v>1178</v>
      </c>
      <c r="C309" s="126" t="s">
        <v>587</v>
      </c>
      <c r="D309" s="52">
        <v>4</v>
      </c>
      <c r="E309" s="52" t="s">
        <v>2443</v>
      </c>
      <c r="F309" s="126" t="s">
        <v>22</v>
      </c>
      <c r="G309" s="126" t="s">
        <v>1664</v>
      </c>
      <c r="H309" s="131">
        <v>32</v>
      </c>
      <c r="I309" s="49" t="s">
        <v>3563</v>
      </c>
      <c r="J309" s="52">
        <v>2</v>
      </c>
      <c r="K309" s="49"/>
      <c r="L309" s="49" t="s">
        <v>3667</v>
      </c>
      <c r="M309" s="58"/>
    </row>
    <row r="310" spans="1:16" ht="15">
      <c r="A310" s="52">
        <v>308</v>
      </c>
      <c r="B310" s="60" t="s">
        <v>1271</v>
      </c>
      <c r="C310" s="126" t="s">
        <v>630</v>
      </c>
      <c r="D310" s="52">
        <v>7</v>
      </c>
      <c r="E310" s="52" t="s">
        <v>2443</v>
      </c>
      <c r="F310" s="126" t="s">
        <v>22</v>
      </c>
      <c r="G310" s="126" t="s">
        <v>1664</v>
      </c>
      <c r="H310" s="131">
        <v>72</v>
      </c>
      <c r="I310" s="49" t="s">
        <v>3563</v>
      </c>
      <c r="J310" s="52">
        <v>2</v>
      </c>
      <c r="K310" s="49"/>
      <c r="L310" s="49" t="s">
        <v>3668</v>
      </c>
      <c r="M310" s="58"/>
    </row>
    <row r="311" spans="1:16" ht="15">
      <c r="A311" s="52">
        <v>309</v>
      </c>
      <c r="B311" s="53" t="s">
        <v>491</v>
      </c>
      <c r="C311" s="126" t="s">
        <v>492</v>
      </c>
      <c r="D311" s="55">
        <v>2</v>
      </c>
      <c r="E311" s="52" t="s">
        <v>2443</v>
      </c>
      <c r="F311" s="126" t="s">
        <v>22</v>
      </c>
      <c r="G311" s="126" t="s">
        <v>1664</v>
      </c>
      <c r="H311" s="131">
        <v>16</v>
      </c>
      <c r="I311" s="49" t="s">
        <v>3570</v>
      </c>
      <c r="J311" s="52">
        <v>2</v>
      </c>
      <c r="K311" s="49"/>
      <c r="L311" s="49" t="s">
        <v>3669</v>
      </c>
      <c r="M311" s="58"/>
    </row>
    <row r="312" spans="1:16" ht="15">
      <c r="A312" s="52">
        <v>310</v>
      </c>
      <c r="B312" s="60" t="s">
        <v>547</v>
      </c>
      <c r="C312" s="126" t="s">
        <v>548</v>
      </c>
      <c r="D312" s="52">
        <v>4</v>
      </c>
      <c r="E312" s="52" t="s">
        <v>2443</v>
      </c>
      <c r="F312" s="126" t="s">
        <v>22</v>
      </c>
      <c r="G312" s="126" t="s">
        <v>1664</v>
      </c>
      <c r="H312" s="131">
        <v>80</v>
      </c>
      <c r="I312" s="49" t="s">
        <v>3570</v>
      </c>
      <c r="J312" s="52">
        <v>2</v>
      </c>
      <c r="K312" s="49"/>
      <c r="L312" s="49" t="s">
        <v>3670</v>
      </c>
      <c r="M312" s="58"/>
    </row>
    <row r="313" spans="1:16" ht="15">
      <c r="A313" s="52">
        <v>311</v>
      </c>
      <c r="B313" s="53" t="s">
        <v>1136</v>
      </c>
      <c r="C313" s="126" t="s">
        <v>902</v>
      </c>
      <c r="D313" s="55">
        <v>2</v>
      </c>
      <c r="E313" s="52" t="s">
        <v>2443</v>
      </c>
      <c r="F313" s="126" t="s">
        <v>22</v>
      </c>
      <c r="G313" s="126" t="s">
        <v>1664</v>
      </c>
      <c r="H313" s="131">
        <v>64</v>
      </c>
      <c r="I313" s="49" t="s">
        <v>3570</v>
      </c>
      <c r="J313" s="52">
        <v>2</v>
      </c>
      <c r="K313" s="49" t="s">
        <v>3574</v>
      </c>
      <c r="L313" s="49" t="s">
        <v>3671</v>
      </c>
      <c r="M313" s="58"/>
    </row>
    <row r="314" spans="1:16" ht="15">
      <c r="A314" s="52">
        <v>312</v>
      </c>
      <c r="B314" s="53" t="s">
        <v>1319</v>
      </c>
      <c r="C314" s="126" t="s">
        <v>1321</v>
      </c>
      <c r="D314" s="55">
        <v>3</v>
      </c>
      <c r="E314" s="52" t="s">
        <v>2443</v>
      </c>
      <c r="F314" s="126" t="s">
        <v>22</v>
      </c>
      <c r="G314" s="126" t="s">
        <v>1664</v>
      </c>
      <c r="H314" s="131">
        <v>24</v>
      </c>
      <c r="I314" s="49" t="s">
        <v>3570</v>
      </c>
      <c r="J314" s="52">
        <v>2</v>
      </c>
      <c r="K314" s="49"/>
      <c r="L314" s="49" t="s">
        <v>3672</v>
      </c>
      <c r="M314" s="58"/>
    </row>
    <row r="315" spans="1:16" ht="15">
      <c r="A315" s="52">
        <v>313</v>
      </c>
      <c r="B315" s="60" t="s">
        <v>1174</v>
      </c>
      <c r="C315" s="126" t="s">
        <v>582</v>
      </c>
      <c r="D315" s="52">
        <v>10</v>
      </c>
      <c r="E315" s="52" t="s">
        <v>2443</v>
      </c>
      <c r="F315" s="126" t="s">
        <v>22</v>
      </c>
      <c r="G315" s="126" t="s">
        <v>1664</v>
      </c>
      <c r="H315" s="131">
        <v>80</v>
      </c>
      <c r="I315" s="49" t="s">
        <v>3570</v>
      </c>
      <c r="J315" s="52">
        <v>2</v>
      </c>
      <c r="K315" s="49"/>
      <c r="L315" s="49" t="s">
        <v>3673</v>
      </c>
      <c r="M315" s="58"/>
    </row>
    <row r="316" spans="1:16" ht="15">
      <c r="A316" s="52">
        <v>314</v>
      </c>
      <c r="B316" s="60" t="s">
        <v>1195</v>
      </c>
      <c r="C316" s="126" t="s">
        <v>1196</v>
      </c>
      <c r="D316" s="52">
        <v>10</v>
      </c>
      <c r="E316" s="52" t="s">
        <v>2443</v>
      </c>
      <c r="F316" s="126" t="s">
        <v>22</v>
      </c>
      <c r="G316" s="126" t="s">
        <v>1664</v>
      </c>
      <c r="H316" s="131">
        <v>80</v>
      </c>
      <c r="I316" s="49" t="s">
        <v>3570</v>
      </c>
      <c r="J316" s="52">
        <v>2</v>
      </c>
      <c r="K316" s="49"/>
      <c r="L316" s="49" t="s">
        <v>3674</v>
      </c>
      <c r="M316" s="58"/>
    </row>
    <row r="317" spans="1:16" ht="15">
      <c r="A317" s="52">
        <v>315</v>
      </c>
      <c r="B317" s="60" t="s">
        <v>1207</v>
      </c>
      <c r="C317" s="126" t="s">
        <v>1208</v>
      </c>
      <c r="D317" s="52">
        <v>3</v>
      </c>
      <c r="E317" s="52" t="s">
        <v>2443</v>
      </c>
      <c r="F317" s="126" t="s">
        <v>22</v>
      </c>
      <c r="G317" s="126" t="s">
        <v>1664</v>
      </c>
      <c r="H317" s="131">
        <v>24</v>
      </c>
      <c r="I317" s="49" t="s">
        <v>3570</v>
      </c>
      <c r="J317" s="52">
        <v>2</v>
      </c>
      <c r="K317" s="49"/>
      <c r="L317" s="49" t="s">
        <v>3675</v>
      </c>
      <c r="M317" s="58"/>
    </row>
    <row r="318" spans="1:16" ht="15">
      <c r="A318" s="52">
        <v>316</v>
      </c>
      <c r="B318" s="59" t="s">
        <v>904</v>
      </c>
      <c r="C318" s="126" t="s">
        <v>906</v>
      </c>
      <c r="D318" s="55">
        <v>6</v>
      </c>
      <c r="E318" s="52" t="s">
        <v>2388</v>
      </c>
      <c r="F318" s="126" t="s">
        <v>22</v>
      </c>
      <c r="G318" s="126" t="s">
        <v>1664</v>
      </c>
      <c r="H318" s="131">
        <v>136</v>
      </c>
      <c r="I318" s="49" t="s">
        <v>3559</v>
      </c>
      <c r="J318" s="52">
        <v>2</v>
      </c>
      <c r="K318" s="49"/>
      <c r="L318" s="49" t="s">
        <v>3676</v>
      </c>
      <c r="M318" s="58"/>
    </row>
    <row r="319" spans="1:16" s="62" customFormat="1" ht="15">
      <c r="A319" s="52">
        <v>317</v>
      </c>
      <c r="B319" s="53" t="s">
        <v>552</v>
      </c>
      <c r="C319" s="126" t="s">
        <v>21</v>
      </c>
      <c r="D319" s="55">
        <v>1</v>
      </c>
      <c r="E319" s="56" t="s">
        <v>2388</v>
      </c>
      <c r="F319" s="126" t="s">
        <v>22</v>
      </c>
      <c r="G319" s="126" t="s">
        <v>1664</v>
      </c>
      <c r="H319" s="131">
        <v>8</v>
      </c>
      <c r="I319" s="49" t="s">
        <v>3559</v>
      </c>
      <c r="J319" s="52">
        <v>2</v>
      </c>
      <c r="K319" s="49"/>
      <c r="L319" s="49" t="s">
        <v>3677</v>
      </c>
      <c r="M319" s="58"/>
      <c r="N319" s="10"/>
      <c r="O319" s="10"/>
      <c r="P319" s="10"/>
    </row>
    <row r="320" spans="1:16" s="62" customFormat="1" ht="15">
      <c r="A320" s="52">
        <v>318</v>
      </c>
      <c r="B320" s="53" t="s">
        <v>1277</v>
      </c>
      <c r="C320" s="126" t="s">
        <v>492</v>
      </c>
      <c r="D320" s="55">
        <v>4</v>
      </c>
      <c r="E320" s="52" t="s">
        <v>2388</v>
      </c>
      <c r="F320" s="126" t="s">
        <v>22</v>
      </c>
      <c r="G320" s="126" t="s">
        <v>1664</v>
      </c>
      <c r="H320" s="131">
        <v>32</v>
      </c>
      <c r="I320" s="49" t="s">
        <v>3563</v>
      </c>
      <c r="J320" s="52">
        <v>2</v>
      </c>
      <c r="K320" s="49"/>
      <c r="L320" s="49" t="s">
        <v>3678</v>
      </c>
      <c r="M320" s="58"/>
      <c r="N320" s="10"/>
      <c r="O320" s="10"/>
      <c r="P320" s="10"/>
    </row>
    <row r="321" spans="1:16" ht="15">
      <c r="A321" s="52">
        <v>319</v>
      </c>
      <c r="B321" s="53" t="s">
        <v>556</v>
      </c>
      <c r="C321" s="126" t="s">
        <v>558</v>
      </c>
      <c r="D321" s="55">
        <v>8</v>
      </c>
      <c r="E321" s="52" t="s">
        <v>2388</v>
      </c>
      <c r="F321" s="126" t="s">
        <v>22</v>
      </c>
      <c r="G321" s="126" t="s">
        <v>1664</v>
      </c>
      <c r="H321" s="131">
        <v>160</v>
      </c>
      <c r="I321" s="49" t="s">
        <v>3563</v>
      </c>
      <c r="J321" s="52">
        <v>2</v>
      </c>
      <c r="K321" s="49"/>
      <c r="L321" s="49" t="s">
        <v>3679</v>
      </c>
      <c r="M321" s="58"/>
    </row>
    <row r="322" spans="1:16" ht="15">
      <c r="A322" s="52">
        <v>320</v>
      </c>
      <c r="B322" s="60" t="s">
        <v>978</v>
      </c>
      <c r="C322" s="126" t="s">
        <v>979</v>
      </c>
      <c r="D322" s="55">
        <v>1</v>
      </c>
      <c r="E322" s="52" t="s">
        <v>2391</v>
      </c>
      <c r="F322" s="126" t="s">
        <v>22</v>
      </c>
      <c r="G322" s="126" t="s">
        <v>1664</v>
      </c>
      <c r="H322" s="131">
        <v>1</v>
      </c>
      <c r="I322" s="49" t="s">
        <v>2511</v>
      </c>
      <c r="J322" s="52">
        <v>2</v>
      </c>
      <c r="K322" s="49"/>
      <c r="L322" s="49" t="s">
        <v>3680</v>
      </c>
      <c r="M322" s="58"/>
    </row>
    <row r="323" spans="1:16" ht="15">
      <c r="A323" s="52">
        <v>321</v>
      </c>
      <c r="B323" s="53" t="s">
        <v>980</v>
      </c>
      <c r="C323" s="126" t="s">
        <v>979</v>
      </c>
      <c r="D323" s="55">
        <v>1</v>
      </c>
      <c r="E323" s="52" t="s">
        <v>2391</v>
      </c>
      <c r="F323" s="126" t="s">
        <v>22</v>
      </c>
      <c r="G323" s="126" t="s">
        <v>1664</v>
      </c>
      <c r="H323" s="131">
        <v>1</v>
      </c>
      <c r="I323" s="49" t="s">
        <v>2511</v>
      </c>
      <c r="J323" s="52">
        <v>2</v>
      </c>
      <c r="K323" s="49"/>
      <c r="L323" s="49" t="s">
        <v>3681</v>
      </c>
      <c r="M323" s="58"/>
    </row>
    <row r="324" spans="1:16" ht="15">
      <c r="A324" s="52">
        <v>322</v>
      </c>
      <c r="B324" s="53" t="s">
        <v>624</v>
      </c>
      <c r="C324" s="126" t="s">
        <v>625</v>
      </c>
      <c r="D324" s="55">
        <v>6</v>
      </c>
      <c r="E324" s="52" t="s">
        <v>2391</v>
      </c>
      <c r="F324" s="126" t="s">
        <v>22</v>
      </c>
      <c r="G324" s="126" t="s">
        <v>1664</v>
      </c>
      <c r="H324" s="131">
        <v>88</v>
      </c>
      <c r="I324" s="49" t="s">
        <v>3563</v>
      </c>
      <c r="J324" s="52">
        <v>2</v>
      </c>
      <c r="K324" s="49"/>
      <c r="L324" s="49" t="s">
        <v>3682</v>
      </c>
      <c r="M324" s="58"/>
    </row>
    <row r="325" spans="1:16" ht="15">
      <c r="A325" s="52">
        <v>323</v>
      </c>
      <c r="B325" s="53" t="s">
        <v>608</v>
      </c>
      <c r="C325" s="126" t="s">
        <v>609</v>
      </c>
      <c r="D325" s="55">
        <v>1</v>
      </c>
      <c r="E325" s="56" t="s">
        <v>2391</v>
      </c>
      <c r="F325" s="126" t="s">
        <v>22</v>
      </c>
      <c r="G325" s="126" t="s">
        <v>1664</v>
      </c>
      <c r="H325" s="131">
        <v>32</v>
      </c>
      <c r="I325" s="49" t="s">
        <v>3563</v>
      </c>
      <c r="J325" s="52">
        <v>2</v>
      </c>
      <c r="K325" s="49"/>
      <c r="L325" s="49" t="s">
        <v>3683</v>
      </c>
      <c r="M325" s="58"/>
    </row>
    <row r="326" spans="1:16" ht="15">
      <c r="A326" s="52">
        <v>324</v>
      </c>
      <c r="B326" s="53" t="s">
        <v>1187</v>
      </c>
      <c r="C326" s="126" t="s">
        <v>1188</v>
      </c>
      <c r="D326" s="55">
        <v>3</v>
      </c>
      <c r="E326" s="52" t="s">
        <v>2391</v>
      </c>
      <c r="F326" s="126" t="s">
        <v>22</v>
      </c>
      <c r="G326" s="126" t="s">
        <v>1664</v>
      </c>
      <c r="H326" s="131">
        <v>88</v>
      </c>
      <c r="I326" s="49" t="s">
        <v>3563</v>
      </c>
      <c r="J326" s="52">
        <v>2</v>
      </c>
      <c r="K326" s="49"/>
      <c r="L326" s="49" t="s">
        <v>3684</v>
      </c>
      <c r="M326" s="58">
        <v>45533</v>
      </c>
    </row>
    <row r="327" spans="1:16" ht="14.25" customHeight="1">
      <c r="A327" s="52">
        <v>325</v>
      </c>
      <c r="B327" s="60" t="s">
        <v>2368</v>
      </c>
      <c r="C327" s="126" t="s">
        <v>2369</v>
      </c>
      <c r="D327" s="52">
        <v>1</v>
      </c>
      <c r="E327" s="52" t="s">
        <v>2391</v>
      </c>
      <c r="F327" s="126" t="s">
        <v>22</v>
      </c>
      <c r="G327" s="126" t="s">
        <v>1664</v>
      </c>
      <c r="H327" s="131">
        <v>8</v>
      </c>
      <c r="I327" s="49" t="s">
        <v>3570</v>
      </c>
      <c r="J327" s="52">
        <v>2</v>
      </c>
      <c r="K327" s="49"/>
      <c r="L327" s="49" t="s">
        <v>3685</v>
      </c>
      <c r="M327" s="58"/>
    </row>
    <row r="328" spans="1:16" ht="14.25" customHeight="1">
      <c r="A328" s="52">
        <v>326</v>
      </c>
      <c r="B328" s="53" t="s">
        <v>590</v>
      </c>
      <c r="C328" s="126" t="s">
        <v>591</v>
      </c>
      <c r="D328" s="55">
        <v>8</v>
      </c>
      <c r="E328" s="52" t="s">
        <v>2391</v>
      </c>
      <c r="F328" s="126" t="s">
        <v>22</v>
      </c>
      <c r="G328" s="126" t="s">
        <v>1664</v>
      </c>
      <c r="H328" s="131">
        <v>80</v>
      </c>
      <c r="I328" s="49" t="s">
        <v>3570</v>
      </c>
      <c r="J328" s="52">
        <v>2</v>
      </c>
      <c r="K328" s="49"/>
      <c r="L328" s="49" t="s">
        <v>3686</v>
      </c>
      <c r="M328" s="58"/>
    </row>
    <row r="329" spans="1:16" ht="15">
      <c r="A329" s="52">
        <v>327</v>
      </c>
      <c r="B329" s="53" t="s">
        <v>629</v>
      </c>
      <c r="C329" s="126" t="s">
        <v>630</v>
      </c>
      <c r="D329" s="55">
        <v>14</v>
      </c>
      <c r="E329" s="52" t="s">
        <v>2391</v>
      </c>
      <c r="F329" s="126" t="s">
        <v>22</v>
      </c>
      <c r="G329" s="126" t="s">
        <v>1664</v>
      </c>
      <c r="H329" s="131">
        <v>112</v>
      </c>
      <c r="I329" s="49" t="s">
        <v>3570</v>
      </c>
      <c r="J329" s="52">
        <v>2</v>
      </c>
      <c r="K329" s="49"/>
      <c r="L329" s="49" t="s">
        <v>3687</v>
      </c>
      <c r="M329" s="58"/>
    </row>
    <row r="330" spans="1:16" ht="15">
      <c r="A330" s="52">
        <v>328</v>
      </c>
      <c r="B330" s="60" t="s">
        <v>1210</v>
      </c>
      <c r="C330" s="126" t="s">
        <v>611</v>
      </c>
      <c r="D330" s="52">
        <v>5</v>
      </c>
      <c r="E330" s="52" t="s">
        <v>2391</v>
      </c>
      <c r="F330" s="126" t="s">
        <v>22</v>
      </c>
      <c r="G330" s="126" t="s">
        <v>1664</v>
      </c>
      <c r="H330" s="131">
        <v>24</v>
      </c>
      <c r="I330" s="49" t="s">
        <v>3570</v>
      </c>
      <c r="J330" s="52">
        <v>2</v>
      </c>
      <c r="K330" s="49"/>
      <c r="L330" s="49" t="s">
        <v>3688</v>
      </c>
      <c r="M330" s="58"/>
    </row>
    <row r="331" spans="1:16" s="62" customFormat="1" ht="15">
      <c r="A331" s="52">
        <v>329</v>
      </c>
      <c r="B331" s="60" t="s">
        <v>2334</v>
      </c>
      <c r="C331" s="126" t="s">
        <v>232</v>
      </c>
      <c r="D331" s="52">
        <v>3</v>
      </c>
      <c r="E331" s="56" t="s">
        <v>3689</v>
      </c>
      <c r="F331" s="126" t="s">
        <v>22</v>
      </c>
      <c r="G331" s="126" t="s">
        <v>1664</v>
      </c>
      <c r="H331" s="131">
        <v>24</v>
      </c>
      <c r="I331" s="49" t="s">
        <v>3570</v>
      </c>
      <c r="J331" s="52">
        <v>2</v>
      </c>
      <c r="K331" s="49"/>
      <c r="L331" s="49" t="s">
        <v>3690</v>
      </c>
      <c r="M331" s="58"/>
      <c r="N331" s="10"/>
      <c r="O331" s="10"/>
      <c r="P331" s="10"/>
    </row>
    <row r="332" spans="1:16" ht="15">
      <c r="A332" s="52">
        <v>330</v>
      </c>
      <c r="B332" s="53" t="s">
        <v>780</v>
      </c>
      <c r="C332" s="126" t="s">
        <v>265</v>
      </c>
      <c r="D332" s="55">
        <v>2</v>
      </c>
      <c r="E332" s="56" t="s">
        <v>2385</v>
      </c>
      <c r="F332" s="126" t="s">
        <v>22</v>
      </c>
      <c r="G332" s="126" t="s">
        <v>1664</v>
      </c>
      <c r="H332" s="131">
        <v>16</v>
      </c>
      <c r="I332" s="49" t="s">
        <v>3563</v>
      </c>
      <c r="J332" s="52">
        <v>3</v>
      </c>
      <c r="K332" s="49"/>
      <c r="L332" s="49" t="s">
        <v>3691</v>
      </c>
      <c r="M332" s="58"/>
    </row>
    <row r="333" spans="1:16" ht="15">
      <c r="A333" s="52">
        <v>331</v>
      </c>
      <c r="B333" s="53" t="s">
        <v>781</v>
      </c>
      <c r="C333" s="126" t="s">
        <v>739</v>
      </c>
      <c r="D333" s="55">
        <v>1</v>
      </c>
      <c r="E333" s="56" t="s">
        <v>2385</v>
      </c>
      <c r="F333" s="126" t="s">
        <v>22</v>
      </c>
      <c r="G333" s="126" t="s">
        <v>1664</v>
      </c>
      <c r="H333" s="131">
        <v>8</v>
      </c>
      <c r="I333" s="49" t="s">
        <v>3563</v>
      </c>
      <c r="J333" s="52">
        <v>3</v>
      </c>
      <c r="K333" s="49"/>
      <c r="L333" s="49" t="s">
        <v>3692</v>
      </c>
      <c r="M333" s="58"/>
    </row>
    <row r="334" spans="1:16" ht="15">
      <c r="A334" s="52">
        <v>332</v>
      </c>
      <c r="B334" s="60" t="s">
        <v>1157</v>
      </c>
      <c r="C334" s="126" t="s">
        <v>558</v>
      </c>
      <c r="D334" s="52">
        <v>8</v>
      </c>
      <c r="E334" s="56" t="s">
        <v>2385</v>
      </c>
      <c r="F334" s="126" t="s">
        <v>22</v>
      </c>
      <c r="G334" s="126" t="s">
        <v>1664</v>
      </c>
      <c r="H334" s="131">
        <v>64</v>
      </c>
      <c r="I334" s="49" t="s">
        <v>3563</v>
      </c>
      <c r="J334" s="52">
        <v>3</v>
      </c>
      <c r="K334" s="49"/>
      <c r="L334" s="49" t="s">
        <v>3693</v>
      </c>
      <c r="M334" s="58"/>
    </row>
    <row r="335" spans="1:16" ht="15">
      <c r="A335" s="52">
        <v>333</v>
      </c>
      <c r="B335" s="60" t="s">
        <v>1370</v>
      </c>
      <c r="C335" s="126" t="s">
        <v>630</v>
      </c>
      <c r="D335" s="52">
        <v>2</v>
      </c>
      <c r="E335" s="56" t="s">
        <v>2385</v>
      </c>
      <c r="F335" s="126" t="s">
        <v>22</v>
      </c>
      <c r="G335" s="126" t="s">
        <v>1664</v>
      </c>
      <c r="H335" s="131">
        <v>16</v>
      </c>
      <c r="I335" s="49" t="s">
        <v>3563</v>
      </c>
      <c r="J335" s="52">
        <v>3</v>
      </c>
      <c r="K335" s="49"/>
      <c r="L335" s="49" t="s">
        <v>3694</v>
      </c>
      <c r="M335" s="58"/>
    </row>
    <row r="336" spans="1:16" ht="15">
      <c r="A336" s="52">
        <v>334</v>
      </c>
      <c r="B336" s="59" t="s">
        <v>646</v>
      </c>
      <c r="C336" s="126" t="s">
        <v>647</v>
      </c>
      <c r="D336" s="55">
        <v>3</v>
      </c>
      <c r="E336" s="56" t="s">
        <v>2385</v>
      </c>
      <c r="F336" s="126" t="s">
        <v>22</v>
      </c>
      <c r="G336" s="126" t="s">
        <v>1664</v>
      </c>
      <c r="H336" s="131">
        <v>104</v>
      </c>
      <c r="I336" s="49" t="s">
        <v>3563</v>
      </c>
      <c r="J336" s="52">
        <v>3</v>
      </c>
      <c r="K336" s="49"/>
      <c r="L336" s="49" t="s">
        <v>3695</v>
      </c>
      <c r="M336" s="58"/>
    </row>
    <row r="337" spans="1:13" ht="15">
      <c r="A337" s="52">
        <v>335</v>
      </c>
      <c r="B337" s="53" t="s">
        <v>1153</v>
      </c>
      <c r="C337" s="126" t="s">
        <v>558</v>
      </c>
      <c r="D337" s="55">
        <v>16</v>
      </c>
      <c r="E337" s="56" t="s">
        <v>2385</v>
      </c>
      <c r="F337" s="126" t="s">
        <v>22</v>
      </c>
      <c r="G337" s="126" t="s">
        <v>1664</v>
      </c>
      <c r="H337" s="131">
        <v>688</v>
      </c>
      <c r="I337" s="49" t="s">
        <v>3563</v>
      </c>
      <c r="J337" s="52">
        <v>3</v>
      </c>
      <c r="K337" s="49" t="s">
        <v>3574</v>
      </c>
      <c r="L337" s="49" t="s">
        <v>3696</v>
      </c>
      <c r="M337" s="58"/>
    </row>
    <row r="338" spans="1:13" ht="15">
      <c r="A338" s="52">
        <v>336</v>
      </c>
      <c r="B338" s="59" t="s">
        <v>579</v>
      </c>
      <c r="C338" s="126" t="s">
        <v>489</v>
      </c>
      <c r="D338" s="55">
        <v>6</v>
      </c>
      <c r="E338" s="56" t="s">
        <v>2385</v>
      </c>
      <c r="F338" s="126" t="s">
        <v>22</v>
      </c>
      <c r="G338" s="126" t="s">
        <v>1664</v>
      </c>
      <c r="H338" s="131">
        <v>64</v>
      </c>
      <c r="I338" s="49" t="s">
        <v>3570</v>
      </c>
      <c r="J338" s="52">
        <v>3</v>
      </c>
      <c r="K338" s="49"/>
      <c r="L338" s="49" t="s">
        <v>3697</v>
      </c>
      <c r="M338" s="58"/>
    </row>
    <row r="339" spans="1:13" ht="15">
      <c r="A339" s="52">
        <v>337</v>
      </c>
      <c r="B339" s="60" t="s">
        <v>1178</v>
      </c>
      <c r="C339" s="126" t="s">
        <v>587</v>
      </c>
      <c r="D339" s="52">
        <v>1</v>
      </c>
      <c r="E339" s="56" t="s">
        <v>2385</v>
      </c>
      <c r="F339" s="126" t="s">
        <v>22</v>
      </c>
      <c r="G339" s="126" t="s">
        <v>1664</v>
      </c>
      <c r="H339" s="131">
        <v>32</v>
      </c>
      <c r="I339" s="49" t="s">
        <v>3570</v>
      </c>
      <c r="J339" s="52">
        <v>3</v>
      </c>
      <c r="K339" s="49"/>
      <c r="L339" s="49" t="s">
        <v>3698</v>
      </c>
      <c r="M339" s="58"/>
    </row>
    <row r="340" spans="1:13" ht="15">
      <c r="A340" s="52">
        <v>338</v>
      </c>
      <c r="B340" s="60" t="s">
        <v>1179</v>
      </c>
      <c r="C340" s="126" t="s">
        <v>587</v>
      </c>
      <c r="D340" s="52">
        <v>4</v>
      </c>
      <c r="E340" s="56" t="s">
        <v>2385</v>
      </c>
      <c r="F340" s="126" t="s">
        <v>22</v>
      </c>
      <c r="G340" s="126" t="s">
        <v>1664</v>
      </c>
      <c r="H340" s="131">
        <v>64</v>
      </c>
      <c r="I340" s="49" t="s">
        <v>3570</v>
      </c>
      <c r="J340" s="52">
        <v>3</v>
      </c>
      <c r="K340" s="49"/>
      <c r="L340" s="49" t="s">
        <v>3699</v>
      </c>
      <c r="M340" s="58"/>
    </row>
    <row r="341" spans="1:13" ht="15">
      <c r="A341" s="52">
        <v>339</v>
      </c>
      <c r="B341" s="60" t="s">
        <v>624</v>
      </c>
      <c r="C341" s="126" t="s">
        <v>625</v>
      </c>
      <c r="D341" s="52">
        <v>4</v>
      </c>
      <c r="E341" s="56" t="s">
        <v>2385</v>
      </c>
      <c r="F341" s="126" t="s">
        <v>22</v>
      </c>
      <c r="G341" s="126" t="s">
        <v>1664</v>
      </c>
      <c r="H341" s="131">
        <v>88</v>
      </c>
      <c r="I341" s="49" t="s">
        <v>3570</v>
      </c>
      <c r="J341" s="52">
        <v>3</v>
      </c>
      <c r="K341" s="49"/>
      <c r="L341" s="49" t="s">
        <v>3700</v>
      </c>
      <c r="M341" s="58"/>
    </row>
    <row r="342" spans="1:13" ht="15">
      <c r="A342" s="52">
        <v>340</v>
      </c>
      <c r="B342" s="60" t="s">
        <v>1271</v>
      </c>
      <c r="C342" s="126" t="s">
        <v>630</v>
      </c>
      <c r="D342" s="52">
        <v>2</v>
      </c>
      <c r="E342" s="56" t="s">
        <v>2385</v>
      </c>
      <c r="F342" s="126" t="s">
        <v>22</v>
      </c>
      <c r="G342" s="126" t="s">
        <v>1664</v>
      </c>
      <c r="H342" s="131">
        <v>72</v>
      </c>
      <c r="I342" s="49" t="s">
        <v>3570</v>
      </c>
      <c r="J342" s="52">
        <v>3</v>
      </c>
      <c r="K342" s="49"/>
      <c r="L342" s="49" t="s">
        <v>3701</v>
      </c>
      <c r="M342" s="58"/>
    </row>
    <row r="343" spans="1:13" ht="15">
      <c r="A343" s="52">
        <v>341</v>
      </c>
      <c r="B343" s="60" t="s">
        <v>1280</v>
      </c>
      <c r="C343" s="126" t="s">
        <v>492</v>
      </c>
      <c r="D343" s="52">
        <v>12</v>
      </c>
      <c r="E343" s="56" t="s">
        <v>2385</v>
      </c>
      <c r="F343" s="126" t="s">
        <v>22</v>
      </c>
      <c r="G343" s="126" t="s">
        <v>1664</v>
      </c>
      <c r="H343" s="131">
        <v>96</v>
      </c>
      <c r="I343" s="49" t="s">
        <v>3570</v>
      </c>
      <c r="J343" s="52">
        <v>3</v>
      </c>
      <c r="K343" s="49"/>
      <c r="L343" s="49" t="s">
        <v>3702</v>
      </c>
      <c r="M343" s="58"/>
    </row>
    <row r="344" spans="1:13" ht="15">
      <c r="A344" s="52">
        <v>342</v>
      </c>
      <c r="B344" s="60" t="s">
        <v>776</v>
      </c>
      <c r="C344" s="126" t="s">
        <v>739</v>
      </c>
      <c r="D344" s="52">
        <v>1</v>
      </c>
      <c r="E344" s="56" t="s">
        <v>2417</v>
      </c>
      <c r="F344" s="126" t="s">
        <v>22</v>
      </c>
      <c r="G344" s="126" t="s">
        <v>1664</v>
      </c>
      <c r="H344" s="131">
        <v>8</v>
      </c>
      <c r="I344" s="49" t="s">
        <v>3559</v>
      </c>
      <c r="J344" s="52">
        <v>3</v>
      </c>
      <c r="K344" s="49"/>
      <c r="L344" s="49" t="s">
        <v>3703</v>
      </c>
      <c r="M344" s="58"/>
    </row>
    <row r="345" spans="1:13" ht="15">
      <c r="A345" s="52">
        <v>343</v>
      </c>
      <c r="B345" s="60" t="s">
        <v>777</v>
      </c>
      <c r="C345" s="126" t="s">
        <v>778</v>
      </c>
      <c r="D345" s="52">
        <v>3</v>
      </c>
      <c r="E345" s="56" t="s">
        <v>2417</v>
      </c>
      <c r="F345" s="126" t="s">
        <v>22</v>
      </c>
      <c r="G345" s="126" t="s">
        <v>1664</v>
      </c>
      <c r="H345" s="131">
        <v>24</v>
      </c>
      <c r="I345" s="49" t="s">
        <v>3559</v>
      </c>
      <c r="J345" s="52">
        <v>3</v>
      </c>
      <c r="K345" s="49"/>
      <c r="L345" s="49" t="s">
        <v>3704</v>
      </c>
      <c r="M345" s="58"/>
    </row>
    <row r="346" spans="1:13" ht="15">
      <c r="A346" s="52">
        <v>344</v>
      </c>
      <c r="B346" s="53" t="s">
        <v>1175</v>
      </c>
      <c r="C346" s="126" t="s">
        <v>587</v>
      </c>
      <c r="D346" s="55">
        <v>2</v>
      </c>
      <c r="E346" s="56" t="s">
        <v>2417</v>
      </c>
      <c r="F346" s="126" t="s">
        <v>22</v>
      </c>
      <c r="G346" s="126" t="s">
        <v>1664</v>
      </c>
      <c r="H346" s="131">
        <v>16</v>
      </c>
      <c r="I346" s="49" t="s">
        <v>3559</v>
      </c>
      <c r="J346" s="52">
        <v>3</v>
      </c>
      <c r="K346" s="49"/>
      <c r="L346" s="49" t="s">
        <v>3705</v>
      </c>
      <c r="M346" s="58">
        <v>45533</v>
      </c>
    </row>
    <row r="347" spans="1:13" ht="15">
      <c r="A347" s="52">
        <v>345</v>
      </c>
      <c r="B347" s="59" t="s">
        <v>1142</v>
      </c>
      <c r="C347" s="126" t="s">
        <v>1049</v>
      </c>
      <c r="D347" s="55">
        <v>1</v>
      </c>
      <c r="E347" s="56" t="s">
        <v>2394</v>
      </c>
      <c r="F347" s="126" t="s">
        <v>22</v>
      </c>
      <c r="G347" s="126" t="s">
        <v>1664</v>
      </c>
      <c r="H347" s="131">
        <v>64</v>
      </c>
      <c r="I347" s="49" t="s">
        <v>3706</v>
      </c>
      <c r="J347" s="52">
        <v>3</v>
      </c>
      <c r="K347" s="49"/>
      <c r="L347" s="49" t="s">
        <v>3707</v>
      </c>
      <c r="M347" s="58"/>
    </row>
    <row r="348" spans="1:13" ht="15">
      <c r="A348" s="52">
        <v>346</v>
      </c>
      <c r="B348" s="60" t="s">
        <v>799</v>
      </c>
      <c r="C348" s="126" t="s">
        <v>485</v>
      </c>
      <c r="D348" s="52">
        <v>2</v>
      </c>
      <c r="E348" s="56" t="s">
        <v>2394</v>
      </c>
      <c r="F348" s="126" t="s">
        <v>22</v>
      </c>
      <c r="G348" s="126" t="s">
        <v>1664</v>
      </c>
      <c r="H348" s="131">
        <v>16</v>
      </c>
      <c r="I348" s="49" t="s">
        <v>3563</v>
      </c>
      <c r="J348" s="52">
        <v>3</v>
      </c>
      <c r="K348" s="49"/>
      <c r="L348" s="49" t="s">
        <v>3708</v>
      </c>
      <c r="M348" s="58"/>
    </row>
    <row r="349" spans="1:13" ht="15">
      <c r="A349" s="52">
        <v>347</v>
      </c>
      <c r="B349" s="60" t="s">
        <v>1048</v>
      </c>
      <c r="C349" s="126" t="s">
        <v>1049</v>
      </c>
      <c r="D349" s="52">
        <v>7</v>
      </c>
      <c r="E349" s="56" t="s">
        <v>2394</v>
      </c>
      <c r="F349" s="126" t="s">
        <v>22</v>
      </c>
      <c r="G349" s="126" t="s">
        <v>1664</v>
      </c>
      <c r="H349" s="131">
        <v>56</v>
      </c>
      <c r="I349" s="49" t="s">
        <v>3563</v>
      </c>
      <c r="J349" s="52">
        <v>3</v>
      </c>
      <c r="K349" s="49"/>
      <c r="L349" s="49" t="s">
        <v>3709</v>
      </c>
      <c r="M349" s="58"/>
    </row>
    <row r="350" spans="1:13" ht="15">
      <c r="A350" s="52">
        <v>348</v>
      </c>
      <c r="B350" s="53" t="s">
        <v>1153</v>
      </c>
      <c r="C350" s="126" t="s">
        <v>558</v>
      </c>
      <c r="D350" s="55">
        <v>16</v>
      </c>
      <c r="E350" s="56" t="s">
        <v>2394</v>
      </c>
      <c r="F350" s="126" t="s">
        <v>22</v>
      </c>
      <c r="G350" s="126" t="s">
        <v>1664</v>
      </c>
      <c r="H350" s="131">
        <v>688</v>
      </c>
      <c r="I350" s="49" t="s">
        <v>3563</v>
      </c>
      <c r="J350" s="52">
        <v>3</v>
      </c>
      <c r="K350" s="49" t="s">
        <v>3574</v>
      </c>
      <c r="L350" s="49" t="s">
        <v>3710</v>
      </c>
      <c r="M350" s="58">
        <v>45475</v>
      </c>
    </row>
    <row r="351" spans="1:13" ht="15">
      <c r="A351" s="52">
        <v>349</v>
      </c>
      <c r="B351" s="60" t="s">
        <v>1156</v>
      </c>
      <c r="C351" s="126" t="s">
        <v>558</v>
      </c>
      <c r="D351" s="52">
        <v>8</v>
      </c>
      <c r="E351" s="56" t="s">
        <v>2394</v>
      </c>
      <c r="F351" s="126" t="s">
        <v>22</v>
      </c>
      <c r="G351" s="126" t="s">
        <v>1664</v>
      </c>
      <c r="H351" s="131">
        <v>64</v>
      </c>
      <c r="I351" s="49" t="s">
        <v>3563</v>
      </c>
      <c r="J351" s="52">
        <v>3</v>
      </c>
      <c r="K351" s="49"/>
      <c r="L351" s="49" t="s">
        <v>3711</v>
      </c>
      <c r="M351" s="58"/>
    </row>
    <row r="352" spans="1:13" ht="15">
      <c r="A352" s="52">
        <v>350</v>
      </c>
      <c r="B352" s="60" t="s">
        <v>1221</v>
      </c>
      <c r="C352" s="126" t="s">
        <v>489</v>
      </c>
      <c r="D352" s="52">
        <v>32</v>
      </c>
      <c r="E352" s="56" t="s">
        <v>2394</v>
      </c>
      <c r="F352" s="126" t="s">
        <v>22</v>
      </c>
      <c r="G352" s="126" t="s">
        <v>1664</v>
      </c>
      <c r="H352" s="131">
        <v>256</v>
      </c>
      <c r="I352" s="49" t="s">
        <v>3563</v>
      </c>
      <c r="J352" s="52">
        <v>3</v>
      </c>
      <c r="K352" s="49"/>
      <c r="L352" s="49" t="s">
        <v>3712</v>
      </c>
      <c r="M352" s="58"/>
    </row>
    <row r="353" spans="1:13" ht="15">
      <c r="A353" s="52">
        <v>351</v>
      </c>
      <c r="B353" s="60" t="s">
        <v>1226</v>
      </c>
      <c r="C353" s="126" t="s">
        <v>1228</v>
      </c>
      <c r="D353" s="52">
        <v>8</v>
      </c>
      <c r="E353" s="56" t="s">
        <v>2394</v>
      </c>
      <c r="F353" s="126" t="s">
        <v>22</v>
      </c>
      <c r="G353" s="126" t="s">
        <v>1664</v>
      </c>
      <c r="H353" s="131">
        <v>64</v>
      </c>
      <c r="I353" s="49" t="s">
        <v>3563</v>
      </c>
      <c r="J353" s="52">
        <v>3</v>
      </c>
      <c r="K353" s="49"/>
      <c r="L353" s="188" t="s">
        <v>3713</v>
      </c>
      <c r="M353" s="58"/>
    </row>
    <row r="354" spans="1:13" ht="15">
      <c r="A354" s="52">
        <v>352</v>
      </c>
      <c r="B354" s="60" t="s">
        <v>1238</v>
      </c>
      <c r="C354" s="126" t="s">
        <v>558</v>
      </c>
      <c r="D354" s="52">
        <v>2</v>
      </c>
      <c r="E354" s="56" t="s">
        <v>2394</v>
      </c>
      <c r="F354" s="126" t="s">
        <v>22</v>
      </c>
      <c r="G354" s="126" t="s">
        <v>1664</v>
      </c>
      <c r="H354" s="131">
        <v>16</v>
      </c>
      <c r="I354" s="49" t="s">
        <v>3563</v>
      </c>
      <c r="J354" s="52">
        <v>3</v>
      </c>
      <c r="K354" s="49"/>
      <c r="L354" s="49" t="s">
        <v>3714</v>
      </c>
      <c r="M354" s="58"/>
    </row>
    <row r="355" spans="1:13" ht="15">
      <c r="A355" s="52">
        <v>353</v>
      </c>
      <c r="B355" s="60" t="s">
        <v>752</v>
      </c>
      <c r="C355" s="126" t="s">
        <v>489</v>
      </c>
      <c r="D355" s="52">
        <v>1</v>
      </c>
      <c r="E355" s="56" t="s">
        <v>2427</v>
      </c>
      <c r="F355" s="126" t="s">
        <v>22</v>
      </c>
      <c r="G355" s="126" t="s">
        <v>1664</v>
      </c>
      <c r="H355" s="131">
        <v>112</v>
      </c>
      <c r="I355" s="49" t="s">
        <v>3559</v>
      </c>
      <c r="J355" s="52">
        <v>3</v>
      </c>
      <c r="K355" s="49"/>
      <c r="L355" s="49" t="s">
        <v>3715</v>
      </c>
      <c r="M355" s="58"/>
    </row>
    <row r="356" spans="1:13" ht="15">
      <c r="A356" s="52">
        <v>354</v>
      </c>
      <c r="B356" s="53" t="s">
        <v>1276</v>
      </c>
      <c r="C356" s="126" t="s">
        <v>492</v>
      </c>
      <c r="D356" s="55">
        <v>1</v>
      </c>
      <c r="E356" s="56" t="s">
        <v>2427</v>
      </c>
      <c r="F356" s="126" t="s">
        <v>22</v>
      </c>
      <c r="G356" s="126" t="s">
        <v>1664</v>
      </c>
      <c r="H356" s="131">
        <v>32</v>
      </c>
      <c r="I356" s="49" t="s">
        <v>3559</v>
      </c>
      <c r="J356" s="52">
        <v>3</v>
      </c>
      <c r="K356" s="49"/>
      <c r="L356" s="49" t="s">
        <v>3716</v>
      </c>
      <c r="M356" s="58"/>
    </row>
    <row r="357" spans="1:13" ht="15">
      <c r="A357" s="52">
        <v>355</v>
      </c>
      <c r="B357" s="60" t="s">
        <v>1151</v>
      </c>
      <c r="C357" s="126" t="s">
        <v>558</v>
      </c>
      <c r="D357" s="52">
        <v>1</v>
      </c>
      <c r="E357" s="56" t="s">
        <v>2427</v>
      </c>
      <c r="F357" s="126" t="s">
        <v>22</v>
      </c>
      <c r="G357" s="126" t="s">
        <v>1664</v>
      </c>
      <c r="H357" s="131">
        <v>8</v>
      </c>
      <c r="I357" s="49" t="s">
        <v>3563</v>
      </c>
      <c r="J357" s="52">
        <v>3</v>
      </c>
      <c r="K357" s="49"/>
      <c r="L357" s="49" t="s">
        <v>3717</v>
      </c>
      <c r="M357" s="58"/>
    </row>
    <row r="358" spans="1:13" ht="15">
      <c r="A358" s="52">
        <v>356</v>
      </c>
      <c r="B358" s="60" t="s">
        <v>524</v>
      </c>
      <c r="C358" s="126" t="s">
        <v>526</v>
      </c>
      <c r="D358" s="52">
        <v>2</v>
      </c>
      <c r="E358" s="56" t="s">
        <v>2427</v>
      </c>
      <c r="F358" s="126" t="s">
        <v>22</v>
      </c>
      <c r="G358" s="126" t="s">
        <v>1664</v>
      </c>
      <c r="H358" s="131">
        <v>16</v>
      </c>
      <c r="I358" s="49" t="s">
        <v>3563</v>
      </c>
      <c r="J358" s="52">
        <v>3</v>
      </c>
      <c r="K358" s="49"/>
      <c r="L358" s="49" t="s">
        <v>3718</v>
      </c>
      <c r="M358" s="58"/>
    </row>
    <row r="359" spans="1:13" ht="15">
      <c r="A359" s="52">
        <v>357</v>
      </c>
      <c r="B359" s="60" t="s">
        <v>711</v>
      </c>
      <c r="C359" s="126" t="s">
        <v>712</v>
      </c>
      <c r="D359" s="52">
        <v>2</v>
      </c>
      <c r="E359" s="56" t="s">
        <v>2427</v>
      </c>
      <c r="F359" s="126" t="s">
        <v>22</v>
      </c>
      <c r="G359" s="126" t="s">
        <v>1664</v>
      </c>
      <c r="H359" s="131">
        <v>16</v>
      </c>
      <c r="I359" s="49" t="s">
        <v>3563</v>
      </c>
      <c r="J359" s="52">
        <v>3</v>
      </c>
      <c r="K359" s="49"/>
      <c r="L359" s="49" t="s">
        <v>3719</v>
      </c>
      <c r="M359" s="58"/>
    </row>
    <row r="360" spans="1:13" ht="15">
      <c r="A360" s="52">
        <v>358</v>
      </c>
      <c r="B360" s="60" t="s">
        <v>763</v>
      </c>
      <c r="C360" s="126" t="s">
        <v>764</v>
      </c>
      <c r="D360" s="52">
        <v>1</v>
      </c>
      <c r="E360" s="56" t="s">
        <v>2437</v>
      </c>
      <c r="F360" s="126" t="s">
        <v>22</v>
      </c>
      <c r="G360" s="126" t="s">
        <v>1664</v>
      </c>
      <c r="H360" s="131">
        <v>8</v>
      </c>
      <c r="I360" s="49" t="s">
        <v>3563</v>
      </c>
      <c r="J360" s="52">
        <v>3</v>
      </c>
      <c r="K360" s="49"/>
      <c r="L360" s="49" t="s">
        <v>3720</v>
      </c>
      <c r="M360" s="58"/>
    </row>
    <row r="361" spans="1:13" ht="15">
      <c r="A361" s="52">
        <v>359</v>
      </c>
      <c r="B361" s="60" t="s">
        <v>801</v>
      </c>
      <c r="C361" s="126" t="s">
        <v>485</v>
      </c>
      <c r="D361" s="52">
        <v>2</v>
      </c>
      <c r="E361" s="56" t="s">
        <v>2437</v>
      </c>
      <c r="F361" s="126" t="s">
        <v>22</v>
      </c>
      <c r="G361" s="126" t="s">
        <v>1664</v>
      </c>
      <c r="H361" s="131">
        <v>16</v>
      </c>
      <c r="I361" s="49" t="s">
        <v>3563</v>
      </c>
      <c r="J361" s="52">
        <v>3</v>
      </c>
      <c r="K361" s="49"/>
      <c r="L361" s="49" t="s">
        <v>3721</v>
      </c>
      <c r="M361" s="58"/>
    </row>
    <row r="362" spans="1:13" ht="15">
      <c r="A362" s="52">
        <v>360</v>
      </c>
      <c r="B362" s="60" t="s">
        <v>509</v>
      </c>
      <c r="C362" s="126" t="s">
        <v>21</v>
      </c>
      <c r="D362" s="52">
        <v>2</v>
      </c>
      <c r="E362" s="56" t="s">
        <v>2437</v>
      </c>
      <c r="F362" s="126" t="s">
        <v>22</v>
      </c>
      <c r="G362" s="126" t="s">
        <v>1664</v>
      </c>
      <c r="H362" s="131">
        <v>16</v>
      </c>
      <c r="I362" s="49" t="s">
        <v>3563</v>
      </c>
      <c r="J362" s="52">
        <v>3</v>
      </c>
      <c r="K362" s="49"/>
      <c r="L362" s="49" t="s">
        <v>3722</v>
      </c>
      <c r="M362" s="58"/>
    </row>
    <row r="363" spans="1:13" ht="15">
      <c r="A363" s="52">
        <v>361</v>
      </c>
      <c r="B363" s="60" t="s">
        <v>869</v>
      </c>
      <c r="C363" s="126" t="s">
        <v>21</v>
      </c>
      <c r="D363" s="52">
        <v>2</v>
      </c>
      <c r="E363" s="56" t="s">
        <v>2437</v>
      </c>
      <c r="F363" s="126" t="s">
        <v>22</v>
      </c>
      <c r="G363" s="126" t="s">
        <v>1664</v>
      </c>
      <c r="H363" s="131">
        <v>16</v>
      </c>
      <c r="I363" s="49" t="s">
        <v>3563</v>
      </c>
      <c r="J363" s="52">
        <v>3</v>
      </c>
      <c r="K363" s="49"/>
      <c r="L363" s="49" t="s">
        <v>3723</v>
      </c>
      <c r="M363" s="58"/>
    </row>
    <row r="364" spans="1:13" ht="15">
      <c r="A364" s="52">
        <v>362</v>
      </c>
      <c r="B364" s="60" t="s">
        <v>1308</v>
      </c>
      <c r="C364" s="126" t="s">
        <v>1309</v>
      </c>
      <c r="D364" s="52">
        <v>1</v>
      </c>
      <c r="E364" s="56" t="s">
        <v>2437</v>
      </c>
      <c r="F364" s="126" t="s">
        <v>22</v>
      </c>
      <c r="G364" s="126" t="s">
        <v>1664</v>
      </c>
      <c r="H364" s="131">
        <v>8</v>
      </c>
      <c r="I364" s="49" t="s">
        <v>3563</v>
      </c>
      <c r="J364" s="52">
        <v>3</v>
      </c>
      <c r="K364" s="49"/>
      <c r="L364" s="49" t="s">
        <v>3724</v>
      </c>
      <c r="M364" s="58"/>
    </row>
    <row r="365" spans="1:13" ht="15">
      <c r="A365" s="52">
        <v>363</v>
      </c>
      <c r="B365" s="53" t="s">
        <v>637</v>
      </c>
      <c r="C365" s="126" t="s">
        <v>638</v>
      </c>
      <c r="D365" s="55">
        <v>2</v>
      </c>
      <c r="E365" s="56" t="s">
        <v>2437</v>
      </c>
      <c r="F365" s="126" t="s">
        <v>22</v>
      </c>
      <c r="G365" s="126" t="s">
        <v>1664</v>
      </c>
      <c r="H365" s="131">
        <v>240</v>
      </c>
      <c r="I365" s="49" t="s">
        <v>3563</v>
      </c>
      <c r="J365" s="52">
        <v>3</v>
      </c>
      <c r="K365" s="49"/>
      <c r="L365" s="49" t="s">
        <v>3725</v>
      </c>
      <c r="M365" s="58"/>
    </row>
    <row r="366" spans="1:13" ht="15">
      <c r="A366" s="52">
        <v>364</v>
      </c>
      <c r="B366" s="60" t="s">
        <v>585</v>
      </c>
      <c r="C366" s="126" t="s">
        <v>587</v>
      </c>
      <c r="D366" s="52">
        <v>2</v>
      </c>
      <c r="E366" s="56" t="s">
        <v>2437</v>
      </c>
      <c r="F366" s="126" t="s">
        <v>22</v>
      </c>
      <c r="G366" s="126" t="s">
        <v>1664</v>
      </c>
      <c r="H366" s="131">
        <v>48</v>
      </c>
      <c r="I366" s="49" t="s">
        <v>3563</v>
      </c>
      <c r="J366" s="52">
        <v>3</v>
      </c>
      <c r="K366" s="49"/>
      <c r="L366" s="49" t="s">
        <v>3726</v>
      </c>
      <c r="M366" s="58"/>
    </row>
    <row r="367" spans="1:13" ht="15">
      <c r="A367" s="52">
        <v>365</v>
      </c>
      <c r="B367" s="60" t="s">
        <v>1180</v>
      </c>
      <c r="C367" s="126" t="s">
        <v>587</v>
      </c>
      <c r="D367" s="52">
        <v>4</v>
      </c>
      <c r="E367" s="56" t="s">
        <v>2437</v>
      </c>
      <c r="F367" s="126" t="s">
        <v>22</v>
      </c>
      <c r="G367" s="126" t="s">
        <v>1664</v>
      </c>
      <c r="H367" s="131">
        <v>32</v>
      </c>
      <c r="I367" s="49" t="s">
        <v>3570</v>
      </c>
      <c r="J367" s="52">
        <v>3</v>
      </c>
      <c r="K367" s="49" t="s">
        <v>3727</v>
      </c>
      <c r="L367" s="49" t="s">
        <v>3728</v>
      </c>
      <c r="M367" s="58"/>
    </row>
    <row r="368" spans="1:13" ht="15">
      <c r="A368" s="52">
        <v>366</v>
      </c>
      <c r="B368" s="60" t="s">
        <v>637</v>
      </c>
      <c r="C368" s="126" t="s">
        <v>638</v>
      </c>
      <c r="D368" s="52">
        <v>4</v>
      </c>
      <c r="E368" s="56" t="s">
        <v>2443</v>
      </c>
      <c r="F368" s="126" t="s">
        <v>22</v>
      </c>
      <c r="G368" s="126" t="s">
        <v>1664</v>
      </c>
      <c r="H368" s="131">
        <v>240</v>
      </c>
      <c r="I368" s="49" t="s">
        <v>3563</v>
      </c>
      <c r="J368" s="52">
        <v>3</v>
      </c>
      <c r="K368" s="49"/>
      <c r="L368" s="49" t="s">
        <v>3729</v>
      </c>
      <c r="M368" s="58"/>
    </row>
    <row r="369" spans="1:16" ht="15">
      <c r="A369" s="52">
        <v>367</v>
      </c>
      <c r="B369" s="60" t="s">
        <v>694</v>
      </c>
      <c r="C369" s="126" t="s">
        <v>695</v>
      </c>
      <c r="D369" s="52">
        <v>4</v>
      </c>
      <c r="E369" s="56" t="s">
        <v>2443</v>
      </c>
      <c r="F369" s="126" t="s">
        <v>22</v>
      </c>
      <c r="G369" s="126" t="s">
        <v>1664</v>
      </c>
      <c r="H369" s="131">
        <v>32</v>
      </c>
      <c r="I369" s="49" t="s">
        <v>3563</v>
      </c>
      <c r="J369" s="52">
        <v>3</v>
      </c>
      <c r="K369" s="49"/>
      <c r="L369" s="49" t="s">
        <v>3730</v>
      </c>
      <c r="M369" s="58"/>
    </row>
    <row r="370" spans="1:16" ht="15">
      <c r="A370" s="52">
        <v>368</v>
      </c>
      <c r="B370" s="60" t="s">
        <v>579</v>
      </c>
      <c r="C370" s="126" t="s">
        <v>489</v>
      </c>
      <c r="D370" s="52">
        <v>1</v>
      </c>
      <c r="E370" s="56" t="s">
        <v>2443</v>
      </c>
      <c r="F370" s="126" t="s">
        <v>22</v>
      </c>
      <c r="G370" s="126" t="s">
        <v>1664</v>
      </c>
      <c r="H370" s="131">
        <v>64</v>
      </c>
      <c r="I370" s="49" t="s">
        <v>3563</v>
      </c>
      <c r="J370" s="52">
        <v>3</v>
      </c>
      <c r="K370" s="49"/>
      <c r="L370" s="49" t="s">
        <v>3731</v>
      </c>
      <c r="M370" s="58"/>
    </row>
    <row r="371" spans="1:16" ht="15">
      <c r="A371" s="52">
        <v>369</v>
      </c>
      <c r="B371" s="60" t="s">
        <v>466</v>
      </c>
      <c r="C371" s="126" t="s">
        <v>468</v>
      </c>
      <c r="D371" s="52">
        <v>1</v>
      </c>
      <c r="E371" s="56" t="s">
        <v>2443</v>
      </c>
      <c r="F371" s="126" t="s">
        <v>22</v>
      </c>
      <c r="G371" s="126" t="s">
        <v>1664</v>
      </c>
      <c r="H371" s="131">
        <v>8</v>
      </c>
      <c r="I371" s="49" t="s">
        <v>3570</v>
      </c>
      <c r="J371" s="52">
        <v>3</v>
      </c>
      <c r="K371" s="49"/>
      <c r="L371" s="49" t="s">
        <v>3732</v>
      </c>
      <c r="M371" s="58"/>
    </row>
    <row r="372" spans="1:16" ht="15">
      <c r="A372" s="52">
        <v>370</v>
      </c>
      <c r="B372" s="60" t="s">
        <v>809</v>
      </c>
      <c r="C372" s="126" t="s">
        <v>41</v>
      </c>
      <c r="D372" s="52">
        <v>1</v>
      </c>
      <c r="E372" s="56" t="s">
        <v>2443</v>
      </c>
      <c r="F372" s="126" t="s">
        <v>22</v>
      </c>
      <c r="G372" s="126" t="s">
        <v>1664</v>
      </c>
      <c r="H372" s="131">
        <v>8</v>
      </c>
      <c r="I372" s="49" t="s">
        <v>3570</v>
      </c>
      <c r="J372" s="52">
        <v>3</v>
      </c>
      <c r="K372" s="49"/>
      <c r="L372" s="49" t="s">
        <v>3733</v>
      </c>
      <c r="M372" s="58"/>
    </row>
    <row r="373" spans="1:16" ht="15">
      <c r="A373" s="52">
        <v>371</v>
      </c>
      <c r="B373" s="60" t="s">
        <v>1163</v>
      </c>
      <c r="C373" s="126" t="s">
        <v>1164</v>
      </c>
      <c r="D373" s="52">
        <v>2</v>
      </c>
      <c r="E373" s="52" t="s">
        <v>2443</v>
      </c>
      <c r="F373" s="126" t="s">
        <v>22</v>
      </c>
      <c r="G373" s="126" t="s">
        <v>1664</v>
      </c>
      <c r="H373" s="131">
        <v>16</v>
      </c>
      <c r="I373" s="49" t="s">
        <v>3570</v>
      </c>
      <c r="J373" s="52">
        <v>3</v>
      </c>
      <c r="K373" s="49"/>
      <c r="L373" s="49" t="s">
        <v>3734</v>
      </c>
      <c r="M373" s="58"/>
    </row>
    <row r="374" spans="1:16" ht="15">
      <c r="A374" s="52">
        <v>372</v>
      </c>
      <c r="B374" s="60" t="s">
        <v>1153</v>
      </c>
      <c r="C374" s="126" t="s">
        <v>558</v>
      </c>
      <c r="D374" s="52">
        <v>16</v>
      </c>
      <c r="E374" s="52" t="s">
        <v>2388</v>
      </c>
      <c r="F374" s="126" t="s">
        <v>22</v>
      </c>
      <c r="G374" s="126" t="s">
        <v>1664</v>
      </c>
      <c r="H374" s="131">
        <v>688</v>
      </c>
      <c r="I374" s="49" t="s">
        <v>3563</v>
      </c>
      <c r="J374" s="52">
        <v>3</v>
      </c>
      <c r="K374" s="49" t="s">
        <v>3574</v>
      </c>
      <c r="L374" s="49" t="s">
        <v>3735</v>
      </c>
      <c r="M374" s="58"/>
    </row>
    <row r="375" spans="1:16" s="62" customFormat="1" ht="15">
      <c r="A375" s="52">
        <v>373</v>
      </c>
      <c r="B375" s="60" t="s">
        <v>1157</v>
      </c>
      <c r="C375" s="126" t="s">
        <v>558</v>
      </c>
      <c r="D375" s="52">
        <v>8</v>
      </c>
      <c r="E375" s="52" t="s">
        <v>2391</v>
      </c>
      <c r="F375" s="126" t="s">
        <v>22</v>
      </c>
      <c r="G375" s="126" t="s">
        <v>1664</v>
      </c>
      <c r="H375" s="131">
        <v>64</v>
      </c>
      <c r="I375" s="49" t="s">
        <v>3559</v>
      </c>
      <c r="J375" s="52">
        <v>3</v>
      </c>
      <c r="K375" s="49"/>
      <c r="L375" s="49" t="s">
        <v>3736</v>
      </c>
      <c r="M375" s="58"/>
      <c r="N375" s="10"/>
      <c r="O375" s="10"/>
      <c r="P375" s="10"/>
    </row>
    <row r="376" spans="1:16" ht="15">
      <c r="A376" s="52">
        <v>374</v>
      </c>
      <c r="B376" s="60" t="s">
        <v>1175</v>
      </c>
      <c r="C376" s="126" t="s">
        <v>587</v>
      </c>
      <c r="D376" s="52">
        <v>2</v>
      </c>
      <c r="E376" s="52" t="s">
        <v>2391</v>
      </c>
      <c r="F376" s="126" t="s">
        <v>22</v>
      </c>
      <c r="G376" s="126" t="s">
        <v>1664</v>
      </c>
      <c r="H376" s="131">
        <v>16</v>
      </c>
      <c r="I376" s="49" t="s">
        <v>3559</v>
      </c>
      <c r="J376" s="52">
        <v>3</v>
      </c>
      <c r="K376" s="49"/>
      <c r="L376" s="49" t="s">
        <v>3737</v>
      </c>
      <c r="M376" s="58"/>
    </row>
    <row r="377" spans="1:16" ht="15">
      <c r="A377" s="52">
        <v>375</v>
      </c>
      <c r="B377" s="60" t="s">
        <v>752</v>
      </c>
      <c r="C377" s="126" t="s">
        <v>489</v>
      </c>
      <c r="D377" s="52">
        <v>4</v>
      </c>
      <c r="E377" s="52" t="s">
        <v>2391</v>
      </c>
      <c r="F377" s="126" t="s">
        <v>22</v>
      </c>
      <c r="G377" s="126" t="s">
        <v>1664</v>
      </c>
      <c r="H377" s="131">
        <v>112</v>
      </c>
      <c r="I377" s="49" t="s">
        <v>3559</v>
      </c>
      <c r="J377" s="52">
        <v>3</v>
      </c>
      <c r="K377" s="49"/>
      <c r="L377" s="49" t="s">
        <v>3738</v>
      </c>
      <c r="M377" s="58"/>
    </row>
    <row r="378" spans="1:16" ht="15">
      <c r="A378" s="52">
        <v>376</v>
      </c>
      <c r="B378" s="60" t="s">
        <v>1276</v>
      </c>
      <c r="C378" s="126" t="s">
        <v>492</v>
      </c>
      <c r="D378" s="52">
        <v>4</v>
      </c>
      <c r="E378" s="52" t="s">
        <v>2391</v>
      </c>
      <c r="F378" s="126" t="s">
        <v>22</v>
      </c>
      <c r="G378" s="126" t="s">
        <v>1664</v>
      </c>
      <c r="H378" s="131">
        <v>32</v>
      </c>
      <c r="I378" s="49" t="s">
        <v>3559</v>
      </c>
      <c r="J378" s="52">
        <v>3</v>
      </c>
      <c r="K378" s="49"/>
      <c r="L378" s="49" t="s">
        <v>3739</v>
      </c>
      <c r="M378" s="58">
        <v>45533</v>
      </c>
    </row>
    <row r="379" spans="1:16" ht="15">
      <c r="A379" s="52">
        <v>377</v>
      </c>
      <c r="B379" s="53" t="s">
        <v>484</v>
      </c>
      <c r="C379" s="126" t="s">
        <v>485</v>
      </c>
      <c r="D379" s="55">
        <v>3</v>
      </c>
      <c r="E379" s="52" t="s">
        <v>2391</v>
      </c>
      <c r="F379" s="126" t="s">
        <v>22</v>
      </c>
      <c r="G379" s="126" t="s">
        <v>1664</v>
      </c>
      <c r="H379" s="131">
        <v>40</v>
      </c>
      <c r="I379" s="49" t="s">
        <v>3563</v>
      </c>
      <c r="J379" s="52">
        <v>3</v>
      </c>
      <c r="K379" s="49"/>
      <c r="L379" s="49" t="s">
        <v>3740</v>
      </c>
      <c r="M379" s="58"/>
    </row>
    <row r="380" spans="1:16" ht="15">
      <c r="A380" s="52">
        <v>378</v>
      </c>
      <c r="B380" s="60" t="s">
        <v>579</v>
      </c>
      <c r="C380" s="126" t="s">
        <v>489</v>
      </c>
      <c r="D380" s="52">
        <v>8</v>
      </c>
      <c r="E380" s="52" t="s">
        <v>2391</v>
      </c>
      <c r="F380" s="126" t="s">
        <v>22</v>
      </c>
      <c r="G380" s="126" t="s">
        <v>1664</v>
      </c>
      <c r="H380" s="131">
        <v>64</v>
      </c>
      <c r="I380" s="49" t="s">
        <v>3563</v>
      </c>
      <c r="J380" s="52">
        <v>3</v>
      </c>
      <c r="K380" s="49"/>
      <c r="L380" s="49" t="s">
        <v>3741</v>
      </c>
      <c r="M380" s="58"/>
    </row>
    <row r="381" spans="1:16" ht="15">
      <c r="A381" s="52">
        <v>379</v>
      </c>
      <c r="B381" s="60" t="s">
        <v>1290</v>
      </c>
      <c r="C381" s="126" t="s">
        <v>489</v>
      </c>
      <c r="D381" s="52">
        <v>2</v>
      </c>
      <c r="E381" s="52" t="s">
        <v>2391</v>
      </c>
      <c r="F381" s="126" t="s">
        <v>22</v>
      </c>
      <c r="G381" s="126" t="s">
        <v>1664</v>
      </c>
      <c r="H381" s="131">
        <v>16</v>
      </c>
      <c r="I381" s="49" t="s">
        <v>3742</v>
      </c>
      <c r="J381" s="52">
        <v>3</v>
      </c>
      <c r="K381" s="49"/>
      <c r="L381" s="49" t="s">
        <v>3743</v>
      </c>
      <c r="M381" s="58"/>
    </row>
    <row r="382" spans="1:16" ht="15">
      <c r="A382" s="52">
        <v>380</v>
      </c>
      <c r="B382" s="53" t="s">
        <v>1295</v>
      </c>
      <c r="C382" s="126" t="s">
        <v>1297</v>
      </c>
      <c r="D382" s="55">
        <v>4</v>
      </c>
      <c r="E382" s="52" t="s">
        <v>2391</v>
      </c>
      <c r="F382" s="126" t="s">
        <v>22</v>
      </c>
      <c r="G382" s="126" t="s">
        <v>1664</v>
      </c>
      <c r="H382" s="131">
        <v>32</v>
      </c>
      <c r="I382" s="49" t="s">
        <v>3563</v>
      </c>
      <c r="J382" s="52">
        <v>3</v>
      </c>
      <c r="K382" s="49"/>
      <c r="L382" s="49" t="s">
        <v>3744</v>
      </c>
      <c r="M382" s="58"/>
    </row>
    <row r="383" spans="1:16" ht="15">
      <c r="A383" s="52">
        <v>381</v>
      </c>
      <c r="B383" s="53" t="s">
        <v>583</v>
      </c>
      <c r="C383" s="126" t="s">
        <v>584</v>
      </c>
      <c r="D383" s="55">
        <v>8</v>
      </c>
      <c r="E383" s="52" t="s">
        <v>2391</v>
      </c>
      <c r="F383" s="126" t="s">
        <v>22</v>
      </c>
      <c r="G383" s="126" t="s">
        <v>1664</v>
      </c>
      <c r="H383" s="131">
        <v>176</v>
      </c>
      <c r="I383" s="49" t="s">
        <v>3570</v>
      </c>
      <c r="J383" s="57">
        <v>3</v>
      </c>
      <c r="K383" s="61"/>
      <c r="L383" s="61" t="s">
        <v>3745</v>
      </c>
      <c r="M383" s="58"/>
    </row>
    <row r="384" spans="1:16" ht="15">
      <c r="A384" s="52">
        <v>382</v>
      </c>
      <c r="B384" s="59" t="s">
        <v>1181</v>
      </c>
      <c r="C384" s="126" t="s">
        <v>587</v>
      </c>
      <c r="D384" s="55">
        <v>6</v>
      </c>
      <c r="E384" s="52" t="s">
        <v>2391</v>
      </c>
      <c r="F384" s="126" t="s">
        <v>22</v>
      </c>
      <c r="G384" s="126" t="s">
        <v>1664</v>
      </c>
      <c r="H384" s="131">
        <v>48</v>
      </c>
      <c r="I384" s="49" t="s">
        <v>3570</v>
      </c>
      <c r="J384" s="52">
        <v>3</v>
      </c>
      <c r="K384" s="49"/>
      <c r="L384" s="188" t="s">
        <v>3746</v>
      </c>
      <c r="M384" s="58"/>
    </row>
    <row r="385" spans="1:13" ht="15">
      <c r="A385" s="52">
        <v>383</v>
      </c>
      <c r="B385" s="59" t="s">
        <v>592</v>
      </c>
      <c r="C385" s="126" t="s">
        <v>593</v>
      </c>
      <c r="D385" s="55">
        <v>28</v>
      </c>
      <c r="E385" s="52" t="s">
        <v>2391</v>
      </c>
      <c r="F385" s="126" t="s">
        <v>22</v>
      </c>
      <c r="G385" s="126" t="s">
        <v>1664</v>
      </c>
      <c r="H385" s="131">
        <v>312</v>
      </c>
      <c r="I385" s="49" t="s">
        <v>3570</v>
      </c>
      <c r="J385" s="52">
        <v>3</v>
      </c>
      <c r="K385" s="49"/>
      <c r="L385" s="49" t="s">
        <v>3747</v>
      </c>
      <c r="M385" s="58"/>
    </row>
    <row r="386" spans="1:13" ht="15">
      <c r="A386" s="52">
        <v>384</v>
      </c>
      <c r="B386" s="53" t="s">
        <v>692</v>
      </c>
      <c r="C386" s="126" t="s">
        <v>693</v>
      </c>
      <c r="D386" s="55">
        <v>14</v>
      </c>
      <c r="E386" s="52" t="s">
        <v>2391</v>
      </c>
      <c r="F386" s="126" t="s">
        <v>22</v>
      </c>
      <c r="G386" s="126" t="s">
        <v>1664</v>
      </c>
      <c r="H386" s="131">
        <v>160</v>
      </c>
      <c r="I386" s="49" t="s">
        <v>3570</v>
      </c>
      <c r="J386" s="52">
        <v>3</v>
      </c>
      <c r="K386" s="49"/>
      <c r="L386" s="49" t="s">
        <v>3748</v>
      </c>
      <c r="M386" s="58"/>
    </row>
    <row r="387" spans="1:13" ht="15">
      <c r="A387" s="52">
        <v>385</v>
      </c>
      <c r="B387" s="53" t="s">
        <v>1298</v>
      </c>
      <c r="C387" s="126" t="s">
        <v>1134</v>
      </c>
      <c r="D387" s="55">
        <v>4</v>
      </c>
      <c r="E387" s="52" t="s">
        <v>2391</v>
      </c>
      <c r="F387" s="126" t="s">
        <v>22</v>
      </c>
      <c r="G387" s="126" t="s">
        <v>1664</v>
      </c>
      <c r="H387" s="131">
        <v>32</v>
      </c>
      <c r="I387" s="49" t="s">
        <v>3570</v>
      </c>
      <c r="J387" s="52">
        <v>3</v>
      </c>
      <c r="K387" s="49"/>
      <c r="L387" s="49" t="s">
        <v>3749</v>
      </c>
      <c r="M387" s="58"/>
    </row>
    <row r="388" spans="1:13" ht="15">
      <c r="A388" s="52">
        <v>386</v>
      </c>
      <c r="B388" s="59" t="s">
        <v>493</v>
      </c>
      <c r="C388" s="126" t="s">
        <v>495</v>
      </c>
      <c r="D388" s="55">
        <v>2</v>
      </c>
      <c r="E388" s="56" t="s">
        <v>3689</v>
      </c>
      <c r="F388" s="126" t="s">
        <v>22</v>
      </c>
      <c r="G388" s="126" t="s">
        <v>1664</v>
      </c>
      <c r="H388" s="131">
        <v>16</v>
      </c>
      <c r="I388" s="49" t="s">
        <v>3559</v>
      </c>
      <c r="J388" s="52">
        <v>3</v>
      </c>
      <c r="K388" s="49"/>
      <c r="L388" s="188" t="s">
        <v>3750</v>
      </c>
      <c r="M388" s="58"/>
    </row>
    <row r="389" spans="1:13" ht="15">
      <c r="A389" s="52">
        <v>387</v>
      </c>
      <c r="B389" s="53" t="s">
        <v>1857</v>
      </c>
      <c r="C389" s="126" t="s">
        <v>1858</v>
      </c>
      <c r="D389" s="55">
        <v>1</v>
      </c>
      <c r="E389" s="56" t="s">
        <v>3751</v>
      </c>
      <c r="F389" s="126" t="s">
        <v>22</v>
      </c>
      <c r="G389" s="126" t="s">
        <v>1664</v>
      </c>
      <c r="H389" s="131">
        <v>8</v>
      </c>
      <c r="I389" s="49" t="s">
        <v>3559</v>
      </c>
      <c r="J389" s="52">
        <v>3</v>
      </c>
      <c r="K389" s="49"/>
      <c r="L389" s="49" t="s">
        <v>3752</v>
      </c>
      <c r="M389" s="58"/>
    </row>
    <row r="390" spans="1:13" ht="15">
      <c r="A390" s="52">
        <v>388</v>
      </c>
      <c r="B390" s="60" t="s">
        <v>1237</v>
      </c>
      <c r="C390" s="126" t="s">
        <v>587</v>
      </c>
      <c r="D390" s="52">
        <v>8</v>
      </c>
      <c r="E390" s="56" t="s">
        <v>2385</v>
      </c>
      <c r="F390" s="126" t="s">
        <v>22</v>
      </c>
      <c r="G390" s="126" t="s">
        <v>1664</v>
      </c>
      <c r="H390" s="131">
        <v>64</v>
      </c>
      <c r="I390" s="49" t="s">
        <v>3559</v>
      </c>
      <c r="J390" s="52">
        <v>4</v>
      </c>
      <c r="K390" s="49" t="s">
        <v>3753</v>
      </c>
      <c r="L390" s="49" t="s">
        <v>3754</v>
      </c>
      <c r="M390" s="58"/>
    </row>
    <row r="391" spans="1:13" ht="15">
      <c r="A391" s="52">
        <v>389</v>
      </c>
      <c r="B391" s="59" t="s">
        <v>782</v>
      </c>
      <c r="C391" s="126" t="s">
        <v>558</v>
      </c>
      <c r="D391" s="55">
        <v>2</v>
      </c>
      <c r="E391" s="56" t="s">
        <v>2385</v>
      </c>
      <c r="F391" s="126" t="s">
        <v>22</v>
      </c>
      <c r="G391" s="126" t="s">
        <v>1664</v>
      </c>
      <c r="H391" s="131">
        <v>16</v>
      </c>
      <c r="I391" s="49" t="s">
        <v>3563</v>
      </c>
      <c r="J391" s="52">
        <v>4</v>
      </c>
      <c r="K391" s="49"/>
      <c r="L391" s="49" t="s">
        <v>3755</v>
      </c>
      <c r="M391" s="58"/>
    </row>
    <row r="392" spans="1:13" ht="15">
      <c r="A392" s="52">
        <v>390</v>
      </c>
      <c r="B392" s="59" t="s">
        <v>1191</v>
      </c>
      <c r="C392" s="126" t="s">
        <v>1193</v>
      </c>
      <c r="D392" s="55">
        <v>4</v>
      </c>
      <c r="E392" s="56" t="s">
        <v>2385</v>
      </c>
      <c r="F392" s="126" t="s">
        <v>22</v>
      </c>
      <c r="G392" s="126" t="s">
        <v>1664</v>
      </c>
      <c r="H392" s="131">
        <v>32</v>
      </c>
      <c r="I392" s="49" t="s">
        <v>3563</v>
      </c>
      <c r="J392" s="52">
        <v>4</v>
      </c>
      <c r="K392" s="49"/>
      <c r="L392" s="49" t="s">
        <v>3756</v>
      </c>
      <c r="M392" s="58"/>
    </row>
    <row r="393" spans="1:13" ht="15">
      <c r="A393" s="52">
        <v>391</v>
      </c>
      <c r="B393" s="53" t="s">
        <v>621</v>
      </c>
      <c r="C393" s="126" t="s">
        <v>622</v>
      </c>
      <c r="D393" s="55">
        <v>8</v>
      </c>
      <c r="E393" s="56" t="s">
        <v>2385</v>
      </c>
      <c r="F393" s="126" t="s">
        <v>22</v>
      </c>
      <c r="G393" s="126" t="s">
        <v>1664</v>
      </c>
      <c r="H393" s="131">
        <v>64</v>
      </c>
      <c r="I393" s="49" t="s">
        <v>3563</v>
      </c>
      <c r="J393" s="52">
        <v>4</v>
      </c>
      <c r="K393" s="49"/>
      <c r="L393" s="49" t="s">
        <v>3757</v>
      </c>
      <c r="M393" s="58"/>
    </row>
    <row r="394" spans="1:13" ht="15">
      <c r="A394" s="52">
        <v>392</v>
      </c>
      <c r="B394" s="53" t="s">
        <v>637</v>
      </c>
      <c r="C394" s="126" t="s">
        <v>638</v>
      </c>
      <c r="D394" s="55">
        <v>13</v>
      </c>
      <c r="E394" s="56" t="s">
        <v>2385</v>
      </c>
      <c r="F394" s="126" t="s">
        <v>22</v>
      </c>
      <c r="G394" s="126" t="s">
        <v>1664</v>
      </c>
      <c r="H394" s="131">
        <v>240</v>
      </c>
      <c r="I394" s="49" t="s">
        <v>3563</v>
      </c>
      <c r="J394" s="52">
        <v>4</v>
      </c>
      <c r="K394" s="49"/>
      <c r="L394" s="49" t="s">
        <v>3758</v>
      </c>
      <c r="M394" s="58">
        <v>45533</v>
      </c>
    </row>
    <row r="395" spans="1:13" ht="15">
      <c r="A395" s="52">
        <v>393</v>
      </c>
      <c r="B395" s="60" t="s">
        <v>696</v>
      </c>
      <c r="C395" s="126" t="s">
        <v>611</v>
      </c>
      <c r="D395" s="52">
        <v>2</v>
      </c>
      <c r="E395" s="56" t="s">
        <v>2385</v>
      </c>
      <c r="F395" s="126" t="s">
        <v>22</v>
      </c>
      <c r="G395" s="126" t="s">
        <v>1664</v>
      </c>
      <c r="H395" s="131">
        <v>16</v>
      </c>
      <c r="I395" s="49" t="s">
        <v>3563</v>
      </c>
      <c r="J395" s="52">
        <v>4</v>
      </c>
      <c r="K395" s="49"/>
      <c r="L395" s="49" t="s">
        <v>3759</v>
      </c>
      <c r="M395" s="58"/>
    </row>
    <row r="396" spans="1:13" ht="15">
      <c r="A396" s="52">
        <v>394</v>
      </c>
      <c r="B396" s="60" t="s">
        <v>706</v>
      </c>
      <c r="C396" s="126" t="s">
        <v>695</v>
      </c>
      <c r="D396" s="52">
        <v>2</v>
      </c>
      <c r="E396" s="56" t="s">
        <v>2385</v>
      </c>
      <c r="F396" s="126" t="s">
        <v>22</v>
      </c>
      <c r="G396" s="126" t="s">
        <v>1664</v>
      </c>
      <c r="H396" s="131">
        <v>40</v>
      </c>
      <c r="I396" s="49" t="s">
        <v>3563</v>
      </c>
      <c r="J396" s="52">
        <v>4</v>
      </c>
      <c r="K396" s="49"/>
      <c r="L396" s="49" t="s">
        <v>3760</v>
      </c>
      <c r="M396" s="58"/>
    </row>
    <row r="397" spans="1:13" ht="15">
      <c r="A397" s="52">
        <v>395</v>
      </c>
      <c r="B397" s="59" t="s">
        <v>804</v>
      </c>
      <c r="C397" s="126" t="s">
        <v>485</v>
      </c>
      <c r="D397" s="55">
        <v>4</v>
      </c>
      <c r="E397" s="56" t="s">
        <v>2385</v>
      </c>
      <c r="F397" s="126" t="s">
        <v>22</v>
      </c>
      <c r="G397" s="126" t="s">
        <v>1664</v>
      </c>
      <c r="H397" s="131">
        <v>40</v>
      </c>
      <c r="I397" s="49" t="s">
        <v>3570</v>
      </c>
      <c r="J397" s="52">
        <v>4</v>
      </c>
      <c r="K397" s="49" t="s">
        <v>3638</v>
      </c>
      <c r="L397" s="49" t="s">
        <v>3761</v>
      </c>
      <c r="M397" s="58">
        <v>45533</v>
      </c>
    </row>
    <row r="398" spans="1:13" ht="15">
      <c r="A398" s="52">
        <v>396</v>
      </c>
      <c r="B398" s="53" t="s">
        <v>1081</v>
      </c>
      <c r="C398" s="126" t="s">
        <v>558</v>
      </c>
      <c r="D398" s="55">
        <v>2</v>
      </c>
      <c r="E398" s="56" t="s">
        <v>2385</v>
      </c>
      <c r="F398" s="126" t="s">
        <v>22</v>
      </c>
      <c r="G398" s="126" t="s">
        <v>1664</v>
      </c>
      <c r="H398" s="131">
        <v>16</v>
      </c>
      <c r="I398" s="49" t="s">
        <v>3570</v>
      </c>
      <c r="J398" s="52">
        <v>4</v>
      </c>
      <c r="K398" s="49"/>
      <c r="L398" s="49" t="s">
        <v>3762</v>
      </c>
      <c r="M398" s="58"/>
    </row>
    <row r="399" spans="1:13" ht="15">
      <c r="A399" s="52">
        <v>397</v>
      </c>
      <c r="B399" s="60" t="s">
        <v>615</v>
      </c>
      <c r="C399" s="126" t="s">
        <v>616</v>
      </c>
      <c r="D399" s="52">
        <v>2</v>
      </c>
      <c r="E399" s="56" t="s">
        <v>2385</v>
      </c>
      <c r="F399" s="126" t="s">
        <v>22</v>
      </c>
      <c r="G399" s="126" t="s">
        <v>1664</v>
      </c>
      <c r="H399" s="131">
        <v>16</v>
      </c>
      <c r="I399" s="49" t="s">
        <v>3570</v>
      </c>
      <c r="J399" s="52">
        <v>4</v>
      </c>
      <c r="K399" s="49"/>
      <c r="L399" s="188" t="s">
        <v>3763</v>
      </c>
      <c r="M399" s="58"/>
    </row>
    <row r="400" spans="1:13" ht="15">
      <c r="A400" s="52">
        <v>398</v>
      </c>
      <c r="B400" s="60" t="s">
        <v>752</v>
      </c>
      <c r="C400" s="126" t="s">
        <v>489</v>
      </c>
      <c r="D400" s="52">
        <v>4</v>
      </c>
      <c r="E400" s="56" t="s">
        <v>2385</v>
      </c>
      <c r="F400" s="126" t="s">
        <v>22</v>
      </c>
      <c r="G400" s="126" t="s">
        <v>1664</v>
      </c>
      <c r="H400" s="131">
        <v>112</v>
      </c>
      <c r="I400" s="49" t="s">
        <v>3570</v>
      </c>
      <c r="J400" s="52">
        <v>4</v>
      </c>
      <c r="K400" s="49"/>
      <c r="L400" s="49" t="s">
        <v>3764</v>
      </c>
      <c r="M400" s="58"/>
    </row>
    <row r="401" spans="1:16" ht="15">
      <c r="A401" s="52">
        <v>399</v>
      </c>
      <c r="B401" s="60" t="s">
        <v>1294</v>
      </c>
      <c r="C401" s="126" t="s">
        <v>492</v>
      </c>
      <c r="D401" s="52">
        <v>2</v>
      </c>
      <c r="E401" s="56" t="s">
        <v>2385</v>
      </c>
      <c r="F401" s="126" t="s">
        <v>22</v>
      </c>
      <c r="G401" s="126" t="s">
        <v>1664</v>
      </c>
      <c r="H401" s="131">
        <v>16</v>
      </c>
      <c r="I401" s="49" t="s">
        <v>3570</v>
      </c>
      <c r="J401" s="52">
        <v>4</v>
      </c>
      <c r="K401" s="49"/>
      <c r="L401" s="49" t="s">
        <v>3765</v>
      </c>
      <c r="M401" s="58"/>
    </row>
    <row r="402" spans="1:16" ht="15">
      <c r="A402" s="52">
        <v>400</v>
      </c>
      <c r="B402" s="60" t="s">
        <v>533</v>
      </c>
      <c r="C402" s="126" t="s">
        <v>534</v>
      </c>
      <c r="D402" s="52">
        <v>14</v>
      </c>
      <c r="E402" s="56" t="s">
        <v>2417</v>
      </c>
      <c r="F402" s="126" t="s">
        <v>22</v>
      </c>
      <c r="G402" s="126" t="s">
        <v>1686</v>
      </c>
      <c r="H402" s="131">
        <v>112</v>
      </c>
      <c r="I402" s="49" t="s">
        <v>3559</v>
      </c>
      <c r="J402" s="52">
        <v>4</v>
      </c>
      <c r="K402" s="49"/>
      <c r="L402" s="49" t="s">
        <v>3766</v>
      </c>
      <c r="M402" s="58"/>
    </row>
    <row r="403" spans="1:16" ht="15">
      <c r="A403" s="52">
        <v>401</v>
      </c>
      <c r="B403" s="60" t="s">
        <v>1241</v>
      </c>
      <c r="C403" s="126" t="s">
        <v>1243</v>
      </c>
      <c r="D403" s="52">
        <v>3</v>
      </c>
      <c r="E403" s="56" t="s">
        <v>2417</v>
      </c>
      <c r="F403" s="126" t="s">
        <v>22</v>
      </c>
      <c r="G403" s="126" t="s">
        <v>1664</v>
      </c>
      <c r="H403" s="131">
        <v>24</v>
      </c>
      <c r="I403" s="49" t="s">
        <v>3559</v>
      </c>
      <c r="J403" s="52">
        <v>4</v>
      </c>
      <c r="K403" s="49"/>
      <c r="L403" s="49" t="s">
        <v>3767</v>
      </c>
      <c r="M403" s="58"/>
    </row>
    <row r="404" spans="1:16" ht="15">
      <c r="A404" s="52">
        <v>402</v>
      </c>
      <c r="B404" s="60" t="s">
        <v>706</v>
      </c>
      <c r="C404" s="126" t="s">
        <v>695</v>
      </c>
      <c r="D404" s="52">
        <v>5</v>
      </c>
      <c r="E404" s="56" t="s">
        <v>2417</v>
      </c>
      <c r="F404" s="126" t="s">
        <v>22</v>
      </c>
      <c r="G404" s="126" t="s">
        <v>1664</v>
      </c>
      <c r="H404" s="131">
        <v>40</v>
      </c>
      <c r="I404" s="49" t="s">
        <v>3563</v>
      </c>
      <c r="J404" s="52">
        <v>4</v>
      </c>
      <c r="K404" s="49"/>
      <c r="L404" s="49" t="s">
        <v>3768</v>
      </c>
      <c r="M404" s="58"/>
    </row>
    <row r="405" spans="1:16" ht="15">
      <c r="A405" s="52">
        <v>403</v>
      </c>
      <c r="B405" s="60" t="s">
        <v>802</v>
      </c>
      <c r="C405" s="126" t="s">
        <v>485</v>
      </c>
      <c r="D405" s="52">
        <v>2</v>
      </c>
      <c r="E405" s="56" t="s">
        <v>2394</v>
      </c>
      <c r="F405" s="126" t="s">
        <v>22</v>
      </c>
      <c r="G405" s="126" t="s">
        <v>1664</v>
      </c>
      <c r="H405" s="131">
        <v>16</v>
      </c>
      <c r="I405" s="49" t="s">
        <v>3563</v>
      </c>
      <c r="J405" s="52">
        <v>4</v>
      </c>
      <c r="K405" s="49"/>
      <c r="L405" s="49" t="s">
        <v>3769</v>
      </c>
      <c r="M405" s="58"/>
    </row>
    <row r="406" spans="1:16" ht="23.45" customHeight="1">
      <c r="A406" s="52">
        <v>404</v>
      </c>
      <c r="B406" s="60" t="s">
        <v>742</v>
      </c>
      <c r="C406" s="126" t="s">
        <v>587</v>
      </c>
      <c r="D406" s="52">
        <v>8</v>
      </c>
      <c r="E406" s="56" t="s">
        <v>2394</v>
      </c>
      <c r="F406" s="126" t="s">
        <v>22</v>
      </c>
      <c r="G406" s="126" t="s">
        <v>1664</v>
      </c>
      <c r="H406" s="131">
        <v>64</v>
      </c>
      <c r="I406" s="49" t="s">
        <v>3563</v>
      </c>
      <c r="J406" s="52">
        <v>4</v>
      </c>
      <c r="K406" s="49"/>
      <c r="L406" s="49" t="s">
        <v>3770</v>
      </c>
      <c r="M406" s="58"/>
    </row>
    <row r="407" spans="1:16" ht="15">
      <c r="A407" s="52">
        <v>405</v>
      </c>
      <c r="B407" s="60" t="s">
        <v>1229</v>
      </c>
      <c r="C407" s="126" t="s">
        <v>506</v>
      </c>
      <c r="D407" s="52">
        <v>4</v>
      </c>
      <c r="E407" s="56" t="s">
        <v>2394</v>
      </c>
      <c r="F407" s="126" t="s">
        <v>22</v>
      </c>
      <c r="G407" s="126" t="s">
        <v>1664</v>
      </c>
      <c r="H407" s="131">
        <v>32</v>
      </c>
      <c r="I407" s="49" t="s">
        <v>3563</v>
      </c>
      <c r="J407" s="52">
        <v>4</v>
      </c>
      <c r="K407" s="49"/>
      <c r="L407" s="49" t="s">
        <v>3771</v>
      </c>
      <c r="M407" s="58"/>
    </row>
    <row r="408" spans="1:16" s="62" customFormat="1" ht="15">
      <c r="A408" s="52">
        <v>406</v>
      </c>
      <c r="B408" s="60" t="s">
        <v>1273</v>
      </c>
      <c r="C408" s="126" t="s">
        <v>489</v>
      </c>
      <c r="D408" s="52">
        <v>4</v>
      </c>
      <c r="E408" s="56" t="s">
        <v>2394</v>
      </c>
      <c r="F408" s="126" t="s">
        <v>22</v>
      </c>
      <c r="G408" s="126" t="s">
        <v>1664</v>
      </c>
      <c r="H408" s="131">
        <v>32</v>
      </c>
      <c r="I408" s="49" t="s">
        <v>3563</v>
      </c>
      <c r="J408" s="52">
        <v>4</v>
      </c>
      <c r="K408" s="49"/>
      <c r="L408" s="49" t="s">
        <v>3772</v>
      </c>
      <c r="M408" s="58"/>
      <c r="N408" s="10"/>
      <c r="O408" s="10"/>
      <c r="P408" s="10"/>
    </row>
    <row r="409" spans="1:16" s="62" customFormat="1" ht="15">
      <c r="A409" s="52">
        <v>407</v>
      </c>
      <c r="B409" s="60" t="s">
        <v>1274</v>
      </c>
      <c r="C409" s="126" t="s">
        <v>489</v>
      </c>
      <c r="D409" s="52">
        <v>8</v>
      </c>
      <c r="E409" s="56" t="s">
        <v>2394</v>
      </c>
      <c r="F409" s="126" t="s">
        <v>22</v>
      </c>
      <c r="G409" s="126" t="s">
        <v>1664</v>
      </c>
      <c r="H409" s="131">
        <v>144</v>
      </c>
      <c r="I409" s="49" t="s">
        <v>3563</v>
      </c>
      <c r="J409" s="52">
        <v>4</v>
      </c>
      <c r="K409" s="49"/>
      <c r="L409" s="49" t="s">
        <v>3773</v>
      </c>
      <c r="M409" s="58"/>
      <c r="N409" s="10"/>
      <c r="O409" s="10"/>
      <c r="P409" s="10"/>
    </row>
    <row r="410" spans="1:16" ht="15">
      <c r="A410" s="52">
        <v>408</v>
      </c>
      <c r="B410" s="60" t="s">
        <v>1275</v>
      </c>
      <c r="C410" s="126" t="s">
        <v>489</v>
      </c>
      <c r="D410" s="52">
        <v>8</v>
      </c>
      <c r="E410" s="56" t="s">
        <v>2394</v>
      </c>
      <c r="F410" s="126" t="s">
        <v>22</v>
      </c>
      <c r="G410" s="126" t="s">
        <v>1664</v>
      </c>
      <c r="H410" s="131">
        <v>64</v>
      </c>
      <c r="I410" s="49" t="s">
        <v>3563</v>
      </c>
      <c r="J410" s="52">
        <v>4</v>
      </c>
      <c r="K410" s="49"/>
      <c r="L410" s="49" t="s">
        <v>3774</v>
      </c>
      <c r="M410" s="58"/>
    </row>
    <row r="411" spans="1:16" ht="15">
      <c r="A411" s="52">
        <v>409</v>
      </c>
      <c r="B411" s="60" t="s">
        <v>1278</v>
      </c>
      <c r="C411" s="126" t="s">
        <v>492</v>
      </c>
      <c r="D411" s="52">
        <v>4</v>
      </c>
      <c r="E411" s="56" t="s">
        <v>2394</v>
      </c>
      <c r="F411" s="126" t="s">
        <v>22</v>
      </c>
      <c r="G411" s="126" t="s">
        <v>1664</v>
      </c>
      <c r="H411" s="131">
        <v>32</v>
      </c>
      <c r="I411" s="49" t="s">
        <v>3563</v>
      </c>
      <c r="J411" s="52">
        <v>4</v>
      </c>
      <c r="K411" s="49"/>
      <c r="L411" s="49" t="s">
        <v>3775</v>
      </c>
      <c r="M411" s="58"/>
      <c r="N411" s="62"/>
      <c r="O411" s="62"/>
      <c r="P411" s="62"/>
    </row>
    <row r="412" spans="1:16" ht="15">
      <c r="A412" s="52">
        <v>410</v>
      </c>
      <c r="B412" s="60" t="s">
        <v>1282</v>
      </c>
      <c r="C412" s="126" t="s">
        <v>492</v>
      </c>
      <c r="D412" s="52">
        <v>4</v>
      </c>
      <c r="E412" s="56" t="s">
        <v>2394</v>
      </c>
      <c r="F412" s="126" t="s">
        <v>22</v>
      </c>
      <c r="G412" s="126" t="s">
        <v>1664</v>
      </c>
      <c r="H412" s="131">
        <v>32</v>
      </c>
      <c r="I412" s="49" t="s">
        <v>3563</v>
      </c>
      <c r="J412" s="52">
        <v>4</v>
      </c>
      <c r="K412" s="49"/>
      <c r="L412" s="49" t="s">
        <v>3776</v>
      </c>
      <c r="M412" s="58"/>
      <c r="N412" s="62"/>
      <c r="O412" s="62"/>
      <c r="P412" s="62"/>
    </row>
    <row r="413" spans="1:16" ht="15">
      <c r="A413" s="52">
        <v>411</v>
      </c>
      <c r="B413" s="60" t="s">
        <v>1286</v>
      </c>
      <c r="C413" s="126" t="s">
        <v>1285</v>
      </c>
      <c r="D413" s="52">
        <v>4</v>
      </c>
      <c r="E413" s="56" t="s">
        <v>2394</v>
      </c>
      <c r="F413" s="126" t="s">
        <v>22</v>
      </c>
      <c r="G413" s="126" t="s">
        <v>1664</v>
      </c>
      <c r="H413" s="131">
        <v>32</v>
      </c>
      <c r="I413" s="49" t="s">
        <v>3563</v>
      </c>
      <c r="J413" s="52">
        <v>4</v>
      </c>
      <c r="K413" s="49"/>
      <c r="L413" s="49" t="s">
        <v>3777</v>
      </c>
      <c r="M413" s="58"/>
    </row>
    <row r="414" spans="1:16" ht="15">
      <c r="A414" s="52">
        <v>412</v>
      </c>
      <c r="B414" s="60" t="s">
        <v>1283</v>
      </c>
      <c r="C414" s="126" t="s">
        <v>1285</v>
      </c>
      <c r="D414" s="52">
        <v>6</v>
      </c>
      <c r="E414" s="56" t="s">
        <v>2394</v>
      </c>
      <c r="F414" s="126" t="s">
        <v>22</v>
      </c>
      <c r="G414" s="126" t="s">
        <v>1664</v>
      </c>
      <c r="H414" s="131">
        <v>64</v>
      </c>
      <c r="I414" s="49" t="s">
        <v>3563</v>
      </c>
      <c r="J414" s="52">
        <v>4</v>
      </c>
      <c r="K414" s="49"/>
      <c r="L414" s="49" t="s">
        <v>3778</v>
      </c>
      <c r="M414" s="58"/>
    </row>
    <row r="415" spans="1:16" ht="15">
      <c r="A415" s="52">
        <v>413</v>
      </c>
      <c r="B415" s="60" t="s">
        <v>804</v>
      </c>
      <c r="C415" s="126" t="s">
        <v>485</v>
      </c>
      <c r="D415" s="52">
        <v>2</v>
      </c>
      <c r="E415" s="56" t="s">
        <v>2394</v>
      </c>
      <c r="F415" s="126" t="s">
        <v>22</v>
      </c>
      <c r="G415" s="126" t="s">
        <v>1664</v>
      </c>
      <c r="H415" s="131">
        <v>40</v>
      </c>
      <c r="I415" s="49" t="s">
        <v>3570</v>
      </c>
      <c r="J415" s="52">
        <v>4</v>
      </c>
      <c r="K415" s="49" t="s">
        <v>3638</v>
      </c>
      <c r="L415" s="49" t="s">
        <v>3779</v>
      </c>
      <c r="M415" s="58"/>
    </row>
    <row r="416" spans="1:16" ht="15">
      <c r="A416" s="52">
        <v>414</v>
      </c>
      <c r="B416" s="60" t="s">
        <v>605</v>
      </c>
      <c r="C416" s="126" t="s">
        <v>607</v>
      </c>
      <c r="D416" s="52">
        <v>4</v>
      </c>
      <c r="E416" s="56" t="s">
        <v>2437</v>
      </c>
      <c r="F416" s="126" t="s">
        <v>22</v>
      </c>
      <c r="G416" s="126" t="s">
        <v>1664</v>
      </c>
      <c r="H416" s="131">
        <v>32</v>
      </c>
      <c r="I416" s="49" t="s">
        <v>3563</v>
      </c>
      <c r="J416" s="52">
        <v>4</v>
      </c>
      <c r="K416" s="49" t="s">
        <v>3430</v>
      </c>
      <c r="L416" s="49" t="s">
        <v>3780</v>
      </c>
      <c r="M416" s="58"/>
    </row>
    <row r="417" spans="1:13" ht="15">
      <c r="A417" s="52">
        <v>415</v>
      </c>
      <c r="B417" s="60" t="s">
        <v>973</v>
      </c>
      <c r="C417" s="126" t="s">
        <v>975</v>
      </c>
      <c r="D417" s="52">
        <v>1</v>
      </c>
      <c r="E417" s="56" t="s">
        <v>2437</v>
      </c>
      <c r="F417" s="126" t="s">
        <v>22</v>
      </c>
      <c r="G417" s="126" t="s">
        <v>1664</v>
      </c>
      <c r="H417" s="131">
        <v>8</v>
      </c>
      <c r="I417" s="49" t="s">
        <v>3563</v>
      </c>
      <c r="J417" s="52">
        <v>4</v>
      </c>
      <c r="K417" s="49"/>
      <c r="L417" s="49" t="s">
        <v>3781</v>
      </c>
      <c r="M417" s="58"/>
    </row>
    <row r="418" spans="1:13" ht="15">
      <c r="A418" s="52">
        <v>416</v>
      </c>
      <c r="B418" s="60" t="s">
        <v>991</v>
      </c>
      <c r="C418" s="126" t="s">
        <v>587</v>
      </c>
      <c r="D418" s="52">
        <v>4</v>
      </c>
      <c r="E418" s="56" t="s">
        <v>2437</v>
      </c>
      <c r="F418" s="126" t="s">
        <v>22</v>
      </c>
      <c r="G418" s="126" t="s">
        <v>1664</v>
      </c>
      <c r="H418" s="131">
        <v>32</v>
      </c>
      <c r="I418" s="49" t="s">
        <v>3563</v>
      </c>
      <c r="J418" s="52">
        <v>4</v>
      </c>
      <c r="K418" s="49"/>
      <c r="L418" s="49" t="s">
        <v>3782</v>
      </c>
      <c r="M418" s="58"/>
    </row>
    <row r="419" spans="1:13" ht="15">
      <c r="A419" s="52">
        <v>417</v>
      </c>
      <c r="B419" s="60" t="s">
        <v>1081</v>
      </c>
      <c r="C419" s="126" t="s">
        <v>558</v>
      </c>
      <c r="D419" s="52">
        <v>2</v>
      </c>
      <c r="E419" s="56" t="s">
        <v>2437</v>
      </c>
      <c r="F419" s="126" t="s">
        <v>22</v>
      </c>
      <c r="G419" s="126" t="s">
        <v>1664</v>
      </c>
      <c r="H419" s="131">
        <v>16</v>
      </c>
      <c r="I419" s="49" t="s">
        <v>3563</v>
      </c>
      <c r="J419" s="52">
        <v>4</v>
      </c>
      <c r="K419" s="49"/>
      <c r="L419" s="49" t="s">
        <v>3783</v>
      </c>
      <c r="M419" s="58"/>
    </row>
    <row r="420" spans="1:13" ht="15">
      <c r="A420" s="52">
        <v>418</v>
      </c>
      <c r="B420" s="60" t="s">
        <v>1111</v>
      </c>
      <c r="C420" s="126" t="s">
        <v>1113</v>
      </c>
      <c r="D420" s="52">
        <v>2</v>
      </c>
      <c r="E420" s="56" t="s">
        <v>2437</v>
      </c>
      <c r="F420" s="126" t="s">
        <v>22</v>
      </c>
      <c r="G420" s="126" t="s">
        <v>1664</v>
      </c>
      <c r="H420" s="131">
        <v>16</v>
      </c>
      <c r="I420" s="49" t="s">
        <v>3563</v>
      </c>
      <c r="J420" s="52">
        <v>4</v>
      </c>
      <c r="K420" s="49"/>
      <c r="L420" s="49" t="s">
        <v>3784</v>
      </c>
      <c r="M420" s="58"/>
    </row>
    <row r="421" spans="1:13" ht="15">
      <c r="A421" s="52">
        <v>419</v>
      </c>
      <c r="B421" s="60" t="s">
        <v>1165</v>
      </c>
      <c r="C421" s="126" t="s">
        <v>630</v>
      </c>
      <c r="D421" s="52">
        <v>4</v>
      </c>
      <c r="E421" s="52" t="s">
        <v>2437</v>
      </c>
      <c r="F421" s="126" t="s">
        <v>22</v>
      </c>
      <c r="G421" s="126" t="s">
        <v>1664</v>
      </c>
      <c r="H421" s="131">
        <v>32</v>
      </c>
      <c r="I421" s="49" t="s">
        <v>3563</v>
      </c>
      <c r="J421" s="52">
        <v>4</v>
      </c>
      <c r="K421" s="49"/>
      <c r="L421" s="49" t="s">
        <v>3785</v>
      </c>
      <c r="M421" s="58"/>
    </row>
    <row r="422" spans="1:13" ht="15">
      <c r="A422" s="52">
        <v>420</v>
      </c>
      <c r="B422" s="60" t="s">
        <v>696</v>
      </c>
      <c r="C422" s="126" t="s">
        <v>611</v>
      </c>
      <c r="D422" s="52">
        <v>1</v>
      </c>
      <c r="E422" s="52" t="s">
        <v>2437</v>
      </c>
      <c r="F422" s="126" t="s">
        <v>22</v>
      </c>
      <c r="G422" s="126" t="s">
        <v>1664</v>
      </c>
      <c r="H422" s="131">
        <v>16</v>
      </c>
      <c r="I422" s="49" t="s">
        <v>3563</v>
      </c>
      <c r="J422" s="52">
        <v>4</v>
      </c>
      <c r="K422" s="49"/>
      <c r="L422" s="49" t="s">
        <v>3786</v>
      </c>
      <c r="M422" s="58"/>
    </row>
    <row r="423" spans="1:13" ht="15">
      <c r="A423" s="52">
        <v>421</v>
      </c>
      <c r="B423" s="60" t="s">
        <v>583</v>
      </c>
      <c r="C423" s="126" t="s">
        <v>584</v>
      </c>
      <c r="D423" s="52">
        <v>14</v>
      </c>
      <c r="E423" s="52" t="s">
        <v>2443</v>
      </c>
      <c r="F423" s="126" t="s">
        <v>22</v>
      </c>
      <c r="G423" s="126" t="s">
        <v>1664</v>
      </c>
      <c r="H423" s="131">
        <v>176</v>
      </c>
      <c r="I423" s="49" t="s">
        <v>3563</v>
      </c>
      <c r="J423" s="52">
        <v>4</v>
      </c>
      <c r="K423" s="49"/>
      <c r="L423" s="49" t="s">
        <v>3787</v>
      </c>
      <c r="M423" s="58"/>
    </row>
    <row r="424" spans="1:13" ht="15">
      <c r="A424" s="52">
        <v>422</v>
      </c>
      <c r="B424" s="60" t="s">
        <v>590</v>
      </c>
      <c r="C424" s="126" t="s">
        <v>591</v>
      </c>
      <c r="D424" s="52">
        <v>2</v>
      </c>
      <c r="E424" s="52" t="s">
        <v>2443</v>
      </c>
      <c r="F424" s="126" t="s">
        <v>22</v>
      </c>
      <c r="G424" s="126" t="s">
        <v>1664</v>
      </c>
      <c r="H424" s="131">
        <v>80</v>
      </c>
      <c r="I424" s="49" t="s">
        <v>3563</v>
      </c>
      <c r="J424" s="52">
        <v>4</v>
      </c>
      <c r="K424" s="49"/>
      <c r="L424" s="49" t="s">
        <v>3788</v>
      </c>
      <c r="M424" s="58"/>
    </row>
    <row r="425" spans="1:13" ht="15">
      <c r="A425" s="52">
        <v>423</v>
      </c>
      <c r="B425" s="60" t="s">
        <v>592</v>
      </c>
      <c r="C425" s="126" t="s">
        <v>593</v>
      </c>
      <c r="D425" s="52">
        <v>26</v>
      </c>
      <c r="E425" s="52" t="s">
        <v>2443</v>
      </c>
      <c r="F425" s="126" t="s">
        <v>22</v>
      </c>
      <c r="G425" s="126" t="s">
        <v>1664</v>
      </c>
      <c r="H425" s="131">
        <v>312</v>
      </c>
      <c r="I425" s="49" t="s">
        <v>3563</v>
      </c>
      <c r="J425" s="52">
        <v>4</v>
      </c>
      <c r="K425" s="49"/>
      <c r="L425" s="49" t="s">
        <v>3789</v>
      </c>
      <c r="M425" s="58"/>
    </row>
    <row r="426" spans="1:13" ht="15">
      <c r="A426" s="52">
        <v>424</v>
      </c>
      <c r="B426" s="60">
        <v>2376119871</v>
      </c>
      <c r="C426" s="126" t="s">
        <v>1321</v>
      </c>
      <c r="D426" s="52">
        <v>4</v>
      </c>
      <c r="E426" s="52" t="s">
        <v>2443</v>
      </c>
      <c r="F426" s="126" t="s">
        <v>22</v>
      </c>
      <c r="G426" s="126" t="s">
        <v>1664</v>
      </c>
      <c r="H426" s="131">
        <v>32</v>
      </c>
      <c r="I426" s="49" t="s">
        <v>3570</v>
      </c>
      <c r="J426" s="52">
        <v>4</v>
      </c>
      <c r="K426" s="49"/>
      <c r="L426" s="49" t="s">
        <v>3790</v>
      </c>
      <c r="M426" s="58"/>
    </row>
    <row r="427" spans="1:13" ht="15">
      <c r="A427" s="52">
        <v>425</v>
      </c>
      <c r="B427" s="60" t="s">
        <v>803</v>
      </c>
      <c r="C427" s="126" t="s">
        <v>485</v>
      </c>
      <c r="D427" s="52">
        <v>8</v>
      </c>
      <c r="E427" s="52" t="s">
        <v>2443</v>
      </c>
      <c r="F427" s="126" t="s">
        <v>22</v>
      </c>
      <c r="G427" s="126" t="s">
        <v>1664</v>
      </c>
      <c r="H427" s="131">
        <v>64</v>
      </c>
      <c r="I427" s="49" t="s">
        <v>3570</v>
      </c>
      <c r="J427" s="52">
        <v>4</v>
      </c>
      <c r="K427" s="49"/>
      <c r="L427" s="49" t="s">
        <v>3791</v>
      </c>
      <c r="M427" s="58"/>
    </row>
    <row r="428" spans="1:13" ht="15">
      <c r="A428" s="52">
        <v>426</v>
      </c>
      <c r="B428" s="60" t="s">
        <v>1168</v>
      </c>
      <c r="C428" s="126" t="s">
        <v>630</v>
      </c>
      <c r="D428" s="52">
        <v>2</v>
      </c>
      <c r="E428" s="52" t="s">
        <v>2443</v>
      </c>
      <c r="F428" s="126" t="s">
        <v>22</v>
      </c>
      <c r="G428" s="126" t="s">
        <v>1664</v>
      </c>
      <c r="H428" s="131">
        <v>16</v>
      </c>
      <c r="I428" s="49" t="s">
        <v>3570</v>
      </c>
      <c r="J428" s="52">
        <v>4</v>
      </c>
      <c r="K428" s="49"/>
      <c r="L428" s="49" t="s">
        <v>3792</v>
      </c>
      <c r="M428" s="58"/>
    </row>
    <row r="429" spans="1:13" ht="15">
      <c r="A429" s="52">
        <v>427</v>
      </c>
      <c r="B429" s="60" t="s">
        <v>1176</v>
      </c>
      <c r="C429" s="126" t="s">
        <v>1177</v>
      </c>
      <c r="D429" s="52">
        <v>14</v>
      </c>
      <c r="E429" s="52" t="s">
        <v>2443</v>
      </c>
      <c r="F429" s="126" t="s">
        <v>22</v>
      </c>
      <c r="G429" s="126" t="s">
        <v>1664</v>
      </c>
      <c r="H429" s="131">
        <v>112</v>
      </c>
      <c r="I429" s="49" t="s">
        <v>3570</v>
      </c>
      <c r="J429" s="52">
        <v>4</v>
      </c>
      <c r="K429" s="49"/>
      <c r="L429" s="49" t="s">
        <v>3793</v>
      </c>
      <c r="M429" s="58"/>
    </row>
    <row r="430" spans="1:13" ht="15">
      <c r="A430" s="52">
        <v>428</v>
      </c>
      <c r="B430" s="59" t="s">
        <v>1199</v>
      </c>
      <c r="C430" s="126" t="s">
        <v>1200</v>
      </c>
      <c r="D430" s="55">
        <v>2</v>
      </c>
      <c r="E430" s="56" t="s">
        <v>2443</v>
      </c>
      <c r="F430" s="126" t="s">
        <v>22</v>
      </c>
      <c r="G430" s="126" t="s">
        <v>1664</v>
      </c>
      <c r="H430" s="131">
        <v>16</v>
      </c>
      <c r="I430" s="49" t="s">
        <v>3794</v>
      </c>
      <c r="J430" s="52">
        <v>4</v>
      </c>
      <c r="K430" s="49"/>
      <c r="L430" s="49" t="s">
        <v>3795</v>
      </c>
      <c r="M430" s="58"/>
    </row>
    <row r="431" spans="1:13" ht="15">
      <c r="A431" s="52">
        <v>429</v>
      </c>
      <c r="B431" s="53" t="s">
        <v>1274</v>
      </c>
      <c r="C431" s="126" t="s">
        <v>489</v>
      </c>
      <c r="D431" s="55">
        <v>8</v>
      </c>
      <c r="E431" s="56" t="s">
        <v>2388</v>
      </c>
      <c r="F431" s="126" t="s">
        <v>22</v>
      </c>
      <c r="G431" s="126" t="s">
        <v>1664</v>
      </c>
      <c r="H431" s="131">
        <v>144</v>
      </c>
      <c r="I431" s="49" t="s">
        <v>3563</v>
      </c>
      <c r="J431" s="52">
        <v>4</v>
      </c>
      <c r="K431" s="49"/>
      <c r="L431" s="49" t="s">
        <v>3796</v>
      </c>
      <c r="M431" s="58"/>
    </row>
    <row r="432" spans="1:13" ht="15">
      <c r="A432" s="52">
        <v>430</v>
      </c>
      <c r="B432" s="53" t="s">
        <v>501</v>
      </c>
      <c r="C432" s="126" t="s">
        <v>503</v>
      </c>
      <c r="D432" s="55">
        <v>1</v>
      </c>
      <c r="E432" s="52" t="s">
        <v>2388</v>
      </c>
      <c r="F432" s="126" t="s">
        <v>22</v>
      </c>
      <c r="G432" s="126" t="s">
        <v>1664</v>
      </c>
      <c r="H432" s="131">
        <v>8</v>
      </c>
      <c r="I432" s="49" t="s">
        <v>3570</v>
      </c>
      <c r="J432" s="52">
        <v>4</v>
      </c>
      <c r="K432" s="49"/>
      <c r="L432" s="49" t="s">
        <v>3797</v>
      </c>
      <c r="M432" s="58"/>
    </row>
    <row r="433" spans="1:13" ht="15">
      <c r="A433" s="52">
        <v>431</v>
      </c>
      <c r="B433" s="53" t="s">
        <v>538</v>
      </c>
      <c r="C433" s="126" t="s">
        <v>540</v>
      </c>
      <c r="D433" s="55">
        <v>1</v>
      </c>
      <c r="E433" s="52" t="s">
        <v>2391</v>
      </c>
      <c r="F433" s="126" t="s">
        <v>22</v>
      </c>
      <c r="G433" s="126" t="s">
        <v>1664</v>
      </c>
      <c r="H433" s="131">
        <v>24</v>
      </c>
      <c r="I433" s="49" t="s">
        <v>3742</v>
      </c>
      <c r="J433" s="52">
        <v>4</v>
      </c>
      <c r="K433" s="49"/>
      <c r="L433" s="49" t="s">
        <v>3798</v>
      </c>
      <c r="M433" s="58"/>
    </row>
    <row r="434" spans="1:13" ht="15">
      <c r="A434" s="52">
        <v>432</v>
      </c>
      <c r="B434" s="53" t="s">
        <v>1365</v>
      </c>
      <c r="C434" s="126" t="s">
        <v>1366</v>
      </c>
      <c r="D434" s="55">
        <v>1</v>
      </c>
      <c r="E434" s="52" t="s">
        <v>2391</v>
      </c>
      <c r="F434" s="126" t="s">
        <v>22</v>
      </c>
      <c r="G434" s="126" t="s">
        <v>1664</v>
      </c>
      <c r="H434" s="131">
        <v>8</v>
      </c>
      <c r="I434" s="49" t="s">
        <v>3563</v>
      </c>
      <c r="J434" s="52">
        <v>4</v>
      </c>
      <c r="K434" s="49"/>
      <c r="L434" s="49" t="s">
        <v>3799</v>
      </c>
      <c r="M434" s="58"/>
    </row>
    <row r="435" spans="1:13" ht="15">
      <c r="A435" s="52">
        <v>433</v>
      </c>
      <c r="B435" s="53" t="s">
        <v>1367</v>
      </c>
      <c r="C435" s="126" t="s">
        <v>528</v>
      </c>
      <c r="D435" s="55">
        <v>1</v>
      </c>
      <c r="E435" s="56" t="s">
        <v>2391</v>
      </c>
      <c r="F435" s="126" t="s">
        <v>22</v>
      </c>
      <c r="G435" s="126" t="s">
        <v>1664</v>
      </c>
      <c r="H435" s="131">
        <v>8</v>
      </c>
      <c r="I435" s="49" t="s">
        <v>3563</v>
      </c>
      <c r="J435" s="52">
        <v>4</v>
      </c>
      <c r="K435" s="49"/>
      <c r="L435" s="49" t="s">
        <v>3800</v>
      </c>
      <c r="M435" s="58"/>
    </row>
    <row r="436" spans="1:13" ht="15">
      <c r="A436" s="52">
        <v>434</v>
      </c>
      <c r="B436" s="53" t="s">
        <v>1133</v>
      </c>
      <c r="C436" s="126" t="s">
        <v>1134</v>
      </c>
      <c r="D436" s="55">
        <v>2</v>
      </c>
      <c r="E436" s="52" t="s">
        <v>2391</v>
      </c>
      <c r="F436" s="126" t="s">
        <v>22</v>
      </c>
      <c r="G436" s="126" t="s">
        <v>1664</v>
      </c>
      <c r="H436" s="131">
        <v>32</v>
      </c>
      <c r="I436" s="49" t="s">
        <v>3563</v>
      </c>
      <c r="J436" s="52">
        <v>4</v>
      </c>
      <c r="K436" s="49"/>
      <c r="L436" s="49" t="s">
        <v>3801</v>
      </c>
      <c r="M436" s="58"/>
    </row>
    <row r="437" spans="1:13" ht="15">
      <c r="A437" s="52">
        <v>435</v>
      </c>
      <c r="B437" s="53" t="s">
        <v>840</v>
      </c>
      <c r="C437" s="126" t="s">
        <v>842</v>
      </c>
      <c r="D437" s="55">
        <v>2</v>
      </c>
      <c r="E437" s="52" t="s">
        <v>2391</v>
      </c>
      <c r="F437" s="126" t="s">
        <v>22</v>
      </c>
      <c r="G437" s="126" t="s">
        <v>1664</v>
      </c>
      <c r="H437" s="131">
        <v>16</v>
      </c>
      <c r="I437" s="49" t="s">
        <v>3570</v>
      </c>
      <c r="J437" s="52">
        <v>4</v>
      </c>
      <c r="K437" s="49"/>
      <c r="L437" s="49" t="s">
        <v>3802</v>
      </c>
      <c r="M437" s="58"/>
    </row>
    <row r="438" spans="1:13" ht="15">
      <c r="A438" s="52">
        <v>436</v>
      </c>
      <c r="B438" s="53" t="s">
        <v>860</v>
      </c>
      <c r="C438" s="126" t="s">
        <v>862</v>
      </c>
      <c r="D438" s="55">
        <v>2</v>
      </c>
      <c r="E438" s="52" t="s">
        <v>2391</v>
      </c>
      <c r="F438" s="126" t="s">
        <v>22</v>
      </c>
      <c r="G438" s="126" t="s">
        <v>1664</v>
      </c>
      <c r="H438" s="131">
        <v>24</v>
      </c>
      <c r="I438" s="49" t="s">
        <v>3570</v>
      </c>
      <c r="J438" s="52">
        <v>4</v>
      </c>
      <c r="K438" s="49" t="s">
        <v>3574</v>
      </c>
      <c r="L438" s="49" t="s">
        <v>3803</v>
      </c>
      <c r="M438" s="58"/>
    </row>
    <row r="439" spans="1:13" ht="15">
      <c r="A439" s="52">
        <v>437</v>
      </c>
      <c r="B439" s="53" t="s">
        <v>934</v>
      </c>
      <c r="C439" s="126" t="s">
        <v>812</v>
      </c>
      <c r="D439" s="55">
        <v>2</v>
      </c>
      <c r="E439" s="52" t="s">
        <v>2391</v>
      </c>
      <c r="F439" s="126" t="s">
        <v>22</v>
      </c>
      <c r="G439" s="126" t="s">
        <v>1664</v>
      </c>
      <c r="H439" s="131">
        <v>16</v>
      </c>
      <c r="I439" s="49" t="s">
        <v>3570</v>
      </c>
      <c r="J439" s="57">
        <v>4</v>
      </c>
      <c r="K439" s="49"/>
      <c r="L439" s="49" t="s">
        <v>3804</v>
      </c>
      <c r="M439" s="58"/>
    </row>
    <row r="440" spans="1:13" ht="15">
      <c r="A440" s="52">
        <v>438</v>
      </c>
      <c r="B440" s="53" t="s">
        <v>1205</v>
      </c>
      <c r="C440" s="126" t="s">
        <v>587</v>
      </c>
      <c r="D440" s="55">
        <v>16</v>
      </c>
      <c r="E440" s="56" t="s">
        <v>2391</v>
      </c>
      <c r="F440" s="126" t="s">
        <v>22</v>
      </c>
      <c r="G440" s="126" t="s">
        <v>1664</v>
      </c>
      <c r="H440" s="131">
        <v>40</v>
      </c>
      <c r="I440" s="49" t="s">
        <v>3570</v>
      </c>
      <c r="J440" s="52">
        <v>4</v>
      </c>
      <c r="K440" s="49"/>
      <c r="L440" s="49" t="s">
        <v>3805</v>
      </c>
      <c r="M440" s="58"/>
    </row>
    <row r="441" spans="1:13" ht="15">
      <c r="A441" s="52">
        <v>439</v>
      </c>
      <c r="B441" s="53" t="s">
        <v>754</v>
      </c>
      <c r="C441" s="126" t="s">
        <v>492</v>
      </c>
      <c r="D441" s="55">
        <v>2</v>
      </c>
      <c r="E441" s="56" t="s">
        <v>2391</v>
      </c>
      <c r="F441" s="126" t="s">
        <v>22</v>
      </c>
      <c r="G441" s="126" t="s">
        <v>1664</v>
      </c>
      <c r="H441" s="131">
        <v>16</v>
      </c>
      <c r="I441" s="49" t="s">
        <v>3570</v>
      </c>
      <c r="J441" s="52">
        <v>4</v>
      </c>
      <c r="K441" s="49"/>
      <c r="L441" s="49" t="s">
        <v>3806</v>
      </c>
      <c r="M441" s="58"/>
    </row>
    <row r="442" spans="1:13" ht="15">
      <c r="A442" s="52">
        <v>440</v>
      </c>
      <c r="B442" s="53" t="s">
        <v>805</v>
      </c>
      <c r="C442" s="126" t="s">
        <v>485</v>
      </c>
      <c r="D442" s="55">
        <v>7</v>
      </c>
      <c r="E442" s="56" t="s">
        <v>2385</v>
      </c>
      <c r="F442" s="126" t="s">
        <v>22</v>
      </c>
      <c r="G442" s="126" t="s">
        <v>1664</v>
      </c>
      <c r="H442" s="131">
        <v>56</v>
      </c>
      <c r="I442" s="49" t="s">
        <v>3563</v>
      </c>
      <c r="J442" s="52">
        <v>5</v>
      </c>
      <c r="K442" s="49"/>
      <c r="L442" s="49" t="s">
        <v>3807</v>
      </c>
      <c r="M442" s="58"/>
    </row>
    <row r="443" spans="1:13" ht="15">
      <c r="A443" s="52">
        <v>441</v>
      </c>
      <c r="B443" s="53" t="s">
        <v>990</v>
      </c>
      <c r="C443" s="126" t="s">
        <v>489</v>
      </c>
      <c r="D443" s="55">
        <v>1</v>
      </c>
      <c r="E443" s="56" t="s">
        <v>2385</v>
      </c>
      <c r="F443" s="126" t="s">
        <v>22</v>
      </c>
      <c r="G443" s="126" t="s">
        <v>1664</v>
      </c>
      <c r="H443" s="131">
        <v>8</v>
      </c>
      <c r="I443" s="49" t="s">
        <v>3563</v>
      </c>
      <c r="J443" s="52">
        <v>5</v>
      </c>
      <c r="K443" s="49"/>
      <c r="L443" s="49" t="s">
        <v>3808</v>
      </c>
      <c r="M443" s="58"/>
    </row>
    <row r="444" spans="1:13" ht="15">
      <c r="A444" s="52">
        <v>442</v>
      </c>
      <c r="B444" s="53" t="s">
        <v>1150</v>
      </c>
      <c r="C444" s="126" t="s">
        <v>558</v>
      </c>
      <c r="D444" s="55">
        <v>5</v>
      </c>
      <c r="E444" s="56" t="s">
        <v>2385</v>
      </c>
      <c r="F444" s="126" t="s">
        <v>22</v>
      </c>
      <c r="G444" s="126" t="s">
        <v>1664</v>
      </c>
      <c r="H444" s="131">
        <v>40</v>
      </c>
      <c r="I444" s="49" t="s">
        <v>3563</v>
      </c>
      <c r="J444" s="52">
        <v>5</v>
      </c>
      <c r="K444" s="49"/>
      <c r="L444" s="49" t="s">
        <v>3809</v>
      </c>
      <c r="M444" s="58"/>
    </row>
    <row r="445" spans="1:13" ht="15">
      <c r="A445" s="52">
        <v>443</v>
      </c>
      <c r="B445" s="53" t="s">
        <v>1169</v>
      </c>
      <c r="C445" s="126" t="s">
        <v>630</v>
      </c>
      <c r="D445" s="55">
        <v>1</v>
      </c>
      <c r="E445" s="56" t="s">
        <v>2385</v>
      </c>
      <c r="F445" s="126" t="s">
        <v>22</v>
      </c>
      <c r="G445" s="126" t="s">
        <v>1664</v>
      </c>
      <c r="H445" s="131">
        <v>8</v>
      </c>
      <c r="I445" s="49" t="s">
        <v>3563</v>
      </c>
      <c r="J445" s="52">
        <v>5</v>
      </c>
      <c r="K445" s="49"/>
      <c r="L445" s="188" t="s">
        <v>3810</v>
      </c>
      <c r="M445" s="58"/>
    </row>
    <row r="446" spans="1:13" ht="15">
      <c r="A446" s="52">
        <v>444</v>
      </c>
      <c r="B446" s="53" t="s">
        <v>1201</v>
      </c>
      <c r="C446" s="126" t="s">
        <v>587</v>
      </c>
      <c r="D446" s="55">
        <v>1</v>
      </c>
      <c r="E446" s="56" t="s">
        <v>2385</v>
      </c>
      <c r="F446" s="126" t="s">
        <v>22</v>
      </c>
      <c r="G446" s="126" t="s">
        <v>1664</v>
      </c>
      <c r="H446" s="131">
        <v>8</v>
      </c>
      <c r="I446" s="49" t="s">
        <v>3563</v>
      </c>
      <c r="J446" s="52">
        <v>5</v>
      </c>
      <c r="K446" s="49"/>
      <c r="L446" s="49" t="s">
        <v>3811</v>
      </c>
      <c r="M446" s="58"/>
    </row>
    <row r="447" spans="1:13" ht="15">
      <c r="A447" s="52">
        <v>445</v>
      </c>
      <c r="B447" s="53" t="s">
        <v>718</v>
      </c>
      <c r="C447" s="126" t="s">
        <v>611</v>
      </c>
      <c r="D447" s="55">
        <v>4</v>
      </c>
      <c r="E447" s="56" t="s">
        <v>2385</v>
      </c>
      <c r="F447" s="126" t="s">
        <v>22</v>
      </c>
      <c r="G447" s="126" t="s">
        <v>1664</v>
      </c>
      <c r="H447" s="131">
        <v>32</v>
      </c>
      <c r="I447" s="49" t="s">
        <v>3563</v>
      </c>
      <c r="J447" s="52">
        <v>5</v>
      </c>
      <c r="K447" s="49"/>
      <c r="L447" s="49" t="s">
        <v>3812</v>
      </c>
      <c r="M447" s="58">
        <v>45533</v>
      </c>
    </row>
    <row r="448" spans="1:13" ht="15">
      <c r="A448" s="52">
        <v>446</v>
      </c>
      <c r="B448" s="53" t="s">
        <v>1160</v>
      </c>
      <c r="C448" s="126" t="s">
        <v>739</v>
      </c>
      <c r="D448" s="55">
        <v>2</v>
      </c>
      <c r="E448" s="56" t="s">
        <v>2417</v>
      </c>
      <c r="F448" s="126" t="s">
        <v>22</v>
      </c>
      <c r="G448" s="126" t="s">
        <v>1664</v>
      </c>
      <c r="H448" s="131">
        <v>16</v>
      </c>
      <c r="I448" s="49" t="s">
        <v>3559</v>
      </c>
      <c r="J448" s="52">
        <v>5</v>
      </c>
      <c r="K448" s="61"/>
      <c r="L448" s="61" t="s">
        <v>3813</v>
      </c>
      <c r="M448" s="58"/>
    </row>
    <row r="449" spans="1:13" ht="15">
      <c r="A449" s="52">
        <v>447</v>
      </c>
      <c r="B449" s="60" t="s">
        <v>718</v>
      </c>
      <c r="C449" s="126" t="s">
        <v>611</v>
      </c>
      <c r="D449" s="52">
        <v>2</v>
      </c>
      <c r="E449" s="56" t="s">
        <v>2417</v>
      </c>
      <c r="F449" s="126" t="s">
        <v>22</v>
      </c>
      <c r="G449" s="126" t="s">
        <v>1664</v>
      </c>
      <c r="H449" s="131">
        <v>32</v>
      </c>
      <c r="I449" s="49" t="s">
        <v>3563</v>
      </c>
      <c r="J449" s="52">
        <v>5</v>
      </c>
      <c r="K449" s="49"/>
      <c r="L449" s="49" t="s">
        <v>3814</v>
      </c>
      <c r="M449" s="58"/>
    </row>
    <row r="450" spans="1:13" ht="15">
      <c r="A450" s="52">
        <v>448</v>
      </c>
      <c r="B450" s="59" t="s">
        <v>1182</v>
      </c>
      <c r="C450" s="126" t="s">
        <v>587</v>
      </c>
      <c r="D450" s="55">
        <v>1</v>
      </c>
      <c r="E450" s="56" t="s">
        <v>2417</v>
      </c>
      <c r="F450" s="126" t="s">
        <v>22</v>
      </c>
      <c r="G450" s="126" t="s">
        <v>1664</v>
      </c>
      <c r="H450" s="131">
        <v>96</v>
      </c>
      <c r="I450" s="49" t="s">
        <v>3570</v>
      </c>
      <c r="J450" s="52">
        <v>5</v>
      </c>
      <c r="K450" s="49"/>
      <c r="L450" s="49" t="s">
        <v>3815</v>
      </c>
      <c r="M450" s="58"/>
    </row>
    <row r="451" spans="1:13" ht="15">
      <c r="A451" s="52">
        <v>449</v>
      </c>
      <c r="B451" s="53" t="s">
        <v>857</v>
      </c>
      <c r="C451" s="126" t="s">
        <v>489</v>
      </c>
      <c r="D451" s="55">
        <v>6</v>
      </c>
      <c r="E451" s="56" t="s">
        <v>2394</v>
      </c>
      <c r="F451" s="126" t="s">
        <v>22</v>
      </c>
      <c r="G451" s="126" t="s">
        <v>1664</v>
      </c>
      <c r="H451" s="131">
        <v>48</v>
      </c>
      <c r="I451" s="49" t="s">
        <v>3563</v>
      </c>
      <c r="J451" s="52">
        <v>5</v>
      </c>
      <c r="K451" s="49"/>
      <c r="L451" s="49" t="s">
        <v>3816</v>
      </c>
      <c r="M451" s="58"/>
    </row>
    <row r="452" spans="1:13" ht="15">
      <c r="A452" s="52">
        <v>450</v>
      </c>
      <c r="B452" s="53" t="s">
        <v>875</v>
      </c>
      <c r="C452" s="126" t="s">
        <v>876</v>
      </c>
      <c r="D452" s="55">
        <v>4</v>
      </c>
      <c r="E452" s="56" t="s">
        <v>2394</v>
      </c>
      <c r="F452" s="126" t="s">
        <v>22</v>
      </c>
      <c r="G452" s="126" t="s">
        <v>1664</v>
      </c>
      <c r="H452" s="131">
        <v>32</v>
      </c>
      <c r="I452" s="49" t="s">
        <v>3563</v>
      </c>
      <c r="J452" s="52">
        <v>5</v>
      </c>
      <c r="K452" s="49"/>
      <c r="L452" s="49" t="s">
        <v>3817</v>
      </c>
      <c r="M452" s="58"/>
    </row>
    <row r="453" spans="1:13" ht="15">
      <c r="A453" s="52">
        <v>451</v>
      </c>
      <c r="B453" s="53" t="s">
        <v>1152</v>
      </c>
      <c r="C453" s="126" t="s">
        <v>558</v>
      </c>
      <c r="D453" s="55">
        <v>12</v>
      </c>
      <c r="E453" s="56" t="s">
        <v>2394</v>
      </c>
      <c r="F453" s="126" t="s">
        <v>22</v>
      </c>
      <c r="G453" s="126" t="s">
        <v>1664</v>
      </c>
      <c r="H453" s="131">
        <v>96</v>
      </c>
      <c r="I453" s="49" t="s">
        <v>3563</v>
      </c>
      <c r="J453" s="52">
        <v>5</v>
      </c>
      <c r="K453" s="49"/>
      <c r="L453" s="49" t="s">
        <v>3818</v>
      </c>
      <c r="M453" s="58"/>
    </row>
    <row r="454" spans="1:13" ht="15">
      <c r="A454" s="52">
        <v>452</v>
      </c>
      <c r="B454" s="53" t="s">
        <v>269</v>
      </c>
      <c r="C454" s="126" t="s">
        <v>270</v>
      </c>
      <c r="D454" s="55">
        <v>8</v>
      </c>
      <c r="E454" s="56" t="s">
        <v>2427</v>
      </c>
      <c r="F454" s="126" t="s">
        <v>22</v>
      </c>
      <c r="G454" s="126" t="s">
        <v>1664</v>
      </c>
      <c r="H454" s="131">
        <v>80</v>
      </c>
      <c r="I454" s="49" t="s">
        <v>3563</v>
      </c>
      <c r="J454" s="52">
        <v>5</v>
      </c>
      <c r="K454" s="49" t="s">
        <v>3638</v>
      </c>
      <c r="L454" s="49" t="s">
        <v>3819</v>
      </c>
      <c r="M454" s="58"/>
    </row>
    <row r="455" spans="1:13" ht="15">
      <c r="A455" s="52">
        <v>453</v>
      </c>
      <c r="B455" s="53" t="s">
        <v>496</v>
      </c>
      <c r="C455" s="126" t="s">
        <v>498</v>
      </c>
      <c r="D455" s="55">
        <v>4</v>
      </c>
      <c r="E455" s="56" t="s">
        <v>2427</v>
      </c>
      <c r="F455" s="126" t="s">
        <v>22</v>
      </c>
      <c r="G455" s="126" t="s">
        <v>1664</v>
      </c>
      <c r="H455" s="131">
        <v>32</v>
      </c>
      <c r="I455" s="49" t="s">
        <v>3563</v>
      </c>
      <c r="J455" s="52">
        <v>5</v>
      </c>
      <c r="K455" s="49"/>
      <c r="L455" s="49" t="s">
        <v>3820</v>
      </c>
      <c r="M455" s="58"/>
    </row>
    <row r="456" spans="1:13" ht="15">
      <c r="A456" s="52">
        <v>454</v>
      </c>
      <c r="B456" s="60" t="s">
        <v>1182</v>
      </c>
      <c r="C456" s="126" t="s">
        <v>587</v>
      </c>
      <c r="D456" s="52">
        <v>2</v>
      </c>
      <c r="E456" s="56" t="s">
        <v>2427</v>
      </c>
      <c r="F456" s="126" t="s">
        <v>22</v>
      </c>
      <c r="G456" s="126" t="s">
        <v>1664</v>
      </c>
      <c r="H456" s="131">
        <v>96</v>
      </c>
      <c r="I456" s="49" t="s">
        <v>3570</v>
      </c>
      <c r="J456" s="52">
        <v>5</v>
      </c>
      <c r="K456" s="49"/>
      <c r="L456" s="49" t="s">
        <v>3821</v>
      </c>
      <c r="M456" s="58"/>
    </row>
    <row r="457" spans="1:13" ht="15">
      <c r="A457" s="52">
        <v>455</v>
      </c>
      <c r="B457" s="53" t="s">
        <v>559</v>
      </c>
      <c r="C457" s="126" t="s">
        <v>560</v>
      </c>
      <c r="D457" s="55">
        <v>6</v>
      </c>
      <c r="E457" s="56" t="s">
        <v>2437</v>
      </c>
      <c r="F457" s="126" t="s">
        <v>22</v>
      </c>
      <c r="G457" s="126" t="s">
        <v>1686</v>
      </c>
      <c r="H457" s="131">
        <v>960</v>
      </c>
      <c r="I457" s="49" t="s">
        <v>3594</v>
      </c>
      <c r="J457" s="52">
        <v>5</v>
      </c>
      <c r="K457" s="49" t="s">
        <v>3574</v>
      </c>
      <c r="L457" s="49" t="s">
        <v>3822</v>
      </c>
      <c r="M457" s="58"/>
    </row>
    <row r="458" spans="1:13" ht="15">
      <c r="A458" s="52">
        <v>456</v>
      </c>
      <c r="B458" s="53" t="s">
        <v>776</v>
      </c>
      <c r="C458" s="126" t="s">
        <v>739</v>
      </c>
      <c r="D458" s="55">
        <v>1</v>
      </c>
      <c r="E458" s="56" t="s">
        <v>2437</v>
      </c>
      <c r="F458" s="126" t="s">
        <v>22</v>
      </c>
      <c r="G458" s="126" t="s">
        <v>1664</v>
      </c>
      <c r="H458" s="131">
        <v>8</v>
      </c>
      <c r="I458" s="49" t="s">
        <v>3563</v>
      </c>
      <c r="J458" s="52">
        <v>5</v>
      </c>
      <c r="K458" s="49"/>
      <c r="L458" s="49" t="s">
        <v>3823</v>
      </c>
      <c r="M458" s="58"/>
    </row>
    <row r="459" spans="1:13" ht="15">
      <c r="A459" s="52">
        <v>457</v>
      </c>
      <c r="B459" s="60" t="s">
        <v>646</v>
      </c>
      <c r="C459" s="126" t="s">
        <v>647</v>
      </c>
      <c r="D459" s="52">
        <v>1</v>
      </c>
      <c r="E459" s="56" t="s">
        <v>2437</v>
      </c>
      <c r="F459" s="126" t="s">
        <v>22</v>
      </c>
      <c r="G459" s="126" t="s">
        <v>1664</v>
      </c>
      <c r="H459" s="131">
        <v>104</v>
      </c>
      <c r="I459" s="49" t="s">
        <v>3563</v>
      </c>
      <c r="J459" s="52">
        <v>5</v>
      </c>
      <c r="K459" s="49"/>
      <c r="L459" s="49" t="s">
        <v>3824</v>
      </c>
      <c r="M459" s="58"/>
    </row>
    <row r="460" spans="1:13" ht="15">
      <c r="A460" s="52">
        <v>458</v>
      </c>
      <c r="B460" s="53" t="s">
        <v>1117</v>
      </c>
      <c r="C460" s="126" t="s">
        <v>21</v>
      </c>
      <c r="D460" s="55">
        <v>2</v>
      </c>
      <c r="E460" s="56" t="s">
        <v>2437</v>
      </c>
      <c r="F460" s="126" t="s">
        <v>22</v>
      </c>
      <c r="G460" s="126" t="s">
        <v>1664</v>
      </c>
      <c r="H460" s="131">
        <v>24</v>
      </c>
      <c r="I460" s="49" t="s">
        <v>3563</v>
      </c>
      <c r="J460" s="52">
        <v>5</v>
      </c>
      <c r="K460" s="49"/>
      <c r="L460" s="49" t="s">
        <v>3825</v>
      </c>
      <c r="M460" s="58"/>
    </row>
    <row r="461" spans="1:13" ht="15">
      <c r="A461" s="52">
        <v>459</v>
      </c>
      <c r="B461" s="60" t="s">
        <v>1186</v>
      </c>
      <c r="C461" s="126" t="s">
        <v>582</v>
      </c>
      <c r="D461" s="52">
        <v>1</v>
      </c>
      <c r="E461" s="52" t="s">
        <v>2437</v>
      </c>
      <c r="F461" s="126" t="s">
        <v>22</v>
      </c>
      <c r="G461" s="126" t="s">
        <v>1664</v>
      </c>
      <c r="H461" s="131">
        <v>8</v>
      </c>
      <c r="I461" s="49" t="s">
        <v>3563</v>
      </c>
      <c r="J461" s="52">
        <v>5</v>
      </c>
      <c r="K461" s="49"/>
      <c r="L461" s="49" t="s">
        <v>3826</v>
      </c>
      <c r="M461" s="58"/>
    </row>
    <row r="462" spans="1:13" ht="15">
      <c r="A462" s="52">
        <v>460</v>
      </c>
      <c r="B462" s="53" t="s">
        <v>1190</v>
      </c>
      <c r="C462" s="126" t="s">
        <v>630</v>
      </c>
      <c r="D462" s="55">
        <v>1</v>
      </c>
      <c r="E462" s="52" t="s">
        <v>2437</v>
      </c>
      <c r="F462" s="126" t="s">
        <v>22</v>
      </c>
      <c r="G462" s="126" t="s">
        <v>1664</v>
      </c>
      <c r="H462" s="131">
        <v>8</v>
      </c>
      <c r="I462" s="49" t="s">
        <v>3563</v>
      </c>
      <c r="J462" s="52">
        <v>5</v>
      </c>
      <c r="K462" s="49"/>
      <c r="L462" s="49" t="s">
        <v>3827</v>
      </c>
      <c r="M462" s="58"/>
    </row>
    <row r="463" spans="1:13" ht="15">
      <c r="A463" s="52">
        <v>461</v>
      </c>
      <c r="B463" s="60" t="s">
        <v>1197</v>
      </c>
      <c r="C463" s="126" t="s">
        <v>611</v>
      </c>
      <c r="D463" s="52">
        <v>1</v>
      </c>
      <c r="E463" s="52" t="s">
        <v>2437</v>
      </c>
      <c r="F463" s="126" t="s">
        <v>22</v>
      </c>
      <c r="G463" s="126" t="s">
        <v>1664</v>
      </c>
      <c r="H463" s="131">
        <v>8</v>
      </c>
      <c r="I463" s="49" t="s">
        <v>3563</v>
      </c>
      <c r="J463" s="52">
        <v>5</v>
      </c>
      <c r="K463" s="49"/>
      <c r="L463" s="49" t="s">
        <v>3828</v>
      </c>
      <c r="M463" s="58"/>
    </row>
    <row r="464" spans="1:13" ht="15">
      <c r="A464" s="52">
        <v>462</v>
      </c>
      <c r="B464" s="60" t="s">
        <v>626</v>
      </c>
      <c r="C464" s="126" t="s">
        <v>627</v>
      </c>
      <c r="D464" s="52">
        <v>1</v>
      </c>
      <c r="E464" s="56" t="s">
        <v>2437</v>
      </c>
      <c r="F464" s="126" t="s">
        <v>22</v>
      </c>
      <c r="G464" s="126" t="s">
        <v>1664</v>
      </c>
      <c r="H464" s="131">
        <v>8</v>
      </c>
      <c r="I464" s="49" t="s">
        <v>3563</v>
      </c>
      <c r="J464" s="52">
        <v>5</v>
      </c>
      <c r="K464" s="49"/>
      <c r="L464" s="49" t="s">
        <v>3829</v>
      </c>
      <c r="M464" s="58"/>
    </row>
    <row r="465" spans="1:13" ht="15">
      <c r="A465" s="52">
        <v>463</v>
      </c>
      <c r="B465" s="60" t="s">
        <v>1223</v>
      </c>
      <c r="C465" s="126" t="s">
        <v>1225</v>
      </c>
      <c r="D465" s="52">
        <v>2</v>
      </c>
      <c r="E465" s="52" t="s">
        <v>2437</v>
      </c>
      <c r="F465" s="126" t="s">
        <v>22</v>
      </c>
      <c r="G465" s="126" t="s">
        <v>1664</v>
      </c>
      <c r="H465" s="131">
        <v>16</v>
      </c>
      <c r="I465" s="49" t="s">
        <v>3563</v>
      </c>
      <c r="J465" s="52">
        <v>5</v>
      </c>
      <c r="K465" s="49"/>
      <c r="L465" s="49" t="s">
        <v>3830</v>
      </c>
      <c r="M465" s="58"/>
    </row>
    <row r="466" spans="1:13" ht="15">
      <c r="A466" s="52">
        <v>464</v>
      </c>
      <c r="B466" s="60" t="s">
        <v>867</v>
      </c>
      <c r="C466" s="126" t="s">
        <v>21</v>
      </c>
      <c r="D466" s="52">
        <v>1</v>
      </c>
      <c r="E466" s="52" t="s">
        <v>2437</v>
      </c>
      <c r="F466" s="126" t="s">
        <v>22</v>
      </c>
      <c r="G466" s="126" t="s">
        <v>1664</v>
      </c>
      <c r="H466" s="131">
        <v>8</v>
      </c>
      <c r="I466" s="49" t="s">
        <v>3563</v>
      </c>
      <c r="J466" s="52">
        <v>5</v>
      </c>
      <c r="K466" s="49"/>
      <c r="L466" s="49" t="s">
        <v>3831</v>
      </c>
      <c r="M466" s="58"/>
    </row>
    <row r="467" spans="1:13" ht="15">
      <c r="A467" s="52">
        <v>465</v>
      </c>
      <c r="B467" s="60" t="s">
        <v>633</v>
      </c>
      <c r="C467" s="126" t="s">
        <v>634</v>
      </c>
      <c r="D467" s="52">
        <v>4</v>
      </c>
      <c r="E467" s="52" t="s">
        <v>2437</v>
      </c>
      <c r="F467" s="126" t="s">
        <v>22</v>
      </c>
      <c r="G467" s="126" t="s">
        <v>1664</v>
      </c>
      <c r="H467" s="131">
        <v>32</v>
      </c>
      <c r="I467" s="49" t="s">
        <v>3563</v>
      </c>
      <c r="J467" s="52">
        <v>5</v>
      </c>
      <c r="K467" s="49"/>
      <c r="L467" s="49" t="s">
        <v>3832</v>
      </c>
      <c r="M467" s="58"/>
    </row>
    <row r="468" spans="1:13" ht="15">
      <c r="A468" s="52">
        <v>466</v>
      </c>
      <c r="B468" s="60" t="s">
        <v>1183</v>
      </c>
      <c r="C468" s="126" t="s">
        <v>1185</v>
      </c>
      <c r="D468" s="52">
        <v>4</v>
      </c>
      <c r="E468" s="52" t="s">
        <v>2437</v>
      </c>
      <c r="F468" s="126" t="s">
        <v>22</v>
      </c>
      <c r="G468" s="126" t="s">
        <v>1664</v>
      </c>
      <c r="H468" s="131">
        <v>32</v>
      </c>
      <c r="I468" s="49" t="s">
        <v>3570</v>
      </c>
      <c r="J468" s="52">
        <v>5</v>
      </c>
      <c r="K468" s="49" t="s">
        <v>3833</v>
      </c>
      <c r="L468" s="49" t="s">
        <v>3834</v>
      </c>
      <c r="M468" s="58"/>
    </row>
    <row r="469" spans="1:13" ht="15">
      <c r="A469" s="52">
        <v>467</v>
      </c>
      <c r="B469" s="60" t="s">
        <v>1182</v>
      </c>
      <c r="C469" s="126" t="s">
        <v>587</v>
      </c>
      <c r="D469" s="52">
        <v>2</v>
      </c>
      <c r="E469" s="52" t="s">
        <v>2437</v>
      </c>
      <c r="F469" s="126" t="s">
        <v>22</v>
      </c>
      <c r="G469" s="126" t="s">
        <v>1664</v>
      </c>
      <c r="H469" s="131">
        <v>96</v>
      </c>
      <c r="I469" s="49" t="s">
        <v>3570</v>
      </c>
      <c r="J469" s="52">
        <v>5</v>
      </c>
      <c r="K469" s="49"/>
      <c r="L469" s="49" t="s">
        <v>3835</v>
      </c>
      <c r="M469" s="58"/>
    </row>
    <row r="470" spans="1:13" ht="15">
      <c r="A470" s="52">
        <v>468</v>
      </c>
      <c r="B470" s="60" t="s">
        <v>828</v>
      </c>
      <c r="C470" s="126" t="s">
        <v>830</v>
      </c>
      <c r="D470" s="52">
        <v>1</v>
      </c>
      <c r="E470" s="52" t="s">
        <v>2443</v>
      </c>
      <c r="F470" s="126" t="s">
        <v>22</v>
      </c>
      <c r="G470" s="126" t="s">
        <v>1664</v>
      </c>
      <c r="H470" s="131">
        <v>8</v>
      </c>
      <c r="I470" s="49" t="s">
        <v>3563</v>
      </c>
      <c r="J470" s="52">
        <v>5</v>
      </c>
      <c r="K470" s="49"/>
      <c r="L470" s="49" t="s">
        <v>3836</v>
      </c>
      <c r="M470" s="58"/>
    </row>
    <row r="471" spans="1:13" ht="15">
      <c r="A471" s="52">
        <v>469</v>
      </c>
      <c r="B471" s="60" t="s">
        <v>863</v>
      </c>
      <c r="C471" s="126" t="s">
        <v>865</v>
      </c>
      <c r="D471" s="52">
        <v>2</v>
      </c>
      <c r="E471" s="52" t="s">
        <v>2443</v>
      </c>
      <c r="F471" s="126" t="s">
        <v>22</v>
      </c>
      <c r="G471" s="126" t="s">
        <v>1664</v>
      </c>
      <c r="H471" s="131">
        <v>16</v>
      </c>
      <c r="I471" s="49" t="s">
        <v>3563</v>
      </c>
      <c r="J471" s="52">
        <v>5</v>
      </c>
      <c r="K471" s="49"/>
      <c r="L471" s="49" t="s">
        <v>3837</v>
      </c>
      <c r="M471" s="58"/>
    </row>
    <row r="472" spans="1:13" ht="15">
      <c r="A472" s="52">
        <v>470</v>
      </c>
      <c r="B472" s="60" t="s">
        <v>1205</v>
      </c>
      <c r="C472" s="126" t="s">
        <v>587</v>
      </c>
      <c r="D472" s="52">
        <v>5</v>
      </c>
      <c r="E472" s="56" t="s">
        <v>2443</v>
      </c>
      <c r="F472" s="126" t="s">
        <v>22</v>
      </c>
      <c r="G472" s="126" t="s">
        <v>1664</v>
      </c>
      <c r="H472" s="131">
        <v>40</v>
      </c>
      <c r="I472" s="49" t="s">
        <v>3563</v>
      </c>
      <c r="J472" s="52">
        <v>5</v>
      </c>
      <c r="K472" s="49"/>
      <c r="L472" s="49" t="s">
        <v>3838</v>
      </c>
      <c r="M472" s="58"/>
    </row>
    <row r="473" spans="1:13" ht="15">
      <c r="A473" s="52">
        <v>471</v>
      </c>
      <c r="B473" s="60" t="s">
        <v>573</v>
      </c>
      <c r="C473" s="126" t="s">
        <v>575</v>
      </c>
      <c r="D473" s="52">
        <v>1</v>
      </c>
      <c r="E473" s="56" t="s">
        <v>2443</v>
      </c>
      <c r="F473" s="126" t="s">
        <v>22</v>
      </c>
      <c r="G473" s="126" t="s">
        <v>1664</v>
      </c>
      <c r="H473" s="131">
        <v>8</v>
      </c>
      <c r="I473" s="49" t="s">
        <v>3585</v>
      </c>
      <c r="J473" s="52">
        <v>5</v>
      </c>
      <c r="K473" s="49"/>
      <c r="L473" s="49" t="s">
        <v>3839</v>
      </c>
      <c r="M473" s="58"/>
    </row>
    <row r="474" spans="1:13" ht="15">
      <c r="A474" s="52">
        <v>472</v>
      </c>
      <c r="B474" s="60" t="s">
        <v>785</v>
      </c>
      <c r="C474" s="126" t="s">
        <v>54</v>
      </c>
      <c r="D474" s="52">
        <v>1</v>
      </c>
      <c r="E474" s="56" t="s">
        <v>2443</v>
      </c>
      <c r="F474" s="126" t="s">
        <v>22</v>
      </c>
      <c r="G474" s="126" t="s">
        <v>1664</v>
      </c>
      <c r="H474" s="131">
        <v>8</v>
      </c>
      <c r="I474" s="49" t="s">
        <v>3570</v>
      </c>
      <c r="J474" s="52">
        <v>5</v>
      </c>
      <c r="K474" s="49"/>
      <c r="L474" s="49" t="s">
        <v>3840</v>
      </c>
      <c r="M474" s="58"/>
    </row>
    <row r="475" spans="1:13" ht="14.25" customHeight="1">
      <c r="A475" s="52">
        <v>473</v>
      </c>
      <c r="B475" s="60" t="s">
        <v>488</v>
      </c>
      <c r="C475" s="126" t="s">
        <v>489</v>
      </c>
      <c r="D475" s="52">
        <v>2</v>
      </c>
      <c r="E475" s="52" t="s">
        <v>2443</v>
      </c>
      <c r="F475" s="126" t="s">
        <v>22</v>
      </c>
      <c r="G475" s="126" t="s">
        <v>1664</v>
      </c>
      <c r="H475" s="131">
        <v>16</v>
      </c>
      <c r="I475" s="49" t="s">
        <v>3570</v>
      </c>
      <c r="J475" s="52">
        <v>5</v>
      </c>
      <c r="K475" s="49"/>
      <c r="L475" s="49" t="s">
        <v>3841</v>
      </c>
      <c r="M475" s="58"/>
    </row>
    <row r="476" spans="1:13" ht="15">
      <c r="A476" s="52">
        <v>474</v>
      </c>
      <c r="B476" s="60" t="s">
        <v>798</v>
      </c>
      <c r="C476" s="126" t="s">
        <v>485</v>
      </c>
      <c r="D476" s="52">
        <v>1</v>
      </c>
      <c r="E476" s="52" t="s">
        <v>2443</v>
      </c>
      <c r="F476" s="126" t="s">
        <v>22</v>
      </c>
      <c r="G476" s="126" t="s">
        <v>1664</v>
      </c>
      <c r="H476" s="131">
        <v>8</v>
      </c>
      <c r="I476" s="49" t="s">
        <v>3570</v>
      </c>
      <c r="J476" s="52">
        <v>5</v>
      </c>
      <c r="K476" s="49"/>
      <c r="L476" s="49" t="s">
        <v>3842</v>
      </c>
      <c r="M476" s="58"/>
    </row>
    <row r="477" spans="1:13" ht="15">
      <c r="A477" s="52">
        <v>475</v>
      </c>
      <c r="B477" s="60" t="s">
        <v>1167</v>
      </c>
      <c r="C477" s="126" t="s">
        <v>630</v>
      </c>
      <c r="D477" s="52">
        <v>6</v>
      </c>
      <c r="E477" s="52" t="s">
        <v>2443</v>
      </c>
      <c r="F477" s="126" t="s">
        <v>22</v>
      </c>
      <c r="G477" s="126" t="s">
        <v>1664</v>
      </c>
      <c r="H477" s="131">
        <v>48</v>
      </c>
      <c r="I477" s="49" t="s">
        <v>3570</v>
      </c>
      <c r="J477" s="52">
        <v>5</v>
      </c>
      <c r="K477" s="49"/>
      <c r="L477" s="49" t="s">
        <v>3843</v>
      </c>
      <c r="M477" s="58"/>
    </row>
    <row r="478" spans="1:13" ht="15">
      <c r="A478" s="52">
        <v>476</v>
      </c>
      <c r="B478" s="60" t="s">
        <v>1231</v>
      </c>
      <c r="C478" s="126" t="s">
        <v>558</v>
      </c>
      <c r="D478" s="52">
        <v>4</v>
      </c>
      <c r="E478" s="52" t="s">
        <v>2443</v>
      </c>
      <c r="F478" s="126" t="s">
        <v>22</v>
      </c>
      <c r="G478" s="126" t="s">
        <v>1664</v>
      </c>
      <c r="H478" s="131">
        <v>32</v>
      </c>
      <c r="I478" s="49" t="s">
        <v>3570</v>
      </c>
      <c r="J478" s="52">
        <v>5</v>
      </c>
      <c r="K478" s="49"/>
      <c r="L478" s="49" t="s">
        <v>3844</v>
      </c>
      <c r="M478" s="58"/>
    </row>
    <row r="479" spans="1:13" ht="15">
      <c r="A479" s="52">
        <v>477</v>
      </c>
      <c r="B479" s="60" t="s">
        <v>1182</v>
      </c>
      <c r="C479" s="126" t="s">
        <v>587</v>
      </c>
      <c r="D479" s="52">
        <v>12</v>
      </c>
      <c r="E479" s="52" t="s">
        <v>2443</v>
      </c>
      <c r="F479" s="126" t="s">
        <v>22</v>
      </c>
      <c r="G479" s="126" t="s">
        <v>1664</v>
      </c>
      <c r="H479" s="131">
        <v>96</v>
      </c>
      <c r="I479" s="49" t="s">
        <v>3570</v>
      </c>
      <c r="J479" s="52">
        <v>5</v>
      </c>
      <c r="K479" s="49"/>
      <c r="L479" s="49" t="s">
        <v>3845</v>
      </c>
      <c r="M479" s="58"/>
    </row>
    <row r="480" spans="1:13" ht="15">
      <c r="A480" s="52">
        <v>478</v>
      </c>
      <c r="B480" s="60" t="s">
        <v>499</v>
      </c>
      <c r="C480" s="126" t="s">
        <v>500</v>
      </c>
      <c r="D480" s="52">
        <v>1</v>
      </c>
      <c r="E480" s="52" t="s">
        <v>2391</v>
      </c>
      <c r="F480" s="126" t="s">
        <v>22</v>
      </c>
      <c r="G480" s="126" t="s">
        <v>1664</v>
      </c>
      <c r="H480" s="131">
        <v>8</v>
      </c>
      <c r="I480" s="49" t="s">
        <v>3563</v>
      </c>
      <c r="J480" s="52">
        <v>5</v>
      </c>
      <c r="K480" s="49"/>
      <c r="L480" s="49" t="s">
        <v>3846</v>
      </c>
      <c r="M480" s="58"/>
    </row>
    <row r="481" spans="1:13" ht="15">
      <c r="A481" s="52">
        <v>479</v>
      </c>
      <c r="B481" s="60" t="s">
        <v>863</v>
      </c>
      <c r="C481" s="126" t="s">
        <v>865</v>
      </c>
      <c r="D481" s="52">
        <v>1</v>
      </c>
      <c r="E481" s="52" t="s">
        <v>2391</v>
      </c>
      <c r="F481" s="126" t="s">
        <v>22</v>
      </c>
      <c r="G481" s="126" t="s">
        <v>1664</v>
      </c>
      <c r="H481" s="131">
        <v>16</v>
      </c>
      <c r="I481" s="49" t="s">
        <v>3563</v>
      </c>
      <c r="J481" s="52">
        <v>5</v>
      </c>
      <c r="K481" s="49"/>
      <c r="L481" s="49" t="s">
        <v>3847</v>
      </c>
      <c r="M481" s="58"/>
    </row>
    <row r="482" spans="1:13" ht="15">
      <c r="A482" s="52">
        <v>480</v>
      </c>
      <c r="B482" s="53" t="s">
        <v>637</v>
      </c>
      <c r="C482" s="126" t="s">
        <v>638</v>
      </c>
      <c r="D482" s="55">
        <v>6</v>
      </c>
      <c r="E482" s="52" t="s">
        <v>2391</v>
      </c>
      <c r="F482" s="126" t="s">
        <v>22</v>
      </c>
      <c r="G482" s="126" t="s">
        <v>1664</v>
      </c>
      <c r="H482" s="131">
        <v>240</v>
      </c>
      <c r="I482" s="49" t="s">
        <v>3563</v>
      </c>
      <c r="J482" s="52">
        <v>5</v>
      </c>
      <c r="K482" s="49"/>
      <c r="L482" s="49" t="s">
        <v>3848</v>
      </c>
      <c r="M482" s="58"/>
    </row>
    <row r="483" spans="1:13" ht="15">
      <c r="A483" s="52">
        <v>481</v>
      </c>
      <c r="B483" s="53" t="s">
        <v>2086</v>
      </c>
      <c r="C483" s="126" t="s">
        <v>2087</v>
      </c>
      <c r="D483" s="55">
        <v>2</v>
      </c>
      <c r="E483" s="52" t="s">
        <v>2391</v>
      </c>
      <c r="F483" s="126" t="s">
        <v>22</v>
      </c>
      <c r="G483" s="126" t="s">
        <v>1664</v>
      </c>
      <c r="H483" s="131">
        <v>16</v>
      </c>
      <c r="I483" s="49" t="s">
        <v>3570</v>
      </c>
      <c r="J483" s="52">
        <v>5</v>
      </c>
      <c r="K483" s="49"/>
      <c r="L483" s="49" t="s">
        <v>3849</v>
      </c>
      <c r="M483" s="58"/>
    </row>
    <row r="484" spans="1:13" ht="15">
      <c r="A484" s="52">
        <v>482</v>
      </c>
      <c r="B484" s="53" t="s">
        <v>109</v>
      </c>
      <c r="C484" s="126" t="s">
        <v>111</v>
      </c>
      <c r="D484" s="55">
        <v>2</v>
      </c>
      <c r="E484" s="52" t="s">
        <v>2391</v>
      </c>
      <c r="F484" s="126" t="s">
        <v>22</v>
      </c>
      <c r="G484" s="126" t="s">
        <v>1664</v>
      </c>
      <c r="H484" s="131">
        <v>16</v>
      </c>
      <c r="I484" s="49" t="s">
        <v>3570</v>
      </c>
      <c r="J484" s="52">
        <v>5</v>
      </c>
      <c r="K484" s="49"/>
      <c r="L484" s="49" t="s">
        <v>3850</v>
      </c>
      <c r="M484" s="58"/>
    </row>
    <row r="485" spans="1:13" ht="15">
      <c r="A485" s="52">
        <v>483</v>
      </c>
      <c r="B485" s="53" t="s">
        <v>1147</v>
      </c>
      <c r="C485" s="126" t="s">
        <v>1148</v>
      </c>
      <c r="D485" s="55">
        <v>1</v>
      </c>
      <c r="E485" s="52" t="s">
        <v>2391</v>
      </c>
      <c r="F485" s="126" t="s">
        <v>22</v>
      </c>
      <c r="G485" s="126" t="s">
        <v>1664</v>
      </c>
      <c r="H485" s="131">
        <v>8</v>
      </c>
      <c r="I485" s="49" t="s">
        <v>3570</v>
      </c>
      <c r="J485" s="52">
        <v>5</v>
      </c>
      <c r="K485" s="49"/>
      <c r="L485" s="49" t="s">
        <v>3851</v>
      </c>
      <c r="M485" s="58"/>
    </row>
    <row r="486" spans="1:13" ht="15">
      <c r="A486" s="52">
        <v>484</v>
      </c>
      <c r="B486" s="53" t="s">
        <v>1182</v>
      </c>
      <c r="C486" s="126" t="s">
        <v>587</v>
      </c>
      <c r="D486" s="55">
        <v>4</v>
      </c>
      <c r="E486" s="52" t="s">
        <v>2391</v>
      </c>
      <c r="F486" s="126" t="s">
        <v>22</v>
      </c>
      <c r="G486" s="126" t="s">
        <v>1664</v>
      </c>
      <c r="H486" s="131">
        <v>96</v>
      </c>
      <c r="I486" s="49" t="s">
        <v>3570</v>
      </c>
      <c r="J486" s="52">
        <v>5</v>
      </c>
      <c r="K486" s="49"/>
      <c r="L486" s="49" t="s">
        <v>3852</v>
      </c>
      <c r="M486" s="58"/>
    </row>
    <row r="487" spans="1:13" ht="15">
      <c r="A487" s="52">
        <v>485</v>
      </c>
      <c r="B487" s="60" t="s">
        <v>1378</v>
      </c>
      <c r="C487" s="126" t="s">
        <v>1379</v>
      </c>
      <c r="D487" s="52">
        <v>1</v>
      </c>
      <c r="E487" s="52" t="s">
        <v>2391</v>
      </c>
      <c r="F487" s="126" t="s">
        <v>22</v>
      </c>
      <c r="G487" s="126" t="s">
        <v>1664</v>
      </c>
      <c r="H487" s="131">
        <v>8</v>
      </c>
      <c r="I487" s="49" t="s">
        <v>3570</v>
      </c>
      <c r="J487" s="52">
        <v>5</v>
      </c>
      <c r="K487" s="49"/>
      <c r="L487" s="49" t="s">
        <v>3853</v>
      </c>
      <c r="M487" s="58"/>
    </row>
    <row r="488" spans="1:13" ht="15">
      <c r="A488" s="52">
        <v>486</v>
      </c>
      <c r="B488" s="60" t="s">
        <v>1380</v>
      </c>
      <c r="C488" s="126" t="s">
        <v>1379</v>
      </c>
      <c r="D488" s="52">
        <v>1</v>
      </c>
      <c r="E488" s="52" t="s">
        <v>2391</v>
      </c>
      <c r="F488" s="126" t="s">
        <v>22</v>
      </c>
      <c r="G488" s="126" t="s">
        <v>1664</v>
      </c>
      <c r="H488" s="131">
        <v>8</v>
      </c>
      <c r="I488" s="49" t="s">
        <v>3570</v>
      </c>
      <c r="J488" s="52">
        <v>5</v>
      </c>
      <c r="K488" s="49"/>
      <c r="L488" s="49" t="s">
        <v>3854</v>
      </c>
      <c r="M488" s="58"/>
    </row>
    <row r="489" spans="1:13" ht="15">
      <c r="A489" s="52">
        <v>487</v>
      </c>
      <c r="B489" s="60" t="s">
        <v>1240</v>
      </c>
      <c r="C489" s="126" t="s">
        <v>265</v>
      </c>
      <c r="D489" s="52">
        <v>2</v>
      </c>
      <c r="E489" s="52" t="s">
        <v>2391</v>
      </c>
      <c r="F489" s="126" t="s">
        <v>22</v>
      </c>
      <c r="G489" s="126" t="s">
        <v>1664</v>
      </c>
      <c r="H489" s="131">
        <v>16</v>
      </c>
      <c r="I489" s="49" t="s">
        <v>3559</v>
      </c>
      <c r="J489" s="52"/>
      <c r="K489" s="49"/>
      <c r="L489" s="49" t="s">
        <v>3855</v>
      </c>
      <c r="M489" s="58"/>
    </row>
    <row r="490" spans="1:13" ht="15">
      <c r="A490" s="52">
        <v>488</v>
      </c>
      <c r="B490" s="53" t="s">
        <v>904</v>
      </c>
      <c r="C490" s="126" t="s">
        <v>906</v>
      </c>
      <c r="D490" s="55">
        <v>26</v>
      </c>
      <c r="E490" s="52" t="s">
        <v>2391</v>
      </c>
      <c r="F490" s="126" t="s">
        <v>22</v>
      </c>
      <c r="G490" s="126" t="s">
        <v>1664</v>
      </c>
      <c r="H490" s="131">
        <v>136</v>
      </c>
      <c r="I490" s="49" t="s">
        <v>3706</v>
      </c>
      <c r="J490" s="52"/>
      <c r="K490" s="49"/>
      <c r="L490" s="49" t="s">
        <v>3856</v>
      </c>
      <c r="M490" s="58"/>
    </row>
    <row r="491" spans="1:13" ht="15">
      <c r="A491" s="52">
        <v>489</v>
      </c>
      <c r="B491" s="53" t="s">
        <v>1135</v>
      </c>
      <c r="C491" s="126" t="s">
        <v>905</v>
      </c>
      <c r="D491" s="55">
        <v>2</v>
      </c>
      <c r="E491" s="52" t="s">
        <v>2391</v>
      </c>
      <c r="F491" s="126" t="s">
        <v>22</v>
      </c>
      <c r="G491" s="126" t="s">
        <v>1664</v>
      </c>
      <c r="H491" s="131">
        <v>32</v>
      </c>
      <c r="I491" s="49" t="s">
        <v>3570</v>
      </c>
      <c r="J491" s="52"/>
      <c r="K491" s="49"/>
      <c r="L491" s="49" t="s">
        <v>3857</v>
      </c>
      <c r="M491" s="58"/>
    </row>
    <row r="492" spans="1:13" ht="15">
      <c r="A492" s="52">
        <v>490</v>
      </c>
      <c r="B492" s="53" t="s">
        <v>523</v>
      </c>
      <c r="C492" s="126" t="s">
        <v>21</v>
      </c>
      <c r="D492" s="55">
        <v>1</v>
      </c>
      <c r="E492" s="52" t="s">
        <v>2437</v>
      </c>
      <c r="F492" s="126" t="s">
        <v>22</v>
      </c>
      <c r="G492" s="126" t="s">
        <v>1664</v>
      </c>
      <c r="H492" s="131">
        <v>48</v>
      </c>
      <c r="I492" s="49" t="s">
        <v>3559</v>
      </c>
      <c r="J492" s="52"/>
      <c r="K492" s="49"/>
      <c r="L492" s="49" t="s">
        <v>3858</v>
      </c>
      <c r="M492" s="58"/>
    </row>
    <row r="493" spans="1:13" ht="15">
      <c r="A493" s="52">
        <v>491</v>
      </c>
      <c r="B493" s="53" t="s">
        <v>240</v>
      </c>
      <c r="C493" s="126" t="s">
        <v>242</v>
      </c>
      <c r="D493" s="55">
        <v>2</v>
      </c>
      <c r="E493" s="52" t="s">
        <v>2391</v>
      </c>
      <c r="F493" s="126" t="s">
        <v>22</v>
      </c>
      <c r="G493" s="126" t="s">
        <v>1664</v>
      </c>
      <c r="H493" s="131">
        <v>128</v>
      </c>
      <c r="I493" s="49" t="s">
        <v>3594</v>
      </c>
      <c r="J493" s="52"/>
      <c r="K493" s="49"/>
      <c r="L493" s="49" t="s">
        <v>3859</v>
      </c>
      <c r="M493" s="58"/>
    </row>
    <row r="494" spans="1:13" ht="15">
      <c r="A494" s="52">
        <v>492</v>
      </c>
      <c r="B494" s="53" t="s">
        <v>901</v>
      </c>
      <c r="C494" s="126" t="s">
        <v>903</v>
      </c>
      <c r="D494" s="55">
        <v>6</v>
      </c>
      <c r="E494" s="56" t="s">
        <v>2391</v>
      </c>
      <c r="F494" s="126" t="s">
        <v>22</v>
      </c>
      <c r="G494" s="126" t="s">
        <v>1664</v>
      </c>
      <c r="H494" s="131">
        <v>24</v>
      </c>
      <c r="I494" s="49" t="s">
        <v>3570</v>
      </c>
      <c r="J494" s="52"/>
      <c r="K494" s="49"/>
      <c r="L494" s="49" t="s">
        <v>3860</v>
      </c>
      <c r="M494" s="58"/>
    </row>
    <row r="495" spans="1:13" ht="15">
      <c r="A495" s="52">
        <v>493</v>
      </c>
      <c r="B495" s="60" t="s">
        <v>1849</v>
      </c>
      <c r="C495" s="126" t="s">
        <v>1851</v>
      </c>
      <c r="D495" s="52">
        <v>2</v>
      </c>
      <c r="E495" s="56" t="s">
        <v>2417</v>
      </c>
      <c r="F495" s="126" t="s">
        <v>1733</v>
      </c>
      <c r="G495" s="126" t="s">
        <v>1664</v>
      </c>
      <c r="H495" s="131">
        <v>16</v>
      </c>
      <c r="I495" s="49" t="s">
        <v>3559</v>
      </c>
      <c r="J495" s="52">
        <v>1</v>
      </c>
      <c r="K495" s="49"/>
      <c r="L495" s="49" t="s">
        <v>3861</v>
      </c>
      <c r="M495" s="58"/>
    </row>
    <row r="496" spans="1:13" ht="15">
      <c r="A496" s="52">
        <v>494</v>
      </c>
      <c r="B496" s="60" t="s">
        <v>2310</v>
      </c>
      <c r="C496" s="126" t="s">
        <v>2265</v>
      </c>
      <c r="D496" s="52">
        <v>4</v>
      </c>
      <c r="E496" s="52" t="s">
        <v>2417</v>
      </c>
      <c r="F496" s="126" t="s">
        <v>1733</v>
      </c>
      <c r="G496" s="126" t="s">
        <v>1664</v>
      </c>
      <c r="H496" s="131">
        <v>32</v>
      </c>
      <c r="I496" s="49" t="s">
        <v>3570</v>
      </c>
      <c r="J496" s="52">
        <v>1</v>
      </c>
      <c r="K496" s="49"/>
      <c r="L496" s="188" t="s">
        <v>3862</v>
      </c>
      <c r="M496" s="58"/>
    </row>
    <row r="497" spans="1:13" ht="15">
      <c r="A497" s="52">
        <v>495</v>
      </c>
      <c r="B497" s="60" t="s">
        <v>1991</v>
      </c>
      <c r="C497" s="126" t="s">
        <v>1893</v>
      </c>
      <c r="D497" s="52">
        <v>1</v>
      </c>
      <c r="E497" s="52" t="s">
        <v>2437</v>
      </c>
      <c r="F497" s="126" t="s">
        <v>1733</v>
      </c>
      <c r="G497" s="126" t="s">
        <v>1664</v>
      </c>
      <c r="H497" s="131">
        <v>8</v>
      </c>
      <c r="I497" s="49" t="s">
        <v>3570</v>
      </c>
      <c r="J497" s="52">
        <v>1</v>
      </c>
      <c r="K497" s="49"/>
      <c r="L497" s="49" t="s">
        <v>3863</v>
      </c>
      <c r="M497" s="58"/>
    </row>
    <row r="498" spans="1:13" ht="15">
      <c r="A498" s="52">
        <v>496</v>
      </c>
      <c r="B498" s="60" t="s">
        <v>1454</v>
      </c>
      <c r="C498" s="126" t="s">
        <v>2062</v>
      </c>
      <c r="D498" s="52">
        <v>2</v>
      </c>
      <c r="E498" s="56" t="s">
        <v>2437</v>
      </c>
      <c r="F498" s="126" t="s">
        <v>1733</v>
      </c>
      <c r="G498" s="126" t="s">
        <v>1664</v>
      </c>
      <c r="H498" s="131">
        <v>16</v>
      </c>
      <c r="I498" s="49" t="s">
        <v>3570</v>
      </c>
      <c r="J498" s="52">
        <v>1</v>
      </c>
      <c r="K498" s="49"/>
      <c r="L498" s="49" t="s">
        <v>3864</v>
      </c>
      <c r="M498" s="58"/>
    </row>
    <row r="499" spans="1:13" ht="15">
      <c r="A499" s="52">
        <v>497</v>
      </c>
      <c r="B499" s="60" t="s">
        <v>2159</v>
      </c>
      <c r="C499" s="126" t="s">
        <v>2146</v>
      </c>
      <c r="D499" s="52">
        <v>2</v>
      </c>
      <c r="E499" s="52" t="s">
        <v>2391</v>
      </c>
      <c r="F499" s="126" t="s">
        <v>1733</v>
      </c>
      <c r="G499" s="126" t="s">
        <v>1664</v>
      </c>
      <c r="H499" s="131">
        <v>16</v>
      </c>
      <c r="I499" s="49" t="s">
        <v>3570</v>
      </c>
      <c r="J499" s="52">
        <v>1</v>
      </c>
      <c r="K499" s="49"/>
      <c r="L499" s="49" t="s">
        <v>3865</v>
      </c>
      <c r="M499" s="58"/>
    </row>
    <row r="500" spans="1:13" ht="15">
      <c r="A500" s="52">
        <v>498</v>
      </c>
      <c r="B500" s="60" t="s">
        <v>1842</v>
      </c>
      <c r="C500" s="126" t="s">
        <v>1838</v>
      </c>
      <c r="D500" s="52">
        <v>4</v>
      </c>
      <c r="E500" s="52" t="s">
        <v>2385</v>
      </c>
      <c r="F500" s="126" t="s">
        <v>1733</v>
      </c>
      <c r="G500" s="126" t="s">
        <v>1664</v>
      </c>
      <c r="H500" s="131">
        <v>32</v>
      </c>
      <c r="I500" s="49" t="s">
        <v>3563</v>
      </c>
      <c r="J500" s="52">
        <v>2</v>
      </c>
      <c r="K500" s="49"/>
      <c r="L500" s="49" t="s">
        <v>3866</v>
      </c>
      <c r="M500" s="58"/>
    </row>
    <row r="501" spans="1:13" ht="15">
      <c r="A501" s="52">
        <v>499</v>
      </c>
      <c r="B501" s="60" t="s">
        <v>2263</v>
      </c>
      <c r="C501" s="126" t="s">
        <v>2265</v>
      </c>
      <c r="D501" s="52">
        <v>2</v>
      </c>
      <c r="E501" s="52" t="s">
        <v>2417</v>
      </c>
      <c r="F501" s="126" t="s">
        <v>1733</v>
      </c>
      <c r="G501" s="126" t="s">
        <v>1664</v>
      </c>
      <c r="H501" s="131">
        <v>16</v>
      </c>
      <c r="I501" s="49" t="s">
        <v>3559</v>
      </c>
      <c r="J501" s="52">
        <v>2</v>
      </c>
      <c r="K501" s="49"/>
      <c r="L501" s="49" t="s">
        <v>3867</v>
      </c>
      <c r="M501" s="58"/>
    </row>
    <row r="502" spans="1:13" ht="15">
      <c r="A502" s="52">
        <v>500</v>
      </c>
      <c r="B502" s="60" t="s">
        <v>1886</v>
      </c>
      <c r="C502" s="126" t="s">
        <v>1888</v>
      </c>
      <c r="D502" s="52">
        <v>1</v>
      </c>
      <c r="E502" s="52" t="s">
        <v>2443</v>
      </c>
      <c r="F502" s="126" t="s">
        <v>1733</v>
      </c>
      <c r="G502" s="126" t="s">
        <v>1664</v>
      </c>
      <c r="H502" s="131">
        <v>8</v>
      </c>
      <c r="I502" s="49" t="s">
        <v>3570</v>
      </c>
      <c r="J502" s="52">
        <v>2</v>
      </c>
      <c r="K502" s="49"/>
      <c r="L502" s="49" t="s">
        <v>3868</v>
      </c>
      <c r="M502" s="58"/>
    </row>
    <row r="503" spans="1:13" ht="15">
      <c r="A503" s="52">
        <v>501</v>
      </c>
      <c r="B503" s="60" t="s">
        <v>2297</v>
      </c>
      <c r="C503" s="126" t="s">
        <v>1931</v>
      </c>
      <c r="D503" s="52">
        <v>5</v>
      </c>
      <c r="E503" s="52" t="s">
        <v>2443</v>
      </c>
      <c r="F503" s="126" t="s">
        <v>1733</v>
      </c>
      <c r="G503" s="126" t="s">
        <v>1664</v>
      </c>
      <c r="H503" s="131">
        <v>40</v>
      </c>
      <c r="I503" s="49" t="s">
        <v>3570</v>
      </c>
      <c r="J503" s="52">
        <v>3</v>
      </c>
      <c r="K503" s="49"/>
      <c r="L503" s="49" t="s">
        <v>3869</v>
      </c>
      <c r="M503" s="58"/>
    </row>
    <row r="504" spans="1:13" ht="15">
      <c r="A504" s="52">
        <v>502</v>
      </c>
      <c r="B504" s="60" t="s">
        <v>2147</v>
      </c>
      <c r="C504" s="126" t="s">
        <v>2148</v>
      </c>
      <c r="D504" s="52">
        <v>2</v>
      </c>
      <c r="E504" s="52" t="s">
        <v>2391</v>
      </c>
      <c r="F504" s="126" t="s">
        <v>1733</v>
      </c>
      <c r="G504" s="126" t="s">
        <v>1664</v>
      </c>
      <c r="H504" s="131">
        <v>16</v>
      </c>
      <c r="I504" s="49" t="s">
        <v>3570</v>
      </c>
      <c r="J504" s="52">
        <v>3</v>
      </c>
      <c r="K504" s="49"/>
      <c r="L504" s="49" t="s">
        <v>3870</v>
      </c>
      <c r="M504" s="58"/>
    </row>
    <row r="505" spans="1:13" ht="15">
      <c r="A505" s="52">
        <v>503</v>
      </c>
      <c r="B505" s="60" t="s">
        <v>2348</v>
      </c>
      <c r="C505" s="126" t="s">
        <v>2148</v>
      </c>
      <c r="D505" s="52">
        <v>2</v>
      </c>
      <c r="E505" s="52" t="s">
        <v>2391</v>
      </c>
      <c r="F505" s="126" t="s">
        <v>1733</v>
      </c>
      <c r="G505" s="126" t="s">
        <v>1664</v>
      </c>
      <c r="H505" s="131">
        <v>16</v>
      </c>
      <c r="I505" s="49" t="s">
        <v>3570</v>
      </c>
      <c r="J505" s="52">
        <v>3</v>
      </c>
      <c r="K505" s="49"/>
      <c r="L505" s="49" t="s">
        <v>3871</v>
      </c>
      <c r="M505" s="58"/>
    </row>
    <row r="506" spans="1:13" ht="15">
      <c r="A506" s="52">
        <v>504</v>
      </c>
      <c r="B506" s="53" t="s">
        <v>1509</v>
      </c>
      <c r="C506" s="126" t="s">
        <v>2060</v>
      </c>
      <c r="D506" s="52">
        <v>2</v>
      </c>
      <c r="E506" s="52" t="s">
        <v>2391</v>
      </c>
      <c r="F506" s="126" t="s">
        <v>1733</v>
      </c>
      <c r="G506" s="126" t="s">
        <v>1664</v>
      </c>
      <c r="H506" s="131">
        <v>8</v>
      </c>
      <c r="I506" s="49"/>
      <c r="J506" s="52"/>
      <c r="K506" s="49"/>
      <c r="L506" s="10" t="s">
        <v>3872</v>
      </c>
    </row>
    <row r="507" spans="1:13" ht="15">
      <c r="A507" s="52">
        <v>505</v>
      </c>
      <c r="B507" s="60" t="s">
        <v>854</v>
      </c>
      <c r="C507" s="126" t="s">
        <v>1852</v>
      </c>
      <c r="D507" s="52">
        <v>1.5</v>
      </c>
      <c r="E507" s="52" t="s">
        <v>2417</v>
      </c>
      <c r="F507" s="126" t="s">
        <v>853</v>
      </c>
      <c r="G507" s="126" t="s">
        <v>1664</v>
      </c>
      <c r="H507" s="127">
        <v>10800</v>
      </c>
      <c r="I507" s="49" t="s">
        <v>3594</v>
      </c>
      <c r="J507" s="52">
        <v>1</v>
      </c>
      <c r="K507" s="49"/>
      <c r="L507" s="10" t="s">
        <v>3873</v>
      </c>
    </row>
    <row r="508" spans="1:13" ht="15">
      <c r="A508" s="52">
        <v>506</v>
      </c>
      <c r="B508" s="63" t="s">
        <v>849</v>
      </c>
      <c r="C508" s="126" t="s">
        <v>852</v>
      </c>
      <c r="D508" s="52">
        <v>9.4</v>
      </c>
      <c r="E508" s="52" t="s">
        <v>2417</v>
      </c>
      <c r="F508" s="126" t="s">
        <v>853</v>
      </c>
      <c r="G508" s="126" t="s">
        <v>1664</v>
      </c>
      <c r="H508" s="127">
        <v>92192</v>
      </c>
      <c r="I508" s="49" t="s">
        <v>3594</v>
      </c>
      <c r="J508" s="52">
        <v>1</v>
      </c>
      <c r="K508" s="49"/>
      <c r="L508" s="10" t="s">
        <v>3874</v>
      </c>
    </row>
    <row r="509" spans="1:13" ht="15">
      <c r="A509" s="52">
        <v>507</v>
      </c>
      <c r="B509" s="60" t="s">
        <v>858</v>
      </c>
      <c r="C509" s="126" t="s">
        <v>859</v>
      </c>
      <c r="D509" s="52">
        <v>11</v>
      </c>
      <c r="E509" s="56" t="s">
        <v>2385</v>
      </c>
      <c r="F509" s="126" t="s">
        <v>853</v>
      </c>
      <c r="G509" s="126" t="s">
        <v>1664</v>
      </c>
      <c r="H509" s="127">
        <v>87880</v>
      </c>
      <c r="I509" s="49" t="s">
        <v>3594</v>
      </c>
      <c r="J509" s="52">
        <v>1</v>
      </c>
      <c r="K509" s="49"/>
      <c r="L509" s="10" t="s">
        <v>3875</v>
      </c>
    </row>
    <row r="510" spans="1:13" ht="15">
      <c r="A510" s="52">
        <v>508</v>
      </c>
      <c r="B510" s="60" t="s">
        <v>1302</v>
      </c>
      <c r="C510" s="49" t="s">
        <v>179</v>
      </c>
      <c r="D510" s="52">
        <v>1.76</v>
      </c>
      <c r="E510" s="52" t="s">
        <v>2391</v>
      </c>
      <c r="F510" s="49" t="s">
        <v>853</v>
      </c>
      <c r="G510" s="49" t="s">
        <v>1664</v>
      </c>
      <c r="H510" s="52">
        <v>14.08</v>
      </c>
      <c r="I510" s="49" t="s">
        <v>3876</v>
      </c>
      <c r="J510" s="52">
        <v>1</v>
      </c>
      <c r="K510" s="49"/>
    </row>
    <row r="511" spans="1:13" ht="15">
      <c r="A511" s="52">
        <v>509</v>
      </c>
      <c r="B511" s="60" t="s">
        <v>871</v>
      </c>
      <c r="C511" s="49" t="s">
        <v>1852</v>
      </c>
      <c r="D511" s="52">
        <v>2</v>
      </c>
      <c r="E511" s="52" t="s">
        <v>2417</v>
      </c>
      <c r="F511" s="49" t="s">
        <v>853</v>
      </c>
      <c r="G511" s="49" t="s">
        <v>1664</v>
      </c>
      <c r="H511" s="52">
        <v>1440</v>
      </c>
      <c r="I511" s="49" t="s">
        <v>3559</v>
      </c>
      <c r="J511" s="52">
        <v>4</v>
      </c>
      <c r="K511" s="49"/>
    </row>
    <row r="512" spans="1:13" ht="15">
      <c r="A512" s="52">
        <v>510</v>
      </c>
      <c r="B512" s="60" t="s">
        <v>849</v>
      </c>
      <c r="C512" s="49" t="s">
        <v>852</v>
      </c>
      <c r="D512" s="52">
        <v>1.8</v>
      </c>
      <c r="E512" s="52" t="s">
        <v>2391</v>
      </c>
      <c r="F512" s="49" t="s">
        <v>853</v>
      </c>
      <c r="G512" s="49" t="s">
        <v>1664</v>
      </c>
      <c r="H512" s="52">
        <v>92192</v>
      </c>
      <c r="I512" s="49" t="s">
        <v>3594</v>
      </c>
      <c r="J512" s="52">
        <v>1</v>
      </c>
      <c r="K512" s="49"/>
    </row>
    <row r="513" spans="1:11" ht="15">
      <c r="B513" s="60"/>
      <c r="C513" s="126"/>
      <c r="D513" s="52"/>
      <c r="E513" s="52"/>
      <c r="F513" s="126"/>
      <c r="G513" s="126"/>
      <c r="H513" s="127"/>
      <c r="I513" s="49"/>
      <c r="J513" s="52"/>
      <c r="K513" s="49"/>
    </row>
    <row r="514" spans="1:11">
      <c r="A514" s="52"/>
      <c r="B514" s="60"/>
      <c r="C514" s="126"/>
      <c r="D514" s="52"/>
      <c r="E514" s="52"/>
      <c r="F514" s="126"/>
      <c r="G514" s="126"/>
      <c r="H514" s="127"/>
      <c r="I514" s="49"/>
      <c r="J514" s="52"/>
      <c r="K514" s="49"/>
    </row>
    <row r="515" spans="1:11">
      <c r="B515" s="60"/>
      <c r="C515" s="126"/>
      <c r="D515" s="52"/>
      <c r="E515" s="52"/>
      <c r="F515" s="126"/>
      <c r="G515" s="126"/>
      <c r="H515" s="127"/>
      <c r="I515" s="49"/>
      <c r="J515" s="52"/>
      <c r="K515" s="49"/>
    </row>
    <row r="516" spans="1:11">
      <c r="A516" s="52"/>
      <c r="B516" s="60"/>
      <c r="C516" s="126"/>
      <c r="D516" s="52"/>
      <c r="E516" s="52"/>
      <c r="F516" s="126"/>
      <c r="G516" s="126"/>
      <c r="H516" s="127"/>
      <c r="I516" s="49"/>
      <c r="J516" s="52"/>
      <c r="K516" s="49"/>
    </row>
    <row r="517" spans="1:11">
      <c r="B517" s="60"/>
      <c r="C517" s="126"/>
      <c r="D517" s="52"/>
      <c r="E517" s="52"/>
      <c r="F517" s="126"/>
      <c r="G517" s="126"/>
      <c r="H517" s="127"/>
      <c r="I517" s="49"/>
      <c r="J517" s="52"/>
      <c r="K517" s="49"/>
    </row>
    <row r="518" spans="1:11">
      <c r="A518" s="52"/>
      <c r="B518" s="60"/>
      <c r="C518" s="126"/>
      <c r="D518" s="52"/>
      <c r="E518" s="52"/>
      <c r="F518" s="126"/>
      <c r="G518" s="126"/>
      <c r="H518" s="127"/>
      <c r="I518" s="49"/>
      <c r="J518" s="52"/>
      <c r="K518" s="49"/>
    </row>
    <row r="519" spans="1:11">
      <c r="B519" s="60"/>
      <c r="C519" s="126"/>
      <c r="D519" s="52"/>
      <c r="E519" s="52"/>
      <c r="F519" s="126"/>
      <c r="G519" s="126"/>
      <c r="H519" s="127"/>
      <c r="I519" s="49"/>
      <c r="J519" s="52"/>
      <c r="K519" s="49"/>
    </row>
    <row r="520" spans="1:11">
      <c r="A520" s="52"/>
      <c r="B520" s="60"/>
      <c r="C520" s="126"/>
      <c r="D520" s="52"/>
      <c r="E520" s="52"/>
      <c r="F520" s="126"/>
      <c r="G520" s="126"/>
      <c r="H520" s="127"/>
      <c r="I520" s="49"/>
      <c r="J520" s="52"/>
      <c r="K520" s="49"/>
    </row>
    <row r="521" spans="1:11">
      <c r="B521" s="60"/>
      <c r="C521" s="126"/>
      <c r="D521" s="52"/>
      <c r="E521" s="52"/>
      <c r="F521" s="126"/>
      <c r="G521" s="126"/>
      <c r="H521" s="127"/>
      <c r="I521" s="49"/>
      <c r="J521" s="52"/>
      <c r="K521" s="49"/>
    </row>
    <row r="522" spans="1:11">
      <c r="A522" s="52"/>
      <c r="B522" s="60"/>
      <c r="C522" s="126"/>
      <c r="D522" s="52"/>
      <c r="E522" s="52"/>
      <c r="F522" s="126"/>
      <c r="G522" s="126"/>
      <c r="H522" s="127"/>
      <c r="I522" s="49"/>
      <c r="J522" s="52"/>
      <c r="K522" s="49"/>
    </row>
    <row r="523" spans="1:11">
      <c r="B523" s="60"/>
      <c r="C523" s="126"/>
      <c r="D523" s="52"/>
      <c r="E523" s="52"/>
      <c r="F523" s="126"/>
      <c r="G523" s="126"/>
      <c r="H523" s="127"/>
      <c r="I523" s="49"/>
      <c r="J523" s="52"/>
      <c r="K523" s="49"/>
    </row>
    <row r="524" spans="1:11">
      <c r="A524" s="52"/>
      <c r="B524" s="60"/>
      <c r="C524" s="126"/>
      <c r="D524" s="52"/>
      <c r="E524" s="52"/>
      <c r="F524" s="126"/>
      <c r="G524" s="126"/>
      <c r="H524" s="127"/>
      <c r="I524" s="49"/>
      <c r="J524" s="52"/>
      <c r="K524" s="49"/>
    </row>
  </sheetData>
  <conditionalFormatting sqref="B525:B1048576 B1">
    <cfRule type="duplicateValues" dxfId="645" priority="216"/>
  </conditionalFormatting>
  <conditionalFormatting sqref="B525:B1048576">
    <cfRule type="duplicateValues" dxfId="644" priority="222"/>
  </conditionalFormatting>
  <conditionalFormatting sqref="B4">
    <cfRule type="cellIs" dxfId="643" priority="104" operator="equal">
      <formula>$B$3</formula>
    </cfRule>
  </conditionalFormatting>
  <conditionalFormatting sqref="B19">
    <cfRule type="duplicateValues" dxfId="642" priority="103"/>
  </conditionalFormatting>
  <conditionalFormatting sqref="B40">
    <cfRule type="duplicateValues" dxfId="641" priority="107"/>
  </conditionalFormatting>
  <conditionalFormatting sqref="B44">
    <cfRule type="duplicateValues" dxfId="640" priority="46"/>
    <cfRule type="duplicateValues" dxfId="639" priority="47"/>
  </conditionalFormatting>
  <conditionalFormatting sqref="B50">
    <cfRule type="duplicateValues" dxfId="638" priority="12"/>
    <cfRule type="duplicateValues" dxfId="637" priority="13"/>
  </conditionalFormatting>
  <conditionalFormatting sqref="B51">
    <cfRule type="duplicateValues" dxfId="636" priority="108"/>
  </conditionalFormatting>
  <conditionalFormatting sqref="B59">
    <cfRule type="duplicateValues" dxfId="635" priority="44"/>
    <cfRule type="duplicateValues" dxfId="634" priority="45"/>
  </conditionalFormatting>
  <conditionalFormatting sqref="B67">
    <cfRule type="duplicateValues" dxfId="633" priority="36"/>
    <cfRule type="duplicateValues" dxfId="632" priority="37"/>
  </conditionalFormatting>
  <conditionalFormatting sqref="B70:B72">
    <cfRule type="duplicateValues" dxfId="631" priority="109"/>
  </conditionalFormatting>
  <conditionalFormatting sqref="B98">
    <cfRule type="duplicateValues" dxfId="630" priority="42"/>
    <cfRule type="duplicateValues" dxfId="629" priority="43"/>
  </conditionalFormatting>
  <conditionalFormatting sqref="B117">
    <cfRule type="duplicateValues" dxfId="628" priority="97"/>
    <cfRule type="duplicateValues" dxfId="627" priority="98"/>
  </conditionalFormatting>
  <conditionalFormatting sqref="B120">
    <cfRule type="duplicateValues" dxfId="626" priority="34"/>
    <cfRule type="duplicateValues" dxfId="625" priority="35"/>
  </conditionalFormatting>
  <conditionalFormatting sqref="B123">
    <cfRule type="duplicateValues" dxfId="624" priority="38"/>
    <cfRule type="duplicateValues" dxfId="623" priority="39"/>
  </conditionalFormatting>
  <conditionalFormatting sqref="B131">
    <cfRule type="duplicateValues" dxfId="622" priority="106"/>
  </conditionalFormatting>
  <conditionalFormatting sqref="B134">
    <cfRule type="duplicateValues" dxfId="621" priority="110"/>
  </conditionalFormatting>
  <conditionalFormatting sqref="B211">
    <cfRule type="duplicateValues" dxfId="620" priority="10"/>
    <cfRule type="duplicateValues" dxfId="619" priority="11"/>
  </conditionalFormatting>
  <conditionalFormatting sqref="B225">
    <cfRule type="duplicateValues" dxfId="618" priority="86"/>
    <cfRule type="duplicateValues" dxfId="617" priority="87"/>
  </conditionalFormatting>
  <conditionalFormatting sqref="B226">
    <cfRule type="duplicateValues" dxfId="616" priority="88"/>
    <cfRule type="duplicateValues" dxfId="615" priority="89"/>
  </conditionalFormatting>
  <conditionalFormatting sqref="B227">
    <cfRule type="duplicateValues" dxfId="614" priority="90"/>
    <cfRule type="duplicateValues" dxfId="613" priority="91"/>
  </conditionalFormatting>
  <conditionalFormatting sqref="B328">
    <cfRule type="duplicateValues" dxfId="612" priority="8"/>
    <cfRule type="duplicateValues" dxfId="611" priority="9"/>
  </conditionalFormatting>
  <conditionalFormatting sqref="B347">
    <cfRule type="duplicateValues" dxfId="610" priority="40"/>
    <cfRule type="duplicateValues" dxfId="609" priority="41"/>
  </conditionalFormatting>
  <conditionalFormatting sqref="B353">
    <cfRule type="duplicateValues" dxfId="608" priority="101"/>
    <cfRule type="duplicateValues" dxfId="607" priority="102"/>
  </conditionalFormatting>
  <conditionalFormatting sqref="B354">
    <cfRule type="duplicateValues" dxfId="606" priority="99"/>
    <cfRule type="duplicateValues" dxfId="605" priority="100"/>
  </conditionalFormatting>
  <conditionalFormatting sqref="B404">
    <cfRule type="duplicateValues" dxfId="604" priority="84"/>
    <cfRule type="duplicateValues" dxfId="603" priority="85"/>
  </conditionalFormatting>
  <conditionalFormatting sqref="B405">
    <cfRule type="duplicateValues" dxfId="602" priority="92"/>
  </conditionalFormatting>
  <conditionalFormatting sqref="B459">
    <cfRule type="duplicateValues" dxfId="601" priority="95"/>
    <cfRule type="duplicateValues" dxfId="600" priority="96"/>
  </conditionalFormatting>
  <conditionalFormatting sqref="B460">
    <cfRule type="duplicateValues" dxfId="599" priority="93"/>
    <cfRule type="duplicateValues" dxfId="598" priority="94"/>
  </conditionalFormatting>
  <conditionalFormatting sqref="B476">
    <cfRule type="duplicateValues" dxfId="597" priority="82"/>
    <cfRule type="duplicateValues" dxfId="596" priority="83"/>
  </conditionalFormatting>
  <conditionalFormatting sqref="B477">
    <cfRule type="duplicateValues" dxfId="595" priority="80"/>
    <cfRule type="duplicateValues" dxfId="594" priority="81"/>
  </conditionalFormatting>
  <conditionalFormatting sqref="B478">
    <cfRule type="duplicateValues" dxfId="593" priority="78"/>
    <cfRule type="duplicateValues" dxfId="592" priority="79"/>
  </conditionalFormatting>
  <conditionalFormatting sqref="B479">
    <cfRule type="duplicateValues" dxfId="591" priority="76"/>
    <cfRule type="duplicateValues" dxfId="590" priority="77"/>
  </conditionalFormatting>
  <conditionalFormatting sqref="B480">
    <cfRule type="duplicateValues" dxfId="589" priority="74"/>
    <cfRule type="duplicateValues" dxfId="588" priority="75"/>
  </conditionalFormatting>
  <conditionalFormatting sqref="B481">
    <cfRule type="duplicateValues" dxfId="587" priority="72"/>
    <cfRule type="duplicateValues" dxfId="586" priority="73"/>
  </conditionalFormatting>
  <conditionalFormatting sqref="B482">
    <cfRule type="duplicateValues" dxfId="585" priority="70"/>
    <cfRule type="duplicateValues" dxfId="584" priority="71"/>
  </conditionalFormatting>
  <conditionalFormatting sqref="B483">
    <cfRule type="duplicateValues" dxfId="583" priority="68"/>
    <cfRule type="duplicateValues" dxfId="582" priority="69"/>
  </conditionalFormatting>
  <conditionalFormatting sqref="B484">
    <cfRule type="duplicateValues" dxfId="581" priority="66"/>
    <cfRule type="duplicateValues" dxfId="580" priority="67"/>
  </conditionalFormatting>
  <conditionalFormatting sqref="B485">
    <cfRule type="duplicateValues" dxfId="579" priority="64"/>
    <cfRule type="duplicateValues" dxfId="578" priority="65"/>
  </conditionalFormatting>
  <conditionalFormatting sqref="B486">
    <cfRule type="duplicateValues" dxfId="577" priority="62"/>
    <cfRule type="duplicateValues" dxfId="576" priority="63"/>
  </conditionalFormatting>
  <conditionalFormatting sqref="B487">
    <cfRule type="duplicateValues" dxfId="575" priority="60"/>
    <cfRule type="duplicateValues" dxfId="574" priority="61"/>
  </conditionalFormatting>
  <conditionalFormatting sqref="B488">
    <cfRule type="duplicateValues" dxfId="573" priority="58"/>
    <cfRule type="duplicateValues" dxfId="572" priority="59"/>
  </conditionalFormatting>
  <conditionalFormatting sqref="B489">
    <cfRule type="duplicateValues" dxfId="571" priority="56"/>
    <cfRule type="duplicateValues" dxfId="570" priority="57"/>
  </conditionalFormatting>
  <conditionalFormatting sqref="B490">
    <cfRule type="duplicateValues" dxfId="569" priority="54"/>
    <cfRule type="duplicateValues" dxfId="568" priority="55"/>
  </conditionalFormatting>
  <conditionalFormatting sqref="B491">
    <cfRule type="duplicateValues" dxfId="567" priority="52"/>
    <cfRule type="duplicateValues" dxfId="566" priority="53"/>
  </conditionalFormatting>
  <conditionalFormatting sqref="B492">
    <cfRule type="duplicateValues" dxfId="565" priority="50"/>
    <cfRule type="duplicateValues" dxfId="564" priority="51"/>
  </conditionalFormatting>
  <conditionalFormatting sqref="B493">
    <cfRule type="duplicateValues" dxfId="563" priority="48"/>
    <cfRule type="duplicateValues" dxfId="562" priority="49"/>
  </conditionalFormatting>
  <conditionalFormatting sqref="B494">
    <cfRule type="duplicateValues" dxfId="561" priority="32"/>
    <cfRule type="duplicateValues" dxfId="560" priority="33"/>
  </conditionalFormatting>
  <conditionalFormatting sqref="B495">
    <cfRule type="duplicateValues" dxfId="559" priority="30"/>
    <cfRule type="duplicateValues" dxfId="558" priority="31"/>
  </conditionalFormatting>
  <conditionalFormatting sqref="B496">
    <cfRule type="duplicateValues" dxfId="557" priority="28"/>
    <cfRule type="duplicateValues" dxfId="556" priority="29"/>
  </conditionalFormatting>
  <conditionalFormatting sqref="B497">
    <cfRule type="duplicateValues" dxfId="555" priority="26"/>
    <cfRule type="duplicateValues" dxfId="554" priority="27"/>
  </conditionalFormatting>
  <conditionalFormatting sqref="B498">
    <cfRule type="duplicateValues" dxfId="553" priority="24"/>
    <cfRule type="duplicateValues" dxfId="552" priority="25"/>
  </conditionalFormatting>
  <conditionalFormatting sqref="B499">
    <cfRule type="duplicateValues" dxfId="551" priority="22"/>
    <cfRule type="duplicateValues" dxfId="550" priority="23"/>
  </conditionalFormatting>
  <conditionalFormatting sqref="B500">
    <cfRule type="duplicateValues" dxfId="549" priority="20"/>
    <cfRule type="duplicateValues" dxfId="548" priority="21"/>
  </conditionalFormatting>
  <conditionalFormatting sqref="B501">
    <cfRule type="duplicateValues" dxfId="547" priority="18"/>
    <cfRule type="duplicateValues" dxfId="546" priority="19"/>
  </conditionalFormatting>
  <conditionalFormatting sqref="B502">
    <cfRule type="duplicateValues" dxfId="545" priority="16"/>
    <cfRule type="duplicateValues" dxfId="544" priority="17"/>
  </conditionalFormatting>
  <conditionalFormatting sqref="B503">
    <cfRule type="duplicateValues" dxfId="543" priority="14"/>
    <cfRule type="duplicateValues" dxfId="542" priority="15"/>
  </conditionalFormatting>
  <conditionalFormatting sqref="B504:B505">
    <cfRule type="duplicateValues" dxfId="541" priority="6"/>
    <cfRule type="duplicateValues" dxfId="540" priority="7"/>
  </conditionalFormatting>
  <conditionalFormatting sqref="B506">
    <cfRule type="duplicateValues" dxfId="539" priority="4"/>
    <cfRule type="duplicateValues" dxfId="538" priority="5"/>
  </conditionalFormatting>
  <conditionalFormatting sqref="B507">
    <cfRule type="duplicateValues" dxfId="537" priority="3"/>
  </conditionalFormatting>
  <conditionalFormatting sqref="B461:B475 B20:B43 B2:B18 B355:B403 B406:B458 B118:B119 B228:B327 B45:B49 B60:B66 B99:B116 B348:B352 B122 B51:B58 B212:B224 B329:B346 B68:B97 B124:B210 B510:B524">
    <cfRule type="duplicateValues" dxfId="536" priority="105"/>
  </conditionalFormatting>
  <conditionalFormatting sqref="B461:B475 B52:B58 B41:B43 B132:B133 B20:B39 B118:B119 B2:B18 B355:B403 B406:B458 B135:B210 B228:B327 B45:B49 B60:B66 B99:B116 B348:B352 B68:B69 B122 B212:B224 B329:B346 B73:B97 B124:B130 B510:B524">
    <cfRule type="duplicateValues" dxfId="535" priority="111"/>
  </conditionalFormatting>
  <conditionalFormatting sqref="B509">
    <cfRule type="duplicateValues" dxfId="534" priority="1"/>
  </conditionalFormatting>
  <conditionalFormatting sqref="B509">
    <cfRule type="duplicateValues" dxfId="533" priority="2"/>
  </conditionalFormatting>
  <pageMargins left="0.70866141732283472" right="0.70866141732283472" top="0.74803149606299213" bottom="0.74803149606299213" header="0.31496062992125984" footer="0.31496062992125984"/>
  <pageSetup scale="69" fitToHeight="26" orientation="landscape" r:id="rId1"/>
  <headerFooter>
    <oddHeader>&amp;L&amp;"Arial"&amp;8&amp;K000000INTERNAL&amp;1#</oddHeader>
    <oddFooter>&amp;CFecha rev – Planeamiento – CC:8760 – KSU: 4.2- Interno
&amp;R&amp;N</oddFoot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pageSetUpPr fitToPage="1"/>
  </sheetPr>
  <dimension ref="A1:M520"/>
  <sheetViews>
    <sheetView zoomScale="99" zoomScaleNormal="99" workbookViewId="0">
      <pane ySplit="2" topLeftCell="B133" activePane="bottomLeft" state="frozen"/>
      <selection pane="bottomLeft" activeCell="I144" sqref="I144"/>
      <selection activeCell="B23" sqref="A1:M486"/>
    </sheetView>
  </sheetViews>
  <sheetFormatPr defaultColWidth="9.140625" defaultRowHeight="14.45"/>
  <cols>
    <col min="1" max="1" width="6.5703125" style="65" customWidth="1"/>
    <col min="2" max="2" width="16.5703125" style="66" bestFit="1" customWidth="1"/>
    <col min="3" max="3" width="29.5703125" style="10" customWidth="1"/>
    <col min="4" max="4" width="14.28515625" style="65" customWidth="1"/>
    <col min="5" max="5" width="15.140625" style="10" customWidth="1"/>
    <col min="6" max="6" width="16" style="10" customWidth="1"/>
    <col min="7" max="7" width="22" style="10" customWidth="1"/>
    <col min="8" max="8" width="21.7109375" style="65" customWidth="1"/>
    <col min="9" max="9" width="34.28515625" style="10" customWidth="1"/>
    <col min="10" max="10" width="8.5703125" style="65" customWidth="1"/>
    <col min="11" max="11" width="22.5703125" style="10" customWidth="1"/>
    <col min="12" max="12" width="20" style="10" hidden="1" customWidth="1"/>
    <col min="13" max="13" width="0" style="10" hidden="1" customWidth="1"/>
    <col min="14" max="16384" width="9.140625" style="10"/>
  </cols>
  <sheetData>
    <row r="1" spans="1:13">
      <c r="A1" s="46" t="s">
        <v>3877</v>
      </c>
      <c r="B1" s="46"/>
      <c r="C1" s="46"/>
      <c r="D1" s="47"/>
      <c r="E1" s="46"/>
      <c r="F1" s="46" t="s">
        <v>3332</v>
      </c>
      <c r="G1" s="46" t="s">
        <v>3878</v>
      </c>
      <c r="H1" s="46"/>
      <c r="I1" s="46"/>
      <c r="J1" s="47" t="s">
        <v>2371</v>
      </c>
      <c r="K1" s="48">
        <f>+BOM!D2</f>
        <v>45953</v>
      </c>
      <c r="L1" s="49"/>
    </row>
    <row r="2" spans="1:13" ht="30" customHeight="1">
      <c r="A2" s="50" t="s">
        <v>2372</v>
      </c>
      <c r="B2" s="154" t="s">
        <v>2373</v>
      </c>
      <c r="C2" s="155" t="s">
        <v>2374</v>
      </c>
      <c r="D2" s="156" t="s">
        <v>2375</v>
      </c>
      <c r="E2" s="160" t="s">
        <v>3334</v>
      </c>
      <c r="F2" s="158" t="s">
        <v>2377</v>
      </c>
      <c r="G2" s="159" t="s">
        <v>2378</v>
      </c>
      <c r="H2" s="168" t="s">
        <v>2379</v>
      </c>
      <c r="I2" s="159" t="s">
        <v>2380</v>
      </c>
      <c r="J2" s="159" t="s">
        <v>2381</v>
      </c>
      <c r="K2" s="161" t="s">
        <v>2382</v>
      </c>
      <c r="L2" s="185" t="s">
        <v>2383</v>
      </c>
      <c r="M2" s="51" t="s">
        <v>2384</v>
      </c>
    </row>
    <row r="3" spans="1:13" ht="15">
      <c r="A3" s="52">
        <v>1</v>
      </c>
      <c r="B3" s="53" t="s">
        <v>2027</v>
      </c>
      <c r="C3" s="126" t="s">
        <v>1920</v>
      </c>
      <c r="D3" s="55">
        <v>1</v>
      </c>
      <c r="E3" s="52" t="s">
        <v>2385</v>
      </c>
      <c r="F3" s="126" t="s">
        <v>289</v>
      </c>
      <c r="G3" s="126" t="s">
        <v>1667</v>
      </c>
      <c r="H3" s="131">
        <v>1</v>
      </c>
      <c r="I3" s="49" t="s">
        <v>2386</v>
      </c>
      <c r="J3" s="52">
        <v>1</v>
      </c>
      <c r="K3" s="49"/>
      <c r="L3" s="49" t="s">
        <v>3879</v>
      </c>
      <c r="M3" s="58"/>
    </row>
    <row r="4" spans="1:13" ht="15">
      <c r="A4" s="52">
        <v>2</v>
      </c>
      <c r="B4" s="53" t="s">
        <v>1045</v>
      </c>
      <c r="C4" s="126" t="s">
        <v>59</v>
      </c>
      <c r="D4" s="55">
        <v>1</v>
      </c>
      <c r="E4" s="52" t="s">
        <v>2388</v>
      </c>
      <c r="F4" s="126" t="s">
        <v>1047</v>
      </c>
      <c r="G4" s="126" t="s">
        <v>1667</v>
      </c>
      <c r="H4" s="131">
        <v>1</v>
      </c>
      <c r="I4" s="49" t="s">
        <v>3336</v>
      </c>
      <c r="J4" s="52"/>
      <c r="K4" s="49"/>
      <c r="L4" s="49" t="s">
        <v>3880</v>
      </c>
      <c r="M4" s="58"/>
    </row>
    <row r="5" spans="1:13" ht="15">
      <c r="A5" s="52">
        <v>3</v>
      </c>
      <c r="B5" s="53" t="s">
        <v>2003</v>
      </c>
      <c r="C5" s="126" t="s">
        <v>2001</v>
      </c>
      <c r="D5" s="55">
        <v>1</v>
      </c>
      <c r="E5" s="52" t="s">
        <v>2388</v>
      </c>
      <c r="F5" s="126" t="s">
        <v>195</v>
      </c>
      <c r="G5" s="126" t="s">
        <v>1667</v>
      </c>
      <c r="H5" s="131">
        <v>1</v>
      </c>
      <c r="I5" s="49" t="s">
        <v>3336</v>
      </c>
      <c r="J5" s="52"/>
      <c r="K5" s="49"/>
      <c r="L5" s="49" t="s">
        <v>3881</v>
      </c>
      <c r="M5" s="58"/>
    </row>
    <row r="6" spans="1:13" ht="15">
      <c r="A6" s="52">
        <v>4</v>
      </c>
      <c r="B6" s="53" t="s">
        <v>2014</v>
      </c>
      <c r="C6" s="126" t="s">
        <v>1913</v>
      </c>
      <c r="D6" s="55">
        <v>4</v>
      </c>
      <c r="E6" s="52" t="s">
        <v>2394</v>
      </c>
      <c r="F6" s="126" t="s">
        <v>230</v>
      </c>
      <c r="G6" s="126" t="s">
        <v>1667</v>
      </c>
      <c r="H6" s="131">
        <v>3</v>
      </c>
      <c r="I6" s="49" t="s">
        <v>3339</v>
      </c>
      <c r="J6" s="52"/>
      <c r="K6" s="49"/>
      <c r="L6" s="49" t="s">
        <v>3882</v>
      </c>
      <c r="M6" s="58"/>
    </row>
    <row r="7" spans="1:13" ht="15">
      <c r="A7" s="52">
        <v>5</v>
      </c>
      <c r="B7" s="53" t="s">
        <v>2015</v>
      </c>
      <c r="C7" s="126" t="s">
        <v>1913</v>
      </c>
      <c r="D7" s="55">
        <v>3</v>
      </c>
      <c r="E7" s="52" t="s">
        <v>2394</v>
      </c>
      <c r="F7" s="126" t="s">
        <v>230</v>
      </c>
      <c r="G7" s="126" t="s">
        <v>1667</v>
      </c>
      <c r="H7" s="131">
        <v>4</v>
      </c>
      <c r="I7" s="49" t="s">
        <v>3339</v>
      </c>
      <c r="J7" s="52"/>
      <c r="K7" s="49"/>
      <c r="L7" s="49" t="s">
        <v>3883</v>
      </c>
      <c r="M7" s="58"/>
    </row>
    <row r="8" spans="1:13" ht="15">
      <c r="A8" s="52">
        <v>6</v>
      </c>
      <c r="B8" s="53" t="s">
        <v>1304</v>
      </c>
      <c r="C8" s="126" t="s">
        <v>1306</v>
      </c>
      <c r="D8" s="55">
        <v>1</v>
      </c>
      <c r="E8" s="52" t="s">
        <v>2385</v>
      </c>
      <c r="F8" s="126" t="s">
        <v>18</v>
      </c>
      <c r="G8" s="126" t="s">
        <v>1667</v>
      </c>
      <c r="H8" s="131">
        <v>1</v>
      </c>
      <c r="I8" s="49" t="s">
        <v>2386</v>
      </c>
      <c r="J8" s="57">
        <v>1</v>
      </c>
      <c r="K8" s="61"/>
      <c r="L8" s="61" t="s">
        <v>3884</v>
      </c>
      <c r="M8" s="58"/>
    </row>
    <row r="9" spans="1:13" ht="15">
      <c r="A9" s="52">
        <v>7</v>
      </c>
      <c r="B9" s="53" t="s">
        <v>1846</v>
      </c>
      <c r="C9" s="126" t="s">
        <v>1848</v>
      </c>
      <c r="D9" s="55">
        <v>1</v>
      </c>
      <c r="E9" s="52" t="s">
        <v>2385</v>
      </c>
      <c r="F9" s="126" t="s">
        <v>18</v>
      </c>
      <c r="G9" s="126" t="s">
        <v>1667</v>
      </c>
      <c r="H9" s="131">
        <v>1</v>
      </c>
      <c r="I9" s="49" t="s">
        <v>2386</v>
      </c>
      <c r="J9" s="52">
        <v>1</v>
      </c>
      <c r="K9" s="49"/>
      <c r="L9" s="49" t="s">
        <v>3885</v>
      </c>
      <c r="M9" s="58"/>
    </row>
    <row r="10" spans="1:13" ht="15">
      <c r="A10" s="52">
        <v>8</v>
      </c>
      <c r="B10" s="53" t="s">
        <v>1109</v>
      </c>
      <c r="C10" s="126" t="s">
        <v>179</v>
      </c>
      <c r="D10" s="55">
        <v>1</v>
      </c>
      <c r="E10" s="52" t="s">
        <v>2385</v>
      </c>
      <c r="F10" s="126" t="s">
        <v>18</v>
      </c>
      <c r="G10" s="126" t="s">
        <v>1667</v>
      </c>
      <c r="H10" s="131">
        <v>1</v>
      </c>
      <c r="I10" s="49" t="s">
        <v>2386</v>
      </c>
      <c r="J10" s="52">
        <v>1</v>
      </c>
      <c r="K10" s="49"/>
      <c r="L10" s="49" t="s">
        <v>3886</v>
      </c>
      <c r="M10" s="58"/>
    </row>
    <row r="11" spans="1:13" ht="15">
      <c r="A11" s="52">
        <v>9</v>
      </c>
      <c r="B11" s="53" t="s">
        <v>1132</v>
      </c>
      <c r="C11" s="126" t="s">
        <v>179</v>
      </c>
      <c r="D11" s="55">
        <v>1</v>
      </c>
      <c r="E11" s="52" t="s">
        <v>2385</v>
      </c>
      <c r="F11" s="126" t="s">
        <v>18</v>
      </c>
      <c r="G11" s="126" t="s">
        <v>1667</v>
      </c>
      <c r="H11" s="131">
        <v>1</v>
      </c>
      <c r="I11" s="49" t="s">
        <v>2386</v>
      </c>
      <c r="J11" s="52">
        <v>1</v>
      </c>
      <c r="K11" s="49"/>
      <c r="L11" s="49" t="s">
        <v>3887</v>
      </c>
      <c r="M11" s="58"/>
    </row>
    <row r="12" spans="1:13" ht="15">
      <c r="A12" s="52">
        <v>10</v>
      </c>
      <c r="B12" s="59" t="s">
        <v>889</v>
      </c>
      <c r="C12" s="126" t="s">
        <v>890</v>
      </c>
      <c r="D12" s="55">
        <v>1</v>
      </c>
      <c r="E12" s="52" t="s">
        <v>2385</v>
      </c>
      <c r="F12" s="126" t="s">
        <v>18</v>
      </c>
      <c r="G12" s="126" t="s">
        <v>1667</v>
      </c>
      <c r="H12" s="131">
        <v>1</v>
      </c>
      <c r="I12" s="49" t="s">
        <v>2386</v>
      </c>
      <c r="J12" s="52">
        <v>2</v>
      </c>
      <c r="K12" s="49"/>
      <c r="L12" s="49" t="s">
        <v>3888</v>
      </c>
      <c r="M12" s="58"/>
    </row>
    <row r="13" spans="1:13" ht="15">
      <c r="A13" s="52">
        <v>11</v>
      </c>
      <c r="B13" s="53" t="s">
        <v>899</v>
      </c>
      <c r="C13" s="126" t="s">
        <v>900</v>
      </c>
      <c r="D13" s="55">
        <v>1</v>
      </c>
      <c r="E13" s="52" t="s">
        <v>2385</v>
      </c>
      <c r="F13" s="126" t="s">
        <v>18</v>
      </c>
      <c r="G13" s="126" t="s">
        <v>1667</v>
      </c>
      <c r="H13" s="131">
        <v>1</v>
      </c>
      <c r="I13" s="49" t="s">
        <v>2386</v>
      </c>
      <c r="J13" s="52">
        <v>2</v>
      </c>
      <c r="K13" s="49"/>
      <c r="L13" s="49" t="s">
        <v>3889</v>
      </c>
      <c r="M13" s="58"/>
    </row>
    <row r="14" spans="1:13" ht="15">
      <c r="A14" s="52">
        <v>12</v>
      </c>
      <c r="B14" s="59" t="s">
        <v>1038</v>
      </c>
      <c r="C14" s="126" t="s">
        <v>41</v>
      </c>
      <c r="D14" s="55">
        <v>1</v>
      </c>
      <c r="E14" s="52" t="s">
        <v>2385</v>
      </c>
      <c r="F14" s="126" t="s">
        <v>18</v>
      </c>
      <c r="G14" s="126" t="s">
        <v>1667</v>
      </c>
      <c r="H14" s="131">
        <v>1</v>
      </c>
      <c r="I14" s="49" t="s">
        <v>2386</v>
      </c>
      <c r="J14" s="52">
        <v>2</v>
      </c>
      <c r="K14" s="49"/>
      <c r="L14" s="49" t="s">
        <v>3890</v>
      </c>
      <c r="M14" s="58"/>
    </row>
    <row r="15" spans="1:13" ht="15">
      <c r="A15" s="52">
        <v>13</v>
      </c>
      <c r="B15" s="53" t="s">
        <v>1080</v>
      </c>
      <c r="C15" s="126" t="s">
        <v>41</v>
      </c>
      <c r="D15" s="55">
        <v>1</v>
      </c>
      <c r="E15" s="52" t="s">
        <v>2385</v>
      </c>
      <c r="F15" s="126" t="s">
        <v>18</v>
      </c>
      <c r="G15" s="126" t="s">
        <v>1667</v>
      </c>
      <c r="H15" s="131">
        <v>1</v>
      </c>
      <c r="I15" s="49" t="s">
        <v>2386</v>
      </c>
      <c r="J15" s="52">
        <v>2</v>
      </c>
      <c r="K15" s="49"/>
      <c r="L15" s="49" t="s">
        <v>3891</v>
      </c>
      <c r="M15" s="58"/>
    </row>
    <row r="16" spans="1:13" ht="15">
      <c r="A16" s="52">
        <v>14</v>
      </c>
      <c r="B16" s="60" t="s">
        <v>1083</v>
      </c>
      <c r="C16" s="126" t="s">
        <v>41</v>
      </c>
      <c r="D16" s="52">
        <v>1</v>
      </c>
      <c r="E16" s="52" t="s">
        <v>2385</v>
      </c>
      <c r="F16" s="126" t="s">
        <v>18</v>
      </c>
      <c r="G16" s="126" t="s">
        <v>1667</v>
      </c>
      <c r="H16" s="131">
        <v>1</v>
      </c>
      <c r="I16" s="49" t="s">
        <v>2386</v>
      </c>
      <c r="J16" s="52">
        <v>2</v>
      </c>
      <c r="K16" s="49"/>
      <c r="L16" s="49" t="s">
        <v>3892</v>
      </c>
      <c r="M16" s="58"/>
    </row>
    <row r="17" spans="1:13" ht="15">
      <c r="A17" s="52">
        <v>15</v>
      </c>
      <c r="B17" s="60" t="s">
        <v>1084</v>
      </c>
      <c r="C17" s="126" t="s">
        <v>41</v>
      </c>
      <c r="D17" s="52">
        <v>1</v>
      </c>
      <c r="E17" s="52" t="s">
        <v>2385</v>
      </c>
      <c r="F17" s="126" t="s">
        <v>18</v>
      </c>
      <c r="G17" s="126" t="s">
        <v>1667</v>
      </c>
      <c r="H17" s="131">
        <v>1</v>
      </c>
      <c r="I17" s="49" t="s">
        <v>2386</v>
      </c>
      <c r="J17" s="52">
        <v>2</v>
      </c>
      <c r="K17" s="49"/>
      <c r="L17" s="49" t="s">
        <v>3893</v>
      </c>
      <c r="M17" s="58"/>
    </row>
    <row r="18" spans="1:13" ht="15">
      <c r="A18" s="52">
        <v>16</v>
      </c>
      <c r="B18" s="53" t="s">
        <v>1100</v>
      </c>
      <c r="C18" s="126" t="s">
        <v>1101</v>
      </c>
      <c r="D18" s="55">
        <v>1</v>
      </c>
      <c r="E18" s="56" t="s">
        <v>2385</v>
      </c>
      <c r="F18" s="126" t="s">
        <v>18</v>
      </c>
      <c r="G18" s="126" t="s">
        <v>1667</v>
      </c>
      <c r="H18" s="131">
        <v>1</v>
      </c>
      <c r="I18" s="49" t="s">
        <v>2386</v>
      </c>
      <c r="J18" s="52">
        <v>2</v>
      </c>
      <c r="K18" s="49"/>
      <c r="L18" s="49" t="s">
        <v>3894</v>
      </c>
      <c r="M18" s="58"/>
    </row>
    <row r="19" spans="1:13" ht="15">
      <c r="A19" s="52">
        <v>17</v>
      </c>
      <c r="B19" s="150" t="s">
        <v>1161</v>
      </c>
      <c r="C19" s="126" t="s">
        <v>1162</v>
      </c>
      <c r="D19" s="55">
        <v>1</v>
      </c>
      <c r="E19" s="56" t="s">
        <v>2385</v>
      </c>
      <c r="F19" s="126" t="s">
        <v>18</v>
      </c>
      <c r="G19" s="126" t="s">
        <v>1667</v>
      </c>
      <c r="H19" s="131">
        <v>1</v>
      </c>
      <c r="I19" s="49" t="s">
        <v>2386</v>
      </c>
      <c r="J19" s="52">
        <v>2</v>
      </c>
      <c r="K19" s="49"/>
      <c r="L19" s="49" t="s">
        <v>3895</v>
      </c>
      <c r="M19" s="58"/>
    </row>
    <row r="20" spans="1:13" ht="15">
      <c r="A20" s="52">
        <v>18</v>
      </c>
      <c r="B20" s="53" t="s">
        <v>1059</v>
      </c>
      <c r="C20" s="126" t="s">
        <v>1031</v>
      </c>
      <c r="D20" s="55">
        <v>1</v>
      </c>
      <c r="E20" s="52" t="s">
        <v>2385</v>
      </c>
      <c r="F20" s="126" t="s">
        <v>18</v>
      </c>
      <c r="G20" s="126" t="s">
        <v>1667</v>
      </c>
      <c r="H20" s="131">
        <v>1</v>
      </c>
      <c r="I20" s="49" t="s">
        <v>2386</v>
      </c>
      <c r="J20" s="52">
        <v>3</v>
      </c>
      <c r="K20" s="49"/>
      <c r="L20" s="49" t="s">
        <v>3896</v>
      </c>
      <c r="M20" s="58"/>
    </row>
    <row r="21" spans="1:13" ht="15">
      <c r="A21" s="52">
        <v>19</v>
      </c>
      <c r="B21" s="53" t="s">
        <v>1060</v>
      </c>
      <c r="C21" s="126" t="s">
        <v>181</v>
      </c>
      <c r="D21" s="55">
        <v>1</v>
      </c>
      <c r="E21" s="52" t="s">
        <v>2385</v>
      </c>
      <c r="F21" s="126" t="s">
        <v>18</v>
      </c>
      <c r="G21" s="126" t="s">
        <v>1667</v>
      </c>
      <c r="H21" s="131">
        <v>1</v>
      </c>
      <c r="I21" s="49" t="s">
        <v>2386</v>
      </c>
      <c r="J21" s="52">
        <v>4</v>
      </c>
      <c r="K21" s="49"/>
      <c r="L21" s="49" t="s">
        <v>3897</v>
      </c>
      <c r="M21" s="58"/>
    </row>
    <row r="22" spans="1:13" ht="15">
      <c r="A22" s="52">
        <v>20</v>
      </c>
      <c r="B22" s="53" t="s">
        <v>994</v>
      </c>
      <c r="C22" s="126" t="s">
        <v>996</v>
      </c>
      <c r="D22" s="55">
        <v>1</v>
      </c>
      <c r="E22" s="52" t="s">
        <v>2385</v>
      </c>
      <c r="F22" s="126" t="s">
        <v>18</v>
      </c>
      <c r="G22" s="126" t="s">
        <v>1667</v>
      </c>
      <c r="H22" s="131">
        <v>1</v>
      </c>
      <c r="I22" s="49" t="s">
        <v>2386</v>
      </c>
      <c r="J22" s="52"/>
      <c r="K22" s="49"/>
      <c r="L22" s="49" t="s">
        <v>3898</v>
      </c>
      <c r="M22" s="58"/>
    </row>
    <row r="23" spans="1:13" ht="15">
      <c r="A23" s="52">
        <v>21</v>
      </c>
      <c r="B23" s="53" t="s">
        <v>1127</v>
      </c>
      <c r="C23" s="126" t="s">
        <v>41</v>
      </c>
      <c r="D23" s="55">
        <v>1</v>
      </c>
      <c r="E23" s="52" t="s">
        <v>2385</v>
      </c>
      <c r="F23" s="126" t="s">
        <v>18</v>
      </c>
      <c r="G23" s="126" t="s">
        <v>1667</v>
      </c>
      <c r="H23" s="131">
        <v>1</v>
      </c>
      <c r="I23" s="49" t="s">
        <v>2386</v>
      </c>
      <c r="J23" s="52"/>
      <c r="K23" s="49"/>
      <c r="L23" s="49" t="s">
        <v>3899</v>
      </c>
      <c r="M23" s="58"/>
    </row>
    <row r="24" spans="1:13" ht="15">
      <c r="A24" s="52">
        <v>22</v>
      </c>
      <c r="B24" s="53" t="s">
        <v>882</v>
      </c>
      <c r="C24" s="126" t="s">
        <v>883</v>
      </c>
      <c r="D24" s="55">
        <v>1</v>
      </c>
      <c r="E24" s="52" t="s">
        <v>2385</v>
      </c>
      <c r="F24" s="126" t="s">
        <v>18</v>
      </c>
      <c r="G24" s="126" t="s">
        <v>1667</v>
      </c>
      <c r="H24" s="131">
        <v>1</v>
      </c>
      <c r="I24" s="49" t="s">
        <v>3382</v>
      </c>
      <c r="J24" s="52"/>
      <c r="K24" s="49"/>
      <c r="L24" s="49" t="s">
        <v>3900</v>
      </c>
      <c r="M24" s="58"/>
    </row>
    <row r="25" spans="1:13" ht="15">
      <c r="A25" s="52">
        <v>23</v>
      </c>
      <c r="B25" s="53" t="s">
        <v>964</v>
      </c>
      <c r="C25" s="126" t="s">
        <v>965</v>
      </c>
      <c r="D25" s="55">
        <v>1</v>
      </c>
      <c r="E25" s="52" t="s">
        <v>2385</v>
      </c>
      <c r="F25" s="126" t="s">
        <v>18</v>
      </c>
      <c r="G25" s="126" t="s">
        <v>1667</v>
      </c>
      <c r="H25" s="131">
        <v>1</v>
      </c>
      <c r="I25" s="49" t="s">
        <v>3384</v>
      </c>
      <c r="J25" s="52"/>
      <c r="K25" s="49"/>
      <c r="L25" s="49" t="s">
        <v>3901</v>
      </c>
      <c r="M25" s="58"/>
    </row>
    <row r="26" spans="1:13" ht="15">
      <c r="A26" s="52">
        <v>24</v>
      </c>
      <c r="B26" s="53" t="s">
        <v>966</v>
      </c>
      <c r="C26" s="126" t="s">
        <v>965</v>
      </c>
      <c r="D26" s="55">
        <v>1</v>
      </c>
      <c r="E26" s="52" t="s">
        <v>2385</v>
      </c>
      <c r="F26" s="126" t="s">
        <v>18</v>
      </c>
      <c r="G26" s="126" t="s">
        <v>1667</v>
      </c>
      <c r="H26" s="131">
        <v>1</v>
      </c>
      <c r="I26" s="49" t="s">
        <v>3384</v>
      </c>
      <c r="J26" s="52"/>
      <c r="K26" s="49"/>
      <c r="L26" s="49" t="s">
        <v>3902</v>
      </c>
      <c r="M26" s="58"/>
    </row>
    <row r="27" spans="1:13" ht="15">
      <c r="A27" s="52">
        <v>25</v>
      </c>
      <c r="B27" s="53" t="s">
        <v>2047</v>
      </c>
      <c r="C27" s="126" t="s">
        <v>2048</v>
      </c>
      <c r="D27" s="55">
        <v>1</v>
      </c>
      <c r="E27" s="52" t="s">
        <v>2417</v>
      </c>
      <c r="F27" s="126" t="s">
        <v>18</v>
      </c>
      <c r="G27" s="126" t="s">
        <v>1667</v>
      </c>
      <c r="H27" s="131">
        <v>1</v>
      </c>
      <c r="I27" s="49" t="s">
        <v>2418</v>
      </c>
      <c r="J27" s="57"/>
      <c r="K27" s="61"/>
      <c r="L27" s="61" t="s">
        <v>3903</v>
      </c>
      <c r="M27" s="58"/>
    </row>
    <row r="28" spans="1:13" ht="15">
      <c r="A28" s="52">
        <v>26</v>
      </c>
      <c r="B28" s="53" t="s">
        <v>3904</v>
      </c>
      <c r="C28" s="126" t="s">
        <v>2052</v>
      </c>
      <c r="D28" s="55">
        <v>1</v>
      </c>
      <c r="E28" s="52" t="s">
        <v>2417</v>
      </c>
      <c r="F28" s="126" t="s">
        <v>18</v>
      </c>
      <c r="G28" s="126" t="s">
        <v>1667</v>
      </c>
      <c r="H28" s="131">
        <v>1</v>
      </c>
      <c r="I28" s="49" t="s">
        <v>2418</v>
      </c>
      <c r="J28" s="52"/>
      <c r="K28" s="49"/>
      <c r="L28" s="49" t="s">
        <v>3905</v>
      </c>
      <c r="M28" s="58"/>
    </row>
    <row r="29" spans="1:13" ht="15">
      <c r="A29" s="52">
        <v>27</v>
      </c>
      <c r="B29" s="53" t="s">
        <v>1030</v>
      </c>
      <c r="C29" s="126" t="s">
        <v>1032</v>
      </c>
      <c r="D29" s="55">
        <v>1</v>
      </c>
      <c r="E29" s="52" t="s">
        <v>2417</v>
      </c>
      <c r="F29" s="126" t="s">
        <v>18</v>
      </c>
      <c r="G29" s="126" t="s">
        <v>1667</v>
      </c>
      <c r="H29" s="131">
        <v>1</v>
      </c>
      <c r="I29" s="49" t="s">
        <v>2418</v>
      </c>
      <c r="J29" s="52"/>
      <c r="K29" s="49"/>
      <c r="L29" s="49" t="s">
        <v>3906</v>
      </c>
      <c r="M29" s="58"/>
    </row>
    <row r="30" spans="1:13" ht="15">
      <c r="A30" s="52">
        <v>28</v>
      </c>
      <c r="B30" s="60" t="s">
        <v>1034</v>
      </c>
      <c r="C30" s="126" t="s">
        <v>1035</v>
      </c>
      <c r="D30" s="52">
        <v>1</v>
      </c>
      <c r="E30" s="52" t="s">
        <v>2417</v>
      </c>
      <c r="F30" s="126" t="s">
        <v>18</v>
      </c>
      <c r="G30" s="126" t="s">
        <v>1667</v>
      </c>
      <c r="H30" s="131">
        <v>1</v>
      </c>
      <c r="I30" s="49" t="s">
        <v>2418</v>
      </c>
      <c r="J30" s="52"/>
      <c r="K30" s="49"/>
      <c r="L30" s="49" t="s">
        <v>3907</v>
      </c>
      <c r="M30" s="58"/>
    </row>
    <row r="31" spans="1:13" ht="15">
      <c r="A31" s="52">
        <v>29</v>
      </c>
      <c r="B31" s="53" t="s">
        <v>1036</v>
      </c>
      <c r="C31" s="126" t="s">
        <v>1035</v>
      </c>
      <c r="D31" s="55">
        <v>1</v>
      </c>
      <c r="E31" s="52" t="s">
        <v>2417</v>
      </c>
      <c r="F31" s="126" t="s">
        <v>18</v>
      </c>
      <c r="G31" s="126" t="s">
        <v>1667</v>
      </c>
      <c r="H31" s="131">
        <v>1</v>
      </c>
      <c r="I31" s="49" t="s">
        <v>2418</v>
      </c>
      <c r="J31" s="52"/>
      <c r="K31" s="49"/>
      <c r="L31" s="49" t="s">
        <v>3908</v>
      </c>
      <c r="M31" s="58"/>
    </row>
    <row r="32" spans="1:13" ht="15">
      <c r="A32" s="52">
        <v>30</v>
      </c>
      <c r="B32" s="59" t="s">
        <v>2023</v>
      </c>
      <c r="C32" s="126" t="s">
        <v>1918</v>
      </c>
      <c r="D32" s="55">
        <v>1</v>
      </c>
      <c r="E32" s="52" t="s">
        <v>2417</v>
      </c>
      <c r="F32" s="126" t="s">
        <v>18</v>
      </c>
      <c r="G32" s="126" t="s">
        <v>1667</v>
      </c>
      <c r="H32" s="131">
        <v>1</v>
      </c>
      <c r="I32" s="49" t="s">
        <v>2418</v>
      </c>
      <c r="J32" s="52"/>
      <c r="K32" s="49"/>
      <c r="L32" s="49" t="s">
        <v>3909</v>
      </c>
      <c r="M32" s="58"/>
    </row>
    <row r="33" spans="1:13" ht="15">
      <c r="A33" s="52">
        <v>31</v>
      </c>
      <c r="B33" s="53" t="s">
        <v>1086</v>
      </c>
      <c r="C33" s="126" t="s">
        <v>1087</v>
      </c>
      <c r="D33" s="55">
        <v>1</v>
      </c>
      <c r="E33" s="56" t="s">
        <v>2417</v>
      </c>
      <c r="F33" s="126" t="s">
        <v>18</v>
      </c>
      <c r="G33" s="126" t="s">
        <v>1667</v>
      </c>
      <c r="H33" s="131">
        <v>1</v>
      </c>
      <c r="I33" s="49" t="s">
        <v>2418</v>
      </c>
      <c r="J33" s="52"/>
      <c r="K33" s="49"/>
      <c r="L33" s="49" t="s">
        <v>3910</v>
      </c>
      <c r="M33" s="58"/>
    </row>
    <row r="34" spans="1:13" ht="15">
      <c r="A34" s="52">
        <v>32</v>
      </c>
      <c r="B34" s="53" t="s">
        <v>2044</v>
      </c>
      <c r="C34" s="126" t="s">
        <v>2046</v>
      </c>
      <c r="D34" s="55">
        <v>1</v>
      </c>
      <c r="E34" s="52" t="s">
        <v>2385</v>
      </c>
      <c r="F34" s="126" t="s">
        <v>18</v>
      </c>
      <c r="G34" s="126" t="s">
        <v>1667</v>
      </c>
      <c r="H34" s="131">
        <v>1</v>
      </c>
      <c r="I34" s="49" t="s">
        <v>2418</v>
      </c>
      <c r="J34" s="52"/>
      <c r="K34" s="49"/>
      <c r="L34" s="49" t="s">
        <v>3911</v>
      </c>
      <c r="M34" s="58"/>
    </row>
    <row r="35" spans="1:13" ht="15">
      <c r="A35" s="52">
        <v>33</v>
      </c>
      <c r="B35" s="53" t="s">
        <v>887</v>
      </c>
      <c r="C35" s="126" t="s">
        <v>888</v>
      </c>
      <c r="D35" s="55">
        <v>1</v>
      </c>
      <c r="E35" s="52" t="s">
        <v>2394</v>
      </c>
      <c r="F35" s="126" t="s">
        <v>18</v>
      </c>
      <c r="G35" s="126" t="s">
        <v>1667</v>
      </c>
      <c r="H35" s="131">
        <v>1</v>
      </c>
      <c r="I35" s="49" t="s">
        <v>2425</v>
      </c>
      <c r="J35" s="52">
        <v>2</v>
      </c>
      <c r="K35" s="49"/>
      <c r="L35" s="49" t="s">
        <v>3912</v>
      </c>
      <c r="M35" s="58"/>
    </row>
    <row r="36" spans="1:13" ht="15">
      <c r="A36" s="52">
        <v>34</v>
      </c>
      <c r="B36" s="53" t="s">
        <v>1252</v>
      </c>
      <c r="C36" s="126" t="s">
        <v>506</v>
      </c>
      <c r="D36" s="55">
        <v>2</v>
      </c>
      <c r="E36" s="52" t="s">
        <v>2394</v>
      </c>
      <c r="F36" s="126" t="s">
        <v>18</v>
      </c>
      <c r="G36" s="126" t="s">
        <v>1667</v>
      </c>
      <c r="H36" s="131">
        <v>2</v>
      </c>
      <c r="I36" s="49" t="s">
        <v>2425</v>
      </c>
      <c r="J36" s="52">
        <v>2</v>
      </c>
      <c r="K36" s="49"/>
      <c r="L36" s="49" t="s">
        <v>3913</v>
      </c>
      <c r="M36" s="58"/>
    </row>
    <row r="37" spans="1:13" ht="15">
      <c r="A37" s="52">
        <v>35</v>
      </c>
      <c r="B37" s="53" t="s">
        <v>1266</v>
      </c>
      <c r="C37" s="126" t="s">
        <v>1267</v>
      </c>
      <c r="D37" s="55">
        <v>1</v>
      </c>
      <c r="E37" s="52" t="s">
        <v>2394</v>
      </c>
      <c r="F37" s="126" t="s">
        <v>18</v>
      </c>
      <c r="G37" s="126" t="s">
        <v>1667</v>
      </c>
      <c r="H37" s="131">
        <v>1</v>
      </c>
      <c r="I37" s="49" t="s">
        <v>2425</v>
      </c>
      <c r="J37" s="57">
        <v>2</v>
      </c>
      <c r="K37" s="49"/>
      <c r="L37" s="49" t="s">
        <v>3914</v>
      </c>
      <c r="M37" s="58"/>
    </row>
    <row r="38" spans="1:13" ht="15">
      <c r="A38" s="52">
        <v>36</v>
      </c>
      <c r="B38" s="53" t="s">
        <v>1268</v>
      </c>
      <c r="C38" s="126" t="s">
        <v>1267</v>
      </c>
      <c r="D38" s="55">
        <v>1</v>
      </c>
      <c r="E38" s="52" t="s">
        <v>2394</v>
      </c>
      <c r="F38" s="126" t="s">
        <v>18</v>
      </c>
      <c r="G38" s="126" t="s">
        <v>1667</v>
      </c>
      <c r="H38" s="131">
        <v>1</v>
      </c>
      <c r="I38" s="49" t="s">
        <v>2425</v>
      </c>
      <c r="J38" s="52">
        <v>2</v>
      </c>
      <c r="K38" s="49"/>
      <c r="L38" s="49" t="s">
        <v>3915</v>
      </c>
      <c r="M38" s="58"/>
    </row>
    <row r="39" spans="1:13" ht="15">
      <c r="A39" s="52">
        <v>37</v>
      </c>
      <c r="B39" s="53" t="s">
        <v>1009</v>
      </c>
      <c r="C39" s="126" t="s">
        <v>789</v>
      </c>
      <c r="D39" s="55">
        <v>2</v>
      </c>
      <c r="E39" s="52" t="s">
        <v>2394</v>
      </c>
      <c r="F39" s="126" t="s">
        <v>18</v>
      </c>
      <c r="G39" s="126" t="s">
        <v>1667</v>
      </c>
      <c r="H39" s="131">
        <v>2</v>
      </c>
      <c r="I39" s="49" t="s">
        <v>2425</v>
      </c>
      <c r="J39" s="52">
        <v>4</v>
      </c>
      <c r="K39" s="49"/>
      <c r="L39" s="49" t="s">
        <v>3916</v>
      </c>
      <c r="M39" s="58"/>
    </row>
    <row r="40" spans="1:13" ht="15">
      <c r="A40" s="52">
        <v>38</v>
      </c>
      <c r="B40" s="53" t="s">
        <v>741</v>
      </c>
      <c r="C40" s="126" t="s">
        <v>41</v>
      </c>
      <c r="D40" s="55">
        <v>1</v>
      </c>
      <c r="E40" s="52" t="s">
        <v>2427</v>
      </c>
      <c r="F40" s="126" t="s">
        <v>18</v>
      </c>
      <c r="G40" s="126" t="s">
        <v>1667</v>
      </c>
      <c r="H40" s="131">
        <v>1</v>
      </c>
      <c r="I40" s="49" t="s">
        <v>2428</v>
      </c>
      <c r="J40" s="52">
        <v>2</v>
      </c>
      <c r="K40" s="49"/>
      <c r="L40" s="49" t="s">
        <v>3917</v>
      </c>
      <c r="M40" s="58"/>
    </row>
    <row r="41" spans="1:13" ht="15">
      <c r="A41" s="52">
        <v>39</v>
      </c>
      <c r="B41" s="53" t="s">
        <v>1067</v>
      </c>
      <c r="C41" s="126" t="s">
        <v>1069</v>
      </c>
      <c r="D41" s="55">
        <v>1</v>
      </c>
      <c r="E41" s="52" t="s">
        <v>2427</v>
      </c>
      <c r="F41" s="126" t="s">
        <v>18</v>
      </c>
      <c r="G41" s="126" t="s">
        <v>1667</v>
      </c>
      <c r="H41" s="131">
        <v>1</v>
      </c>
      <c r="I41" s="49" t="s">
        <v>2428</v>
      </c>
      <c r="J41" s="52"/>
      <c r="K41" s="49"/>
      <c r="L41" s="49" t="s">
        <v>3918</v>
      </c>
      <c r="M41" s="58"/>
    </row>
    <row r="42" spans="1:13" ht="15">
      <c r="A42" s="52">
        <v>40</v>
      </c>
      <c r="B42" s="59" t="s">
        <v>1075</v>
      </c>
      <c r="C42" s="126" t="s">
        <v>1076</v>
      </c>
      <c r="D42" s="55">
        <v>1</v>
      </c>
      <c r="E42" s="52" t="s">
        <v>2427</v>
      </c>
      <c r="F42" s="126" t="s">
        <v>18</v>
      </c>
      <c r="G42" s="126" t="s">
        <v>1667</v>
      </c>
      <c r="H42" s="131">
        <v>1</v>
      </c>
      <c r="I42" s="49" t="s">
        <v>2428</v>
      </c>
      <c r="J42" s="52"/>
      <c r="K42" s="49"/>
      <c r="L42" s="49" t="s">
        <v>3919</v>
      </c>
      <c r="M42" s="58"/>
    </row>
    <row r="43" spans="1:13" ht="15">
      <c r="A43" s="52">
        <v>41</v>
      </c>
      <c r="B43" s="53" t="s">
        <v>1082</v>
      </c>
      <c r="C43" s="126" t="s">
        <v>41</v>
      </c>
      <c r="D43" s="55">
        <v>1</v>
      </c>
      <c r="E43" s="52" t="s">
        <v>2437</v>
      </c>
      <c r="F43" s="126" t="s">
        <v>18</v>
      </c>
      <c r="G43" s="126" t="s">
        <v>1667</v>
      </c>
      <c r="H43" s="131">
        <v>1</v>
      </c>
      <c r="I43" s="49" t="s">
        <v>2438</v>
      </c>
      <c r="J43" s="52">
        <v>1</v>
      </c>
      <c r="K43" s="49"/>
      <c r="L43" s="49" t="s">
        <v>3920</v>
      </c>
      <c r="M43" s="58"/>
    </row>
    <row r="44" spans="1:13" ht="15">
      <c r="A44" s="52">
        <v>42</v>
      </c>
      <c r="B44" s="53" t="s">
        <v>1017</v>
      </c>
      <c r="C44" s="126" t="s">
        <v>1019</v>
      </c>
      <c r="D44" s="55">
        <v>2</v>
      </c>
      <c r="E44" s="52" t="s">
        <v>2437</v>
      </c>
      <c r="F44" s="126" t="s">
        <v>18</v>
      </c>
      <c r="G44" s="126" t="s">
        <v>1667</v>
      </c>
      <c r="H44" s="131">
        <v>2</v>
      </c>
      <c r="I44" s="49" t="s">
        <v>2438</v>
      </c>
      <c r="J44" s="52">
        <v>2</v>
      </c>
      <c r="K44" s="49"/>
      <c r="L44" s="49" t="s">
        <v>3921</v>
      </c>
      <c r="M44" s="58"/>
    </row>
    <row r="45" spans="1:13" ht="15">
      <c r="A45" s="52">
        <v>43</v>
      </c>
      <c r="B45" s="53" t="s">
        <v>1085</v>
      </c>
      <c r="C45" s="126" t="s">
        <v>41</v>
      </c>
      <c r="D45" s="55">
        <v>1</v>
      </c>
      <c r="E45" s="52" t="s">
        <v>2437</v>
      </c>
      <c r="F45" s="126" t="s">
        <v>18</v>
      </c>
      <c r="G45" s="126" t="s">
        <v>1667</v>
      </c>
      <c r="H45" s="131">
        <v>1</v>
      </c>
      <c r="I45" s="49" t="s">
        <v>2438</v>
      </c>
      <c r="J45" s="52">
        <v>2</v>
      </c>
      <c r="K45" s="49"/>
      <c r="L45" s="49" t="s">
        <v>3922</v>
      </c>
      <c r="M45" s="58"/>
    </row>
    <row r="46" spans="1:13" ht="15">
      <c r="A46" s="52">
        <v>44</v>
      </c>
      <c r="B46" s="53" t="s">
        <v>530</v>
      </c>
      <c r="C46" s="126" t="s">
        <v>532</v>
      </c>
      <c r="D46" s="55">
        <v>1</v>
      </c>
      <c r="E46" s="52" t="s">
        <v>2437</v>
      </c>
      <c r="F46" s="126" t="s">
        <v>18</v>
      </c>
      <c r="G46" s="126" t="s">
        <v>1667</v>
      </c>
      <c r="H46" s="131">
        <v>1</v>
      </c>
      <c r="I46" s="49" t="s">
        <v>2438</v>
      </c>
      <c r="J46" s="52">
        <v>3</v>
      </c>
      <c r="K46" s="49"/>
      <c r="L46" s="49" t="s">
        <v>3923</v>
      </c>
      <c r="M46" s="58"/>
    </row>
    <row r="47" spans="1:13" ht="15">
      <c r="A47" s="52">
        <v>45</v>
      </c>
      <c r="B47" s="53" t="s">
        <v>843</v>
      </c>
      <c r="C47" s="126" t="s">
        <v>845</v>
      </c>
      <c r="D47" s="55">
        <v>1</v>
      </c>
      <c r="E47" s="52" t="s">
        <v>2443</v>
      </c>
      <c r="F47" s="126" t="s">
        <v>18</v>
      </c>
      <c r="G47" s="126" t="s">
        <v>1667</v>
      </c>
      <c r="H47" s="131">
        <v>1</v>
      </c>
      <c r="I47" s="49" t="s">
        <v>2444</v>
      </c>
      <c r="J47" s="52">
        <v>3</v>
      </c>
      <c r="K47" s="49"/>
      <c r="L47" s="49" t="s">
        <v>3924</v>
      </c>
      <c r="M47" s="58"/>
    </row>
    <row r="48" spans="1:13" ht="15">
      <c r="A48" s="52">
        <v>46</v>
      </c>
      <c r="B48" s="60" t="s">
        <v>846</v>
      </c>
      <c r="C48" s="126" t="s">
        <v>845</v>
      </c>
      <c r="D48" s="52">
        <v>1</v>
      </c>
      <c r="E48" s="52" t="s">
        <v>2443</v>
      </c>
      <c r="F48" s="126" t="s">
        <v>18</v>
      </c>
      <c r="G48" s="126" t="s">
        <v>1667</v>
      </c>
      <c r="H48" s="131">
        <v>1</v>
      </c>
      <c r="I48" s="49" t="s">
        <v>2444</v>
      </c>
      <c r="J48" s="52">
        <v>3</v>
      </c>
      <c r="K48" s="49"/>
      <c r="L48" s="49" t="s">
        <v>3925</v>
      </c>
      <c r="M48" s="58"/>
    </row>
    <row r="49" spans="1:13" ht="15">
      <c r="A49" s="52">
        <v>47</v>
      </c>
      <c r="B49" s="53" t="s">
        <v>1247</v>
      </c>
      <c r="C49" s="126" t="s">
        <v>1248</v>
      </c>
      <c r="D49" s="55">
        <v>2</v>
      </c>
      <c r="E49" s="56" t="s">
        <v>2388</v>
      </c>
      <c r="F49" s="126" t="s">
        <v>18</v>
      </c>
      <c r="G49" s="126" t="s">
        <v>1667</v>
      </c>
      <c r="H49" s="131">
        <v>2</v>
      </c>
      <c r="I49" s="49" t="s">
        <v>2492</v>
      </c>
      <c r="J49" s="52"/>
      <c r="K49" s="49"/>
      <c r="L49" s="188" t="s">
        <v>3926</v>
      </c>
      <c r="M49" s="58"/>
    </row>
    <row r="50" spans="1:13" ht="15">
      <c r="A50" s="52">
        <v>48</v>
      </c>
      <c r="B50" s="53" t="s">
        <v>2358</v>
      </c>
      <c r="C50" s="126" t="s">
        <v>2360</v>
      </c>
      <c r="D50" s="55">
        <v>1</v>
      </c>
      <c r="E50" s="52" t="s">
        <v>2391</v>
      </c>
      <c r="F50" s="126" t="s">
        <v>18</v>
      </c>
      <c r="G50" s="126" t="s">
        <v>1667</v>
      </c>
      <c r="H50" s="131">
        <v>1</v>
      </c>
      <c r="I50" s="49" t="s">
        <v>2449</v>
      </c>
      <c r="J50" s="52">
        <v>2</v>
      </c>
      <c r="K50" s="49"/>
      <c r="L50" s="49" t="s">
        <v>3927</v>
      </c>
      <c r="M50" s="58"/>
    </row>
    <row r="51" spans="1:13" ht="15">
      <c r="A51" s="52">
        <v>49</v>
      </c>
      <c r="B51" s="53" t="s">
        <v>836</v>
      </c>
      <c r="C51" s="126" t="s">
        <v>837</v>
      </c>
      <c r="D51" s="55">
        <v>1</v>
      </c>
      <c r="E51" s="52" t="s">
        <v>2391</v>
      </c>
      <c r="F51" s="126" t="s">
        <v>18</v>
      </c>
      <c r="G51" s="126" t="s">
        <v>1667</v>
      </c>
      <c r="H51" s="131">
        <v>1</v>
      </c>
      <c r="I51" s="49" t="s">
        <v>2511</v>
      </c>
      <c r="J51" s="52">
        <v>2</v>
      </c>
      <c r="K51" s="49"/>
      <c r="L51" s="49" t="s">
        <v>3928</v>
      </c>
      <c r="M51" s="58"/>
    </row>
    <row r="52" spans="1:13" ht="15">
      <c r="A52" s="52">
        <v>50</v>
      </c>
      <c r="B52" s="53" t="s">
        <v>838</v>
      </c>
      <c r="C52" s="126" t="s">
        <v>839</v>
      </c>
      <c r="D52" s="55">
        <v>1</v>
      </c>
      <c r="E52" s="52" t="s">
        <v>2391</v>
      </c>
      <c r="F52" s="126" t="s">
        <v>18</v>
      </c>
      <c r="G52" s="126" t="s">
        <v>1667</v>
      </c>
      <c r="H52" s="131">
        <v>1</v>
      </c>
      <c r="I52" s="49" t="s">
        <v>2511</v>
      </c>
      <c r="J52" s="52">
        <v>2</v>
      </c>
      <c r="K52" s="49"/>
      <c r="L52" s="49" t="s">
        <v>3929</v>
      </c>
      <c r="M52" s="58"/>
    </row>
    <row r="53" spans="1:13" ht="15">
      <c r="A53" s="52">
        <v>51</v>
      </c>
      <c r="B53" s="53" t="s">
        <v>1307</v>
      </c>
      <c r="C53" s="126" t="s">
        <v>403</v>
      </c>
      <c r="D53" s="55">
        <v>1</v>
      </c>
      <c r="E53" s="52" t="s">
        <v>2391</v>
      </c>
      <c r="F53" s="126" t="s">
        <v>18</v>
      </c>
      <c r="G53" s="126" t="s">
        <v>1667</v>
      </c>
      <c r="H53" s="131">
        <v>1</v>
      </c>
      <c r="I53" s="49" t="s">
        <v>2449</v>
      </c>
      <c r="J53" s="52">
        <v>2</v>
      </c>
      <c r="K53" s="49" t="s">
        <v>3365</v>
      </c>
      <c r="L53" s="49" t="s">
        <v>3930</v>
      </c>
      <c r="M53" s="58"/>
    </row>
    <row r="54" spans="1:13" ht="15">
      <c r="A54" s="52">
        <v>52</v>
      </c>
      <c r="B54" s="59" t="s">
        <v>1078</v>
      </c>
      <c r="C54" s="126" t="s">
        <v>1079</v>
      </c>
      <c r="D54" s="55">
        <v>1</v>
      </c>
      <c r="E54" s="52" t="s">
        <v>2391</v>
      </c>
      <c r="F54" s="126" t="s">
        <v>18</v>
      </c>
      <c r="G54" s="126" t="s">
        <v>1667</v>
      </c>
      <c r="H54" s="131">
        <v>1</v>
      </c>
      <c r="I54" s="49" t="s">
        <v>2449</v>
      </c>
      <c r="J54" s="52">
        <v>2</v>
      </c>
      <c r="K54" s="49" t="s">
        <v>3365</v>
      </c>
      <c r="L54" s="49" t="s">
        <v>3931</v>
      </c>
      <c r="M54" s="58"/>
    </row>
    <row r="55" spans="1:13" ht="15">
      <c r="A55" s="52">
        <v>53</v>
      </c>
      <c r="B55" s="53" t="s">
        <v>1353</v>
      </c>
      <c r="C55" s="126" t="s">
        <v>41</v>
      </c>
      <c r="D55" s="55">
        <v>1</v>
      </c>
      <c r="E55" s="52" t="s">
        <v>2391</v>
      </c>
      <c r="F55" s="126" t="s">
        <v>18</v>
      </c>
      <c r="G55" s="126" t="s">
        <v>1667</v>
      </c>
      <c r="H55" s="131">
        <v>1</v>
      </c>
      <c r="I55" s="49" t="s">
        <v>2449</v>
      </c>
      <c r="J55" s="52">
        <v>2</v>
      </c>
      <c r="K55" s="49" t="s">
        <v>3365</v>
      </c>
      <c r="L55" s="49" t="s">
        <v>3932</v>
      </c>
      <c r="M55" s="58"/>
    </row>
    <row r="56" spans="1:13" ht="15">
      <c r="A56" s="52">
        <v>54</v>
      </c>
      <c r="B56" s="53" t="s">
        <v>1368</v>
      </c>
      <c r="C56" s="126" t="s">
        <v>984</v>
      </c>
      <c r="D56" s="55">
        <v>1</v>
      </c>
      <c r="E56" s="52" t="s">
        <v>2391</v>
      </c>
      <c r="F56" s="126" t="s">
        <v>18</v>
      </c>
      <c r="G56" s="126" t="s">
        <v>1667</v>
      </c>
      <c r="H56" s="131">
        <v>1</v>
      </c>
      <c r="I56" s="49" t="s">
        <v>2449</v>
      </c>
      <c r="J56" s="52">
        <v>2</v>
      </c>
      <c r="K56" s="49" t="s">
        <v>3365</v>
      </c>
      <c r="L56" s="49" t="s">
        <v>3933</v>
      </c>
      <c r="M56" s="58"/>
    </row>
    <row r="57" spans="1:13" ht="15">
      <c r="A57" s="52">
        <v>55</v>
      </c>
      <c r="B57" s="59" t="s">
        <v>3370</v>
      </c>
      <c r="C57" s="126" t="s">
        <v>984</v>
      </c>
      <c r="D57" s="55">
        <v>1</v>
      </c>
      <c r="E57" s="52" t="s">
        <v>2391</v>
      </c>
      <c r="F57" s="126" t="s">
        <v>18</v>
      </c>
      <c r="G57" s="126" t="s">
        <v>1667</v>
      </c>
      <c r="H57" s="131">
        <v>1</v>
      </c>
      <c r="I57" s="49" t="s">
        <v>2449</v>
      </c>
      <c r="J57" s="52">
        <v>2</v>
      </c>
      <c r="K57" s="49" t="s">
        <v>3365</v>
      </c>
      <c r="L57" s="49" t="s">
        <v>3934</v>
      </c>
      <c r="M57" s="58"/>
    </row>
    <row r="58" spans="1:13" ht="15">
      <c r="A58" s="52">
        <v>56</v>
      </c>
      <c r="B58" s="59" t="s">
        <v>565</v>
      </c>
      <c r="C58" s="126" t="s">
        <v>17</v>
      </c>
      <c r="D58" s="55">
        <v>2</v>
      </c>
      <c r="E58" s="52" t="s">
        <v>2391</v>
      </c>
      <c r="F58" s="126" t="s">
        <v>18</v>
      </c>
      <c r="G58" s="126" t="s">
        <v>1667</v>
      </c>
      <c r="H58" s="131">
        <v>2</v>
      </c>
      <c r="I58" s="49" t="s">
        <v>2449</v>
      </c>
      <c r="J58" s="52">
        <v>2</v>
      </c>
      <c r="K58" s="49" t="s">
        <v>3365</v>
      </c>
      <c r="L58" s="49" t="s">
        <v>3935</v>
      </c>
      <c r="M58" s="58"/>
    </row>
    <row r="59" spans="1:13" ht="15">
      <c r="A59" s="52">
        <v>57</v>
      </c>
      <c r="B59" s="60" t="s">
        <v>1077</v>
      </c>
      <c r="C59" s="126" t="s">
        <v>41</v>
      </c>
      <c r="D59" s="52">
        <v>1</v>
      </c>
      <c r="E59" s="52" t="s">
        <v>2391</v>
      </c>
      <c r="F59" s="126" t="s">
        <v>18</v>
      </c>
      <c r="G59" s="126" t="s">
        <v>1667</v>
      </c>
      <c r="H59" s="131">
        <v>1</v>
      </c>
      <c r="I59" s="49" t="s">
        <v>2449</v>
      </c>
      <c r="J59" s="52">
        <v>3</v>
      </c>
      <c r="K59" s="49" t="s">
        <v>3365</v>
      </c>
      <c r="L59" s="49" t="s">
        <v>3936</v>
      </c>
      <c r="M59" s="58"/>
    </row>
    <row r="60" spans="1:13" ht="15">
      <c r="A60" s="52">
        <v>58</v>
      </c>
      <c r="B60" s="53" t="s">
        <v>988</v>
      </c>
      <c r="C60" s="126" t="s">
        <v>989</v>
      </c>
      <c r="D60" s="55">
        <v>1</v>
      </c>
      <c r="E60" s="52" t="s">
        <v>2391</v>
      </c>
      <c r="F60" s="126" t="s">
        <v>18</v>
      </c>
      <c r="G60" s="126" t="s">
        <v>1667</v>
      </c>
      <c r="H60" s="131">
        <v>1</v>
      </c>
      <c r="I60" s="49" t="s">
        <v>2449</v>
      </c>
      <c r="J60" s="52"/>
      <c r="K60" s="49" t="s">
        <v>3365</v>
      </c>
      <c r="L60" s="49" t="s">
        <v>3937</v>
      </c>
      <c r="M60" s="58"/>
    </row>
    <row r="61" spans="1:13" ht="15">
      <c r="A61" s="52">
        <v>59</v>
      </c>
      <c r="B61" s="53" t="s">
        <v>2149</v>
      </c>
      <c r="C61" s="126" t="s">
        <v>2151</v>
      </c>
      <c r="D61" s="55">
        <v>1</v>
      </c>
      <c r="E61" s="52" t="s">
        <v>2391</v>
      </c>
      <c r="F61" s="126" t="s">
        <v>18</v>
      </c>
      <c r="G61" s="126" t="s">
        <v>1667</v>
      </c>
      <c r="H61" s="131">
        <v>1</v>
      </c>
      <c r="I61" s="49" t="s">
        <v>2449</v>
      </c>
      <c r="J61" s="52"/>
      <c r="K61" s="49" t="s">
        <v>3365</v>
      </c>
      <c r="L61" s="49" t="s">
        <v>3938</v>
      </c>
      <c r="M61" s="58"/>
    </row>
    <row r="62" spans="1:13" ht="15">
      <c r="A62" s="52">
        <v>60</v>
      </c>
      <c r="B62" s="53" t="s">
        <v>2152</v>
      </c>
      <c r="C62" s="126" t="s">
        <v>2151</v>
      </c>
      <c r="D62" s="55">
        <v>1</v>
      </c>
      <c r="E62" s="56" t="s">
        <v>2391</v>
      </c>
      <c r="F62" s="126" t="s">
        <v>18</v>
      </c>
      <c r="G62" s="126" t="s">
        <v>1667</v>
      </c>
      <c r="H62" s="131">
        <v>1</v>
      </c>
      <c r="I62" s="49" t="s">
        <v>2449</v>
      </c>
      <c r="J62" s="52"/>
      <c r="K62" s="49" t="s">
        <v>3365</v>
      </c>
      <c r="L62" s="49" t="s">
        <v>3939</v>
      </c>
      <c r="M62" s="58">
        <v>45533</v>
      </c>
    </row>
    <row r="63" spans="1:13" ht="15">
      <c r="A63" s="52">
        <v>61</v>
      </c>
      <c r="B63" s="59" t="s">
        <v>2153</v>
      </c>
      <c r="C63" s="126" t="s">
        <v>2151</v>
      </c>
      <c r="D63" s="55">
        <v>1</v>
      </c>
      <c r="E63" s="52" t="s">
        <v>2391</v>
      </c>
      <c r="F63" s="126" t="s">
        <v>18</v>
      </c>
      <c r="G63" s="126" t="s">
        <v>1667</v>
      </c>
      <c r="H63" s="131">
        <v>1</v>
      </c>
      <c r="I63" s="49" t="s">
        <v>2449</v>
      </c>
      <c r="J63" s="52"/>
      <c r="K63" s="49" t="s">
        <v>3365</v>
      </c>
      <c r="L63" s="49" t="s">
        <v>3940</v>
      </c>
      <c r="M63" s="58"/>
    </row>
    <row r="64" spans="1:13" ht="15">
      <c r="A64" s="52">
        <v>62</v>
      </c>
      <c r="B64" s="59" t="s">
        <v>1070</v>
      </c>
      <c r="C64" s="126" t="s">
        <v>1072</v>
      </c>
      <c r="D64" s="55">
        <v>1</v>
      </c>
      <c r="E64" s="52" t="s">
        <v>2391</v>
      </c>
      <c r="F64" s="126" t="s">
        <v>18</v>
      </c>
      <c r="G64" s="126" t="s">
        <v>1667</v>
      </c>
      <c r="H64" s="131">
        <v>1</v>
      </c>
      <c r="I64" s="49" t="s">
        <v>2447</v>
      </c>
      <c r="J64" s="52"/>
      <c r="K64" s="49"/>
      <c r="L64" s="49" t="s">
        <v>3941</v>
      </c>
      <c r="M64" s="58"/>
    </row>
    <row r="65" spans="1:13" ht="15">
      <c r="A65" s="52">
        <v>63</v>
      </c>
      <c r="B65" s="53" t="s">
        <v>1073</v>
      </c>
      <c r="C65" s="126" t="s">
        <v>1074</v>
      </c>
      <c r="D65" s="55">
        <v>1</v>
      </c>
      <c r="E65" s="52" t="s">
        <v>2391</v>
      </c>
      <c r="F65" s="126" t="s">
        <v>18</v>
      </c>
      <c r="G65" s="126" t="s">
        <v>1667</v>
      </c>
      <c r="H65" s="131">
        <v>1</v>
      </c>
      <c r="I65" s="49" t="s">
        <v>2447</v>
      </c>
      <c r="J65" s="52"/>
      <c r="K65" s="49"/>
      <c r="L65" s="49" t="s">
        <v>3942</v>
      </c>
      <c r="M65" s="58"/>
    </row>
    <row r="66" spans="1:13" ht="15">
      <c r="A66" s="52">
        <v>64</v>
      </c>
      <c r="B66" s="53" t="s">
        <v>1091</v>
      </c>
      <c r="C66" s="126" t="s">
        <v>913</v>
      </c>
      <c r="D66" s="55">
        <v>1</v>
      </c>
      <c r="E66" s="52" t="s">
        <v>2391</v>
      </c>
      <c r="F66" s="126" t="s">
        <v>18</v>
      </c>
      <c r="G66" s="126" t="s">
        <v>1667</v>
      </c>
      <c r="H66" s="131">
        <v>1</v>
      </c>
      <c r="I66" s="49" t="s">
        <v>2447</v>
      </c>
      <c r="J66" s="52"/>
      <c r="K66" s="49"/>
      <c r="L66" s="49" t="s">
        <v>3943</v>
      </c>
      <c r="M66" s="58"/>
    </row>
    <row r="67" spans="1:13" ht="15">
      <c r="A67" s="52">
        <v>65</v>
      </c>
      <c r="B67" s="53" t="s">
        <v>1898</v>
      </c>
      <c r="C67" s="126" t="s">
        <v>1900</v>
      </c>
      <c r="D67" s="55">
        <v>1</v>
      </c>
      <c r="E67" s="52" t="s">
        <v>2391</v>
      </c>
      <c r="F67" s="126" t="s">
        <v>18</v>
      </c>
      <c r="G67" s="126" t="s">
        <v>1667</v>
      </c>
      <c r="H67" s="131">
        <v>1</v>
      </c>
      <c r="I67" s="49" t="s">
        <v>2511</v>
      </c>
      <c r="J67" s="52"/>
      <c r="K67" s="49"/>
      <c r="L67" s="49" t="s">
        <v>3944</v>
      </c>
      <c r="M67" s="58"/>
    </row>
    <row r="68" spans="1:13" ht="15">
      <c r="A68" s="52">
        <v>66</v>
      </c>
      <c r="B68" s="60" t="s">
        <v>1114</v>
      </c>
      <c r="C68" s="126" t="s">
        <v>1116</v>
      </c>
      <c r="D68" s="55">
        <v>1</v>
      </c>
      <c r="E68" s="52" t="s">
        <v>2417</v>
      </c>
      <c r="F68" s="126" t="s">
        <v>18</v>
      </c>
      <c r="G68" s="126" t="s">
        <v>1667</v>
      </c>
      <c r="H68" s="131">
        <v>1</v>
      </c>
      <c r="I68" s="49" t="s">
        <v>2418</v>
      </c>
      <c r="J68" s="52"/>
      <c r="K68" s="49"/>
      <c r="L68" s="49" t="s">
        <v>3945</v>
      </c>
      <c r="M68" s="58"/>
    </row>
    <row r="69" spans="1:13" ht="15">
      <c r="A69" s="52">
        <v>67</v>
      </c>
      <c r="B69" s="53" t="s">
        <v>2129</v>
      </c>
      <c r="C69" s="126" t="s">
        <v>2131</v>
      </c>
      <c r="D69" s="55">
        <v>1</v>
      </c>
      <c r="E69" s="52" t="s">
        <v>2391</v>
      </c>
      <c r="F69" s="126" t="s">
        <v>18</v>
      </c>
      <c r="G69" s="126" t="s">
        <v>1667</v>
      </c>
      <c r="H69" s="131">
        <v>1</v>
      </c>
      <c r="I69" s="49" t="s">
        <v>2449</v>
      </c>
      <c r="J69" s="52"/>
      <c r="K69" s="49" t="s">
        <v>3365</v>
      </c>
      <c r="L69" s="49" t="s">
        <v>3946</v>
      </c>
      <c r="M69" s="58"/>
    </row>
    <row r="70" spans="1:13" ht="15">
      <c r="A70" s="52">
        <v>68</v>
      </c>
      <c r="B70" s="53" t="s">
        <v>1843</v>
      </c>
      <c r="C70" s="126" t="s">
        <v>1845</v>
      </c>
      <c r="D70" s="55">
        <v>1</v>
      </c>
      <c r="E70" s="52" t="s">
        <v>2385</v>
      </c>
      <c r="F70" s="126" t="s">
        <v>39</v>
      </c>
      <c r="G70" s="126" t="s">
        <v>1667</v>
      </c>
      <c r="H70" s="131">
        <v>1</v>
      </c>
      <c r="I70" s="49" t="s">
        <v>2386</v>
      </c>
      <c r="J70" s="52">
        <v>1</v>
      </c>
      <c r="K70" s="49"/>
      <c r="L70" s="49" t="s">
        <v>3947</v>
      </c>
      <c r="M70" s="58"/>
    </row>
    <row r="71" spans="1:13" ht="15">
      <c r="A71" s="52">
        <v>69</v>
      </c>
      <c r="B71" s="53" t="s">
        <v>1895</v>
      </c>
      <c r="C71" s="126" t="s">
        <v>1896</v>
      </c>
      <c r="D71" s="55">
        <v>1</v>
      </c>
      <c r="E71" s="56" t="s">
        <v>2385</v>
      </c>
      <c r="F71" s="126" t="s">
        <v>39</v>
      </c>
      <c r="G71" s="126" t="s">
        <v>1667</v>
      </c>
      <c r="H71" s="131">
        <v>1</v>
      </c>
      <c r="I71" s="49" t="s">
        <v>2386</v>
      </c>
      <c r="J71" s="52">
        <v>1</v>
      </c>
      <c r="K71" s="49"/>
      <c r="L71" s="49" t="s">
        <v>3948</v>
      </c>
      <c r="M71" s="58"/>
    </row>
    <row r="72" spans="1:13" ht="15">
      <c r="A72" s="52">
        <v>70</v>
      </c>
      <c r="B72" s="53" t="s">
        <v>783</v>
      </c>
      <c r="C72" s="126" t="s">
        <v>41</v>
      </c>
      <c r="D72" s="55">
        <v>2</v>
      </c>
      <c r="E72" s="52" t="s">
        <v>2385</v>
      </c>
      <c r="F72" s="126" t="s">
        <v>39</v>
      </c>
      <c r="G72" s="126" t="s">
        <v>1667</v>
      </c>
      <c r="H72" s="131">
        <v>2</v>
      </c>
      <c r="I72" s="49" t="s">
        <v>2386</v>
      </c>
      <c r="J72" s="52">
        <v>2</v>
      </c>
      <c r="K72" s="49" t="s">
        <v>3418</v>
      </c>
      <c r="L72" s="49" t="s">
        <v>3949</v>
      </c>
      <c r="M72" s="58"/>
    </row>
    <row r="73" spans="1:13" ht="15">
      <c r="A73" s="52">
        <v>71</v>
      </c>
      <c r="B73" s="53" t="s">
        <v>911</v>
      </c>
      <c r="C73" s="126" t="s">
        <v>913</v>
      </c>
      <c r="D73" s="55">
        <v>1</v>
      </c>
      <c r="E73" s="52" t="s">
        <v>2385</v>
      </c>
      <c r="F73" s="126" t="s">
        <v>39</v>
      </c>
      <c r="G73" s="126" t="s">
        <v>1667</v>
      </c>
      <c r="H73" s="131">
        <v>1</v>
      </c>
      <c r="I73" s="49" t="s">
        <v>2386</v>
      </c>
      <c r="J73" s="57">
        <v>2</v>
      </c>
      <c r="K73" s="61"/>
      <c r="L73" s="61" t="s">
        <v>3950</v>
      </c>
      <c r="M73" s="58"/>
    </row>
    <row r="74" spans="1:13" ht="15">
      <c r="A74" s="52">
        <v>72</v>
      </c>
      <c r="B74" s="59" t="s">
        <v>914</v>
      </c>
      <c r="C74" s="126" t="s">
        <v>913</v>
      </c>
      <c r="D74" s="55">
        <v>1</v>
      </c>
      <c r="E74" s="52" t="s">
        <v>2385</v>
      </c>
      <c r="F74" s="126" t="s">
        <v>39</v>
      </c>
      <c r="G74" s="126" t="s">
        <v>1667</v>
      </c>
      <c r="H74" s="131">
        <v>1</v>
      </c>
      <c r="I74" s="49" t="s">
        <v>2386</v>
      </c>
      <c r="J74" s="52">
        <v>2</v>
      </c>
      <c r="K74" s="49"/>
      <c r="L74" s="49" t="s">
        <v>3951</v>
      </c>
      <c r="M74" s="58"/>
    </row>
    <row r="75" spans="1:13" ht="15">
      <c r="A75" s="52">
        <v>73</v>
      </c>
      <c r="B75" s="59" t="s">
        <v>967</v>
      </c>
      <c r="C75" s="126" t="s">
        <v>41</v>
      </c>
      <c r="D75" s="55">
        <v>1</v>
      </c>
      <c r="E75" s="52" t="s">
        <v>2385</v>
      </c>
      <c r="F75" s="126" t="s">
        <v>39</v>
      </c>
      <c r="G75" s="126" t="s">
        <v>1667</v>
      </c>
      <c r="H75" s="131">
        <v>1</v>
      </c>
      <c r="I75" s="49" t="s">
        <v>2386</v>
      </c>
      <c r="J75" s="52">
        <v>2</v>
      </c>
      <c r="K75" s="49"/>
      <c r="L75" s="49" t="s">
        <v>3952</v>
      </c>
      <c r="M75" s="58"/>
    </row>
    <row r="76" spans="1:13" ht="15">
      <c r="A76" s="52">
        <v>74</v>
      </c>
      <c r="B76" s="53" t="s">
        <v>1044</v>
      </c>
      <c r="C76" s="126" t="s">
        <v>41</v>
      </c>
      <c r="D76" s="55">
        <v>1</v>
      </c>
      <c r="E76" s="52" t="s">
        <v>2385</v>
      </c>
      <c r="F76" s="126" t="s">
        <v>39</v>
      </c>
      <c r="G76" s="126" t="s">
        <v>1667</v>
      </c>
      <c r="H76" s="131">
        <v>1</v>
      </c>
      <c r="I76" s="49" t="s">
        <v>2386</v>
      </c>
      <c r="J76" s="52">
        <v>2</v>
      </c>
      <c r="K76" s="49"/>
      <c r="L76" s="49" t="s">
        <v>3953</v>
      </c>
      <c r="M76" s="58"/>
    </row>
    <row r="77" spans="1:13" ht="15">
      <c r="A77" s="52">
        <v>75</v>
      </c>
      <c r="B77" s="53" t="s">
        <v>1011</v>
      </c>
      <c r="C77" s="126" t="s">
        <v>41</v>
      </c>
      <c r="D77" s="55">
        <v>1</v>
      </c>
      <c r="E77" s="52" t="s">
        <v>2385</v>
      </c>
      <c r="F77" s="126" t="s">
        <v>39</v>
      </c>
      <c r="G77" s="126" t="s">
        <v>1667</v>
      </c>
      <c r="H77" s="131">
        <v>1</v>
      </c>
      <c r="I77" s="49" t="s">
        <v>2386</v>
      </c>
      <c r="J77" s="52">
        <v>3</v>
      </c>
      <c r="K77" s="49"/>
      <c r="L77" s="49" t="s">
        <v>3954</v>
      </c>
      <c r="M77" s="58"/>
    </row>
    <row r="78" spans="1:13" ht="15">
      <c r="A78" s="52">
        <v>76</v>
      </c>
      <c r="B78" s="53" t="s">
        <v>2091</v>
      </c>
      <c r="C78" s="126" t="s">
        <v>1896</v>
      </c>
      <c r="D78" s="55">
        <v>1</v>
      </c>
      <c r="E78" s="52" t="s">
        <v>2385</v>
      </c>
      <c r="F78" s="126" t="s">
        <v>39</v>
      </c>
      <c r="G78" s="126" t="s">
        <v>1667</v>
      </c>
      <c r="H78" s="131">
        <v>1</v>
      </c>
      <c r="I78" s="49" t="s">
        <v>2386</v>
      </c>
      <c r="J78" s="52">
        <v>3</v>
      </c>
      <c r="K78" s="49"/>
      <c r="L78" s="49" t="s">
        <v>3955</v>
      </c>
      <c r="M78" s="58"/>
    </row>
    <row r="79" spans="1:13" ht="15">
      <c r="A79" s="52">
        <v>77</v>
      </c>
      <c r="B79" s="53" t="s">
        <v>1131</v>
      </c>
      <c r="C79" s="126" t="s">
        <v>41</v>
      </c>
      <c r="D79" s="55">
        <v>3</v>
      </c>
      <c r="E79" s="52" t="s">
        <v>2385</v>
      </c>
      <c r="F79" s="126" t="s">
        <v>39</v>
      </c>
      <c r="G79" s="126" t="s">
        <v>1667</v>
      </c>
      <c r="H79" s="131">
        <v>3</v>
      </c>
      <c r="I79" s="49" t="s">
        <v>2386</v>
      </c>
      <c r="J79" s="52">
        <v>4</v>
      </c>
      <c r="K79" s="49"/>
      <c r="L79" s="49" t="s">
        <v>3956</v>
      </c>
      <c r="M79" s="58"/>
    </row>
    <row r="80" spans="1:13" ht="15">
      <c r="A80" s="52">
        <v>78</v>
      </c>
      <c r="B80" s="53" t="s">
        <v>1027</v>
      </c>
      <c r="C80" s="126" t="s">
        <v>1029</v>
      </c>
      <c r="D80" s="55">
        <v>1</v>
      </c>
      <c r="E80" s="52" t="s">
        <v>2385</v>
      </c>
      <c r="F80" s="126" t="s">
        <v>39</v>
      </c>
      <c r="G80" s="126" t="s">
        <v>1667</v>
      </c>
      <c r="H80" s="131">
        <v>1</v>
      </c>
      <c r="I80" s="49" t="s">
        <v>2386</v>
      </c>
      <c r="J80" s="52"/>
      <c r="K80" s="49"/>
      <c r="L80" s="49" t="s">
        <v>3957</v>
      </c>
      <c r="M80" s="58"/>
    </row>
    <row r="81" spans="1:13" ht="15">
      <c r="A81" s="52">
        <v>79</v>
      </c>
      <c r="B81" s="53" t="s">
        <v>1313</v>
      </c>
      <c r="C81" s="126" t="s">
        <v>1315</v>
      </c>
      <c r="D81" s="55">
        <v>1</v>
      </c>
      <c r="E81" s="52" t="s">
        <v>2385</v>
      </c>
      <c r="F81" s="126" t="s">
        <v>39</v>
      </c>
      <c r="G81" s="126" t="s">
        <v>1667</v>
      </c>
      <c r="H81" s="131">
        <v>1</v>
      </c>
      <c r="I81" s="49" t="s">
        <v>3382</v>
      </c>
      <c r="J81" s="52"/>
      <c r="K81" s="49"/>
      <c r="L81" s="49" t="s">
        <v>3958</v>
      </c>
      <c r="M81" s="58"/>
    </row>
    <row r="82" spans="1:13" ht="15">
      <c r="A82" s="52">
        <v>80</v>
      </c>
      <c r="B82" s="53" t="s">
        <v>1096</v>
      </c>
      <c r="C82" s="126" t="s">
        <v>1097</v>
      </c>
      <c r="D82" s="55">
        <v>1</v>
      </c>
      <c r="E82" s="52" t="s">
        <v>2385</v>
      </c>
      <c r="F82" s="126" t="s">
        <v>39</v>
      </c>
      <c r="G82" s="126" t="s">
        <v>1667</v>
      </c>
      <c r="H82" s="131">
        <v>1</v>
      </c>
      <c r="I82" s="49" t="s">
        <v>3382</v>
      </c>
      <c r="J82" s="52"/>
      <c r="K82" s="49"/>
      <c r="L82" s="49" t="s">
        <v>3959</v>
      </c>
      <c r="M82" s="58">
        <v>45533</v>
      </c>
    </row>
    <row r="83" spans="1:13" ht="15">
      <c r="A83" s="52">
        <v>81</v>
      </c>
      <c r="B83" s="53" t="s">
        <v>1098</v>
      </c>
      <c r="C83" s="126" t="s">
        <v>1099</v>
      </c>
      <c r="D83" s="55">
        <v>1</v>
      </c>
      <c r="E83" s="52" t="s">
        <v>2385</v>
      </c>
      <c r="F83" s="126" t="s">
        <v>39</v>
      </c>
      <c r="G83" s="126" t="s">
        <v>1667</v>
      </c>
      <c r="H83" s="131">
        <v>1</v>
      </c>
      <c r="I83" s="49" t="s">
        <v>3382</v>
      </c>
      <c r="J83" s="52"/>
      <c r="K83" s="49"/>
      <c r="L83" s="49" t="s">
        <v>3960</v>
      </c>
      <c r="M83" s="58"/>
    </row>
    <row r="84" spans="1:13" ht="15">
      <c r="A84" s="52">
        <v>82</v>
      </c>
      <c r="B84" s="53" t="s">
        <v>1033</v>
      </c>
      <c r="C84" s="126" t="s">
        <v>41</v>
      </c>
      <c r="D84" s="55">
        <v>4</v>
      </c>
      <c r="E84" s="52" t="s">
        <v>2385</v>
      </c>
      <c r="F84" s="126" t="s">
        <v>39</v>
      </c>
      <c r="G84" s="126" t="s">
        <v>1667</v>
      </c>
      <c r="H84" s="131">
        <v>4</v>
      </c>
      <c r="I84" s="49" t="s">
        <v>3384</v>
      </c>
      <c r="J84" s="52"/>
      <c r="K84" s="49"/>
      <c r="L84" s="49" t="s">
        <v>3961</v>
      </c>
      <c r="M84" s="58"/>
    </row>
    <row r="85" spans="1:13" ht="15">
      <c r="A85" s="52">
        <v>83</v>
      </c>
      <c r="B85" s="59" t="s">
        <v>1217</v>
      </c>
      <c r="C85" s="126" t="s">
        <v>1216</v>
      </c>
      <c r="D85" s="55">
        <v>2</v>
      </c>
      <c r="E85" s="52" t="s">
        <v>2394</v>
      </c>
      <c r="F85" s="126" t="s">
        <v>39</v>
      </c>
      <c r="G85" s="126" t="s">
        <v>1667</v>
      </c>
      <c r="H85" s="131">
        <v>2</v>
      </c>
      <c r="I85" s="49" t="s">
        <v>2425</v>
      </c>
      <c r="J85" s="52">
        <v>2</v>
      </c>
      <c r="K85" s="49"/>
      <c r="L85" s="49" t="s">
        <v>3962</v>
      </c>
      <c r="M85" s="58"/>
    </row>
    <row r="86" spans="1:13" ht="15">
      <c r="A86" s="52">
        <v>84</v>
      </c>
      <c r="B86" s="53" t="s">
        <v>1253</v>
      </c>
      <c r="C86" s="126" t="s">
        <v>1255</v>
      </c>
      <c r="D86" s="55">
        <v>2</v>
      </c>
      <c r="E86" s="52" t="s">
        <v>2394</v>
      </c>
      <c r="F86" s="126" t="s">
        <v>39</v>
      </c>
      <c r="G86" s="126" t="s">
        <v>1667</v>
      </c>
      <c r="H86" s="131">
        <v>2</v>
      </c>
      <c r="I86" s="49" t="s">
        <v>2425</v>
      </c>
      <c r="J86" s="52">
        <v>2</v>
      </c>
      <c r="K86" s="49"/>
      <c r="L86" s="49" t="s">
        <v>3963</v>
      </c>
      <c r="M86" s="58"/>
    </row>
    <row r="87" spans="1:13" ht="15">
      <c r="A87" s="52">
        <v>85</v>
      </c>
      <c r="B87" s="59" t="s">
        <v>1041</v>
      </c>
      <c r="C87" s="126" t="s">
        <v>1043</v>
      </c>
      <c r="D87" s="55">
        <v>1</v>
      </c>
      <c r="E87" s="52" t="s">
        <v>2394</v>
      </c>
      <c r="F87" s="126" t="s">
        <v>39</v>
      </c>
      <c r="G87" s="126" t="s">
        <v>1667</v>
      </c>
      <c r="H87" s="131">
        <v>1</v>
      </c>
      <c r="I87" s="49" t="s">
        <v>2425</v>
      </c>
      <c r="J87" s="52">
        <v>3</v>
      </c>
      <c r="K87" s="49"/>
      <c r="L87" s="49" t="s">
        <v>3964</v>
      </c>
      <c r="M87" s="58"/>
    </row>
    <row r="88" spans="1:13" ht="15">
      <c r="A88" s="52">
        <v>86</v>
      </c>
      <c r="B88" s="53" t="s">
        <v>1263</v>
      </c>
      <c r="C88" s="126" t="s">
        <v>1265</v>
      </c>
      <c r="D88" s="55">
        <v>2</v>
      </c>
      <c r="E88" s="52" t="s">
        <v>2394</v>
      </c>
      <c r="F88" s="126" t="s">
        <v>39</v>
      </c>
      <c r="G88" s="126" t="s">
        <v>1667</v>
      </c>
      <c r="H88" s="131">
        <v>2</v>
      </c>
      <c r="I88" s="49" t="s">
        <v>2425</v>
      </c>
      <c r="J88" s="52">
        <v>3</v>
      </c>
      <c r="K88" s="49"/>
      <c r="L88" s="49" t="s">
        <v>3965</v>
      </c>
      <c r="M88" s="58"/>
    </row>
    <row r="89" spans="1:13" ht="15">
      <c r="A89" s="52">
        <v>87</v>
      </c>
      <c r="B89" s="53" t="s">
        <v>976</v>
      </c>
      <c r="C89" s="126" t="s">
        <v>162</v>
      </c>
      <c r="D89" s="55">
        <v>2</v>
      </c>
      <c r="E89" s="52" t="s">
        <v>2394</v>
      </c>
      <c r="F89" s="126" t="s">
        <v>39</v>
      </c>
      <c r="G89" s="126" t="s">
        <v>1667</v>
      </c>
      <c r="H89" s="131">
        <v>2</v>
      </c>
      <c r="I89" s="49" t="s">
        <v>2425</v>
      </c>
      <c r="J89" s="52"/>
      <c r="K89" s="49"/>
      <c r="L89" s="49" t="s">
        <v>3966</v>
      </c>
      <c r="M89" s="58"/>
    </row>
    <row r="90" spans="1:13" ht="15">
      <c r="A90" s="52">
        <v>88</v>
      </c>
      <c r="B90" s="53" t="s">
        <v>1214</v>
      </c>
      <c r="C90" s="126" t="s">
        <v>1216</v>
      </c>
      <c r="D90" s="55">
        <v>2</v>
      </c>
      <c r="E90" s="52" t="s">
        <v>2394</v>
      </c>
      <c r="F90" s="126" t="s">
        <v>39</v>
      </c>
      <c r="G90" s="126" t="s">
        <v>1667</v>
      </c>
      <c r="H90" s="131">
        <v>2</v>
      </c>
      <c r="I90" s="49" t="s">
        <v>2425</v>
      </c>
      <c r="J90" s="52"/>
      <c r="K90" s="49"/>
      <c r="L90" s="49" t="s">
        <v>3967</v>
      </c>
      <c r="M90" s="58"/>
    </row>
    <row r="91" spans="1:13" ht="15">
      <c r="A91" s="52">
        <v>89</v>
      </c>
      <c r="B91" s="53" t="s">
        <v>1382</v>
      </c>
      <c r="C91" s="126" t="s">
        <v>1384</v>
      </c>
      <c r="D91" s="55">
        <v>2</v>
      </c>
      <c r="E91" s="52" t="s">
        <v>2394</v>
      </c>
      <c r="F91" s="126" t="s">
        <v>39</v>
      </c>
      <c r="G91" s="126" t="s">
        <v>1667</v>
      </c>
      <c r="H91" s="131">
        <v>2</v>
      </c>
      <c r="I91" s="49" t="s">
        <v>2425</v>
      </c>
      <c r="J91" s="52"/>
      <c r="K91" s="49"/>
      <c r="L91" s="49" t="s">
        <v>3968</v>
      </c>
      <c r="M91" s="58"/>
    </row>
    <row r="92" spans="1:13" ht="15">
      <c r="A92" s="52">
        <v>90</v>
      </c>
      <c r="B92" s="53" t="s">
        <v>1010</v>
      </c>
      <c r="C92" s="126" t="s">
        <v>41</v>
      </c>
      <c r="D92" s="55">
        <v>1</v>
      </c>
      <c r="E92" s="52" t="s">
        <v>2437</v>
      </c>
      <c r="F92" s="126" t="s">
        <v>39</v>
      </c>
      <c r="G92" s="126" t="s">
        <v>1667</v>
      </c>
      <c r="H92" s="131">
        <v>1</v>
      </c>
      <c r="I92" s="49" t="s">
        <v>2438</v>
      </c>
      <c r="J92" s="52">
        <v>1</v>
      </c>
      <c r="K92" s="49"/>
      <c r="L92" s="49" t="s">
        <v>3969</v>
      </c>
      <c r="M92" s="58"/>
    </row>
    <row r="93" spans="1:13" ht="15">
      <c r="A93" s="52">
        <v>91</v>
      </c>
      <c r="B93" s="53" t="s">
        <v>1024</v>
      </c>
      <c r="C93" s="126" t="s">
        <v>1026</v>
      </c>
      <c r="D93" s="55">
        <v>1</v>
      </c>
      <c r="E93" s="52" t="s">
        <v>2437</v>
      </c>
      <c r="F93" s="126" t="s">
        <v>39</v>
      </c>
      <c r="G93" s="126" t="s">
        <v>1667</v>
      </c>
      <c r="H93" s="131">
        <v>1</v>
      </c>
      <c r="I93" s="49" t="s">
        <v>2438</v>
      </c>
      <c r="J93" s="52">
        <v>2</v>
      </c>
      <c r="K93" s="49"/>
      <c r="L93" s="49" t="s">
        <v>3970</v>
      </c>
      <c r="M93" s="58">
        <v>45533</v>
      </c>
    </row>
    <row r="94" spans="1:13" ht="15">
      <c r="A94" s="52">
        <v>92</v>
      </c>
      <c r="B94" s="60" t="s">
        <v>1805</v>
      </c>
      <c r="C94" s="126" t="s">
        <v>1808</v>
      </c>
      <c r="D94" s="52">
        <v>1</v>
      </c>
      <c r="E94" s="52" t="s">
        <v>2437</v>
      </c>
      <c r="F94" s="126" t="s">
        <v>39</v>
      </c>
      <c r="G94" s="126" t="s">
        <v>1667</v>
      </c>
      <c r="H94" s="131">
        <v>1</v>
      </c>
      <c r="I94" s="49" t="s">
        <v>2438</v>
      </c>
      <c r="J94" s="52">
        <v>3</v>
      </c>
      <c r="K94" s="49" t="s">
        <v>3430</v>
      </c>
      <c r="L94" s="49" t="s">
        <v>3971</v>
      </c>
      <c r="M94" s="58"/>
    </row>
    <row r="95" spans="1:13" ht="15">
      <c r="A95" s="52">
        <v>93</v>
      </c>
      <c r="B95" s="53" t="s">
        <v>1003</v>
      </c>
      <c r="C95" s="126" t="s">
        <v>1005</v>
      </c>
      <c r="D95" s="55">
        <v>1</v>
      </c>
      <c r="E95" s="52" t="s">
        <v>2437</v>
      </c>
      <c r="F95" s="126" t="s">
        <v>39</v>
      </c>
      <c r="G95" s="126" t="s">
        <v>1667</v>
      </c>
      <c r="H95" s="131">
        <v>1</v>
      </c>
      <c r="I95" s="49" t="s">
        <v>2438</v>
      </c>
      <c r="J95" s="52">
        <v>4</v>
      </c>
      <c r="K95" s="49" t="s">
        <v>3435</v>
      </c>
      <c r="L95" s="49" t="s">
        <v>3972</v>
      </c>
      <c r="M95" s="58"/>
    </row>
    <row r="96" spans="1:13" ht="15">
      <c r="A96" s="52">
        <v>94</v>
      </c>
      <c r="B96" s="53" t="s">
        <v>481</v>
      </c>
      <c r="C96" s="126" t="s">
        <v>483</v>
      </c>
      <c r="D96" s="55">
        <v>1</v>
      </c>
      <c r="E96" s="52" t="s">
        <v>2443</v>
      </c>
      <c r="F96" s="126" t="s">
        <v>39</v>
      </c>
      <c r="G96" s="126" t="s">
        <v>1667</v>
      </c>
      <c r="H96" s="131">
        <v>1</v>
      </c>
      <c r="I96" s="49" t="s">
        <v>2444</v>
      </c>
      <c r="J96" s="52">
        <v>3</v>
      </c>
      <c r="K96" s="49"/>
      <c r="L96" s="49" t="s">
        <v>3973</v>
      </c>
      <c r="M96" s="58"/>
    </row>
    <row r="97" spans="1:13" ht="15">
      <c r="A97" s="52">
        <v>95</v>
      </c>
      <c r="B97" s="60" t="s">
        <v>815</v>
      </c>
      <c r="C97" s="126" t="s">
        <v>817</v>
      </c>
      <c r="D97" s="52">
        <v>2</v>
      </c>
      <c r="E97" s="52" t="s">
        <v>2443</v>
      </c>
      <c r="F97" s="126" t="s">
        <v>39</v>
      </c>
      <c r="G97" s="126" t="s">
        <v>1667</v>
      </c>
      <c r="H97" s="131">
        <v>2</v>
      </c>
      <c r="I97" s="49" t="s">
        <v>2444</v>
      </c>
      <c r="J97" s="52">
        <v>4</v>
      </c>
      <c r="K97" s="49"/>
      <c r="L97" s="49" t="s">
        <v>3974</v>
      </c>
      <c r="M97" s="58"/>
    </row>
    <row r="98" spans="1:13" ht="15">
      <c r="A98" s="52">
        <v>96</v>
      </c>
      <c r="B98" s="63" t="s">
        <v>1435</v>
      </c>
      <c r="C98" s="126" t="s">
        <v>512</v>
      </c>
      <c r="D98" s="55">
        <v>1</v>
      </c>
      <c r="E98" s="52" t="s">
        <v>2443</v>
      </c>
      <c r="F98" s="126" t="s">
        <v>39</v>
      </c>
      <c r="G98" s="126" t="s">
        <v>1667</v>
      </c>
      <c r="H98" s="131">
        <v>1</v>
      </c>
      <c r="I98" s="49" t="s">
        <v>2444</v>
      </c>
      <c r="J98" s="52">
        <v>1</v>
      </c>
      <c r="K98" s="49"/>
      <c r="L98" s="49" t="s">
        <v>3975</v>
      </c>
      <c r="M98" s="58"/>
    </row>
    <row r="99" spans="1:13" ht="15">
      <c r="A99" s="52">
        <v>97</v>
      </c>
      <c r="B99" s="53" t="s">
        <v>1244</v>
      </c>
      <c r="C99" s="126" t="s">
        <v>1220</v>
      </c>
      <c r="D99" s="55">
        <v>2</v>
      </c>
      <c r="E99" s="56" t="s">
        <v>2388</v>
      </c>
      <c r="F99" s="126" t="s">
        <v>39</v>
      </c>
      <c r="G99" s="126" t="s">
        <v>1667</v>
      </c>
      <c r="H99" s="131">
        <v>2</v>
      </c>
      <c r="I99" s="49" t="s">
        <v>2492</v>
      </c>
      <c r="J99" s="52">
        <v>2</v>
      </c>
      <c r="K99" s="49"/>
      <c r="L99" s="49" t="s">
        <v>3976</v>
      </c>
      <c r="M99" s="58"/>
    </row>
    <row r="100" spans="1:13" ht="15">
      <c r="A100" s="52">
        <v>98</v>
      </c>
      <c r="B100" s="53" t="s">
        <v>1050</v>
      </c>
      <c r="C100" s="126" t="s">
        <v>1051</v>
      </c>
      <c r="D100" s="55">
        <v>1</v>
      </c>
      <c r="E100" s="56" t="s">
        <v>2388</v>
      </c>
      <c r="F100" s="126" t="s">
        <v>39</v>
      </c>
      <c r="G100" s="126" t="s">
        <v>1667</v>
      </c>
      <c r="H100" s="131">
        <v>1</v>
      </c>
      <c r="I100" s="49" t="s">
        <v>2492</v>
      </c>
      <c r="J100" s="52"/>
      <c r="K100" s="49"/>
      <c r="L100" s="49" t="s">
        <v>3977</v>
      </c>
      <c r="M100" s="58"/>
    </row>
    <row r="101" spans="1:13" ht="15">
      <c r="A101" s="52">
        <v>99</v>
      </c>
      <c r="B101" s="53" t="s">
        <v>1052</v>
      </c>
      <c r="C101" s="126" t="s">
        <v>41</v>
      </c>
      <c r="D101" s="55">
        <v>2</v>
      </c>
      <c r="E101" s="56" t="s">
        <v>2388</v>
      </c>
      <c r="F101" s="126" t="s">
        <v>39</v>
      </c>
      <c r="G101" s="126" t="s">
        <v>1667</v>
      </c>
      <c r="H101" s="131">
        <v>2</v>
      </c>
      <c r="I101" s="49" t="s">
        <v>2492</v>
      </c>
      <c r="J101" s="52"/>
      <c r="K101" s="49"/>
      <c r="L101" s="49" t="s">
        <v>3978</v>
      </c>
      <c r="M101" s="58"/>
    </row>
    <row r="102" spans="1:13" ht="15">
      <c r="A102" s="52">
        <v>100</v>
      </c>
      <c r="B102" s="53" t="s">
        <v>1053</v>
      </c>
      <c r="C102" s="126" t="s">
        <v>1054</v>
      </c>
      <c r="D102" s="55">
        <v>1</v>
      </c>
      <c r="E102" s="56" t="s">
        <v>2388</v>
      </c>
      <c r="F102" s="126" t="s">
        <v>39</v>
      </c>
      <c r="G102" s="126" t="s">
        <v>1667</v>
      </c>
      <c r="H102" s="131">
        <v>1</v>
      </c>
      <c r="I102" s="49" t="s">
        <v>2492</v>
      </c>
      <c r="J102" s="52"/>
      <c r="K102" s="49"/>
      <c r="L102" s="49" t="s">
        <v>3979</v>
      </c>
      <c r="M102" s="58"/>
    </row>
    <row r="103" spans="1:13" ht="15">
      <c r="A103" s="52">
        <v>101</v>
      </c>
      <c r="B103" s="53" t="s">
        <v>1055</v>
      </c>
      <c r="C103" s="126" t="s">
        <v>1056</v>
      </c>
      <c r="D103" s="55">
        <v>1</v>
      </c>
      <c r="E103" s="56" t="s">
        <v>2388</v>
      </c>
      <c r="F103" s="126" t="s">
        <v>39</v>
      </c>
      <c r="G103" s="126" t="s">
        <v>1667</v>
      </c>
      <c r="H103" s="131">
        <v>1</v>
      </c>
      <c r="I103" s="49" t="s">
        <v>2492</v>
      </c>
      <c r="J103" s="52"/>
      <c r="K103" s="49"/>
      <c r="L103" s="49" t="s">
        <v>3980</v>
      </c>
      <c r="M103" s="58"/>
    </row>
    <row r="104" spans="1:13" ht="15">
      <c r="A104" s="52">
        <v>102</v>
      </c>
      <c r="B104" s="53" t="s">
        <v>1143</v>
      </c>
      <c r="C104" s="126" t="s">
        <v>1144</v>
      </c>
      <c r="D104" s="55">
        <v>4</v>
      </c>
      <c r="E104" s="56" t="s">
        <v>2388</v>
      </c>
      <c r="F104" s="126" t="s">
        <v>39</v>
      </c>
      <c r="G104" s="126" t="s">
        <v>1667</v>
      </c>
      <c r="H104" s="131">
        <v>4</v>
      </c>
      <c r="I104" s="49" t="s">
        <v>2492</v>
      </c>
      <c r="J104" s="52"/>
      <c r="K104" s="49"/>
      <c r="L104" s="49" t="s">
        <v>3981</v>
      </c>
      <c r="M104" s="58"/>
    </row>
    <row r="105" spans="1:13" ht="15">
      <c r="A105" s="52">
        <v>103</v>
      </c>
      <c r="B105" s="53" t="s">
        <v>1249</v>
      </c>
      <c r="C105" s="126" t="s">
        <v>1250</v>
      </c>
      <c r="D105" s="55">
        <v>1</v>
      </c>
      <c r="E105" s="56" t="s">
        <v>2388</v>
      </c>
      <c r="F105" s="126" t="s">
        <v>39</v>
      </c>
      <c r="G105" s="126" t="s">
        <v>1667</v>
      </c>
      <c r="H105" s="131">
        <v>1</v>
      </c>
      <c r="I105" s="49" t="s">
        <v>2492</v>
      </c>
      <c r="J105" s="52"/>
      <c r="K105" s="49"/>
      <c r="L105" s="49" t="s">
        <v>3982</v>
      </c>
      <c r="M105" s="58"/>
    </row>
    <row r="106" spans="1:13" ht="15">
      <c r="A106" s="52">
        <v>104</v>
      </c>
      <c r="B106" s="53" t="s">
        <v>1251</v>
      </c>
      <c r="C106" s="126" t="s">
        <v>1250</v>
      </c>
      <c r="D106" s="55">
        <v>1</v>
      </c>
      <c r="E106" s="56" t="s">
        <v>2388</v>
      </c>
      <c r="F106" s="126" t="s">
        <v>39</v>
      </c>
      <c r="G106" s="126" t="s">
        <v>1667</v>
      </c>
      <c r="H106" s="131">
        <v>1</v>
      </c>
      <c r="I106" s="49" t="s">
        <v>2492</v>
      </c>
      <c r="J106" s="52"/>
      <c r="K106" s="49"/>
      <c r="L106" s="49" t="s">
        <v>3983</v>
      </c>
      <c r="M106" s="58"/>
    </row>
    <row r="107" spans="1:13" ht="15">
      <c r="A107" s="52">
        <v>105</v>
      </c>
      <c r="B107" s="53" t="s">
        <v>1269</v>
      </c>
      <c r="C107" s="126" t="s">
        <v>558</v>
      </c>
      <c r="D107" s="55">
        <v>2</v>
      </c>
      <c r="E107" s="56" t="s">
        <v>2388</v>
      </c>
      <c r="F107" s="126" t="s">
        <v>39</v>
      </c>
      <c r="G107" s="126" t="s">
        <v>1667</v>
      </c>
      <c r="H107" s="131">
        <v>2</v>
      </c>
      <c r="I107" s="49" t="s">
        <v>2492</v>
      </c>
      <c r="J107" s="52"/>
      <c r="K107" s="61"/>
      <c r="L107" s="61" t="s">
        <v>3984</v>
      </c>
      <c r="M107" s="58"/>
    </row>
    <row r="108" spans="1:13" ht="15">
      <c r="A108" s="52">
        <v>106</v>
      </c>
      <c r="B108" s="53" t="s">
        <v>1118</v>
      </c>
      <c r="C108" s="126" t="s">
        <v>41</v>
      </c>
      <c r="D108" s="55">
        <v>1</v>
      </c>
      <c r="E108" s="56" t="s">
        <v>2388</v>
      </c>
      <c r="F108" s="126" t="s">
        <v>39</v>
      </c>
      <c r="G108" s="126" t="s">
        <v>1667</v>
      </c>
      <c r="H108" s="131">
        <v>1</v>
      </c>
      <c r="I108" s="49" t="s">
        <v>3985</v>
      </c>
      <c r="J108" s="52"/>
      <c r="K108" s="49"/>
      <c r="L108" s="49" t="s">
        <v>3986</v>
      </c>
      <c r="M108" s="58"/>
    </row>
    <row r="109" spans="1:13" ht="15">
      <c r="A109" s="52">
        <v>107</v>
      </c>
      <c r="B109" s="59" t="s">
        <v>1119</v>
      </c>
      <c r="C109" s="126" t="s">
        <v>41</v>
      </c>
      <c r="D109" s="55">
        <v>1</v>
      </c>
      <c r="E109" s="56" t="s">
        <v>2388</v>
      </c>
      <c r="F109" s="126" t="s">
        <v>39</v>
      </c>
      <c r="G109" s="126" t="s">
        <v>1667</v>
      </c>
      <c r="H109" s="131">
        <v>1</v>
      </c>
      <c r="I109" s="49" t="s">
        <v>3985</v>
      </c>
      <c r="J109" s="52"/>
      <c r="K109" s="49"/>
      <c r="L109" s="49" t="s">
        <v>3987</v>
      </c>
      <c r="M109" s="58">
        <v>45533</v>
      </c>
    </row>
    <row r="110" spans="1:13" ht="15">
      <c r="A110" s="52">
        <v>108</v>
      </c>
      <c r="B110" s="53" t="s">
        <v>1211</v>
      </c>
      <c r="C110" s="126" t="s">
        <v>1144</v>
      </c>
      <c r="D110" s="55">
        <v>4</v>
      </c>
      <c r="E110" s="56" t="s">
        <v>2388</v>
      </c>
      <c r="F110" s="126" t="s">
        <v>39</v>
      </c>
      <c r="G110" s="126" t="s">
        <v>1667</v>
      </c>
      <c r="H110" s="131">
        <v>4</v>
      </c>
      <c r="I110" s="49" t="s">
        <v>3985</v>
      </c>
      <c r="J110" s="52"/>
      <c r="K110" s="49"/>
      <c r="L110" s="49" t="s">
        <v>3988</v>
      </c>
      <c r="M110" s="58"/>
    </row>
    <row r="111" spans="1:13" ht="15">
      <c r="A111" s="52">
        <v>109</v>
      </c>
      <c r="B111" s="59" t="s">
        <v>1212</v>
      </c>
      <c r="C111" s="126" t="s">
        <v>1213</v>
      </c>
      <c r="D111" s="55">
        <v>2</v>
      </c>
      <c r="E111" s="56" t="s">
        <v>2388</v>
      </c>
      <c r="F111" s="126" t="s">
        <v>39</v>
      </c>
      <c r="G111" s="126" t="s">
        <v>1667</v>
      </c>
      <c r="H111" s="131">
        <v>2</v>
      </c>
      <c r="I111" s="49" t="s">
        <v>3985</v>
      </c>
      <c r="J111" s="52"/>
      <c r="K111" s="49"/>
      <c r="L111" s="49" t="s">
        <v>3989</v>
      </c>
      <c r="M111" s="58"/>
    </row>
    <row r="112" spans="1:13" ht="15">
      <c r="A112" s="52">
        <v>110</v>
      </c>
      <c r="B112" s="53" t="s">
        <v>1219</v>
      </c>
      <c r="C112" s="126" t="s">
        <v>1220</v>
      </c>
      <c r="D112" s="55">
        <v>2</v>
      </c>
      <c r="E112" s="56" t="s">
        <v>2388</v>
      </c>
      <c r="F112" s="126" t="s">
        <v>39</v>
      </c>
      <c r="G112" s="126" t="s">
        <v>1667</v>
      </c>
      <c r="H112" s="131">
        <v>2</v>
      </c>
      <c r="I112" s="49" t="s">
        <v>3985</v>
      </c>
      <c r="J112" s="52"/>
      <c r="K112" s="49"/>
      <c r="L112" s="49" t="s">
        <v>3990</v>
      </c>
      <c r="M112" s="58"/>
    </row>
    <row r="113" spans="1:13" ht="15">
      <c r="A113" s="52">
        <v>111</v>
      </c>
      <c r="B113" s="53" t="s">
        <v>1233</v>
      </c>
      <c r="C113" s="126" t="s">
        <v>1234</v>
      </c>
      <c r="D113" s="55">
        <v>2</v>
      </c>
      <c r="E113" s="56" t="s">
        <v>2388</v>
      </c>
      <c r="F113" s="126" t="s">
        <v>39</v>
      </c>
      <c r="G113" s="126" t="s">
        <v>1667</v>
      </c>
      <c r="H113" s="131">
        <v>2</v>
      </c>
      <c r="I113" s="49" t="s">
        <v>3985</v>
      </c>
      <c r="J113" s="52"/>
      <c r="K113" s="49"/>
      <c r="L113" s="49" t="s">
        <v>3991</v>
      </c>
      <c r="M113" s="58"/>
    </row>
    <row r="114" spans="1:13" ht="15">
      <c r="A114" s="52">
        <v>112</v>
      </c>
      <c r="B114" s="53" t="s">
        <v>1256</v>
      </c>
      <c r="C114" s="126" t="s">
        <v>1257</v>
      </c>
      <c r="D114" s="55">
        <v>2</v>
      </c>
      <c r="E114" s="56" t="s">
        <v>2388</v>
      </c>
      <c r="F114" s="126" t="s">
        <v>39</v>
      </c>
      <c r="G114" s="126" t="s">
        <v>1667</v>
      </c>
      <c r="H114" s="131">
        <v>2</v>
      </c>
      <c r="I114" s="49" t="s">
        <v>3985</v>
      </c>
      <c r="J114" s="52"/>
      <c r="K114" s="49"/>
      <c r="L114" s="49" t="s">
        <v>3992</v>
      </c>
      <c r="M114" s="58"/>
    </row>
    <row r="115" spans="1:13" ht="15">
      <c r="A115" s="52">
        <v>113</v>
      </c>
      <c r="B115" s="64" t="s">
        <v>1258</v>
      </c>
      <c r="C115" s="126" t="s">
        <v>1248</v>
      </c>
      <c r="D115" s="55">
        <v>2</v>
      </c>
      <c r="E115" s="56" t="s">
        <v>2388</v>
      </c>
      <c r="F115" s="126" t="s">
        <v>39</v>
      </c>
      <c r="G115" s="126" t="s">
        <v>1667</v>
      </c>
      <c r="H115" s="131">
        <v>2</v>
      </c>
      <c r="I115" s="49" t="s">
        <v>3985</v>
      </c>
      <c r="J115" s="52"/>
      <c r="K115" s="49"/>
      <c r="L115" s="49" t="s">
        <v>3993</v>
      </c>
      <c r="M115" s="58"/>
    </row>
    <row r="116" spans="1:13" ht="15">
      <c r="A116" s="52">
        <v>114</v>
      </c>
      <c r="B116" s="53" t="s">
        <v>1385</v>
      </c>
      <c r="C116" s="126" t="s">
        <v>1387</v>
      </c>
      <c r="D116" s="55">
        <v>1</v>
      </c>
      <c r="E116" s="56" t="s">
        <v>2388</v>
      </c>
      <c r="F116" s="126" t="s">
        <v>39</v>
      </c>
      <c r="G116" s="126" t="s">
        <v>1667</v>
      </c>
      <c r="H116" s="131">
        <v>1</v>
      </c>
      <c r="I116" s="49" t="s">
        <v>3985</v>
      </c>
      <c r="J116" s="52"/>
      <c r="K116" s="49"/>
      <c r="L116" s="49" t="s">
        <v>3994</v>
      </c>
      <c r="M116" s="58"/>
    </row>
    <row r="117" spans="1:13" ht="15">
      <c r="A117" s="52">
        <v>115</v>
      </c>
      <c r="B117" s="60" t="s">
        <v>2008</v>
      </c>
      <c r="C117" s="126" t="s">
        <v>1911</v>
      </c>
      <c r="D117" s="52">
        <v>1</v>
      </c>
      <c r="E117" s="56" t="s">
        <v>2391</v>
      </c>
      <c r="F117" s="126" t="s">
        <v>39</v>
      </c>
      <c r="G117" s="126" t="s">
        <v>1667</v>
      </c>
      <c r="H117" s="131">
        <v>1</v>
      </c>
      <c r="I117" s="49" t="s">
        <v>3995</v>
      </c>
      <c r="J117" s="52"/>
      <c r="K117" s="49"/>
      <c r="L117" s="49" t="s">
        <v>3996</v>
      </c>
      <c r="M117" s="58"/>
    </row>
    <row r="118" spans="1:13" ht="15">
      <c r="A118" s="52">
        <v>116</v>
      </c>
      <c r="B118" s="53" t="s">
        <v>872</v>
      </c>
      <c r="C118" s="126" t="s">
        <v>874</v>
      </c>
      <c r="D118" s="55">
        <v>4</v>
      </c>
      <c r="E118" s="56" t="s">
        <v>2391</v>
      </c>
      <c r="F118" s="126" t="s">
        <v>39</v>
      </c>
      <c r="G118" s="126" t="s">
        <v>1667</v>
      </c>
      <c r="H118" s="131">
        <v>2</v>
      </c>
      <c r="I118" s="49" t="s">
        <v>2511</v>
      </c>
      <c r="J118" s="52">
        <v>2</v>
      </c>
      <c r="K118" s="49"/>
      <c r="L118" s="49" t="s">
        <v>3997</v>
      </c>
      <c r="M118" s="58"/>
    </row>
    <row r="119" spans="1:13" ht="15">
      <c r="A119" s="52">
        <v>117</v>
      </c>
      <c r="B119" s="59" t="s">
        <v>971</v>
      </c>
      <c r="C119" s="126" t="s">
        <v>972</v>
      </c>
      <c r="D119" s="55">
        <v>1</v>
      </c>
      <c r="E119" s="56" t="s">
        <v>2391</v>
      </c>
      <c r="F119" s="126" t="s">
        <v>39</v>
      </c>
      <c r="G119" s="126" t="s">
        <v>1667</v>
      </c>
      <c r="H119" s="131">
        <v>1</v>
      </c>
      <c r="I119" s="49" t="s">
        <v>2511</v>
      </c>
      <c r="J119" s="52">
        <v>2</v>
      </c>
      <c r="K119" s="49"/>
      <c r="L119" s="49" t="s">
        <v>3998</v>
      </c>
      <c r="M119" s="58"/>
    </row>
    <row r="120" spans="1:13" ht="15">
      <c r="A120" s="52">
        <v>118</v>
      </c>
      <c r="B120" s="146" t="s">
        <v>1012</v>
      </c>
      <c r="C120" s="126" t="s">
        <v>232</v>
      </c>
      <c r="D120" s="55">
        <v>1</v>
      </c>
      <c r="E120" s="56" t="s">
        <v>2391</v>
      </c>
      <c r="F120" s="126" t="s">
        <v>39</v>
      </c>
      <c r="G120" s="126" t="s">
        <v>1667</v>
      </c>
      <c r="H120" s="131">
        <v>1</v>
      </c>
      <c r="I120" s="49" t="s">
        <v>2511</v>
      </c>
      <c r="J120" s="52">
        <v>3</v>
      </c>
      <c r="K120" s="49"/>
      <c r="L120" s="49" t="s">
        <v>3999</v>
      </c>
      <c r="M120" s="58"/>
    </row>
    <row r="121" spans="1:13" ht="15">
      <c r="A121" s="52">
        <v>119</v>
      </c>
      <c r="B121" s="53" t="s">
        <v>2037</v>
      </c>
      <c r="C121" s="126" t="s">
        <v>2039</v>
      </c>
      <c r="D121" s="55">
        <v>1</v>
      </c>
      <c r="E121" s="56" t="s">
        <v>2391</v>
      </c>
      <c r="F121" s="126" t="s">
        <v>39</v>
      </c>
      <c r="G121" s="126" t="s">
        <v>1667</v>
      </c>
      <c r="H121" s="131">
        <v>1</v>
      </c>
      <c r="I121" s="49" t="s">
        <v>2511</v>
      </c>
      <c r="J121" s="52"/>
      <c r="K121" s="49"/>
      <c r="L121" s="49" t="s">
        <v>4000</v>
      </c>
      <c r="M121" s="58"/>
    </row>
    <row r="122" spans="1:13" ht="15">
      <c r="A122" s="52">
        <v>120</v>
      </c>
      <c r="B122" s="53" t="s">
        <v>985</v>
      </c>
      <c r="C122" s="126" t="s">
        <v>987</v>
      </c>
      <c r="D122" s="55">
        <v>1</v>
      </c>
      <c r="E122" s="56" t="s">
        <v>2391</v>
      </c>
      <c r="F122" s="126" t="s">
        <v>39</v>
      </c>
      <c r="G122" s="126" t="s">
        <v>1667</v>
      </c>
      <c r="H122" s="131">
        <v>1</v>
      </c>
      <c r="I122" s="49" t="s">
        <v>2449</v>
      </c>
      <c r="J122" s="52"/>
      <c r="K122" s="49" t="s">
        <v>3365</v>
      </c>
      <c r="L122" s="49" t="s">
        <v>4001</v>
      </c>
      <c r="M122" s="58"/>
    </row>
    <row r="123" spans="1:13" ht="15">
      <c r="A123" s="52">
        <v>121</v>
      </c>
      <c r="B123" s="60" t="s">
        <v>2088</v>
      </c>
      <c r="C123" s="126" t="s">
        <v>1896</v>
      </c>
      <c r="D123" s="52">
        <v>1</v>
      </c>
      <c r="E123" s="56" t="s">
        <v>2391</v>
      </c>
      <c r="F123" s="126" t="s">
        <v>39</v>
      </c>
      <c r="G123" s="126" t="s">
        <v>1667</v>
      </c>
      <c r="H123" s="131">
        <v>1</v>
      </c>
      <c r="I123" s="49" t="s">
        <v>2449</v>
      </c>
      <c r="J123" s="52"/>
      <c r="K123" s="49" t="s">
        <v>3365</v>
      </c>
      <c r="L123" s="49" t="s">
        <v>4002</v>
      </c>
      <c r="M123" s="58"/>
    </row>
    <row r="124" spans="1:13" ht="15">
      <c r="A124" s="52">
        <v>122</v>
      </c>
      <c r="B124" s="59" t="s">
        <v>2089</v>
      </c>
      <c r="C124" s="126" t="s">
        <v>1896</v>
      </c>
      <c r="D124" s="55">
        <v>1</v>
      </c>
      <c r="E124" s="56" t="s">
        <v>2391</v>
      </c>
      <c r="F124" s="126" t="s">
        <v>39</v>
      </c>
      <c r="G124" s="126" t="s">
        <v>1667</v>
      </c>
      <c r="H124" s="131">
        <v>1</v>
      </c>
      <c r="I124" s="49" t="s">
        <v>2449</v>
      </c>
      <c r="J124" s="52"/>
      <c r="K124" s="49" t="s">
        <v>3365</v>
      </c>
      <c r="L124" s="49" t="s">
        <v>4003</v>
      </c>
      <c r="M124" s="58"/>
    </row>
    <row r="125" spans="1:13" ht="15">
      <c r="A125" s="52">
        <v>123</v>
      </c>
      <c r="B125" s="60" t="s">
        <v>1347</v>
      </c>
      <c r="C125" s="126" t="s">
        <v>1346</v>
      </c>
      <c r="D125" s="52">
        <v>1</v>
      </c>
      <c r="E125" s="56" t="s">
        <v>3468</v>
      </c>
      <c r="F125" s="126" t="s">
        <v>39</v>
      </c>
      <c r="G125" s="126" t="s">
        <v>1667</v>
      </c>
      <c r="H125" s="131">
        <v>1</v>
      </c>
      <c r="I125" s="49" t="s">
        <v>2447</v>
      </c>
      <c r="J125" s="52"/>
      <c r="K125" s="49"/>
      <c r="L125" s="49" t="s">
        <v>4004</v>
      </c>
      <c r="M125" s="58"/>
    </row>
    <row r="126" spans="1:13" ht="15">
      <c r="A126" s="52">
        <v>124</v>
      </c>
      <c r="B126" s="60" t="s">
        <v>2090</v>
      </c>
      <c r="C126" s="126" t="s">
        <v>1896</v>
      </c>
      <c r="D126" s="52">
        <v>1</v>
      </c>
      <c r="E126" s="56" t="s">
        <v>2391</v>
      </c>
      <c r="F126" s="126" t="s">
        <v>39</v>
      </c>
      <c r="G126" s="126" t="s">
        <v>1667</v>
      </c>
      <c r="H126" s="131">
        <v>1</v>
      </c>
      <c r="I126" s="49" t="s">
        <v>2449</v>
      </c>
      <c r="J126" s="52"/>
      <c r="K126" s="49" t="s">
        <v>3365</v>
      </c>
      <c r="L126" s="49" t="s">
        <v>4005</v>
      </c>
      <c r="M126" s="58"/>
    </row>
    <row r="127" spans="1:13" ht="15">
      <c r="A127" s="52">
        <v>125</v>
      </c>
      <c r="B127" s="53" t="s">
        <v>3471</v>
      </c>
      <c r="C127" s="126" t="s">
        <v>775</v>
      </c>
      <c r="D127" s="55">
        <v>1</v>
      </c>
      <c r="E127" s="56" t="s">
        <v>2443</v>
      </c>
      <c r="F127" s="126" t="s">
        <v>39</v>
      </c>
      <c r="G127" s="126" t="s">
        <v>1667</v>
      </c>
      <c r="H127" s="131">
        <v>1</v>
      </c>
      <c r="I127" s="49" t="s">
        <v>2444</v>
      </c>
      <c r="J127" s="52"/>
      <c r="K127" s="49"/>
      <c r="L127" s="49" t="s">
        <v>4006</v>
      </c>
      <c r="M127" s="58"/>
    </row>
    <row r="128" spans="1:13" ht="15">
      <c r="A128" s="52">
        <v>126</v>
      </c>
      <c r="B128" s="53" t="s">
        <v>813</v>
      </c>
      <c r="C128" s="126" t="s">
        <v>814</v>
      </c>
      <c r="D128" s="55">
        <v>1</v>
      </c>
      <c r="E128" s="56" t="s">
        <v>2385</v>
      </c>
      <c r="F128" s="126" t="s">
        <v>12</v>
      </c>
      <c r="G128" s="126" t="s">
        <v>1667</v>
      </c>
      <c r="H128" s="131">
        <v>1</v>
      </c>
      <c r="I128" s="49" t="s">
        <v>2386</v>
      </c>
      <c r="J128" s="52">
        <v>2</v>
      </c>
      <c r="K128" s="49"/>
      <c r="L128" s="49" t="s">
        <v>4007</v>
      </c>
      <c r="M128" s="58"/>
    </row>
    <row r="129" spans="1:13" ht="15">
      <c r="A129" s="52">
        <v>127</v>
      </c>
      <c r="B129" s="53" t="s">
        <v>831</v>
      </c>
      <c r="C129" s="126" t="s">
        <v>833</v>
      </c>
      <c r="D129" s="55">
        <v>1</v>
      </c>
      <c r="E129" s="56" t="s">
        <v>2385</v>
      </c>
      <c r="F129" s="126" t="s">
        <v>12</v>
      </c>
      <c r="G129" s="126" t="s">
        <v>1667</v>
      </c>
      <c r="H129" s="131">
        <v>1</v>
      </c>
      <c r="I129" s="49" t="s">
        <v>2386</v>
      </c>
      <c r="J129" s="52">
        <v>2</v>
      </c>
      <c r="K129" s="49"/>
      <c r="L129" s="49" t="s">
        <v>4008</v>
      </c>
      <c r="M129" s="58"/>
    </row>
    <row r="130" spans="1:13" ht="15">
      <c r="A130" s="52">
        <v>128</v>
      </c>
      <c r="B130" s="60" t="s">
        <v>896</v>
      </c>
      <c r="C130" s="126" t="s">
        <v>898</v>
      </c>
      <c r="D130" s="52">
        <v>1</v>
      </c>
      <c r="E130" s="56" t="s">
        <v>2385</v>
      </c>
      <c r="F130" s="126" t="s">
        <v>12</v>
      </c>
      <c r="G130" s="126" t="s">
        <v>1667</v>
      </c>
      <c r="H130" s="131">
        <v>1</v>
      </c>
      <c r="I130" s="49" t="s">
        <v>2386</v>
      </c>
      <c r="J130" s="52">
        <v>2</v>
      </c>
      <c r="K130" s="49"/>
      <c r="L130" s="49" t="s">
        <v>4009</v>
      </c>
      <c r="M130" s="58"/>
    </row>
    <row r="131" spans="1:13" ht="15">
      <c r="A131" s="52">
        <v>129</v>
      </c>
      <c r="B131" s="53" t="s">
        <v>907</v>
      </c>
      <c r="C131" s="126" t="s">
        <v>41</v>
      </c>
      <c r="D131" s="55">
        <v>1</v>
      </c>
      <c r="E131" s="56" t="s">
        <v>2385</v>
      </c>
      <c r="F131" s="126" t="s">
        <v>12</v>
      </c>
      <c r="G131" s="126" t="s">
        <v>1667</v>
      </c>
      <c r="H131" s="131">
        <v>1</v>
      </c>
      <c r="I131" s="49" t="s">
        <v>2386</v>
      </c>
      <c r="J131" s="52">
        <v>2</v>
      </c>
      <c r="K131" s="49"/>
      <c r="L131" s="49" t="s">
        <v>4010</v>
      </c>
      <c r="M131" s="58"/>
    </row>
    <row r="132" spans="1:13" ht="15">
      <c r="A132" s="52">
        <v>130</v>
      </c>
      <c r="B132" s="53" t="s">
        <v>1065</v>
      </c>
      <c r="C132" s="126" t="s">
        <v>1066</v>
      </c>
      <c r="D132" s="55">
        <v>2</v>
      </c>
      <c r="E132" s="56" t="s">
        <v>2417</v>
      </c>
      <c r="F132" s="126" t="s">
        <v>12</v>
      </c>
      <c r="G132" s="126" t="s">
        <v>1667</v>
      </c>
      <c r="H132" s="131">
        <v>2</v>
      </c>
      <c r="I132" s="49" t="s">
        <v>2418</v>
      </c>
      <c r="J132" s="52"/>
      <c r="K132" s="49"/>
      <c r="L132" s="49" t="s">
        <v>4011</v>
      </c>
      <c r="M132" s="58"/>
    </row>
    <row r="133" spans="1:13" ht="15">
      <c r="A133" s="52">
        <v>131</v>
      </c>
      <c r="B133" s="53" t="s">
        <v>1261</v>
      </c>
      <c r="C133" s="126" t="s">
        <v>1262</v>
      </c>
      <c r="D133" s="55">
        <v>1</v>
      </c>
      <c r="E133" s="56" t="s">
        <v>2394</v>
      </c>
      <c r="F133" s="126" t="s">
        <v>12</v>
      </c>
      <c r="G133" s="126" t="s">
        <v>1667</v>
      </c>
      <c r="H133" s="131">
        <v>1</v>
      </c>
      <c r="I133" s="49" t="s">
        <v>2425</v>
      </c>
      <c r="J133" s="52">
        <v>1</v>
      </c>
      <c r="K133" s="49"/>
      <c r="L133" s="49" t="s">
        <v>4012</v>
      </c>
      <c r="M133" s="58"/>
    </row>
    <row r="134" spans="1:13" ht="15">
      <c r="A134" s="52">
        <v>132</v>
      </c>
      <c r="B134" s="53" t="s">
        <v>891</v>
      </c>
      <c r="C134" s="126" t="s">
        <v>893</v>
      </c>
      <c r="D134" s="55">
        <v>1</v>
      </c>
      <c r="E134" s="56" t="s">
        <v>2394</v>
      </c>
      <c r="F134" s="126" t="s">
        <v>12</v>
      </c>
      <c r="G134" s="126" t="s">
        <v>1667</v>
      </c>
      <c r="H134" s="131">
        <v>1</v>
      </c>
      <c r="I134" s="49" t="s">
        <v>2425</v>
      </c>
      <c r="J134" s="52">
        <v>3</v>
      </c>
      <c r="K134" s="49"/>
      <c r="L134" s="49" t="s">
        <v>4013</v>
      </c>
      <c r="M134" s="58"/>
    </row>
    <row r="135" spans="1:13" ht="15">
      <c r="A135" s="52">
        <v>133</v>
      </c>
      <c r="B135" s="60" t="s">
        <v>1002</v>
      </c>
      <c r="C135" s="126" t="s">
        <v>745</v>
      </c>
      <c r="D135" s="52">
        <v>2</v>
      </c>
      <c r="E135" s="56" t="s">
        <v>2437</v>
      </c>
      <c r="F135" s="126" t="s">
        <v>12</v>
      </c>
      <c r="G135" s="126" t="s">
        <v>1667</v>
      </c>
      <c r="H135" s="131">
        <v>2</v>
      </c>
      <c r="I135" s="49" t="s">
        <v>2438</v>
      </c>
      <c r="J135" s="52">
        <v>1</v>
      </c>
      <c r="K135" s="49"/>
      <c r="L135" s="49" t="s">
        <v>4014</v>
      </c>
      <c r="M135" s="58"/>
    </row>
    <row r="136" spans="1:13" ht="15">
      <c r="A136" s="52">
        <v>134</v>
      </c>
      <c r="B136" s="53" t="s">
        <v>1137</v>
      </c>
      <c r="C136" s="126" t="s">
        <v>1139</v>
      </c>
      <c r="D136" s="55">
        <v>1</v>
      </c>
      <c r="E136" s="56" t="s">
        <v>2437</v>
      </c>
      <c r="F136" s="126" t="s">
        <v>12</v>
      </c>
      <c r="G136" s="126" t="s">
        <v>1667</v>
      </c>
      <c r="H136" s="131">
        <v>1</v>
      </c>
      <c r="I136" s="49" t="s">
        <v>2438</v>
      </c>
      <c r="J136" s="52">
        <v>2</v>
      </c>
      <c r="K136" s="49"/>
      <c r="L136" s="49" t="s">
        <v>4015</v>
      </c>
      <c r="M136" s="58"/>
    </row>
    <row r="137" spans="1:13" ht="15">
      <c r="A137" s="52">
        <v>135</v>
      </c>
      <c r="B137" s="53" t="s">
        <v>1159</v>
      </c>
      <c r="C137" s="126" t="s">
        <v>21</v>
      </c>
      <c r="D137" s="55">
        <v>1</v>
      </c>
      <c r="E137" s="56" t="s">
        <v>2437</v>
      </c>
      <c r="F137" s="126" t="s">
        <v>12</v>
      </c>
      <c r="G137" s="126" t="s">
        <v>1667</v>
      </c>
      <c r="H137" s="131">
        <v>1</v>
      </c>
      <c r="I137" s="49" t="s">
        <v>2438</v>
      </c>
      <c r="J137" s="52">
        <v>2</v>
      </c>
      <c r="K137" s="49"/>
      <c r="L137" s="49" t="s">
        <v>4016</v>
      </c>
      <c r="M137" s="58"/>
    </row>
    <row r="138" spans="1:13" ht="15">
      <c r="A138" s="52">
        <v>136</v>
      </c>
      <c r="B138" s="53" t="s">
        <v>894</v>
      </c>
      <c r="C138" s="126" t="s">
        <v>895</v>
      </c>
      <c r="D138" s="55">
        <v>1</v>
      </c>
      <c r="E138" s="56" t="s">
        <v>2437</v>
      </c>
      <c r="F138" s="126" t="s">
        <v>12</v>
      </c>
      <c r="G138" s="126" t="s">
        <v>1667</v>
      </c>
      <c r="H138" s="131">
        <v>1</v>
      </c>
      <c r="I138" s="49" t="s">
        <v>2438</v>
      </c>
      <c r="J138" s="52">
        <v>3</v>
      </c>
      <c r="K138" s="49"/>
      <c r="L138" s="49" t="s">
        <v>4017</v>
      </c>
      <c r="M138" s="58"/>
    </row>
    <row r="139" spans="1:13" ht="15">
      <c r="A139" s="52">
        <v>137</v>
      </c>
      <c r="B139" s="60" t="s">
        <v>997</v>
      </c>
      <c r="C139" s="126" t="s">
        <v>998</v>
      </c>
      <c r="D139" s="52">
        <v>1</v>
      </c>
      <c r="E139" s="56" t="s">
        <v>2437</v>
      </c>
      <c r="F139" s="126" t="s">
        <v>12</v>
      </c>
      <c r="G139" s="126" t="s">
        <v>1667</v>
      </c>
      <c r="H139" s="131">
        <v>1</v>
      </c>
      <c r="I139" s="49" t="s">
        <v>2438</v>
      </c>
      <c r="J139" s="52">
        <v>3</v>
      </c>
      <c r="K139" s="49"/>
      <c r="L139" s="49" t="s">
        <v>4018</v>
      </c>
      <c r="M139" s="58"/>
    </row>
    <row r="140" spans="1:13" ht="15">
      <c r="A140" s="52">
        <v>138</v>
      </c>
      <c r="B140" s="53" t="s">
        <v>8</v>
      </c>
      <c r="C140" s="126" t="s">
        <v>11</v>
      </c>
      <c r="D140" s="55">
        <v>1</v>
      </c>
      <c r="E140" s="56" t="s">
        <v>2443</v>
      </c>
      <c r="F140" s="126" t="s">
        <v>12</v>
      </c>
      <c r="G140" s="126" t="s">
        <v>1667</v>
      </c>
      <c r="H140" s="131">
        <v>1</v>
      </c>
      <c r="I140" s="49" t="s">
        <v>2444</v>
      </c>
      <c r="J140" s="52">
        <v>3</v>
      </c>
      <c r="K140" s="49"/>
      <c r="L140" s="49" t="s">
        <v>4019</v>
      </c>
      <c r="M140" s="58"/>
    </row>
    <row r="141" spans="1:13" ht="15">
      <c r="A141" s="52">
        <v>139</v>
      </c>
      <c r="B141" s="59" t="s">
        <v>773</v>
      </c>
      <c r="C141" s="126" t="s">
        <v>775</v>
      </c>
      <c r="D141" s="55">
        <v>1</v>
      </c>
      <c r="E141" s="56" t="s">
        <v>2443</v>
      </c>
      <c r="F141" s="126" t="s">
        <v>12</v>
      </c>
      <c r="G141" s="126" t="s">
        <v>1667</v>
      </c>
      <c r="H141" s="131">
        <v>1</v>
      </c>
      <c r="I141" s="49" t="s">
        <v>2444</v>
      </c>
      <c r="J141" s="52">
        <v>3</v>
      </c>
      <c r="K141" s="49"/>
      <c r="L141" s="49" t="s">
        <v>4020</v>
      </c>
      <c r="M141" s="58"/>
    </row>
    <row r="142" spans="1:13" ht="15">
      <c r="A142" s="52">
        <v>140</v>
      </c>
      <c r="B142" s="60" t="s">
        <v>924</v>
      </c>
      <c r="C142" s="126" t="s">
        <v>925</v>
      </c>
      <c r="D142" s="52">
        <v>1</v>
      </c>
      <c r="E142" s="56" t="s">
        <v>2443</v>
      </c>
      <c r="F142" s="126" t="s">
        <v>12</v>
      </c>
      <c r="G142" s="126" t="s">
        <v>1667</v>
      </c>
      <c r="H142" s="131">
        <v>1</v>
      </c>
      <c r="I142" s="49" t="s">
        <v>2444</v>
      </c>
      <c r="J142" s="52">
        <v>3</v>
      </c>
      <c r="K142" s="49"/>
      <c r="L142" s="49" t="s">
        <v>4021</v>
      </c>
      <c r="M142" s="58"/>
    </row>
    <row r="143" spans="1:13" ht="15">
      <c r="A143" s="52">
        <v>141</v>
      </c>
      <c r="B143" s="60" t="s">
        <v>1299</v>
      </c>
      <c r="C143" s="126" t="s">
        <v>1301</v>
      </c>
      <c r="D143" s="52">
        <v>2</v>
      </c>
      <c r="E143" s="56" t="s">
        <v>2443</v>
      </c>
      <c r="F143" s="126" t="s">
        <v>12</v>
      </c>
      <c r="G143" s="126" t="s">
        <v>1667</v>
      </c>
      <c r="H143" s="131">
        <v>2</v>
      </c>
      <c r="I143" s="49" t="s">
        <v>3475</v>
      </c>
      <c r="J143" s="52">
        <v>1</v>
      </c>
      <c r="K143" s="49"/>
      <c r="L143" s="49" t="s">
        <v>4022</v>
      </c>
      <c r="M143" s="58"/>
    </row>
    <row r="144" spans="1:13" ht="15">
      <c r="A144" s="52">
        <v>142</v>
      </c>
      <c r="B144" s="60" t="s">
        <v>992</v>
      </c>
      <c r="C144" s="126" t="s">
        <v>24</v>
      </c>
      <c r="D144" s="52">
        <v>1</v>
      </c>
      <c r="E144" s="56" t="s">
        <v>2443</v>
      </c>
      <c r="F144" s="126" t="s">
        <v>12</v>
      </c>
      <c r="G144" s="126" t="s">
        <v>1667</v>
      </c>
      <c r="H144" s="131">
        <v>1</v>
      </c>
      <c r="I144" s="49" t="s">
        <v>2548</v>
      </c>
      <c r="J144" s="52">
        <v>3</v>
      </c>
      <c r="K144" s="49"/>
      <c r="L144" s="49" t="s">
        <v>4023</v>
      </c>
      <c r="M144" s="58"/>
    </row>
    <row r="145" spans="1:13" ht="15">
      <c r="A145" s="52">
        <v>143</v>
      </c>
      <c r="B145" s="59" t="s">
        <v>544</v>
      </c>
      <c r="C145" s="126" t="s">
        <v>116</v>
      </c>
      <c r="D145" s="55">
        <v>1</v>
      </c>
      <c r="E145" s="56" t="s">
        <v>2388</v>
      </c>
      <c r="F145" s="126" t="s">
        <v>12</v>
      </c>
      <c r="G145" s="126" t="s">
        <v>1667</v>
      </c>
      <c r="H145" s="131">
        <v>1</v>
      </c>
      <c r="I145" s="49" t="s">
        <v>3985</v>
      </c>
      <c r="J145" s="52"/>
      <c r="K145" s="49"/>
      <c r="L145" s="49" t="s">
        <v>4024</v>
      </c>
      <c r="M145" s="58"/>
    </row>
    <row r="146" spans="1:13" ht="15">
      <c r="A146" s="52">
        <v>144</v>
      </c>
      <c r="B146" s="53" t="s">
        <v>1330</v>
      </c>
      <c r="C146" s="126" t="s">
        <v>564</v>
      </c>
      <c r="D146" s="55">
        <v>1</v>
      </c>
      <c r="E146" s="56" t="s">
        <v>2391</v>
      </c>
      <c r="F146" s="126" t="s">
        <v>12</v>
      </c>
      <c r="G146" s="126" t="s">
        <v>1667</v>
      </c>
      <c r="H146" s="131">
        <v>1</v>
      </c>
      <c r="I146" s="49" t="s">
        <v>2511</v>
      </c>
      <c r="J146" s="52"/>
      <c r="K146" s="49"/>
      <c r="L146" s="49" t="s">
        <v>4025</v>
      </c>
      <c r="M146" s="58"/>
    </row>
    <row r="147" spans="1:13" ht="15">
      <c r="A147" s="52">
        <v>145</v>
      </c>
      <c r="B147" s="53" t="s">
        <v>879</v>
      </c>
      <c r="C147" s="126" t="s">
        <v>881</v>
      </c>
      <c r="D147" s="55">
        <v>2</v>
      </c>
      <c r="E147" s="56" t="s">
        <v>2391</v>
      </c>
      <c r="F147" s="126" t="s">
        <v>12</v>
      </c>
      <c r="G147" s="126" t="s">
        <v>1667</v>
      </c>
      <c r="H147" s="131">
        <v>2</v>
      </c>
      <c r="I147" s="49" t="s">
        <v>2511</v>
      </c>
      <c r="J147" s="52">
        <v>2</v>
      </c>
      <c r="K147" s="49"/>
      <c r="L147" s="49" t="s">
        <v>4026</v>
      </c>
      <c r="M147" s="58"/>
    </row>
    <row r="148" spans="1:13" ht="15">
      <c r="A148" s="52">
        <v>146</v>
      </c>
      <c r="B148" s="60" t="s">
        <v>1095</v>
      </c>
      <c r="C148" s="126" t="s">
        <v>316</v>
      </c>
      <c r="D148" s="52">
        <v>1</v>
      </c>
      <c r="E148" s="56" t="s">
        <v>2391</v>
      </c>
      <c r="F148" s="126" t="s">
        <v>12</v>
      </c>
      <c r="G148" s="126" t="s">
        <v>1667</v>
      </c>
      <c r="H148" s="131">
        <v>1</v>
      </c>
      <c r="I148" s="49" t="s">
        <v>2511</v>
      </c>
      <c r="J148" s="52">
        <v>2</v>
      </c>
      <c r="K148" s="49"/>
      <c r="L148" s="49" t="s">
        <v>4027</v>
      </c>
      <c r="M148" s="58"/>
    </row>
    <row r="149" spans="1:13" ht="15">
      <c r="A149" s="52">
        <v>147</v>
      </c>
      <c r="B149" s="53" t="s">
        <v>1232</v>
      </c>
      <c r="C149" s="126" t="s">
        <v>560</v>
      </c>
      <c r="D149" s="55">
        <v>4</v>
      </c>
      <c r="E149" s="56" t="s">
        <v>2391</v>
      </c>
      <c r="F149" s="126" t="s">
        <v>12</v>
      </c>
      <c r="G149" s="126" t="s">
        <v>1667</v>
      </c>
      <c r="H149" s="131">
        <v>4</v>
      </c>
      <c r="I149" s="49" t="s">
        <v>2511</v>
      </c>
      <c r="J149" s="52">
        <v>2</v>
      </c>
      <c r="K149" s="49"/>
      <c r="L149" s="49" t="s">
        <v>4028</v>
      </c>
      <c r="M149" s="58"/>
    </row>
    <row r="150" spans="1:13" ht="15">
      <c r="A150" s="52">
        <v>148</v>
      </c>
      <c r="B150" s="53" t="s">
        <v>1270</v>
      </c>
      <c r="C150" s="126" t="s">
        <v>116</v>
      </c>
      <c r="D150" s="55">
        <v>1</v>
      </c>
      <c r="E150" s="56" t="s">
        <v>2391</v>
      </c>
      <c r="F150" s="126" t="s">
        <v>12</v>
      </c>
      <c r="G150" s="126" t="s">
        <v>1667</v>
      </c>
      <c r="H150" s="131">
        <v>1</v>
      </c>
      <c r="I150" s="49" t="s">
        <v>2511</v>
      </c>
      <c r="J150" s="52">
        <v>2</v>
      </c>
      <c r="K150" s="49"/>
      <c r="L150" s="49" t="s">
        <v>4029</v>
      </c>
      <c r="M150" s="58"/>
    </row>
    <row r="151" spans="1:13" ht="15">
      <c r="A151" s="52">
        <v>149</v>
      </c>
      <c r="B151" s="53" t="s">
        <v>1092</v>
      </c>
      <c r="C151" s="126" t="s">
        <v>1094</v>
      </c>
      <c r="D151" s="55">
        <v>1</v>
      </c>
      <c r="E151" s="56" t="s">
        <v>2391</v>
      </c>
      <c r="F151" s="126" t="s">
        <v>12</v>
      </c>
      <c r="G151" s="126" t="s">
        <v>1667</v>
      </c>
      <c r="H151" s="131">
        <v>1</v>
      </c>
      <c r="I151" s="49" t="s">
        <v>2511</v>
      </c>
      <c r="J151" s="52">
        <v>3</v>
      </c>
      <c r="K151" s="49"/>
      <c r="L151" s="49" t="s">
        <v>4030</v>
      </c>
      <c r="M151" s="58"/>
    </row>
    <row r="152" spans="1:13" ht="15">
      <c r="A152" s="52">
        <v>150</v>
      </c>
      <c r="B152" s="53" t="s">
        <v>746</v>
      </c>
      <c r="C152" s="126" t="s">
        <v>41</v>
      </c>
      <c r="D152" s="55">
        <v>1</v>
      </c>
      <c r="E152" s="56" t="s">
        <v>2391</v>
      </c>
      <c r="F152" s="126" t="s">
        <v>12</v>
      </c>
      <c r="G152" s="126" t="s">
        <v>1667</v>
      </c>
      <c r="H152" s="131">
        <v>1</v>
      </c>
      <c r="I152" s="49" t="s">
        <v>2511</v>
      </c>
      <c r="J152" s="52">
        <v>3</v>
      </c>
      <c r="K152" s="49"/>
      <c r="L152" s="49" t="s">
        <v>4031</v>
      </c>
      <c r="M152" s="58"/>
    </row>
    <row r="153" spans="1:13" ht="15">
      <c r="A153" s="52">
        <v>151</v>
      </c>
      <c r="B153" s="53" t="s">
        <v>1239</v>
      </c>
      <c r="C153" s="126" t="s">
        <v>116</v>
      </c>
      <c r="D153" s="55">
        <v>1</v>
      </c>
      <c r="E153" s="56" t="s">
        <v>2391</v>
      </c>
      <c r="F153" s="126" t="s">
        <v>12</v>
      </c>
      <c r="G153" s="126" t="s">
        <v>1667</v>
      </c>
      <c r="H153" s="131">
        <v>1</v>
      </c>
      <c r="I153" s="49" t="s">
        <v>2511</v>
      </c>
      <c r="J153" s="52"/>
      <c r="K153" s="49"/>
      <c r="L153" s="49" t="s">
        <v>4032</v>
      </c>
      <c r="M153" s="58"/>
    </row>
    <row r="154" spans="1:13" ht="15">
      <c r="A154" s="52">
        <v>152</v>
      </c>
      <c r="B154" s="60" t="s">
        <v>1122</v>
      </c>
      <c r="C154" s="126" t="s">
        <v>1124</v>
      </c>
      <c r="D154" s="52">
        <v>1</v>
      </c>
      <c r="E154" s="56" t="s">
        <v>2391</v>
      </c>
      <c r="F154" s="126" t="s">
        <v>12</v>
      </c>
      <c r="G154" s="126" t="s">
        <v>1667</v>
      </c>
      <c r="H154" s="131">
        <v>1</v>
      </c>
      <c r="I154" s="49" t="s">
        <v>2449</v>
      </c>
      <c r="J154" s="52">
        <v>2</v>
      </c>
      <c r="K154" s="49" t="s">
        <v>3365</v>
      </c>
      <c r="L154" s="49" t="s">
        <v>4033</v>
      </c>
      <c r="M154" s="58"/>
    </row>
    <row r="155" spans="1:13" ht="15">
      <c r="A155" s="52">
        <v>153</v>
      </c>
      <c r="B155" s="59" t="s">
        <v>1125</v>
      </c>
      <c r="C155" s="126" t="s">
        <v>1126</v>
      </c>
      <c r="D155" s="55">
        <v>1</v>
      </c>
      <c r="E155" s="56" t="s">
        <v>2391</v>
      </c>
      <c r="F155" s="126" t="s">
        <v>12</v>
      </c>
      <c r="G155" s="126" t="s">
        <v>1667</v>
      </c>
      <c r="H155" s="131">
        <v>1</v>
      </c>
      <c r="I155" s="49" t="s">
        <v>2449</v>
      </c>
      <c r="J155" s="52">
        <v>2</v>
      </c>
      <c r="K155" s="49" t="s">
        <v>3365</v>
      </c>
      <c r="L155" s="49" t="s">
        <v>4034</v>
      </c>
      <c r="M155" s="58"/>
    </row>
    <row r="156" spans="1:13" ht="15">
      <c r="A156" s="52">
        <v>154</v>
      </c>
      <c r="B156" s="53" t="s">
        <v>1364</v>
      </c>
      <c r="C156" s="126" t="s">
        <v>41</v>
      </c>
      <c r="D156" s="55">
        <v>1</v>
      </c>
      <c r="E156" s="56" t="s">
        <v>2391</v>
      </c>
      <c r="F156" s="126" t="s">
        <v>12</v>
      </c>
      <c r="G156" s="126" t="s">
        <v>1667</v>
      </c>
      <c r="H156" s="131">
        <v>1</v>
      </c>
      <c r="I156" s="49" t="s">
        <v>2449</v>
      </c>
      <c r="J156" s="52">
        <v>3</v>
      </c>
      <c r="K156" s="49" t="s">
        <v>3365</v>
      </c>
      <c r="L156" s="49" t="s">
        <v>4035</v>
      </c>
      <c r="M156" s="58"/>
    </row>
    <row r="157" spans="1:13" ht="15">
      <c r="A157" s="52">
        <v>155</v>
      </c>
      <c r="B157" s="60" t="s">
        <v>1088</v>
      </c>
      <c r="C157" s="126" t="s">
        <v>1090</v>
      </c>
      <c r="D157" s="55">
        <v>1</v>
      </c>
      <c r="E157" s="56" t="s">
        <v>2391</v>
      </c>
      <c r="F157" s="126" t="s">
        <v>12</v>
      </c>
      <c r="G157" s="126" t="s">
        <v>1667</v>
      </c>
      <c r="H157" s="131">
        <v>1</v>
      </c>
      <c r="I157" s="49" t="s">
        <v>2447</v>
      </c>
      <c r="J157" s="52"/>
      <c r="K157" s="49"/>
      <c r="L157" s="49" t="s">
        <v>4036</v>
      </c>
      <c r="M157" s="58"/>
    </row>
    <row r="158" spans="1:13" ht="15">
      <c r="A158" s="52">
        <v>156</v>
      </c>
      <c r="B158" s="60" t="s">
        <v>1907</v>
      </c>
      <c r="C158" s="126" t="s">
        <v>1909</v>
      </c>
      <c r="D158" s="52">
        <v>1</v>
      </c>
      <c r="E158" s="56" t="s">
        <v>2394</v>
      </c>
      <c r="F158" s="126" t="s">
        <v>12</v>
      </c>
      <c r="G158" s="126" t="s">
        <v>1667</v>
      </c>
      <c r="H158" s="131">
        <v>1</v>
      </c>
      <c r="I158" s="49" t="s">
        <v>2425</v>
      </c>
      <c r="J158" s="52"/>
      <c r="K158" s="49"/>
      <c r="L158" s="49" t="s">
        <v>4037</v>
      </c>
      <c r="M158" s="58"/>
    </row>
    <row r="159" spans="1:13" ht="15">
      <c r="A159" s="52">
        <v>157</v>
      </c>
      <c r="B159" s="60" t="s">
        <v>515</v>
      </c>
      <c r="C159" s="126" t="s">
        <v>517</v>
      </c>
      <c r="D159" s="52">
        <v>1</v>
      </c>
      <c r="E159" s="56" t="s">
        <v>2385</v>
      </c>
      <c r="F159" s="126" t="s">
        <v>308</v>
      </c>
      <c r="G159" s="126" t="s">
        <v>1667</v>
      </c>
      <c r="H159" s="131">
        <v>1</v>
      </c>
      <c r="I159" s="49" t="s">
        <v>2386</v>
      </c>
      <c r="J159" s="52">
        <v>1</v>
      </c>
      <c r="K159" s="49"/>
      <c r="L159" s="49" t="s">
        <v>4038</v>
      </c>
      <c r="M159" s="58"/>
    </row>
    <row r="160" spans="1:13" ht="15">
      <c r="A160" s="52">
        <v>158</v>
      </c>
      <c r="B160" s="60" t="s">
        <v>954</v>
      </c>
      <c r="C160" s="126" t="s">
        <v>956</v>
      </c>
      <c r="D160" s="52">
        <v>1</v>
      </c>
      <c r="E160" s="56" t="s">
        <v>2385</v>
      </c>
      <c r="F160" s="126" t="s">
        <v>308</v>
      </c>
      <c r="G160" s="126" t="s">
        <v>1667</v>
      </c>
      <c r="H160" s="131">
        <v>1</v>
      </c>
      <c r="I160" s="49" t="s">
        <v>2386</v>
      </c>
      <c r="J160" s="52">
        <v>2</v>
      </c>
      <c r="K160" s="49"/>
      <c r="L160" s="49" t="s">
        <v>4039</v>
      </c>
      <c r="M160" s="58"/>
    </row>
    <row r="161" spans="1:13" ht="15">
      <c r="A161" s="52">
        <v>159</v>
      </c>
      <c r="B161" s="60" t="s">
        <v>740</v>
      </c>
      <c r="C161" s="126" t="s">
        <v>41</v>
      </c>
      <c r="D161" s="52">
        <v>1</v>
      </c>
      <c r="E161" s="56" t="s">
        <v>2385</v>
      </c>
      <c r="F161" s="126" t="s">
        <v>308</v>
      </c>
      <c r="G161" s="126" t="s">
        <v>1667</v>
      </c>
      <c r="H161" s="131">
        <v>1</v>
      </c>
      <c r="I161" s="49" t="s">
        <v>2386</v>
      </c>
      <c r="J161" s="52">
        <v>2</v>
      </c>
      <c r="K161" s="49"/>
      <c r="L161" s="49" t="s">
        <v>4040</v>
      </c>
      <c r="M161" s="58"/>
    </row>
    <row r="162" spans="1:13" ht="15">
      <c r="A162" s="52">
        <v>160</v>
      </c>
      <c r="B162" s="59" t="s">
        <v>518</v>
      </c>
      <c r="C162" s="126" t="s">
        <v>519</v>
      </c>
      <c r="D162" s="55">
        <v>1</v>
      </c>
      <c r="E162" s="56" t="s">
        <v>2385</v>
      </c>
      <c r="F162" s="126" t="s">
        <v>308</v>
      </c>
      <c r="G162" s="126" t="s">
        <v>1667</v>
      </c>
      <c r="H162" s="131">
        <v>1</v>
      </c>
      <c r="I162" s="49" t="s">
        <v>2386</v>
      </c>
      <c r="J162" s="52">
        <v>3</v>
      </c>
      <c r="K162" s="49"/>
      <c r="L162" s="49" t="s">
        <v>4041</v>
      </c>
      <c r="M162" s="58"/>
    </row>
    <row r="163" spans="1:13" ht="15">
      <c r="A163" s="52">
        <v>161</v>
      </c>
      <c r="B163" s="53" t="s">
        <v>1341</v>
      </c>
      <c r="C163" s="126" t="s">
        <v>1343</v>
      </c>
      <c r="D163" s="55">
        <v>2</v>
      </c>
      <c r="E163" s="56" t="s">
        <v>2385</v>
      </c>
      <c r="F163" s="126" t="s">
        <v>308</v>
      </c>
      <c r="G163" s="126" t="s">
        <v>1667</v>
      </c>
      <c r="H163" s="131">
        <v>2</v>
      </c>
      <c r="I163" s="49" t="s">
        <v>2386</v>
      </c>
      <c r="J163" s="52">
        <v>3</v>
      </c>
      <c r="K163" s="49"/>
      <c r="L163" s="49" t="s">
        <v>4042</v>
      </c>
      <c r="M163" s="58"/>
    </row>
    <row r="164" spans="1:13" ht="15">
      <c r="A164" s="52">
        <v>162</v>
      </c>
      <c r="B164" s="53" t="s">
        <v>821</v>
      </c>
      <c r="C164" s="126" t="s">
        <v>820</v>
      </c>
      <c r="D164" s="55">
        <v>1</v>
      </c>
      <c r="E164" s="56" t="s">
        <v>2427</v>
      </c>
      <c r="F164" s="126" t="s">
        <v>308</v>
      </c>
      <c r="G164" s="126" t="s">
        <v>1667</v>
      </c>
      <c r="H164" s="131">
        <v>1</v>
      </c>
      <c r="I164" s="49" t="s">
        <v>2428</v>
      </c>
      <c r="J164" s="52">
        <v>1</v>
      </c>
      <c r="K164" s="49"/>
      <c r="L164" s="49" t="s">
        <v>4043</v>
      </c>
      <c r="M164" s="58">
        <v>45533</v>
      </c>
    </row>
    <row r="165" spans="1:13" ht="15">
      <c r="A165" s="52">
        <v>163</v>
      </c>
      <c r="B165" s="59" t="s">
        <v>1102</v>
      </c>
      <c r="C165" s="126" t="s">
        <v>1103</v>
      </c>
      <c r="D165" s="55">
        <v>1</v>
      </c>
      <c r="E165" s="56" t="s">
        <v>2427</v>
      </c>
      <c r="F165" s="126" t="s">
        <v>308</v>
      </c>
      <c r="G165" s="126" t="s">
        <v>1667</v>
      </c>
      <c r="H165" s="131">
        <v>1</v>
      </c>
      <c r="I165" s="49" t="s">
        <v>2428</v>
      </c>
      <c r="J165" s="52">
        <v>1</v>
      </c>
      <c r="K165" s="49"/>
      <c r="L165" s="49" t="s">
        <v>4044</v>
      </c>
      <c r="M165" s="58"/>
    </row>
    <row r="166" spans="1:13" ht="15">
      <c r="A166" s="52">
        <v>164</v>
      </c>
      <c r="B166" s="59" t="s">
        <v>1104</v>
      </c>
      <c r="C166" s="126" t="s">
        <v>1103</v>
      </c>
      <c r="D166" s="55">
        <v>1</v>
      </c>
      <c r="E166" s="56" t="s">
        <v>2427</v>
      </c>
      <c r="F166" s="126" t="s">
        <v>308</v>
      </c>
      <c r="G166" s="126" t="s">
        <v>1667</v>
      </c>
      <c r="H166" s="131">
        <v>1</v>
      </c>
      <c r="I166" s="49" t="s">
        <v>2428</v>
      </c>
      <c r="J166" s="52">
        <v>1</v>
      </c>
      <c r="K166" s="49"/>
      <c r="L166" s="49" t="s">
        <v>4045</v>
      </c>
      <c r="M166" s="58"/>
    </row>
    <row r="167" spans="1:13" ht="15">
      <c r="A167" s="52">
        <v>165</v>
      </c>
      <c r="B167" s="53" t="s">
        <v>818</v>
      </c>
      <c r="C167" s="126" t="s">
        <v>820</v>
      </c>
      <c r="D167" s="55">
        <v>1</v>
      </c>
      <c r="E167" s="56" t="s">
        <v>2427</v>
      </c>
      <c r="F167" s="126" t="s">
        <v>308</v>
      </c>
      <c r="G167" s="126" t="s">
        <v>1667</v>
      </c>
      <c r="H167" s="131">
        <v>1</v>
      </c>
      <c r="I167" s="49" t="s">
        <v>2428</v>
      </c>
      <c r="J167" s="52">
        <v>4</v>
      </c>
      <c r="K167" s="49"/>
      <c r="L167" s="49" t="s">
        <v>4046</v>
      </c>
      <c r="M167" s="58"/>
    </row>
    <row r="168" spans="1:13" ht="15">
      <c r="A168" s="52">
        <v>166</v>
      </c>
      <c r="B168" s="59" t="s">
        <v>1105</v>
      </c>
      <c r="C168" s="126" t="s">
        <v>1107</v>
      </c>
      <c r="D168" s="55">
        <v>1</v>
      </c>
      <c r="E168" s="56" t="s">
        <v>2437</v>
      </c>
      <c r="F168" s="126" t="s">
        <v>308</v>
      </c>
      <c r="G168" s="126" t="s">
        <v>1667</v>
      </c>
      <c r="H168" s="131">
        <v>1</v>
      </c>
      <c r="I168" s="49" t="s">
        <v>2438</v>
      </c>
      <c r="J168" s="52">
        <v>4</v>
      </c>
      <c r="K168" s="49"/>
      <c r="L168" s="49" t="s">
        <v>4047</v>
      </c>
      <c r="M168" s="58"/>
    </row>
    <row r="169" spans="1:13" ht="15">
      <c r="A169" s="52">
        <v>167</v>
      </c>
      <c r="B169" s="59" t="s">
        <v>2041</v>
      </c>
      <c r="C169" s="126" t="s">
        <v>2043</v>
      </c>
      <c r="D169" s="55">
        <v>1</v>
      </c>
      <c r="E169" s="56" t="s">
        <v>2443</v>
      </c>
      <c r="F169" s="126" t="s">
        <v>308</v>
      </c>
      <c r="G169" s="126" t="s">
        <v>1667</v>
      </c>
      <c r="H169" s="131">
        <v>1</v>
      </c>
      <c r="I169" s="49" t="s">
        <v>2548</v>
      </c>
      <c r="J169" s="52">
        <v>1</v>
      </c>
      <c r="K169" s="49"/>
      <c r="L169" s="49" t="s">
        <v>4048</v>
      </c>
      <c r="M169" s="58"/>
    </row>
    <row r="170" spans="1:13" ht="15">
      <c r="A170" s="52">
        <v>168</v>
      </c>
      <c r="B170" s="53" t="s">
        <v>1924</v>
      </c>
      <c r="C170" s="126" t="s">
        <v>1923</v>
      </c>
      <c r="D170" s="55">
        <v>1</v>
      </c>
      <c r="E170" s="56" t="s">
        <v>2443</v>
      </c>
      <c r="F170" s="126" t="s">
        <v>308</v>
      </c>
      <c r="G170" s="126" t="s">
        <v>1667</v>
      </c>
      <c r="H170" s="131">
        <v>1</v>
      </c>
      <c r="I170" s="49" t="s">
        <v>2444</v>
      </c>
      <c r="J170" s="52">
        <v>2</v>
      </c>
      <c r="K170" s="49"/>
      <c r="L170" s="49" t="s">
        <v>4049</v>
      </c>
      <c r="M170" s="58"/>
    </row>
    <row r="171" spans="1:13" ht="15">
      <c r="A171" s="52">
        <v>169</v>
      </c>
      <c r="B171" s="59" t="s">
        <v>2040</v>
      </c>
      <c r="C171" s="126" t="s">
        <v>1926</v>
      </c>
      <c r="D171" s="55">
        <v>1</v>
      </c>
      <c r="E171" s="56" t="s">
        <v>2443</v>
      </c>
      <c r="F171" s="126" t="s">
        <v>308</v>
      </c>
      <c r="G171" s="126" t="s">
        <v>1667</v>
      </c>
      <c r="H171" s="131">
        <v>1</v>
      </c>
      <c r="I171" s="49" t="s">
        <v>2444</v>
      </c>
      <c r="J171" s="52">
        <v>2</v>
      </c>
      <c r="K171" s="49"/>
      <c r="L171" s="49" t="s">
        <v>4050</v>
      </c>
      <c r="M171" s="58"/>
    </row>
    <row r="172" spans="1:13" ht="15">
      <c r="A172" s="52">
        <v>170</v>
      </c>
      <c r="B172" s="60" t="s">
        <v>847</v>
      </c>
      <c r="C172" s="126" t="s">
        <v>848</v>
      </c>
      <c r="D172" s="52">
        <v>2</v>
      </c>
      <c r="E172" s="56" t="s">
        <v>2443</v>
      </c>
      <c r="F172" s="126" t="s">
        <v>308</v>
      </c>
      <c r="G172" s="126" t="s">
        <v>1667</v>
      </c>
      <c r="H172" s="131">
        <v>2</v>
      </c>
      <c r="I172" s="49" t="s">
        <v>2444</v>
      </c>
      <c r="J172" s="52">
        <v>3</v>
      </c>
      <c r="K172" s="49"/>
      <c r="L172" s="49" t="s">
        <v>4051</v>
      </c>
      <c r="M172" s="58"/>
    </row>
    <row r="173" spans="1:13" ht="15">
      <c r="A173" s="52">
        <v>171</v>
      </c>
      <c r="B173" s="60" t="s">
        <v>2084</v>
      </c>
      <c r="C173" s="126" t="s">
        <v>2085</v>
      </c>
      <c r="D173" s="52">
        <v>1</v>
      </c>
      <c r="E173" s="56" t="s">
        <v>2443</v>
      </c>
      <c r="F173" s="126" t="s">
        <v>308</v>
      </c>
      <c r="G173" s="126" t="s">
        <v>1667</v>
      </c>
      <c r="H173" s="131">
        <v>1</v>
      </c>
      <c r="I173" s="49" t="s">
        <v>2444</v>
      </c>
      <c r="J173" s="52">
        <v>3</v>
      </c>
      <c r="K173" s="49"/>
      <c r="L173" s="49" t="s">
        <v>4052</v>
      </c>
      <c r="M173" s="58"/>
    </row>
    <row r="174" spans="1:13" ht="15">
      <c r="A174" s="52">
        <v>172</v>
      </c>
      <c r="B174" s="60" t="s">
        <v>834</v>
      </c>
      <c r="C174" s="126" t="s">
        <v>835</v>
      </c>
      <c r="D174" s="52">
        <v>1</v>
      </c>
      <c r="E174" s="56" t="s">
        <v>2443</v>
      </c>
      <c r="F174" s="126" t="s">
        <v>308</v>
      </c>
      <c r="G174" s="126" t="s">
        <v>1667</v>
      </c>
      <c r="H174" s="131">
        <v>1</v>
      </c>
      <c r="I174" s="49" t="s">
        <v>2444</v>
      </c>
      <c r="J174" s="52">
        <v>4</v>
      </c>
      <c r="K174" s="49"/>
      <c r="L174" s="49" t="s">
        <v>4053</v>
      </c>
      <c r="M174" s="58"/>
    </row>
    <row r="175" spans="1:13" ht="15">
      <c r="A175" s="52">
        <v>173</v>
      </c>
      <c r="B175" s="60" t="s">
        <v>953</v>
      </c>
      <c r="C175" s="126" t="s">
        <v>952</v>
      </c>
      <c r="D175" s="52">
        <v>1</v>
      </c>
      <c r="E175" s="56" t="s">
        <v>2443</v>
      </c>
      <c r="F175" s="126" t="s">
        <v>308</v>
      </c>
      <c r="G175" s="126" t="s">
        <v>1667</v>
      </c>
      <c r="H175" s="131">
        <v>1</v>
      </c>
      <c r="I175" s="49" t="s">
        <v>2444</v>
      </c>
      <c r="J175" s="52">
        <v>4</v>
      </c>
      <c r="K175" s="49"/>
      <c r="L175" s="188" t="s">
        <v>4054</v>
      </c>
      <c r="M175" s="58"/>
    </row>
    <row r="176" spans="1:13" ht="15">
      <c r="A176" s="52">
        <v>174</v>
      </c>
      <c r="B176" s="60" t="s">
        <v>1921</v>
      </c>
      <c r="C176" s="126" t="s">
        <v>1923</v>
      </c>
      <c r="D176" s="52">
        <v>1</v>
      </c>
      <c r="E176" s="56" t="s">
        <v>2443</v>
      </c>
      <c r="F176" s="126" t="s">
        <v>308</v>
      </c>
      <c r="G176" s="126" t="s">
        <v>1667</v>
      </c>
      <c r="H176" s="131">
        <v>1</v>
      </c>
      <c r="I176" s="49" t="s">
        <v>2548</v>
      </c>
      <c r="J176" s="52">
        <v>1</v>
      </c>
      <c r="K176" s="49"/>
      <c r="L176" s="49" t="s">
        <v>4055</v>
      </c>
      <c r="M176" s="58"/>
    </row>
    <row r="177" spans="1:13" ht="15">
      <c r="A177" s="52">
        <v>175</v>
      </c>
      <c r="B177" s="60" t="s">
        <v>1925</v>
      </c>
      <c r="C177" s="126" t="s">
        <v>1926</v>
      </c>
      <c r="D177" s="52">
        <v>1</v>
      </c>
      <c r="E177" s="56" t="s">
        <v>2443</v>
      </c>
      <c r="F177" s="126" t="s">
        <v>308</v>
      </c>
      <c r="G177" s="126" t="s">
        <v>1667</v>
      </c>
      <c r="H177" s="131">
        <v>1</v>
      </c>
      <c r="I177" s="49" t="s">
        <v>2548</v>
      </c>
      <c r="J177" s="52">
        <v>2</v>
      </c>
      <c r="K177" s="49"/>
      <c r="L177" s="49" t="s">
        <v>4056</v>
      </c>
      <c r="M177" s="58"/>
    </row>
    <row r="178" spans="1:13" ht="15">
      <c r="A178" s="52">
        <v>176</v>
      </c>
      <c r="B178" s="60" t="s">
        <v>968</v>
      </c>
      <c r="C178" s="126" t="s">
        <v>970</v>
      </c>
      <c r="D178" s="52">
        <v>1</v>
      </c>
      <c r="E178" s="56" t="s">
        <v>2443</v>
      </c>
      <c r="F178" s="126" t="s">
        <v>308</v>
      </c>
      <c r="G178" s="126" t="s">
        <v>1667</v>
      </c>
      <c r="H178" s="131">
        <v>1</v>
      </c>
      <c r="I178" s="49" t="s">
        <v>2548</v>
      </c>
      <c r="J178" s="52">
        <v>2</v>
      </c>
      <c r="K178" s="49"/>
      <c r="L178" s="49" t="s">
        <v>4057</v>
      </c>
      <c r="M178" s="58"/>
    </row>
    <row r="179" spans="1:13" ht="15">
      <c r="A179" s="52">
        <v>177</v>
      </c>
      <c r="B179" s="59" t="s">
        <v>951</v>
      </c>
      <c r="C179" s="126" t="s">
        <v>952</v>
      </c>
      <c r="D179" s="55">
        <v>1</v>
      </c>
      <c r="E179" s="56" t="s">
        <v>2443</v>
      </c>
      <c r="F179" s="126" t="s">
        <v>308</v>
      </c>
      <c r="G179" s="126" t="s">
        <v>1667</v>
      </c>
      <c r="H179" s="131">
        <v>1</v>
      </c>
      <c r="I179" s="49" t="s">
        <v>2548</v>
      </c>
      <c r="J179" s="52">
        <v>3</v>
      </c>
      <c r="K179" s="49"/>
      <c r="L179" s="49" t="s">
        <v>4058</v>
      </c>
      <c r="M179" s="58"/>
    </row>
    <row r="180" spans="1:13" ht="15">
      <c r="A180" s="52">
        <v>178</v>
      </c>
      <c r="B180" s="59" t="s">
        <v>1140</v>
      </c>
      <c r="C180" s="126" t="s">
        <v>1141</v>
      </c>
      <c r="D180" s="55">
        <v>1</v>
      </c>
      <c r="E180" s="56" t="s">
        <v>2443</v>
      </c>
      <c r="F180" s="126" t="s">
        <v>308</v>
      </c>
      <c r="G180" s="126" t="s">
        <v>1667</v>
      </c>
      <c r="H180" s="131">
        <v>1</v>
      </c>
      <c r="I180" s="49" t="s">
        <v>2548</v>
      </c>
      <c r="J180" s="52">
        <v>3</v>
      </c>
      <c r="K180" s="49"/>
      <c r="L180" s="49" t="s">
        <v>4059</v>
      </c>
      <c r="M180" s="58"/>
    </row>
    <row r="181" spans="1:13" ht="15">
      <c r="A181" s="52">
        <v>179</v>
      </c>
      <c r="B181" s="53" t="s">
        <v>957</v>
      </c>
      <c r="C181" s="126" t="s">
        <v>366</v>
      </c>
      <c r="D181" s="55">
        <v>1</v>
      </c>
      <c r="E181" s="56" t="s">
        <v>2443</v>
      </c>
      <c r="F181" s="126" t="s">
        <v>308</v>
      </c>
      <c r="G181" s="126" t="s">
        <v>1667</v>
      </c>
      <c r="H181" s="131">
        <v>1</v>
      </c>
      <c r="I181" s="49" t="s">
        <v>2548</v>
      </c>
      <c r="J181" s="52">
        <v>4</v>
      </c>
      <c r="K181" s="49"/>
      <c r="L181" s="49" t="s">
        <v>4060</v>
      </c>
      <c r="M181" s="58"/>
    </row>
    <row r="182" spans="1:13" ht="15">
      <c r="A182" s="52">
        <v>180</v>
      </c>
      <c r="B182" s="53" t="s">
        <v>999</v>
      </c>
      <c r="C182" s="126" t="s">
        <v>1001</v>
      </c>
      <c r="D182" s="55">
        <v>1</v>
      </c>
      <c r="E182" s="56" t="s">
        <v>2391</v>
      </c>
      <c r="F182" s="126" t="s">
        <v>308</v>
      </c>
      <c r="G182" s="126" t="s">
        <v>1667</v>
      </c>
      <c r="H182" s="131">
        <v>1</v>
      </c>
      <c r="I182" s="49" t="s">
        <v>2511</v>
      </c>
      <c r="J182" s="52">
        <v>1</v>
      </c>
      <c r="K182" s="49"/>
      <c r="L182" s="49" t="s">
        <v>4061</v>
      </c>
      <c r="M182" s="58"/>
    </row>
    <row r="183" spans="1:13" ht="15">
      <c r="A183" s="52">
        <v>181</v>
      </c>
      <c r="B183" s="60" t="s">
        <v>1120</v>
      </c>
      <c r="C183" s="126" t="s">
        <v>1121</v>
      </c>
      <c r="D183" s="52">
        <v>2</v>
      </c>
      <c r="E183" s="56" t="s">
        <v>2391</v>
      </c>
      <c r="F183" s="126" t="s">
        <v>308</v>
      </c>
      <c r="G183" s="126" t="s">
        <v>1667</v>
      </c>
      <c r="H183" s="131">
        <v>2</v>
      </c>
      <c r="I183" s="49" t="s">
        <v>2511</v>
      </c>
      <c r="J183" s="52">
        <v>2</v>
      </c>
      <c r="K183" s="49"/>
      <c r="L183" s="49" t="s">
        <v>4062</v>
      </c>
      <c r="M183" s="58"/>
    </row>
    <row r="184" spans="1:13" ht="15">
      <c r="A184" s="52">
        <v>182</v>
      </c>
      <c r="B184" s="53" t="s">
        <v>1381</v>
      </c>
      <c r="C184" s="126" t="s">
        <v>41</v>
      </c>
      <c r="D184" s="55">
        <v>2</v>
      </c>
      <c r="E184" s="56" t="s">
        <v>2391</v>
      </c>
      <c r="F184" s="126" t="s">
        <v>308</v>
      </c>
      <c r="G184" s="126" t="s">
        <v>1667</v>
      </c>
      <c r="H184" s="131">
        <v>2</v>
      </c>
      <c r="I184" s="49" t="s">
        <v>2511</v>
      </c>
      <c r="J184" s="52">
        <v>2</v>
      </c>
      <c r="K184" s="49" t="s">
        <v>3518</v>
      </c>
      <c r="L184" s="49" t="s">
        <v>4063</v>
      </c>
      <c r="M184" s="58">
        <v>45533</v>
      </c>
    </row>
    <row r="185" spans="1:13" ht="15">
      <c r="A185" s="52">
        <v>183</v>
      </c>
      <c r="B185" s="60" t="s">
        <v>1388</v>
      </c>
      <c r="C185" s="126" t="s">
        <v>1389</v>
      </c>
      <c r="D185" s="52">
        <v>1</v>
      </c>
      <c r="E185" s="56" t="s">
        <v>2391</v>
      </c>
      <c r="F185" s="126" t="s">
        <v>308</v>
      </c>
      <c r="G185" s="126" t="s">
        <v>1667</v>
      </c>
      <c r="H185" s="131">
        <v>1</v>
      </c>
      <c r="I185" s="49" t="s">
        <v>2511</v>
      </c>
      <c r="J185" s="52">
        <v>3</v>
      </c>
      <c r="K185" s="49"/>
      <c r="L185" s="49" t="s">
        <v>4064</v>
      </c>
      <c r="M185" s="58"/>
    </row>
    <row r="186" spans="1:13" ht="15">
      <c r="A186" s="52">
        <v>184</v>
      </c>
      <c r="B186" s="53" t="s">
        <v>1020</v>
      </c>
      <c r="C186" s="126" t="s">
        <v>1022</v>
      </c>
      <c r="D186" s="55">
        <v>1</v>
      </c>
      <c r="E186" s="56" t="s">
        <v>2437</v>
      </c>
      <c r="F186" s="126" t="s">
        <v>790</v>
      </c>
      <c r="G186" s="126" t="s">
        <v>1667</v>
      </c>
      <c r="H186" s="131">
        <v>1</v>
      </c>
      <c r="I186" s="49" t="s">
        <v>2438</v>
      </c>
      <c r="J186" s="52">
        <v>2</v>
      </c>
      <c r="K186" s="49"/>
      <c r="L186" s="49" t="s">
        <v>4065</v>
      </c>
      <c r="M186" s="58"/>
    </row>
    <row r="187" spans="1:13" ht="15">
      <c r="A187" s="52">
        <v>185</v>
      </c>
      <c r="B187" s="53" t="s">
        <v>1992</v>
      </c>
      <c r="C187" s="126" t="s">
        <v>1988</v>
      </c>
      <c r="D187" s="55">
        <v>1</v>
      </c>
      <c r="E187" s="56" t="s">
        <v>2437</v>
      </c>
      <c r="F187" s="126" t="s">
        <v>790</v>
      </c>
      <c r="G187" s="126" t="s">
        <v>1667</v>
      </c>
      <c r="H187" s="131">
        <v>1</v>
      </c>
      <c r="I187" s="49" t="s">
        <v>2438</v>
      </c>
      <c r="J187" s="52">
        <v>2</v>
      </c>
      <c r="K187" s="49"/>
      <c r="L187" s="49" t="s">
        <v>4066</v>
      </c>
      <c r="M187" s="58">
        <v>45533</v>
      </c>
    </row>
    <row r="188" spans="1:13" ht="15">
      <c r="A188" s="52">
        <v>186</v>
      </c>
      <c r="B188" s="53" t="s">
        <v>787</v>
      </c>
      <c r="C188" s="126" t="s">
        <v>789</v>
      </c>
      <c r="D188" s="55">
        <v>1</v>
      </c>
      <c r="E188" s="56" t="s">
        <v>2443</v>
      </c>
      <c r="F188" s="126" t="s">
        <v>790</v>
      </c>
      <c r="G188" s="126" t="s">
        <v>1667</v>
      </c>
      <c r="H188" s="131">
        <v>1</v>
      </c>
      <c r="I188" s="49" t="s">
        <v>2444</v>
      </c>
      <c r="J188" s="52">
        <v>1</v>
      </c>
      <c r="K188" s="49"/>
      <c r="L188" s="49" t="s">
        <v>4067</v>
      </c>
      <c r="M188" s="58"/>
    </row>
    <row r="189" spans="1:13" ht="15">
      <c r="A189" s="52">
        <v>187</v>
      </c>
      <c r="B189" s="53" t="s">
        <v>806</v>
      </c>
      <c r="C189" s="126" t="s">
        <v>808</v>
      </c>
      <c r="D189" s="55">
        <v>1</v>
      </c>
      <c r="E189" s="56" t="s">
        <v>2443</v>
      </c>
      <c r="F189" s="126" t="s">
        <v>790</v>
      </c>
      <c r="G189" s="126" t="s">
        <v>1667</v>
      </c>
      <c r="H189" s="131">
        <v>1</v>
      </c>
      <c r="I189" s="49" t="s">
        <v>2444</v>
      </c>
      <c r="J189" s="52">
        <v>2</v>
      </c>
      <c r="K189" s="49"/>
      <c r="L189" s="49" t="s">
        <v>4068</v>
      </c>
      <c r="M189" s="58"/>
    </row>
    <row r="190" spans="1:13" ht="15">
      <c r="A190" s="52">
        <v>188</v>
      </c>
      <c r="B190" s="53" t="s">
        <v>943</v>
      </c>
      <c r="C190" s="126" t="s">
        <v>945</v>
      </c>
      <c r="D190" s="55">
        <v>1</v>
      </c>
      <c r="E190" s="56" t="s">
        <v>2443</v>
      </c>
      <c r="F190" s="126" t="s">
        <v>790</v>
      </c>
      <c r="G190" s="126" t="s">
        <v>1667</v>
      </c>
      <c r="H190" s="131">
        <v>1</v>
      </c>
      <c r="I190" s="49" t="s">
        <v>2444</v>
      </c>
      <c r="J190" s="52">
        <v>3</v>
      </c>
      <c r="K190" s="49"/>
      <c r="L190" s="49" t="s">
        <v>4069</v>
      </c>
      <c r="M190" s="58"/>
    </row>
    <row r="191" spans="1:13" ht="15">
      <c r="A191" s="52">
        <v>189</v>
      </c>
      <c r="B191" s="59" t="s">
        <v>946</v>
      </c>
      <c r="C191" s="126" t="s">
        <v>947</v>
      </c>
      <c r="D191" s="55">
        <v>1</v>
      </c>
      <c r="E191" s="56" t="s">
        <v>2443</v>
      </c>
      <c r="F191" s="126" t="s">
        <v>790</v>
      </c>
      <c r="G191" s="126" t="s">
        <v>1667</v>
      </c>
      <c r="H191" s="131">
        <v>1</v>
      </c>
      <c r="I191" s="49" t="s">
        <v>2444</v>
      </c>
      <c r="J191" s="52">
        <v>3</v>
      </c>
      <c r="K191" s="49"/>
      <c r="L191" s="49" t="s">
        <v>4070</v>
      </c>
      <c r="M191" s="58"/>
    </row>
    <row r="192" spans="1:13" ht="15">
      <c r="A192" s="52">
        <v>190</v>
      </c>
      <c r="B192" s="53" t="s">
        <v>950</v>
      </c>
      <c r="C192" s="126" t="s">
        <v>945</v>
      </c>
      <c r="D192" s="55">
        <v>1</v>
      </c>
      <c r="E192" s="56" t="s">
        <v>2443</v>
      </c>
      <c r="F192" s="126" t="s">
        <v>790</v>
      </c>
      <c r="G192" s="126" t="s">
        <v>1667</v>
      </c>
      <c r="H192" s="131">
        <v>1</v>
      </c>
      <c r="I192" s="49" t="s">
        <v>2444</v>
      </c>
      <c r="J192" s="52">
        <v>3</v>
      </c>
      <c r="K192" s="49"/>
      <c r="L192" s="49" t="s">
        <v>4071</v>
      </c>
      <c r="M192" s="58"/>
    </row>
    <row r="193" spans="1:13" ht="15">
      <c r="A193" s="52">
        <v>191</v>
      </c>
      <c r="B193" s="53" t="s">
        <v>948</v>
      </c>
      <c r="C193" s="126" t="s">
        <v>949</v>
      </c>
      <c r="D193" s="55">
        <v>1</v>
      </c>
      <c r="E193" s="56" t="s">
        <v>2443</v>
      </c>
      <c r="F193" s="126" t="s">
        <v>790</v>
      </c>
      <c r="G193" s="126" t="s">
        <v>1667</v>
      </c>
      <c r="H193" s="131">
        <v>1</v>
      </c>
      <c r="I193" s="49" t="s">
        <v>2548</v>
      </c>
      <c r="J193" s="52">
        <v>3</v>
      </c>
      <c r="K193" s="49"/>
      <c r="L193" s="49" t="s">
        <v>4072</v>
      </c>
      <c r="M193" s="58"/>
    </row>
    <row r="194" spans="1:13" ht="15">
      <c r="A194" s="52">
        <v>192</v>
      </c>
      <c r="B194" s="59" t="s">
        <v>908</v>
      </c>
      <c r="C194" s="126" t="s">
        <v>910</v>
      </c>
      <c r="D194" s="55">
        <v>1</v>
      </c>
      <c r="E194" s="56" t="s">
        <v>2443</v>
      </c>
      <c r="F194" s="126" t="s">
        <v>790</v>
      </c>
      <c r="G194" s="126" t="s">
        <v>1667</v>
      </c>
      <c r="H194" s="131">
        <v>1</v>
      </c>
      <c r="I194" s="49" t="s">
        <v>2548</v>
      </c>
      <c r="J194" s="52"/>
      <c r="K194" s="49"/>
      <c r="L194" s="49" t="s">
        <v>4073</v>
      </c>
      <c r="M194" s="58"/>
    </row>
    <row r="195" spans="1:13" ht="15">
      <c r="A195" s="52">
        <v>193</v>
      </c>
      <c r="B195" s="53" t="s">
        <v>915</v>
      </c>
      <c r="C195" s="126" t="s">
        <v>917</v>
      </c>
      <c r="D195" s="55">
        <v>1</v>
      </c>
      <c r="E195" s="56" t="s">
        <v>2391</v>
      </c>
      <c r="F195" s="126" t="s">
        <v>790</v>
      </c>
      <c r="G195" s="126" t="s">
        <v>1667</v>
      </c>
      <c r="H195" s="131">
        <v>1</v>
      </c>
      <c r="I195" s="49" t="s">
        <v>2511</v>
      </c>
      <c r="J195" s="52">
        <v>1</v>
      </c>
      <c r="K195" s="49"/>
      <c r="L195" s="49" t="s">
        <v>4074</v>
      </c>
      <c r="M195" s="58"/>
    </row>
    <row r="196" spans="1:13" ht="15">
      <c r="A196" s="52">
        <v>194</v>
      </c>
      <c r="B196" s="53" t="s">
        <v>926</v>
      </c>
      <c r="C196" s="126" t="s">
        <v>321</v>
      </c>
      <c r="D196" s="55">
        <v>1</v>
      </c>
      <c r="E196" s="56" t="s">
        <v>2391</v>
      </c>
      <c r="F196" s="126" t="s">
        <v>790</v>
      </c>
      <c r="G196" s="126" t="s">
        <v>1667</v>
      </c>
      <c r="H196" s="131">
        <v>1</v>
      </c>
      <c r="I196" s="49" t="s">
        <v>2511</v>
      </c>
      <c r="J196" s="52">
        <v>1</v>
      </c>
      <c r="K196" s="49"/>
      <c r="L196" s="49" t="s">
        <v>4075</v>
      </c>
      <c r="M196" s="58"/>
    </row>
    <row r="197" spans="1:13" ht="15">
      <c r="A197" s="52">
        <v>195</v>
      </c>
      <c r="B197" s="53" t="s">
        <v>927</v>
      </c>
      <c r="C197" s="126" t="s">
        <v>321</v>
      </c>
      <c r="D197" s="55">
        <v>1</v>
      </c>
      <c r="E197" s="56" t="s">
        <v>2391</v>
      </c>
      <c r="F197" s="126" t="s">
        <v>790</v>
      </c>
      <c r="G197" s="126" t="s">
        <v>1667</v>
      </c>
      <c r="H197" s="131">
        <v>1</v>
      </c>
      <c r="I197" s="49" t="s">
        <v>2511</v>
      </c>
      <c r="J197" s="52">
        <v>3</v>
      </c>
      <c r="K197" s="49"/>
      <c r="L197" s="49" t="s">
        <v>4076</v>
      </c>
      <c r="M197" s="58"/>
    </row>
    <row r="198" spans="1:13" ht="15">
      <c r="A198" s="52">
        <v>196</v>
      </c>
      <c r="B198" s="53" t="s">
        <v>928</v>
      </c>
      <c r="C198" s="126" t="s">
        <v>930</v>
      </c>
      <c r="D198" s="55">
        <v>2</v>
      </c>
      <c r="E198" s="56" t="s">
        <v>2391</v>
      </c>
      <c r="F198" s="126" t="s">
        <v>790</v>
      </c>
      <c r="G198" s="126" t="s">
        <v>1667</v>
      </c>
      <c r="H198" s="131">
        <v>2</v>
      </c>
      <c r="I198" s="49" t="s">
        <v>2511</v>
      </c>
      <c r="J198" s="52">
        <v>3</v>
      </c>
      <c r="K198" s="49"/>
      <c r="L198" s="49" t="s">
        <v>4077</v>
      </c>
      <c r="M198" s="58"/>
    </row>
    <row r="199" spans="1:13" ht="15">
      <c r="A199" s="52">
        <v>197</v>
      </c>
      <c r="B199" s="59" t="s">
        <v>940</v>
      </c>
      <c r="C199" s="126" t="s">
        <v>941</v>
      </c>
      <c r="D199" s="55">
        <v>1</v>
      </c>
      <c r="E199" s="56" t="s">
        <v>2391</v>
      </c>
      <c r="F199" s="126" t="s">
        <v>790</v>
      </c>
      <c r="G199" s="126" t="s">
        <v>1667</v>
      </c>
      <c r="H199" s="131">
        <v>1</v>
      </c>
      <c r="I199" s="49" t="s">
        <v>2511</v>
      </c>
      <c r="J199" s="52">
        <v>4</v>
      </c>
      <c r="K199" s="49"/>
      <c r="L199" s="49" t="s">
        <v>4078</v>
      </c>
      <c r="M199" s="58"/>
    </row>
    <row r="200" spans="1:13" ht="15">
      <c r="A200" s="52">
        <v>198</v>
      </c>
      <c r="B200" s="60" t="s">
        <v>942</v>
      </c>
      <c r="C200" s="126" t="s">
        <v>941</v>
      </c>
      <c r="D200" s="55">
        <v>1</v>
      </c>
      <c r="E200" s="56" t="s">
        <v>2391</v>
      </c>
      <c r="F200" s="126" t="s">
        <v>790</v>
      </c>
      <c r="G200" s="126" t="s">
        <v>1667</v>
      </c>
      <c r="H200" s="131">
        <v>1</v>
      </c>
      <c r="I200" s="49" t="s">
        <v>2511</v>
      </c>
      <c r="J200" s="52">
        <v>4</v>
      </c>
      <c r="K200" s="49"/>
      <c r="L200" s="49" t="s">
        <v>4079</v>
      </c>
      <c r="M200" s="58"/>
    </row>
    <row r="201" spans="1:13" ht="15">
      <c r="A201" s="52">
        <v>199</v>
      </c>
      <c r="B201" s="53" t="s">
        <v>918</v>
      </c>
      <c r="C201" s="126" t="s">
        <v>321</v>
      </c>
      <c r="D201" s="55">
        <v>1</v>
      </c>
      <c r="E201" s="56" t="s">
        <v>2391</v>
      </c>
      <c r="F201" s="126" t="s">
        <v>790</v>
      </c>
      <c r="G201" s="126" t="s">
        <v>1667</v>
      </c>
      <c r="H201" s="131">
        <v>1</v>
      </c>
      <c r="I201" s="49" t="s">
        <v>2511</v>
      </c>
      <c r="J201" s="52"/>
      <c r="K201" s="49"/>
      <c r="L201" s="49" t="s">
        <v>4080</v>
      </c>
      <c r="M201" s="58"/>
    </row>
    <row r="202" spans="1:13" ht="15">
      <c r="A202" s="52">
        <v>200</v>
      </c>
      <c r="B202" s="53" t="s">
        <v>919</v>
      </c>
      <c r="C202" s="126" t="s">
        <v>321</v>
      </c>
      <c r="D202" s="55">
        <v>1</v>
      </c>
      <c r="E202" s="56" t="s">
        <v>2391</v>
      </c>
      <c r="F202" s="126" t="s">
        <v>790</v>
      </c>
      <c r="G202" s="126" t="s">
        <v>1667</v>
      </c>
      <c r="H202" s="131">
        <v>1</v>
      </c>
      <c r="I202" s="49" t="s">
        <v>2511</v>
      </c>
      <c r="J202" s="52"/>
      <c r="K202" s="49"/>
      <c r="L202" s="49" t="s">
        <v>4081</v>
      </c>
      <c r="M202" s="58"/>
    </row>
    <row r="203" spans="1:13" ht="15">
      <c r="A203" s="52">
        <v>201</v>
      </c>
      <c r="B203" s="53" t="s">
        <v>1128</v>
      </c>
      <c r="C203" s="126" t="s">
        <v>1130</v>
      </c>
      <c r="D203" s="55">
        <v>1</v>
      </c>
      <c r="E203" s="56" t="s">
        <v>2391</v>
      </c>
      <c r="F203" s="126" t="s">
        <v>790</v>
      </c>
      <c r="G203" s="126" t="s">
        <v>1667</v>
      </c>
      <c r="H203" s="131">
        <v>1</v>
      </c>
      <c r="I203" s="49" t="s">
        <v>2447</v>
      </c>
      <c r="J203" s="52"/>
      <c r="K203" s="49"/>
      <c r="L203" s="49" t="s">
        <v>4082</v>
      </c>
      <c r="M203" s="58"/>
    </row>
    <row r="204" spans="1:13" ht="15">
      <c r="A204" s="52">
        <v>202</v>
      </c>
      <c r="B204" s="59" t="s">
        <v>1006</v>
      </c>
      <c r="C204" s="126" t="s">
        <v>1008</v>
      </c>
      <c r="D204" s="55">
        <v>1</v>
      </c>
      <c r="E204" s="56" t="s">
        <v>2437</v>
      </c>
      <c r="F204" s="126" t="s">
        <v>923</v>
      </c>
      <c r="G204" s="126" t="s">
        <v>1667</v>
      </c>
      <c r="H204" s="131">
        <v>1</v>
      </c>
      <c r="I204" s="49" t="s">
        <v>3336</v>
      </c>
      <c r="J204" s="52"/>
      <c r="K204" s="49"/>
      <c r="L204" s="49" t="s">
        <v>4083</v>
      </c>
      <c r="M204" s="58"/>
    </row>
    <row r="205" spans="1:13" ht="15">
      <c r="A205" s="52">
        <v>203</v>
      </c>
      <c r="B205" s="49" t="s">
        <v>920</v>
      </c>
      <c r="C205" s="126" t="s">
        <v>922</v>
      </c>
      <c r="D205" s="52">
        <v>1</v>
      </c>
      <c r="E205" s="56" t="s">
        <v>2391</v>
      </c>
      <c r="F205" s="126" t="s">
        <v>923</v>
      </c>
      <c r="G205" s="126" t="s">
        <v>1667</v>
      </c>
      <c r="H205" s="131">
        <v>1</v>
      </c>
      <c r="I205" s="49" t="s">
        <v>2447</v>
      </c>
      <c r="J205" s="52"/>
      <c r="K205" s="49"/>
      <c r="L205" s="49" t="s">
        <v>4084</v>
      </c>
      <c r="M205" s="58"/>
    </row>
    <row r="206" spans="1:13" ht="15">
      <c r="A206" s="52">
        <v>204</v>
      </c>
      <c r="B206" s="53" t="s">
        <v>877</v>
      </c>
      <c r="C206" s="126" t="s">
        <v>878</v>
      </c>
      <c r="D206" s="55">
        <v>1</v>
      </c>
      <c r="E206" s="56" t="s">
        <v>2391</v>
      </c>
      <c r="F206" s="126" t="s">
        <v>1875</v>
      </c>
      <c r="G206" s="126" t="s">
        <v>1667</v>
      </c>
      <c r="H206" s="131">
        <v>1</v>
      </c>
      <c r="I206" s="49" t="s">
        <v>3009</v>
      </c>
      <c r="J206" s="52"/>
      <c r="K206" s="49"/>
      <c r="L206" s="49" t="s">
        <v>4085</v>
      </c>
      <c r="M206" s="58"/>
    </row>
    <row r="207" spans="1:13" ht="15">
      <c r="A207" s="52">
        <v>205</v>
      </c>
      <c r="B207" s="53" t="s">
        <v>1327</v>
      </c>
      <c r="C207" s="126" t="s">
        <v>1329</v>
      </c>
      <c r="D207" s="55">
        <v>1</v>
      </c>
      <c r="E207" s="56" t="s">
        <v>2391</v>
      </c>
      <c r="F207" s="126" t="s">
        <v>1875</v>
      </c>
      <c r="G207" s="126" t="s">
        <v>1667</v>
      </c>
      <c r="H207" s="131">
        <v>1</v>
      </c>
      <c r="I207" s="49" t="s">
        <v>3009</v>
      </c>
      <c r="J207" s="52"/>
      <c r="K207" s="49"/>
      <c r="L207" s="49" t="s">
        <v>4086</v>
      </c>
      <c r="M207" s="58"/>
    </row>
    <row r="208" spans="1:13" ht="15">
      <c r="A208" s="52">
        <v>206</v>
      </c>
      <c r="B208" s="59" t="s">
        <v>1975</v>
      </c>
      <c r="C208" s="126" t="s">
        <v>1885</v>
      </c>
      <c r="D208" s="55">
        <v>1</v>
      </c>
      <c r="E208" s="56" t="s">
        <v>2443</v>
      </c>
      <c r="F208" s="126" t="s">
        <v>51</v>
      </c>
      <c r="G208" s="126" t="s">
        <v>1667</v>
      </c>
      <c r="H208" s="131">
        <v>1</v>
      </c>
      <c r="I208" s="49" t="s">
        <v>3555</v>
      </c>
      <c r="J208" s="52"/>
      <c r="K208" s="49"/>
      <c r="L208" s="49" t="s">
        <v>4087</v>
      </c>
      <c r="M208" s="58"/>
    </row>
    <row r="209" spans="1:13" ht="15">
      <c r="A209" s="52">
        <v>207</v>
      </c>
      <c r="B209" s="53" t="s">
        <v>1979</v>
      </c>
      <c r="C209" s="126" t="s">
        <v>1890</v>
      </c>
      <c r="D209" s="55">
        <v>1</v>
      </c>
      <c r="E209" s="56" t="s">
        <v>2437</v>
      </c>
      <c r="F209" s="126" t="s">
        <v>1340</v>
      </c>
      <c r="G209" s="126" t="s">
        <v>1667</v>
      </c>
      <c r="H209" s="131">
        <v>1</v>
      </c>
      <c r="I209" s="49" t="s">
        <v>3336</v>
      </c>
      <c r="J209" s="52"/>
      <c r="K209" s="49"/>
      <c r="L209" s="49" t="s">
        <v>4088</v>
      </c>
      <c r="M209" s="58">
        <v>45533</v>
      </c>
    </row>
    <row r="210" spans="1:13" ht="15">
      <c r="A210" s="52">
        <v>208</v>
      </c>
      <c r="B210" s="60" t="s">
        <v>1994</v>
      </c>
      <c r="C210" s="126" t="s">
        <v>1890</v>
      </c>
      <c r="D210" s="52">
        <v>1</v>
      </c>
      <c r="E210" s="56" t="s">
        <v>2437</v>
      </c>
      <c r="F210" s="126" t="s">
        <v>1340</v>
      </c>
      <c r="G210" s="126" t="s">
        <v>1667</v>
      </c>
      <c r="H210" s="131">
        <v>1</v>
      </c>
      <c r="I210" s="49" t="s">
        <v>3336</v>
      </c>
      <c r="J210" s="52"/>
      <c r="K210" s="49"/>
      <c r="L210" s="49" t="s">
        <v>4089</v>
      </c>
      <c r="M210" s="58"/>
    </row>
    <row r="211" spans="1:13" ht="15">
      <c r="A211" s="52">
        <v>209</v>
      </c>
      <c r="B211" s="60" t="s">
        <v>1198</v>
      </c>
      <c r="C211" s="126" t="s">
        <v>627</v>
      </c>
      <c r="D211" s="52">
        <v>3</v>
      </c>
      <c r="E211" s="56" t="s">
        <v>2385</v>
      </c>
      <c r="F211" s="126" t="s">
        <v>22</v>
      </c>
      <c r="G211" s="126" t="s">
        <v>1664</v>
      </c>
      <c r="H211" s="131">
        <v>24</v>
      </c>
      <c r="I211" s="49" t="s">
        <v>3559</v>
      </c>
      <c r="J211" s="52">
        <v>1</v>
      </c>
      <c r="K211" s="49" t="s">
        <v>3560</v>
      </c>
      <c r="L211" s="49" t="s">
        <v>4090</v>
      </c>
      <c r="M211" s="58"/>
    </row>
    <row r="212" spans="1:13" ht="15">
      <c r="A212" s="52">
        <v>210</v>
      </c>
      <c r="B212" s="59" t="s">
        <v>644</v>
      </c>
      <c r="C212" s="126" t="s">
        <v>645</v>
      </c>
      <c r="D212" s="55">
        <v>1</v>
      </c>
      <c r="E212" s="56" t="s">
        <v>2385</v>
      </c>
      <c r="F212" s="126" t="s">
        <v>22</v>
      </c>
      <c r="G212" s="126" t="s">
        <v>1664</v>
      </c>
      <c r="H212" s="131">
        <v>8</v>
      </c>
      <c r="I212" s="49" t="s">
        <v>3559</v>
      </c>
      <c r="J212" s="52">
        <v>3</v>
      </c>
      <c r="K212" s="49"/>
      <c r="L212" s="49" t="s">
        <v>4091</v>
      </c>
      <c r="M212" s="58"/>
    </row>
    <row r="213" spans="1:13" ht="15">
      <c r="A213" s="52">
        <v>211</v>
      </c>
      <c r="B213" s="60" t="s">
        <v>1237</v>
      </c>
      <c r="C213" s="126" t="s">
        <v>587</v>
      </c>
      <c r="D213" s="52">
        <v>8</v>
      </c>
      <c r="E213" s="56" t="s">
        <v>2385</v>
      </c>
      <c r="F213" s="126" t="s">
        <v>22</v>
      </c>
      <c r="G213" s="126" t="s">
        <v>1664</v>
      </c>
      <c r="H213" s="131">
        <v>64</v>
      </c>
      <c r="I213" s="49" t="s">
        <v>3559</v>
      </c>
      <c r="J213" s="52">
        <v>4</v>
      </c>
      <c r="K213" s="49" t="s">
        <v>3753</v>
      </c>
      <c r="L213" s="49" t="s">
        <v>4092</v>
      </c>
      <c r="M213" s="58"/>
    </row>
    <row r="214" spans="1:13" ht="15">
      <c r="A214" s="52">
        <v>212</v>
      </c>
      <c r="B214" s="53" t="s">
        <v>738</v>
      </c>
      <c r="C214" s="126" t="s">
        <v>739</v>
      </c>
      <c r="D214" s="55">
        <v>4</v>
      </c>
      <c r="E214" s="56" t="s">
        <v>2385</v>
      </c>
      <c r="F214" s="126" t="s">
        <v>22</v>
      </c>
      <c r="G214" s="126" t="s">
        <v>1664</v>
      </c>
      <c r="H214" s="131">
        <v>32</v>
      </c>
      <c r="I214" s="49" t="s">
        <v>3563</v>
      </c>
      <c r="J214" s="52">
        <v>1</v>
      </c>
      <c r="K214" s="49"/>
      <c r="L214" s="49" t="s">
        <v>4093</v>
      </c>
      <c r="M214" s="58"/>
    </row>
    <row r="215" spans="1:13" ht="15">
      <c r="A215" s="52">
        <v>213</v>
      </c>
      <c r="B215" s="60" t="s">
        <v>1272</v>
      </c>
      <c r="C215" s="126" t="s">
        <v>492</v>
      </c>
      <c r="D215" s="52">
        <v>2</v>
      </c>
      <c r="E215" s="56" t="s">
        <v>2385</v>
      </c>
      <c r="F215" s="126" t="s">
        <v>22</v>
      </c>
      <c r="G215" s="126" t="s">
        <v>1664</v>
      </c>
      <c r="H215" s="131">
        <v>16</v>
      </c>
      <c r="I215" s="49" t="s">
        <v>3563</v>
      </c>
      <c r="J215" s="52">
        <v>1</v>
      </c>
      <c r="K215" s="49"/>
      <c r="L215" s="49" t="s">
        <v>4094</v>
      </c>
      <c r="M215" s="58"/>
    </row>
    <row r="216" spans="1:13" ht="15">
      <c r="A216" s="52">
        <v>214</v>
      </c>
      <c r="B216" s="60" t="s">
        <v>1276</v>
      </c>
      <c r="C216" s="126" t="s">
        <v>492</v>
      </c>
      <c r="D216" s="52">
        <v>4</v>
      </c>
      <c r="E216" s="56" t="s">
        <v>2385</v>
      </c>
      <c r="F216" s="126" t="s">
        <v>22</v>
      </c>
      <c r="G216" s="126" t="s">
        <v>1664</v>
      </c>
      <c r="H216" s="131">
        <v>32</v>
      </c>
      <c r="I216" s="49" t="s">
        <v>3563</v>
      </c>
      <c r="J216" s="52">
        <v>1</v>
      </c>
      <c r="K216" s="49"/>
      <c r="L216" s="49" t="s">
        <v>4095</v>
      </c>
      <c r="M216" s="58"/>
    </row>
    <row r="217" spans="1:13" ht="15">
      <c r="A217" s="52">
        <v>215</v>
      </c>
      <c r="B217" s="60" t="s">
        <v>1292</v>
      </c>
      <c r="C217" s="126" t="s">
        <v>492</v>
      </c>
      <c r="D217" s="52">
        <v>2</v>
      </c>
      <c r="E217" s="56" t="s">
        <v>2385</v>
      </c>
      <c r="F217" s="126" t="s">
        <v>22</v>
      </c>
      <c r="G217" s="126" t="s">
        <v>1664</v>
      </c>
      <c r="H217" s="131">
        <v>16</v>
      </c>
      <c r="I217" s="49" t="s">
        <v>3563</v>
      </c>
      <c r="J217" s="52">
        <v>1</v>
      </c>
      <c r="K217" s="49"/>
      <c r="L217" s="49" t="s">
        <v>4096</v>
      </c>
      <c r="M217" s="58"/>
    </row>
    <row r="218" spans="1:13" ht="15">
      <c r="A218" s="52">
        <v>216</v>
      </c>
      <c r="B218" s="53" t="s">
        <v>1293</v>
      </c>
      <c r="C218" s="126" t="s">
        <v>489</v>
      </c>
      <c r="D218" s="55">
        <v>3</v>
      </c>
      <c r="E218" s="56" t="s">
        <v>2385</v>
      </c>
      <c r="F218" s="126" t="s">
        <v>22</v>
      </c>
      <c r="G218" s="126" t="s">
        <v>1664</v>
      </c>
      <c r="H218" s="131">
        <v>24</v>
      </c>
      <c r="I218" s="49" t="s">
        <v>3563</v>
      </c>
      <c r="J218" s="52">
        <v>1</v>
      </c>
      <c r="K218" s="49"/>
      <c r="L218" s="49" t="s">
        <v>4097</v>
      </c>
      <c r="M218" s="58"/>
    </row>
    <row r="219" spans="1:13" ht="15">
      <c r="A219" s="52">
        <v>217</v>
      </c>
      <c r="B219" s="60" t="s">
        <v>1316</v>
      </c>
      <c r="C219" s="126" t="s">
        <v>1318</v>
      </c>
      <c r="D219" s="52">
        <v>1</v>
      </c>
      <c r="E219" s="56" t="s">
        <v>2385</v>
      </c>
      <c r="F219" s="126" t="s">
        <v>22</v>
      </c>
      <c r="G219" s="126" t="s">
        <v>1664</v>
      </c>
      <c r="H219" s="131">
        <v>8</v>
      </c>
      <c r="I219" s="49" t="s">
        <v>3563</v>
      </c>
      <c r="J219" s="52">
        <v>1</v>
      </c>
      <c r="K219" s="49"/>
      <c r="L219" s="49" t="s">
        <v>4098</v>
      </c>
      <c r="M219" s="58"/>
    </row>
    <row r="220" spans="1:13" ht="15">
      <c r="A220" s="52">
        <v>218</v>
      </c>
      <c r="B220" s="60" t="s">
        <v>795</v>
      </c>
      <c r="C220" s="126" t="s">
        <v>485</v>
      </c>
      <c r="D220" s="52">
        <v>20</v>
      </c>
      <c r="E220" s="56" t="s">
        <v>2385</v>
      </c>
      <c r="F220" s="126" t="s">
        <v>22</v>
      </c>
      <c r="G220" s="126" t="s">
        <v>1664</v>
      </c>
      <c r="H220" s="131">
        <v>192</v>
      </c>
      <c r="I220" s="49" t="s">
        <v>3563</v>
      </c>
      <c r="J220" s="52">
        <v>2</v>
      </c>
      <c r="K220" s="49"/>
      <c r="L220" s="49" t="s">
        <v>4099</v>
      </c>
      <c r="M220" s="58"/>
    </row>
    <row r="221" spans="1:13" ht="15">
      <c r="A221" s="52">
        <v>219</v>
      </c>
      <c r="B221" s="60" t="s">
        <v>797</v>
      </c>
      <c r="C221" s="126" t="s">
        <v>485</v>
      </c>
      <c r="D221" s="52">
        <v>2</v>
      </c>
      <c r="E221" s="56" t="s">
        <v>2385</v>
      </c>
      <c r="F221" s="126" t="s">
        <v>22</v>
      </c>
      <c r="G221" s="126" t="s">
        <v>1664</v>
      </c>
      <c r="H221" s="131">
        <v>16</v>
      </c>
      <c r="I221" s="49" t="s">
        <v>3563</v>
      </c>
      <c r="J221" s="52">
        <v>2</v>
      </c>
      <c r="K221" s="49"/>
      <c r="L221" s="49" t="s">
        <v>4100</v>
      </c>
      <c r="M221" s="58"/>
    </row>
    <row r="222" spans="1:13" ht="15">
      <c r="A222" s="52">
        <v>220</v>
      </c>
      <c r="B222" s="60" t="s">
        <v>800</v>
      </c>
      <c r="C222" s="126" t="s">
        <v>485</v>
      </c>
      <c r="D222" s="52">
        <v>2</v>
      </c>
      <c r="E222" s="56" t="s">
        <v>2385</v>
      </c>
      <c r="F222" s="126" t="s">
        <v>22</v>
      </c>
      <c r="G222" s="126" t="s">
        <v>1664</v>
      </c>
      <c r="H222" s="131">
        <v>16</v>
      </c>
      <c r="I222" s="49" t="s">
        <v>3563</v>
      </c>
      <c r="J222" s="52">
        <v>2</v>
      </c>
      <c r="K222" s="49"/>
      <c r="L222" s="49" t="s">
        <v>4101</v>
      </c>
      <c r="M222" s="58"/>
    </row>
    <row r="223" spans="1:13" ht="15">
      <c r="A223" s="52">
        <v>221</v>
      </c>
      <c r="B223" s="60" t="s">
        <v>1222</v>
      </c>
      <c r="C223" s="126" t="s">
        <v>739</v>
      </c>
      <c r="D223" s="52">
        <v>3</v>
      </c>
      <c r="E223" s="56" t="s">
        <v>2385</v>
      </c>
      <c r="F223" s="126" t="s">
        <v>22</v>
      </c>
      <c r="G223" s="126" t="s">
        <v>1664</v>
      </c>
      <c r="H223" s="131">
        <v>24</v>
      </c>
      <c r="I223" s="49" t="s">
        <v>3563</v>
      </c>
      <c r="J223" s="52">
        <v>2</v>
      </c>
      <c r="K223" s="49"/>
      <c r="L223" s="49" t="s">
        <v>4102</v>
      </c>
      <c r="M223" s="58"/>
    </row>
    <row r="224" spans="1:13" ht="15">
      <c r="A224" s="52">
        <v>222</v>
      </c>
      <c r="B224" s="60" t="s">
        <v>780</v>
      </c>
      <c r="C224" s="126" t="s">
        <v>265</v>
      </c>
      <c r="D224" s="52">
        <v>2</v>
      </c>
      <c r="E224" s="56" t="s">
        <v>2385</v>
      </c>
      <c r="F224" s="126" t="s">
        <v>22</v>
      </c>
      <c r="G224" s="126" t="s">
        <v>1664</v>
      </c>
      <c r="H224" s="131">
        <v>16</v>
      </c>
      <c r="I224" s="49" t="s">
        <v>3563</v>
      </c>
      <c r="J224" s="52">
        <v>3</v>
      </c>
      <c r="K224" s="49"/>
      <c r="L224" s="49" t="s">
        <v>4103</v>
      </c>
      <c r="M224" s="58"/>
    </row>
    <row r="225" spans="1:13" ht="15">
      <c r="A225" s="52">
        <v>223</v>
      </c>
      <c r="B225" s="60" t="s">
        <v>781</v>
      </c>
      <c r="C225" s="126" t="s">
        <v>739</v>
      </c>
      <c r="D225" s="52">
        <v>1</v>
      </c>
      <c r="E225" s="56" t="s">
        <v>2385</v>
      </c>
      <c r="F225" s="126" t="s">
        <v>22</v>
      </c>
      <c r="G225" s="126" t="s">
        <v>1664</v>
      </c>
      <c r="H225" s="131">
        <v>8</v>
      </c>
      <c r="I225" s="49" t="s">
        <v>3563</v>
      </c>
      <c r="J225" s="52">
        <v>3</v>
      </c>
      <c r="K225" s="49"/>
      <c r="L225" s="49" t="s">
        <v>4104</v>
      </c>
      <c r="M225" s="58"/>
    </row>
    <row r="226" spans="1:13" ht="15">
      <c r="A226" s="52">
        <v>224</v>
      </c>
      <c r="B226" s="60" t="s">
        <v>1153</v>
      </c>
      <c r="C226" s="126" t="s">
        <v>558</v>
      </c>
      <c r="D226" s="52">
        <v>16</v>
      </c>
      <c r="E226" s="56" t="s">
        <v>2385</v>
      </c>
      <c r="F226" s="126" t="s">
        <v>22</v>
      </c>
      <c r="G226" s="126" t="s">
        <v>1664</v>
      </c>
      <c r="H226" s="131">
        <v>688</v>
      </c>
      <c r="I226" s="49" t="s">
        <v>3563</v>
      </c>
      <c r="J226" s="52">
        <v>3</v>
      </c>
      <c r="K226" s="49" t="s">
        <v>4105</v>
      </c>
      <c r="L226" s="188" t="s">
        <v>4106</v>
      </c>
      <c r="M226" s="58"/>
    </row>
    <row r="227" spans="1:13" ht="15">
      <c r="A227" s="52">
        <v>225</v>
      </c>
      <c r="B227" s="53" t="s">
        <v>1157</v>
      </c>
      <c r="C227" s="126" t="s">
        <v>558</v>
      </c>
      <c r="D227" s="55">
        <v>8</v>
      </c>
      <c r="E227" s="56" t="s">
        <v>2385</v>
      </c>
      <c r="F227" s="126" t="s">
        <v>22</v>
      </c>
      <c r="G227" s="126" t="s">
        <v>1664</v>
      </c>
      <c r="H227" s="131">
        <v>64</v>
      </c>
      <c r="I227" s="49" t="s">
        <v>3563</v>
      </c>
      <c r="J227" s="52">
        <v>3</v>
      </c>
      <c r="K227" s="49"/>
      <c r="L227" s="49" t="s">
        <v>4107</v>
      </c>
      <c r="M227" s="58"/>
    </row>
    <row r="228" spans="1:13" ht="15">
      <c r="A228" s="52">
        <v>226</v>
      </c>
      <c r="B228" s="60" t="s">
        <v>1370</v>
      </c>
      <c r="C228" s="126" t="s">
        <v>630</v>
      </c>
      <c r="D228" s="52">
        <v>2</v>
      </c>
      <c r="E228" s="56" t="s">
        <v>2385</v>
      </c>
      <c r="F228" s="126" t="s">
        <v>22</v>
      </c>
      <c r="G228" s="126" t="s">
        <v>1664</v>
      </c>
      <c r="H228" s="131">
        <v>16</v>
      </c>
      <c r="I228" s="49" t="s">
        <v>3563</v>
      </c>
      <c r="J228" s="52">
        <v>3</v>
      </c>
      <c r="K228" s="49"/>
      <c r="L228" s="49" t="s">
        <v>4108</v>
      </c>
      <c r="M228" s="58"/>
    </row>
    <row r="229" spans="1:13" ht="15">
      <c r="A229" s="52">
        <v>227</v>
      </c>
      <c r="B229" s="53" t="s">
        <v>646</v>
      </c>
      <c r="C229" s="126" t="s">
        <v>647</v>
      </c>
      <c r="D229" s="55">
        <v>3</v>
      </c>
      <c r="E229" s="56" t="s">
        <v>2385</v>
      </c>
      <c r="F229" s="126" t="s">
        <v>22</v>
      </c>
      <c r="G229" s="126" t="s">
        <v>1664</v>
      </c>
      <c r="H229" s="131">
        <v>104</v>
      </c>
      <c r="I229" s="49" t="s">
        <v>3563</v>
      </c>
      <c r="J229" s="52">
        <v>3</v>
      </c>
      <c r="K229" s="49"/>
      <c r="L229" s="49" t="s">
        <v>4109</v>
      </c>
      <c r="M229" s="58"/>
    </row>
    <row r="230" spans="1:13" ht="15">
      <c r="A230" s="52">
        <v>228</v>
      </c>
      <c r="B230" s="53" t="s">
        <v>782</v>
      </c>
      <c r="C230" s="126" t="s">
        <v>558</v>
      </c>
      <c r="D230" s="55">
        <v>2</v>
      </c>
      <c r="E230" s="56" t="s">
        <v>2385</v>
      </c>
      <c r="F230" s="126" t="s">
        <v>22</v>
      </c>
      <c r="G230" s="126" t="s">
        <v>1664</v>
      </c>
      <c r="H230" s="131">
        <v>16</v>
      </c>
      <c r="I230" s="49" t="s">
        <v>3563</v>
      </c>
      <c r="J230" s="52">
        <v>4</v>
      </c>
      <c r="K230" s="49"/>
      <c r="L230" s="49" t="s">
        <v>4110</v>
      </c>
      <c r="M230" s="58"/>
    </row>
    <row r="231" spans="1:13" ht="15">
      <c r="A231" s="52">
        <v>229</v>
      </c>
      <c r="B231" s="60" t="s">
        <v>1191</v>
      </c>
      <c r="C231" s="126" t="s">
        <v>1193</v>
      </c>
      <c r="D231" s="55">
        <v>4</v>
      </c>
      <c r="E231" s="56" t="s">
        <v>2385</v>
      </c>
      <c r="F231" s="126" t="s">
        <v>22</v>
      </c>
      <c r="G231" s="126" t="s">
        <v>1664</v>
      </c>
      <c r="H231" s="131">
        <v>32</v>
      </c>
      <c r="I231" s="49" t="s">
        <v>3563</v>
      </c>
      <c r="J231" s="52">
        <v>4</v>
      </c>
      <c r="K231" s="49"/>
      <c r="L231" s="49" t="s">
        <v>4111</v>
      </c>
      <c r="M231" s="58"/>
    </row>
    <row r="232" spans="1:13" ht="15">
      <c r="A232" s="52">
        <v>230</v>
      </c>
      <c r="B232" s="60" t="s">
        <v>621</v>
      </c>
      <c r="C232" s="126" t="s">
        <v>622</v>
      </c>
      <c r="D232" s="52">
        <v>8</v>
      </c>
      <c r="E232" s="56" t="s">
        <v>2385</v>
      </c>
      <c r="F232" s="126" t="s">
        <v>22</v>
      </c>
      <c r="G232" s="126" t="s">
        <v>1664</v>
      </c>
      <c r="H232" s="131">
        <v>64</v>
      </c>
      <c r="I232" s="49" t="s">
        <v>3563</v>
      </c>
      <c r="J232" s="52">
        <v>4</v>
      </c>
      <c r="K232" s="49"/>
      <c r="L232" s="49" t="s">
        <v>4112</v>
      </c>
      <c r="M232" s="58"/>
    </row>
    <row r="233" spans="1:13" ht="15">
      <c r="A233" s="52">
        <v>231</v>
      </c>
      <c r="B233" s="60" t="s">
        <v>637</v>
      </c>
      <c r="C233" s="126" t="s">
        <v>638</v>
      </c>
      <c r="D233" s="52">
        <v>13</v>
      </c>
      <c r="E233" s="56" t="s">
        <v>2385</v>
      </c>
      <c r="F233" s="126" t="s">
        <v>22</v>
      </c>
      <c r="G233" s="126" t="s">
        <v>1664</v>
      </c>
      <c r="H233" s="131">
        <v>240</v>
      </c>
      <c r="I233" s="49" t="s">
        <v>3563</v>
      </c>
      <c r="J233" s="52">
        <v>4</v>
      </c>
      <c r="K233" s="49"/>
      <c r="L233" s="49" t="s">
        <v>4113</v>
      </c>
      <c r="M233" s="58"/>
    </row>
    <row r="234" spans="1:13" ht="15">
      <c r="A234" s="52">
        <v>232</v>
      </c>
      <c r="B234" s="60" t="s">
        <v>696</v>
      </c>
      <c r="C234" s="126" t="s">
        <v>611</v>
      </c>
      <c r="D234" s="52">
        <v>2</v>
      </c>
      <c r="E234" s="56" t="s">
        <v>2385</v>
      </c>
      <c r="F234" s="126" t="s">
        <v>22</v>
      </c>
      <c r="G234" s="126" t="s">
        <v>1664</v>
      </c>
      <c r="H234" s="131">
        <v>16</v>
      </c>
      <c r="I234" s="49" t="s">
        <v>3563</v>
      </c>
      <c r="J234" s="52">
        <v>4</v>
      </c>
      <c r="K234" s="49"/>
      <c r="L234" s="49" t="s">
        <v>4114</v>
      </c>
      <c r="M234" s="58"/>
    </row>
    <row r="235" spans="1:13" ht="15">
      <c r="A235" s="52">
        <v>233</v>
      </c>
      <c r="B235" s="60" t="s">
        <v>706</v>
      </c>
      <c r="C235" s="126" t="s">
        <v>695</v>
      </c>
      <c r="D235" s="52">
        <v>2</v>
      </c>
      <c r="E235" s="56" t="s">
        <v>2385</v>
      </c>
      <c r="F235" s="126" t="s">
        <v>22</v>
      </c>
      <c r="G235" s="126" t="s">
        <v>1664</v>
      </c>
      <c r="H235" s="131">
        <v>40</v>
      </c>
      <c r="I235" s="49" t="s">
        <v>3563</v>
      </c>
      <c r="J235" s="52">
        <v>4</v>
      </c>
      <c r="K235" s="49"/>
      <c r="L235" s="49" t="s">
        <v>4115</v>
      </c>
      <c r="M235" s="58"/>
    </row>
    <row r="236" spans="1:13" ht="15">
      <c r="A236" s="52">
        <v>234</v>
      </c>
      <c r="B236" s="53" t="s">
        <v>805</v>
      </c>
      <c r="C236" s="126" t="s">
        <v>485</v>
      </c>
      <c r="D236" s="55">
        <v>7</v>
      </c>
      <c r="E236" s="56" t="s">
        <v>2385</v>
      </c>
      <c r="F236" s="126" t="s">
        <v>22</v>
      </c>
      <c r="G236" s="126" t="s">
        <v>1664</v>
      </c>
      <c r="H236" s="131">
        <v>56</v>
      </c>
      <c r="I236" s="49" t="s">
        <v>3563</v>
      </c>
      <c r="J236" s="52">
        <v>5</v>
      </c>
      <c r="K236" s="49"/>
      <c r="L236" s="49" t="s">
        <v>4116</v>
      </c>
      <c r="M236" s="58"/>
    </row>
    <row r="237" spans="1:13" ht="15">
      <c r="A237" s="52">
        <v>235</v>
      </c>
      <c r="B237" s="59" t="s">
        <v>990</v>
      </c>
      <c r="C237" s="126" t="s">
        <v>489</v>
      </c>
      <c r="D237" s="55">
        <v>1</v>
      </c>
      <c r="E237" s="56" t="s">
        <v>2385</v>
      </c>
      <c r="F237" s="126" t="s">
        <v>22</v>
      </c>
      <c r="G237" s="126" t="s">
        <v>1664</v>
      </c>
      <c r="H237" s="131">
        <v>8</v>
      </c>
      <c r="I237" s="49" t="s">
        <v>3563</v>
      </c>
      <c r="J237" s="52">
        <v>5</v>
      </c>
      <c r="K237" s="49"/>
      <c r="L237" s="49" t="s">
        <v>4117</v>
      </c>
      <c r="M237" s="58">
        <v>45533</v>
      </c>
    </row>
    <row r="238" spans="1:13" ht="15">
      <c r="A238" s="52">
        <v>236</v>
      </c>
      <c r="B238" s="59" t="s">
        <v>1150</v>
      </c>
      <c r="C238" s="126" t="s">
        <v>558</v>
      </c>
      <c r="D238" s="55">
        <v>5</v>
      </c>
      <c r="E238" s="56" t="s">
        <v>2385</v>
      </c>
      <c r="F238" s="126" t="s">
        <v>22</v>
      </c>
      <c r="G238" s="126" t="s">
        <v>1664</v>
      </c>
      <c r="H238" s="131">
        <v>40</v>
      </c>
      <c r="I238" s="49" t="s">
        <v>3563</v>
      </c>
      <c r="J238" s="52">
        <v>5</v>
      </c>
      <c r="K238" s="49"/>
      <c r="L238" s="49" t="s">
        <v>4118</v>
      </c>
      <c r="M238" s="58"/>
    </row>
    <row r="239" spans="1:13" ht="15">
      <c r="A239" s="52">
        <v>237</v>
      </c>
      <c r="B239" s="60" t="s">
        <v>1169</v>
      </c>
      <c r="C239" s="126" t="s">
        <v>630</v>
      </c>
      <c r="D239" s="52">
        <v>1</v>
      </c>
      <c r="E239" s="56" t="s">
        <v>2385</v>
      </c>
      <c r="F239" s="126" t="s">
        <v>22</v>
      </c>
      <c r="G239" s="126" t="s">
        <v>1664</v>
      </c>
      <c r="H239" s="131">
        <v>8</v>
      </c>
      <c r="I239" s="49" t="s">
        <v>3563</v>
      </c>
      <c r="J239" s="52">
        <v>5</v>
      </c>
      <c r="K239" s="49"/>
      <c r="L239" s="49" t="s">
        <v>4119</v>
      </c>
      <c r="M239" s="58"/>
    </row>
    <row r="240" spans="1:13" ht="15">
      <c r="A240" s="52">
        <v>238</v>
      </c>
      <c r="B240" s="60" t="s">
        <v>1201</v>
      </c>
      <c r="C240" s="126" t="s">
        <v>587</v>
      </c>
      <c r="D240" s="52">
        <v>1</v>
      </c>
      <c r="E240" s="56" t="s">
        <v>2385</v>
      </c>
      <c r="F240" s="126" t="s">
        <v>22</v>
      </c>
      <c r="G240" s="126" t="s">
        <v>1664</v>
      </c>
      <c r="H240" s="131">
        <v>8</v>
      </c>
      <c r="I240" s="49" t="s">
        <v>3563</v>
      </c>
      <c r="J240" s="52">
        <v>5</v>
      </c>
      <c r="K240" s="49"/>
      <c r="L240" s="49" t="s">
        <v>4120</v>
      </c>
      <c r="M240" s="58"/>
    </row>
    <row r="241" spans="1:13" ht="15">
      <c r="A241" s="52">
        <v>239</v>
      </c>
      <c r="B241" s="60" t="s">
        <v>718</v>
      </c>
      <c r="C241" s="126" t="s">
        <v>611</v>
      </c>
      <c r="D241" s="52">
        <v>4</v>
      </c>
      <c r="E241" s="56" t="s">
        <v>2385</v>
      </c>
      <c r="F241" s="126" t="s">
        <v>22</v>
      </c>
      <c r="G241" s="126" t="s">
        <v>1664</v>
      </c>
      <c r="H241" s="131">
        <v>32</v>
      </c>
      <c r="I241" s="49" t="s">
        <v>3563</v>
      </c>
      <c r="J241" s="52">
        <v>5</v>
      </c>
      <c r="K241" s="49"/>
      <c r="L241" s="49" t="s">
        <v>4121</v>
      </c>
      <c r="M241" s="58"/>
    </row>
    <row r="242" spans="1:13" ht="15">
      <c r="A242" s="52">
        <v>240</v>
      </c>
      <c r="B242" s="60" t="s">
        <v>692</v>
      </c>
      <c r="C242" s="126" t="s">
        <v>693</v>
      </c>
      <c r="D242" s="52">
        <v>9</v>
      </c>
      <c r="E242" s="56" t="s">
        <v>2385</v>
      </c>
      <c r="F242" s="126" t="s">
        <v>22</v>
      </c>
      <c r="G242" s="126" t="s">
        <v>1664</v>
      </c>
      <c r="H242" s="131">
        <v>160</v>
      </c>
      <c r="I242" s="49" t="s">
        <v>3570</v>
      </c>
      <c r="J242" s="52">
        <v>1</v>
      </c>
      <c r="K242" s="49"/>
      <c r="L242" s="49" t="s">
        <v>4122</v>
      </c>
      <c r="M242" s="58"/>
    </row>
    <row r="243" spans="1:13" ht="15">
      <c r="A243" s="52">
        <v>241</v>
      </c>
      <c r="B243" s="60" t="s">
        <v>1274</v>
      </c>
      <c r="C243" s="126" t="s">
        <v>489</v>
      </c>
      <c r="D243" s="52">
        <v>12</v>
      </c>
      <c r="E243" s="56" t="s">
        <v>2385</v>
      </c>
      <c r="F243" s="126" t="s">
        <v>22</v>
      </c>
      <c r="G243" s="126" t="s">
        <v>1664</v>
      </c>
      <c r="H243" s="131">
        <v>144</v>
      </c>
      <c r="I243" s="49" t="s">
        <v>3570</v>
      </c>
      <c r="J243" s="52">
        <v>1</v>
      </c>
      <c r="K243" s="49"/>
      <c r="L243" s="49" t="s">
        <v>4123</v>
      </c>
      <c r="M243" s="58"/>
    </row>
    <row r="244" spans="1:13" ht="15">
      <c r="A244" s="52">
        <v>242</v>
      </c>
      <c r="B244" s="60" t="s">
        <v>793</v>
      </c>
      <c r="C244" s="126" t="s">
        <v>485</v>
      </c>
      <c r="D244" s="52">
        <v>4</v>
      </c>
      <c r="E244" s="56" t="s">
        <v>2385</v>
      </c>
      <c r="F244" s="126" t="s">
        <v>22</v>
      </c>
      <c r="G244" s="126" t="s">
        <v>1664</v>
      </c>
      <c r="H244" s="131">
        <v>32</v>
      </c>
      <c r="I244" s="49" t="s">
        <v>3570</v>
      </c>
      <c r="J244" s="52">
        <v>2</v>
      </c>
      <c r="K244" s="49"/>
      <c r="L244" s="49" t="s">
        <v>4124</v>
      </c>
      <c r="M244" s="58"/>
    </row>
    <row r="245" spans="1:13" ht="15">
      <c r="A245" s="52">
        <v>243</v>
      </c>
      <c r="B245" s="60" t="s">
        <v>486</v>
      </c>
      <c r="C245" s="126" t="s">
        <v>485</v>
      </c>
      <c r="D245" s="52">
        <v>29</v>
      </c>
      <c r="E245" s="56" t="s">
        <v>2385</v>
      </c>
      <c r="F245" s="126" t="s">
        <v>22</v>
      </c>
      <c r="G245" s="126" t="s">
        <v>1664</v>
      </c>
      <c r="H245" s="131">
        <v>232</v>
      </c>
      <c r="I245" s="49" t="s">
        <v>3570</v>
      </c>
      <c r="J245" s="52">
        <v>2</v>
      </c>
      <c r="K245" s="49"/>
      <c r="L245" s="49" t="s">
        <v>4125</v>
      </c>
      <c r="M245" s="58"/>
    </row>
    <row r="246" spans="1:13" ht="15">
      <c r="A246" s="52">
        <v>244</v>
      </c>
      <c r="B246" s="60" t="s">
        <v>796</v>
      </c>
      <c r="C246" s="126" t="s">
        <v>485</v>
      </c>
      <c r="D246" s="52">
        <v>2</v>
      </c>
      <c r="E246" s="56" t="s">
        <v>2385</v>
      </c>
      <c r="F246" s="126" t="s">
        <v>22</v>
      </c>
      <c r="G246" s="126" t="s">
        <v>1664</v>
      </c>
      <c r="H246" s="131">
        <v>32</v>
      </c>
      <c r="I246" s="49" t="s">
        <v>3570</v>
      </c>
      <c r="J246" s="52">
        <v>2</v>
      </c>
      <c r="K246" s="49" t="s">
        <v>4105</v>
      </c>
      <c r="L246" s="49" t="s">
        <v>4126</v>
      </c>
      <c r="M246" s="58"/>
    </row>
    <row r="247" spans="1:13" ht="15">
      <c r="A247" s="52">
        <v>245</v>
      </c>
      <c r="B247" s="60" t="s">
        <v>556</v>
      </c>
      <c r="C247" s="126" t="s">
        <v>558</v>
      </c>
      <c r="D247" s="52">
        <v>2</v>
      </c>
      <c r="E247" s="56" t="s">
        <v>2385</v>
      </c>
      <c r="F247" s="126" t="s">
        <v>22</v>
      </c>
      <c r="G247" s="126" t="s">
        <v>1664</v>
      </c>
      <c r="H247" s="131">
        <v>160</v>
      </c>
      <c r="I247" s="49" t="s">
        <v>3570</v>
      </c>
      <c r="J247" s="52">
        <v>2</v>
      </c>
      <c r="K247" s="49"/>
      <c r="L247" s="49" t="s">
        <v>4127</v>
      </c>
      <c r="M247" s="58"/>
    </row>
    <row r="248" spans="1:13" ht="15">
      <c r="A248" s="52">
        <v>246</v>
      </c>
      <c r="B248" s="60" t="s">
        <v>585</v>
      </c>
      <c r="C248" s="126" t="s">
        <v>587</v>
      </c>
      <c r="D248" s="52">
        <v>6</v>
      </c>
      <c r="E248" s="56" t="s">
        <v>2385</v>
      </c>
      <c r="F248" s="126" t="s">
        <v>22</v>
      </c>
      <c r="G248" s="126" t="s">
        <v>1664</v>
      </c>
      <c r="H248" s="131">
        <v>48</v>
      </c>
      <c r="I248" s="49" t="s">
        <v>3570</v>
      </c>
      <c r="J248" s="52">
        <v>2</v>
      </c>
      <c r="K248" s="49"/>
      <c r="L248" s="49" t="s">
        <v>4128</v>
      </c>
      <c r="M248" s="58"/>
    </row>
    <row r="249" spans="1:13" ht="15">
      <c r="A249" s="52">
        <v>247</v>
      </c>
      <c r="B249" s="60" t="s">
        <v>608</v>
      </c>
      <c r="C249" s="126" t="s">
        <v>609</v>
      </c>
      <c r="D249" s="52">
        <v>2</v>
      </c>
      <c r="E249" s="56" t="s">
        <v>2385</v>
      </c>
      <c r="F249" s="126" t="s">
        <v>22</v>
      </c>
      <c r="G249" s="126" t="s">
        <v>1664</v>
      </c>
      <c r="H249" s="131">
        <v>32</v>
      </c>
      <c r="I249" s="49" t="s">
        <v>3570</v>
      </c>
      <c r="J249" s="52">
        <v>2</v>
      </c>
      <c r="K249" s="49"/>
      <c r="L249" s="49" t="s">
        <v>4129</v>
      </c>
      <c r="M249" s="58"/>
    </row>
    <row r="250" spans="1:13" ht="15">
      <c r="A250" s="52">
        <v>248</v>
      </c>
      <c r="B250" s="60" t="s">
        <v>1187</v>
      </c>
      <c r="C250" s="126" t="s">
        <v>1188</v>
      </c>
      <c r="D250" s="52">
        <v>8</v>
      </c>
      <c r="E250" s="56" t="s">
        <v>2385</v>
      </c>
      <c r="F250" s="126" t="s">
        <v>22</v>
      </c>
      <c r="G250" s="126" t="s">
        <v>1664</v>
      </c>
      <c r="H250" s="131">
        <v>88</v>
      </c>
      <c r="I250" s="49" t="s">
        <v>3570</v>
      </c>
      <c r="J250" s="52">
        <v>2</v>
      </c>
      <c r="K250" s="49"/>
      <c r="L250" s="49" t="s">
        <v>4130</v>
      </c>
      <c r="M250" s="58"/>
    </row>
    <row r="251" spans="1:13" ht="15">
      <c r="A251" s="52">
        <v>249</v>
      </c>
      <c r="B251" s="60" t="s">
        <v>579</v>
      </c>
      <c r="C251" s="126" t="s">
        <v>489</v>
      </c>
      <c r="D251" s="52">
        <v>6</v>
      </c>
      <c r="E251" s="56" t="s">
        <v>2385</v>
      </c>
      <c r="F251" s="126" t="s">
        <v>22</v>
      </c>
      <c r="G251" s="126" t="s">
        <v>1664</v>
      </c>
      <c r="H251" s="131">
        <v>64</v>
      </c>
      <c r="I251" s="49" t="s">
        <v>3570</v>
      </c>
      <c r="J251" s="52">
        <v>3</v>
      </c>
      <c r="K251" s="49"/>
      <c r="L251" s="49" t="s">
        <v>4131</v>
      </c>
      <c r="M251" s="58"/>
    </row>
    <row r="252" spans="1:13" ht="15">
      <c r="A252" s="52">
        <v>250</v>
      </c>
      <c r="B252" s="60" t="s">
        <v>1178</v>
      </c>
      <c r="C252" s="126" t="s">
        <v>587</v>
      </c>
      <c r="D252" s="52">
        <v>1</v>
      </c>
      <c r="E252" s="56" t="s">
        <v>2385</v>
      </c>
      <c r="F252" s="126" t="s">
        <v>22</v>
      </c>
      <c r="G252" s="126" t="s">
        <v>1664</v>
      </c>
      <c r="H252" s="131">
        <v>32</v>
      </c>
      <c r="I252" s="49" t="s">
        <v>3570</v>
      </c>
      <c r="J252" s="52">
        <v>3</v>
      </c>
      <c r="K252" s="49"/>
      <c r="L252" s="49" t="s">
        <v>4132</v>
      </c>
      <c r="M252" s="58"/>
    </row>
    <row r="253" spans="1:13" ht="15">
      <c r="A253" s="52">
        <v>251</v>
      </c>
      <c r="B253" s="53" t="s">
        <v>1179</v>
      </c>
      <c r="C253" s="126" t="s">
        <v>587</v>
      </c>
      <c r="D253" s="55">
        <v>4</v>
      </c>
      <c r="E253" s="56" t="s">
        <v>2385</v>
      </c>
      <c r="F253" s="126" t="s">
        <v>22</v>
      </c>
      <c r="G253" s="126" t="s">
        <v>1664</v>
      </c>
      <c r="H253" s="131">
        <v>64</v>
      </c>
      <c r="I253" s="49" t="s">
        <v>3570</v>
      </c>
      <c r="J253" s="52">
        <v>3</v>
      </c>
      <c r="K253" s="49"/>
      <c r="L253" s="49" t="s">
        <v>4133</v>
      </c>
      <c r="M253" s="58">
        <v>45475</v>
      </c>
    </row>
    <row r="254" spans="1:13" ht="15">
      <c r="A254" s="52">
        <v>252</v>
      </c>
      <c r="B254" s="53" t="s">
        <v>624</v>
      </c>
      <c r="C254" s="126" t="s">
        <v>625</v>
      </c>
      <c r="D254" s="55">
        <v>4</v>
      </c>
      <c r="E254" s="56" t="s">
        <v>2385</v>
      </c>
      <c r="F254" s="126" t="s">
        <v>22</v>
      </c>
      <c r="G254" s="126" t="s">
        <v>1664</v>
      </c>
      <c r="H254" s="131">
        <v>88</v>
      </c>
      <c r="I254" s="49" t="s">
        <v>3570</v>
      </c>
      <c r="J254" s="52">
        <v>3</v>
      </c>
      <c r="K254" s="49"/>
      <c r="L254" s="49" t="s">
        <v>4134</v>
      </c>
      <c r="M254" s="58"/>
    </row>
    <row r="255" spans="1:13" ht="15">
      <c r="A255" s="52">
        <v>253</v>
      </c>
      <c r="B255" s="53" t="s">
        <v>1271</v>
      </c>
      <c r="C255" s="126" t="s">
        <v>630</v>
      </c>
      <c r="D255" s="55">
        <v>2</v>
      </c>
      <c r="E255" s="56" t="s">
        <v>2385</v>
      </c>
      <c r="F255" s="126" t="s">
        <v>22</v>
      </c>
      <c r="G255" s="126" t="s">
        <v>1664</v>
      </c>
      <c r="H255" s="131">
        <v>72</v>
      </c>
      <c r="I255" s="49" t="s">
        <v>3570</v>
      </c>
      <c r="J255" s="52">
        <v>3</v>
      </c>
      <c r="K255" s="49"/>
      <c r="L255" s="49" t="s">
        <v>4135</v>
      </c>
      <c r="M255" s="58"/>
    </row>
    <row r="256" spans="1:13" ht="15">
      <c r="A256" s="52">
        <v>254</v>
      </c>
      <c r="B256" s="60" t="s">
        <v>1280</v>
      </c>
      <c r="C256" s="126" t="s">
        <v>492</v>
      </c>
      <c r="D256" s="52">
        <v>12</v>
      </c>
      <c r="E256" s="56" t="s">
        <v>2385</v>
      </c>
      <c r="F256" s="126" t="s">
        <v>22</v>
      </c>
      <c r="G256" s="126" t="s">
        <v>1664</v>
      </c>
      <c r="H256" s="131">
        <v>96</v>
      </c>
      <c r="I256" s="49" t="s">
        <v>3570</v>
      </c>
      <c r="J256" s="52">
        <v>3</v>
      </c>
      <c r="K256" s="49"/>
      <c r="L256" s="49" t="s">
        <v>4136</v>
      </c>
      <c r="M256" s="58"/>
    </row>
    <row r="257" spans="1:13" ht="15">
      <c r="A257" s="52">
        <v>255</v>
      </c>
      <c r="B257" s="60" t="s">
        <v>804</v>
      </c>
      <c r="C257" s="126" t="s">
        <v>485</v>
      </c>
      <c r="D257" s="52">
        <v>4</v>
      </c>
      <c r="E257" s="56" t="s">
        <v>2385</v>
      </c>
      <c r="F257" s="126" t="s">
        <v>22</v>
      </c>
      <c r="G257" s="126" t="s">
        <v>1664</v>
      </c>
      <c r="H257" s="131">
        <v>40</v>
      </c>
      <c r="I257" s="49" t="s">
        <v>3570</v>
      </c>
      <c r="J257" s="52">
        <v>4</v>
      </c>
      <c r="K257" s="49" t="s">
        <v>4105</v>
      </c>
      <c r="L257" s="49" t="s">
        <v>4137</v>
      </c>
      <c r="M257" s="58"/>
    </row>
    <row r="258" spans="1:13" ht="15">
      <c r="A258" s="52">
        <v>256</v>
      </c>
      <c r="B258" s="60" t="s">
        <v>1081</v>
      </c>
      <c r="C258" s="126" t="s">
        <v>558</v>
      </c>
      <c r="D258" s="52">
        <v>2</v>
      </c>
      <c r="E258" s="56" t="s">
        <v>2385</v>
      </c>
      <c r="F258" s="126" t="s">
        <v>22</v>
      </c>
      <c r="G258" s="126" t="s">
        <v>1664</v>
      </c>
      <c r="H258" s="131">
        <v>16</v>
      </c>
      <c r="I258" s="49" t="s">
        <v>3570</v>
      </c>
      <c r="J258" s="52">
        <v>4</v>
      </c>
      <c r="K258" s="49"/>
      <c r="L258" s="49" t="s">
        <v>4138</v>
      </c>
      <c r="M258" s="58"/>
    </row>
    <row r="259" spans="1:13" ht="15">
      <c r="A259" s="52">
        <v>257</v>
      </c>
      <c r="B259" s="60" t="s">
        <v>615</v>
      </c>
      <c r="C259" s="126" t="s">
        <v>616</v>
      </c>
      <c r="D259" s="52">
        <v>2</v>
      </c>
      <c r="E259" s="56" t="s">
        <v>2385</v>
      </c>
      <c r="F259" s="126" t="s">
        <v>22</v>
      </c>
      <c r="G259" s="126" t="s">
        <v>1664</v>
      </c>
      <c r="H259" s="131">
        <v>16</v>
      </c>
      <c r="I259" s="49" t="s">
        <v>3570</v>
      </c>
      <c r="J259" s="52">
        <v>4</v>
      </c>
      <c r="K259" s="49"/>
      <c r="L259" s="49" t="s">
        <v>4139</v>
      </c>
      <c r="M259" s="58"/>
    </row>
    <row r="260" spans="1:13" ht="15">
      <c r="A260" s="52">
        <v>258</v>
      </c>
      <c r="B260" s="60" t="s">
        <v>752</v>
      </c>
      <c r="C260" s="126" t="s">
        <v>489</v>
      </c>
      <c r="D260" s="52">
        <v>4</v>
      </c>
      <c r="E260" s="56" t="s">
        <v>2385</v>
      </c>
      <c r="F260" s="126" t="s">
        <v>22</v>
      </c>
      <c r="G260" s="126" t="s">
        <v>1664</v>
      </c>
      <c r="H260" s="131">
        <v>112</v>
      </c>
      <c r="I260" s="49" t="s">
        <v>3570</v>
      </c>
      <c r="J260" s="52">
        <v>4</v>
      </c>
      <c r="K260" s="49"/>
      <c r="L260" s="49" t="s">
        <v>4140</v>
      </c>
      <c r="M260" s="58"/>
    </row>
    <row r="261" spans="1:13" ht="15">
      <c r="A261" s="52">
        <v>259</v>
      </c>
      <c r="B261" s="60" t="s">
        <v>1294</v>
      </c>
      <c r="C261" s="126" t="s">
        <v>492</v>
      </c>
      <c r="D261" s="52">
        <v>2</v>
      </c>
      <c r="E261" s="56" t="s">
        <v>2385</v>
      </c>
      <c r="F261" s="126" t="s">
        <v>22</v>
      </c>
      <c r="G261" s="126" t="s">
        <v>1664</v>
      </c>
      <c r="H261" s="131">
        <v>16</v>
      </c>
      <c r="I261" s="49" t="s">
        <v>3570</v>
      </c>
      <c r="J261" s="52">
        <v>4</v>
      </c>
      <c r="K261" s="49"/>
      <c r="L261" s="49" t="s">
        <v>4141</v>
      </c>
      <c r="M261" s="58"/>
    </row>
    <row r="262" spans="1:13" ht="15">
      <c r="A262" s="52">
        <v>260</v>
      </c>
      <c r="B262" s="60" t="s">
        <v>794</v>
      </c>
      <c r="C262" s="126" t="s">
        <v>485</v>
      </c>
      <c r="D262" s="52">
        <v>2</v>
      </c>
      <c r="E262" s="56" t="s">
        <v>2417</v>
      </c>
      <c r="F262" s="126" t="s">
        <v>22</v>
      </c>
      <c r="G262" s="126" t="s">
        <v>1664</v>
      </c>
      <c r="H262" s="131">
        <v>16</v>
      </c>
      <c r="I262" s="49" t="s">
        <v>3559</v>
      </c>
      <c r="J262" s="52">
        <v>1</v>
      </c>
      <c r="K262" s="49"/>
      <c r="L262" s="49" t="s">
        <v>4142</v>
      </c>
      <c r="M262" s="58"/>
    </row>
    <row r="263" spans="1:13" ht="15">
      <c r="A263" s="52">
        <v>261</v>
      </c>
      <c r="B263" s="60" t="s">
        <v>559</v>
      </c>
      <c r="C263" s="126" t="s">
        <v>560</v>
      </c>
      <c r="D263" s="52">
        <v>65</v>
      </c>
      <c r="E263" s="56" t="s">
        <v>2417</v>
      </c>
      <c r="F263" s="126" t="s">
        <v>22</v>
      </c>
      <c r="G263" s="126" t="s">
        <v>1686</v>
      </c>
      <c r="H263" s="131">
        <v>960</v>
      </c>
      <c r="I263" s="49" t="s">
        <v>3559</v>
      </c>
      <c r="J263" s="52">
        <v>1</v>
      </c>
      <c r="K263" s="49" t="s">
        <v>4105</v>
      </c>
      <c r="L263" s="49" t="s">
        <v>4143</v>
      </c>
      <c r="M263" s="58"/>
    </row>
    <row r="264" spans="1:13" ht="15">
      <c r="A264" s="52">
        <v>262</v>
      </c>
      <c r="B264" s="60" t="s">
        <v>1171</v>
      </c>
      <c r="C264" s="126" t="s">
        <v>630</v>
      </c>
      <c r="D264" s="52">
        <v>1</v>
      </c>
      <c r="E264" s="56" t="s">
        <v>2417</v>
      </c>
      <c r="F264" s="126" t="s">
        <v>22</v>
      </c>
      <c r="G264" s="126" t="s">
        <v>1664</v>
      </c>
      <c r="H264" s="131">
        <v>8</v>
      </c>
      <c r="I264" s="49" t="s">
        <v>3559</v>
      </c>
      <c r="J264" s="52">
        <v>1</v>
      </c>
      <c r="K264" s="49"/>
      <c r="L264" s="49" t="s">
        <v>4144</v>
      </c>
      <c r="M264" s="58"/>
    </row>
    <row r="265" spans="1:13" ht="15">
      <c r="A265" s="52">
        <v>263</v>
      </c>
      <c r="B265" s="60" t="s">
        <v>612</v>
      </c>
      <c r="C265" s="126" t="s">
        <v>614</v>
      </c>
      <c r="D265" s="52">
        <v>46</v>
      </c>
      <c r="E265" s="56" t="s">
        <v>2417</v>
      </c>
      <c r="F265" s="126" t="s">
        <v>22</v>
      </c>
      <c r="G265" s="126" t="s">
        <v>1686</v>
      </c>
      <c r="H265" s="131">
        <v>1072</v>
      </c>
      <c r="I265" s="49" t="s">
        <v>3559</v>
      </c>
      <c r="J265" s="52">
        <v>1</v>
      </c>
      <c r="K265" s="49"/>
      <c r="L265" s="49" t="s">
        <v>4145</v>
      </c>
      <c r="M265" s="58"/>
    </row>
    <row r="266" spans="1:13" ht="15">
      <c r="A266" s="52">
        <v>264</v>
      </c>
      <c r="B266" s="60" t="s">
        <v>1187</v>
      </c>
      <c r="C266" s="126" t="s">
        <v>1188</v>
      </c>
      <c r="D266" s="52">
        <v>1</v>
      </c>
      <c r="E266" s="56" t="s">
        <v>2417</v>
      </c>
      <c r="F266" s="126" t="s">
        <v>22</v>
      </c>
      <c r="G266" s="126" t="s">
        <v>1664</v>
      </c>
      <c r="H266" s="131">
        <v>88</v>
      </c>
      <c r="I266" s="49" t="s">
        <v>3559</v>
      </c>
      <c r="J266" s="52">
        <v>2</v>
      </c>
      <c r="K266" s="49"/>
      <c r="L266" s="49" t="s">
        <v>4146</v>
      </c>
      <c r="M266" s="58"/>
    </row>
    <row r="267" spans="1:13" ht="15">
      <c r="A267" s="52">
        <v>265</v>
      </c>
      <c r="B267" s="53" t="s">
        <v>776</v>
      </c>
      <c r="C267" s="126" t="s">
        <v>739</v>
      </c>
      <c r="D267" s="55">
        <v>1</v>
      </c>
      <c r="E267" s="56" t="s">
        <v>2417</v>
      </c>
      <c r="F267" s="126" t="s">
        <v>22</v>
      </c>
      <c r="G267" s="126" t="s">
        <v>1664</v>
      </c>
      <c r="H267" s="131">
        <v>8</v>
      </c>
      <c r="I267" s="49" t="s">
        <v>3559</v>
      </c>
      <c r="J267" s="52">
        <v>3</v>
      </c>
      <c r="K267" s="49"/>
      <c r="L267" s="49" t="s">
        <v>4147</v>
      </c>
      <c r="M267" s="58"/>
    </row>
    <row r="268" spans="1:13" ht="15">
      <c r="A268" s="52">
        <v>266</v>
      </c>
      <c r="B268" s="53" t="s">
        <v>777</v>
      </c>
      <c r="C268" s="126" t="s">
        <v>778</v>
      </c>
      <c r="D268" s="55">
        <v>3</v>
      </c>
      <c r="E268" s="56" t="s">
        <v>2417</v>
      </c>
      <c r="F268" s="126" t="s">
        <v>22</v>
      </c>
      <c r="G268" s="126" t="s">
        <v>1664</v>
      </c>
      <c r="H268" s="131">
        <v>24</v>
      </c>
      <c r="I268" s="49" t="s">
        <v>3559</v>
      </c>
      <c r="J268" s="52">
        <v>3</v>
      </c>
      <c r="K268" s="49"/>
      <c r="L268" s="49" t="s">
        <v>4148</v>
      </c>
      <c r="M268" s="58"/>
    </row>
    <row r="269" spans="1:13" ht="15">
      <c r="A269" s="52">
        <v>267</v>
      </c>
      <c r="B269" s="60" t="s">
        <v>1175</v>
      </c>
      <c r="C269" s="126" t="s">
        <v>587</v>
      </c>
      <c r="D269" s="52">
        <v>2</v>
      </c>
      <c r="E269" s="56" t="s">
        <v>2417</v>
      </c>
      <c r="F269" s="126" t="s">
        <v>22</v>
      </c>
      <c r="G269" s="126" t="s">
        <v>1664</v>
      </c>
      <c r="H269" s="131">
        <v>16</v>
      </c>
      <c r="I269" s="49" t="s">
        <v>3559</v>
      </c>
      <c r="J269" s="52">
        <v>3</v>
      </c>
      <c r="K269" s="49"/>
      <c r="L269" s="49" t="s">
        <v>4149</v>
      </c>
      <c r="M269" s="58">
        <v>45475</v>
      </c>
    </row>
    <row r="270" spans="1:13" ht="15">
      <c r="A270" s="52">
        <v>268</v>
      </c>
      <c r="B270" s="60" t="s">
        <v>533</v>
      </c>
      <c r="C270" s="126" t="s">
        <v>534</v>
      </c>
      <c r="D270" s="52">
        <v>14</v>
      </c>
      <c r="E270" s="56" t="s">
        <v>2417</v>
      </c>
      <c r="F270" s="126" t="s">
        <v>22</v>
      </c>
      <c r="G270" s="126" t="s">
        <v>1686</v>
      </c>
      <c r="H270" s="131">
        <v>112</v>
      </c>
      <c r="I270" s="49" t="s">
        <v>3559</v>
      </c>
      <c r="J270" s="52">
        <v>4</v>
      </c>
      <c r="K270" s="49"/>
      <c r="L270" s="49" t="s">
        <v>4150</v>
      </c>
      <c r="M270" s="58"/>
    </row>
    <row r="271" spans="1:13" ht="15">
      <c r="A271" s="52">
        <v>269</v>
      </c>
      <c r="B271" s="60" t="s">
        <v>1241</v>
      </c>
      <c r="C271" s="126" t="s">
        <v>1243</v>
      </c>
      <c r="D271" s="52">
        <v>3</v>
      </c>
      <c r="E271" s="56" t="s">
        <v>2417</v>
      </c>
      <c r="F271" s="126" t="s">
        <v>22</v>
      </c>
      <c r="G271" s="126" t="s">
        <v>1664</v>
      </c>
      <c r="H271" s="131">
        <v>24</v>
      </c>
      <c r="I271" s="49" t="s">
        <v>3559</v>
      </c>
      <c r="J271" s="52">
        <v>4</v>
      </c>
      <c r="K271" s="49"/>
      <c r="L271" s="49" t="s">
        <v>4151</v>
      </c>
      <c r="M271" s="58"/>
    </row>
    <row r="272" spans="1:13" ht="15">
      <c r="A272" s="52">
        <v>270</v>
      </c>
      <c r="B272" s="53" t="s">
        <v>1160</v>
      </c>
      <c r="C272" s="126" t="s">
        <v>739</v>
      </c>
      <c r="D272" s="55">
        <v>2</v>
      </c>
      <c r="E272" s="56" t="s">
        <v>2417</v>
      </c>
      <c r="F272" s="126" t="s">
        <v>22</v>
      </c>
      <c r="G272" s="126" t="s">
        <v>1664</v>
      </c>
      <c r="H272" s="131">
        <v>16</v>
      </c>
      <c r="I272" s="49" t="s">
        <v>3559</v>
      </c>
      <c r="J272" s="52">
        <v>5</v>
      </c>
      <c r="K272" s="49"/>
      <c r="L272" s="49" t="s">
        <v>4152</v>
      </c>
      <c r="M272" s="58"/>
    </row>
    <row r="273" spans="1:13" ht="15">
      <c r="A273" s="52">
        <v>271</v>
      </c>
      <c r="B273" s="53" t="s">
        <v>624</v>
      </c>
      <c r="C273" s="126" t="s">
        <v>625</v>
      </c>
      <c r="D273" s="55">
        <v>3</v>
      </c>
      <c r="E273" s="56" t="s">
        <v>2417</v>
      </c>
      <c r="F273" s="126" t="s">
        <v>22</v>
      </c>
      <c r="G273" s="126" t="s">
        <v>1664</v>
      </c>
      <c r="H273" s="131">
        <v>88</v>
      </c>
      <c r="I273" s="49" t="s">
        <v>3563</v>
      </c>
      <c r="J273" s="52">
        <v>2</v>
      </c>
      <c r="K273" s="49"/>
      <c r="L273" s="49" t="s">
        <v>4153</v>
      </c>
      <c r="M273" s="58"/>
    </row>
    <row r="274" spans="1:13" s="62" customFormat="1" ht="15">
      <c r="A274" s="52">
        <v>272</v>
      </c>
      <c r="B274" s="53" t="s">
        <v>706</v>
      </c>
      <c r="C274" s="126" t="s">
        <v>695</v>
      </c>
      <c r="D274" s="55">
        <v>5</v>
      </c>
      <c r="E274" s="56" t="s">
        <v>2417</v>
      </c>
      <c r="F274" s="126" t="s">
        <v>22</v>
      </c>
      <c r="G274" s="126" t="s">
        <v>1664</v>
      </c>
      <c r="H274" s="131">
        <v>40</v>
      </c>
      <c r="I274" s="49" t="s">
        <v>3563</v>
      </c>
      <c r="J274" s="52">
        <v>4</v>
      </c>
      <c r="K274" s="49"/>
      <c r="L274" s="49" t="s">
        <v>4154</v>
      </c>
      <c r="M274" s="58"/>
    </row>
    <row r="275" spans="1:13" ht="15">
      <c r="A275" s="52">
        <v>273</v>
      </c>
      <c r="B275" s="60" t="s">
        <v>718</v>
      </c>
      <c r="C275" s="126" t="s">
        <v>611</v>
      </c>
      <c r="D275" s="52">
        <v>2</v>
      </c>
      <c r="E275" s="56" t="s">
        <v>2417</v>
      </c>
      <c r="F275" s="126" t="s">
        <v>22</v>
      </c>
      <c r="G275" s="126" t="s">
        <v>1664</v>
      </c>
      <c r="H275" s="131">
        <v>32</v>
      </c>
      <c r="I275" s="49" t="s">
        <v>3563</v>
      </c>
      <c r="J275" s="52">
        <v>5</v>
      </c>
      <c r="K275" s="49"/>
      <c r="L275" s="49" t="s">
        <v>4155</v>
      </c>
      <c r="M275" s="58"/>
    </row>
    <row r="276" spans="1:13" ht="15">
      <c r="A276" s="52">
        <v>274</v>
      </c>
      <c r="B276" s="60" t="s">
        <v>547</v>
      </c>
      <c r="C276" s="126" t="s">
        <v>548</v>
      </c>
      <c r="D276" s="52">
        <v>1</v>
      </c>
      <c r="E276" s="56" t="s">
        <v>2417</v>
      </c>
      <c r="F276" s="126" t="s">
        <v>22</v>
      </c>
      <c r="G276" s="126" t="s">
        <v>1664</v>
      </c>
      <c r="H276" s="131">
        <v>80</v>
      </c>
      <c r="I276" s="49" t="s">
        <v>3570</v>
      </c>
      <c r="J276" s="52">
        <v>1</v>
      </c>
      <c r="K276" s="49"/>
      <c r="L276" s="49" t="s">
        <v>4156</v>
      </c>
      <c r="M276" s="58"/>
    </row>
    <row r="277" spans="1:13" ht="15">
      <c r="A277" s="52">
        <v>275</v>
      </c>
      <c r="B277" s="60" t="s">
        <v>2270</v>
      </c>
      <c r="C277" s="126" t="s">
        <v>2271</v>
      </c>
      <c r="D277" s="52">
        <v>1</v>
      </c>
      <c r="E277" s="56" t="s">
        <v>2417</v>
      </c>
      <c r="F277" s="126" t="s">
        <v>22</v>
      </c>
      <c r="G277" s="126" t="s">
        <v>1664</v>
      </c>
      <c r="H277" s="131">
        <v>8</v>
      </c>
      <c r="I277" s="49" t="s">
        <v>3570</v>
      </c>
      <c r="J277" s="52">
        <v>1</v>
      </c>
      <c r="K277" s="49"/>
      <c r="L277" s="49" t="s">
        <v>4157</v>
      </c>
      <c r="M277" s="58"/>
    </row>
    <row r="278" spans="1:13" ht="15">
      <c r="A278" s="52">
        <v>276</v>
      </c>
      <c r="B278" s="60" t="s">
        <v>608</v>
      </c>
      <c r="C278" s="126" t="s">
        <v>609</v>
      </c>
      <c r="D278" s="52">
        <v>1</v>
      </c>
      <c r="E278" s="56" t="s">
        <v>2417</v>
      </c>
      <c r="F278" s="126" t="s">
        <v>22</v>
      </c>
      <c r="G278" s="126" t="s">
        <v>1664</v>
      </c>
      <c r="H278" s="131">
        <v>32</v>
      </c>
      <c r="I278" s="49" t="s">
        <v>3570</v>
      </c>
      <c r="J278" s="52">
        <v>2</v>
      </c>
      <c r="K278" s="49"/>
      <c r="L278" s="49" t="s">
        <v>4158</v>
      </c>
      <c r="M278" s="58"/>
    </row>
    <row r="279" spans="1:13" ht="15">
      <c r="A279" s="52">
        <v>277</v>
      </c>
      <c r="B279" s="53" t="s">
        <v>1182</v>
      </c>
      <c r="C279" s="126" t="s">
        <v>587</v>
      </c>
      <c r="D279" s="55">
        <v>1</v>
      </c>
      <c r="E279" s="56" t="s">
        <v>2417</v>
      </c>
      <c r="F279" s="126" t="s">
        <v>22</v>
      </c>
      <c r="G279" s="126" t="s">
        <v>1664</v>
      </c>
      <c r="H279" s="131">
        <v>96</v>
      </c>
      <c r="I279" s="49" t="s">
        <v>3570</v>
      </c>
      <c r="J279" s="52">
        <v>5</v>
      </c>
      <c r="K279" s="49"/>
      <c r="L279" s="49" t="s">
        <v>4159</v>
      </c>
      <c r="M279" s="58"/>
    </row>
    <row r="280" spans="1:13" ht="15">
      <c r="A280" s="52">
        <v>278</v>
      </c>
      <c r="B280" s="60" t="s">
        <v>1142</v>
      </c>
      <c r="C280" s="126" t="s">
        <v>1049</v>
      </c>
      <c r="D280" s="52">
        <v>1</v>
      </c>
      <c r="E280" s="56" t="s">
        <v>2394</v>
      </c>
      <c r="F280" s="126" t="s">
        <v>22</v>
      </c>
      <c r="G280" s="126" t="s">
        <v>1664</v>
      </c>
      <c r="H280" s="131">
        <v>64</v>
      </c>
      <c r="I280" s="49" t="s">
        <v>3706</v>
      </c>
      <c r="J280" s="52">
        <v>3</v>
      </c>
      <c r="K280" s="49"/>
      <c r="L280" s="49" t="s">
        <v>4160</v>
      </c>
      <c r="M280" s="58"/>
    </row>
    <row r="281" spans="1:13" ht="15">
      <c r="A281" s="52">
        <v>279</v>
      </c>
      <c r="B281" s="60" t="s">
        <v>793</v>
      </c>
      <c r="C281" s="126" t="s">
        <v>485</v>
      </c>
      <c r="D281" s="52">
        <v>6</v>
      </c>
      <c r="E281" s="56" t="s">
        <v>2394</v>
      </c>
      <c r="F281" s="126" t="s">
        <v>22</v>
      </c>
      <c r="G281" s="126" t="s">
        <v>1664</v>
      </c>
      <c r="H281" s="131">
        <v>32</v>
      </c>
      <c r="I281" s="49" t="s">
        <v>3563</v>
      </c>
      <c r="J281" s="52">
        <v>1</v>
      </c>
      <c r="K281" s="49"/>
      <c r="L281" s="49" t="s">
        <v>4161</v>
      </c>
      <c r="M281" s="58"/>
    </row>
    <row r="282" spans="1:13" ht="15">
      <c r="A282" s="52">
        <v>280</v>
      </c>
      <c r="B282" s="60" t="s">
        <v>1189</v>
      </c>
      <c r="C282" s="126" t="s">
        <v>492</v>
      </c>
      <c r="D282" s="52">
        <v>6</v>
      </c>
      <c r="E282" s="56" t="s">
        <v>2394</v>
      </c>
      <c r="F282" s="126" t="s">
        <v>22</v>
      </c>
      <c r="G282" s="126" t="s">
        <v>1664</v>
      </c>
      <c r="H282" s="131">
        <v>48</v>
      </c>
      <c r="I282" s="49" t="s">
        <v>3563</v>
      </c>
      <c r="J282" s="52">
        <v>1</v>
      </c>
      <c r="K282" s="49"/>
      <c r="L282" s="49" t="s">
        <v>4162</v>
      </c>
      <c r="M282" s="58"/>
    </row>
    <row r="283" spans="1:13" ht="15">
      <c r="A283" s="52">
        <v>281</v>
      </c>
      <c r="B283" s="60" t="s">
        <v>1218</v>
      </c>
      <c r="C283" s="126" t="s">
        <v>587</v>
      </c>
      <c r="D283" s="52">
        <v>2</v>
      </c>
      <c r="E283" s="56" t="s">
        <v>2394</v>
      </c>
      <c r="F283" s="126" t="s">
        <v>22</v>
      </c>
      <c r="G283" s="126" t="s">
        <v>1664</v>
      </c>
      <c r="H283" s="131">
        <v>16</v>
      </c>
      <c r="I283" s="49" t="s">
        <v>3563</v>
      </c>
      <c r="J283" s="52">
        <v>1</v>
      </c>
      <c r="K283" s="49"/>
      <c r="L283" s="49" t="s">
        <v>4163</v>
      </c>
      <c r="M283" s="58"/>
    </row>
    <row r="284" spans="1:13" ht="15">
      <c r="A284" s="52">
        <v>282</v>
      </c>
      <c r="B284" s="60" t="s">
        <v>1246</v>
      </c>
      <c r="C284" s="126" t="s">
        <v>506</v>
      </c>
      <c r="D284" s="52">
        <v>2</v>
      </c>
      <c r="E284" s="56" t="s">
        <v>2394</v>
      </c>
      <c r="F284" s="126" t="s">
        <v>22</v>
      </c>
      <c r="G284" s="126" t="s">
        <v>1664</v>
      </c>
      <c r="H284" s="131">
        <v>16</v>
      </c>
      <c r="I284" s="49" t="s">
        <v>3563</v>
      </c>
      <c r="J284" s="52">
        <v>1</v>
      </c>
      <c r="K284" s="49"/>
      <c r="L284" s="49" t="s">
        <v>4164</v>
      </c>
      <c r="M284" s="58"/>
    </row>
    <row r="285" spans="1:13" ht="15">
      <c r="A285" s="52">
        <v>283</v>
      </c>
      <c r="B285" s="53" t="s">
        <v>1259</v>
      </c>
      <c r="C285" s="126" t="s">
        <v>1260</v>
      </c>
      <c r="D285" s="55">
        <v>2</v>
      </c>
      <c r="E285" s="56" t="s">
        <v>2394</v>
      </c>
      <c r="F285" s="126" t="s">
        <v>22</v>
      </c>
      <c r="G285" s="126" t="s">
        <v>1664</v>
      </c>
      <c r="H285" s="131">
        <v>16</v>
      </c>
      <c r="I285" s="49" t="s">
        <v>3563</v>
      </c>
      <c r="J285" s="52">
        <v>1</v>
      </c>
      <c r="K285" s="49"/>
      <c r="L285" s="49" t="s">
        <v>4165</v>
      </c>
      <c r="M285" s="58"/>
    </row>
    <row r="286" spans="1:13" ht="15">
      <c r="A286" s="52">
        <v>284</v>
      </c>
      <c r="B286" s="53" t="s">
        <v>556</v>
      </c>
      <c r="C286" s="126" t="s">
        <v>558</v>
      </c>
      <c r="D286" s="55">
        <v>8</v>
      </c>
      <c r="E286" s="56" t="s">
        <v>2394</v>
      </c>
      <c r="F286" s="126" t="s">
        <v>22</v>
      </c>
      <c r="G286" s="126" t="s">
        <v>1664</v>
      </c>
      <c r="H286" s="131">
        <v>160</v>
      </c>
      <c r="I286" s="49" t="s">
        <v>3563</v>
      </c>
      <c r="J286" s="52">
        <v>2</v>
      </c>
      <c r="K286" s="49"/>
      <c r="L286" s="49" t="s">
        <v>4166</v>
      </c>
      <c r="M286" s="58"/>
    </row>
    <row r="287" spans="1:13" ht="15">
      <c r="A287" s="52">
        <v>285</v>
      </c>
      <c r="B287" s="53" t="s">
        <v>641</v>
      </c>
      <c r="C287" s="126" t="s">
        <v>611</v>
      </c>
      <c r="D287" s="55">
        <v>6</v>
      </c>
      <c r="E287" s="56" t="s">
        <v>2394</v>
      </c>
      <c r="F287" s="126" t="s">
        <v>22</v>
      </c>
      <c r="G287" s="126" t="s">
        <v>1664</v>
      </c>
      <c r="H287" s="131">
        <v>48</v>
      </c>
      <c r="I287" s="49" t="s">
        <v>3563</v>
      </c>
      <c r="J287" s="52">
        <v>2</v>
      </c>
      <c r="K287" s="49"/>
      <c r="L287" s="49" t="s">
        <v>4167</v>
      </c>
      <c r="M287" s="58"/>
    </row>
    <row r="288" spans="1:13" ht="15">
      <c r="A288" s="52">
        <v>286</v>
      </c>
      <c r="B288" s="60" t="s">
        <v>1235</v>
      </c>
      <c r="C288" s="126" t="s">
        <v>1236</v>
      </c>
      <c r="D288" s="52">
        <v>4</v>
      </c>
      <c r="E288" s="56" t="s">
        <v>2394</v>
      </c>
      <c r="F288" s="126" t="s">
        <v>22</v>
      </c>
      <c r="G288" s="126" t="s">
        <v>1664</v>
      </c>
      <c r="H288" s="131">
        <v>32</v>
      </c>
      <c r="I288" s="49" t="s">
        <v>3563</v>
      </c>
      <c r="J288" s="52">
        <v>2</v>
      </c>
      <c r="K288" s="49"/>
      <c r="L288" s="49" t="s">
        <v>4168</v>
      </c>
      <c r="M288" s="58"/>
    </row>
    <row r="289" spans="1:13" ht="15">
      <c r="A289" s="52">
        <v>287</v>
      </c>
      <c r="B289" s="53" t="s">
        <v>1277</v>
      </c>
      <c r="C289" s="126" t="s">
        <v>492</v>
      </c>
      <c r="D289" s="55">
        <v>4</v>
      </c>
      <c r="E289" s="56" t="s">
        <v>2394</v>
      </c>
      <c r="F289" s="126" t="s">
        <v>22</v>
      </c>
      <c r="G289" s="126" t="s">
        <v>1664</v>
      </c>
      <c r="H289" s="131">
        <v>32</v>
      </c>
      <c r="I289" s="49" t="s">
        <v>3563</v>
      </c>
      <c r="J289" s="52">
        <v>2</v>
      </c>
      <c r="K289" s="49"/>
      <c r="L289" s="188" t="s">
        <v>4169</v>
      </c>
      <c r="M289" s="58"/>
    </row>
    <row r="290" spans="1:13" ht="15">
      <c r="A290" s="52">
        <v>288</v>
      </c>
      <c r="B290" s="60" t="s">
        <v>1279</v>
      </c>
      <c r="C290" s="126" t="s">
        <v>492</v>
      </c>
      <c r="D290" s="52">
        <v>2</v>
      </c>
      <c r="E290" s="56" t="s">
        <v>2394</v>
      </c>
      <c r="F290" s="126" t="s">
        <v>22</v>
      </c>
      <c r="G290" s="126" t="s">
        <v>1664</v>
      </c>
      <c r="H290" s="131">
        <v>32</v>
      </c>
      <c r="I290" s="49" t="s">
        <v>3563</v>
      </c>
      <c r="J290" s="52">
        <v>2</v>
      </c>
      <c r="K290" s="49"/>
      <c r="L290" s="49" t="s">
        <v>4170</v>
      </c>
      <c r="M290" s="58"/>
    </row>
    <row r="291" spans="1:13" ht="15">
      <c r="A291" s="52">
        <v>289</v>
      </c>
      <c r="B291" s="60" t="s">
        <v>1280</v>
      </c>
      <c r="C291" s="126" t="s">
        <v>492</v>
      </c>
      <c r="D291" s="52">
        <v>2</v>
      </c>
      <c r="E291" s="56" t="s">
        <v>2394</v>
      </c>
      <c r="F291" s="126" t="s">
        <v>22</v>
      </c>
      <c r="G291" s="126" t="s">
        <v>1664</v>
      </c>
      <c r="H291" s="131">
        <v>96</v>
      </c>
      <c r="I291" s="49" t="s">
        <v>3563</v>
      </c>
      <c r="J291" s="52">
        <v>2</v>
      </c>
      <c r="K291" s="49"/>
      <c r="L291" s="49" t="s">
        <v>4171</v>
      </c>
      <c r="M291" s="58"/>
    </row>
    <row r="292" spans="1:13" ht="15">
      <c r="A292" s="52">
        <v>290</v>
      </c>
      <c r="B292" s="53" t="s">
        <v>1287</v>
      </c>
      <c r="C292" s="126" t="s">
        <v>489</v>
      </c>
      <c r="D292" s="55">
        <v>2</v>
      </c>
      <c r="E292" s="56" t="s">
        <v>2394</v>
      </c>
      <c r="F292" s="126" t="s">
        <v>22</v>
      </c>
      <c r="G292" s="126" t="s">
        <v>1664</v>
      </c>
      <c r="H292" s="131">
        <v>32</v>
      </c>
      <c r="I292" s="49" t="s">
        <v>3563</v>
      </c>
      <c r="J292" s="52">
        <v>2</v>
      </c>
      <c r="K292" s="49"/>
      <c r="L292" s="49" t="s">
        <v>4172</v>
      </c>
      <c r="M292" s="58"/>
    </row>
    <row r="293" spans="1:13" ht="15">
      <c r="A293" s="52">
        <v>291</v>
      </c>
      <c r="B293" s="53" t="s">
        <v>799</v>
      </c>
      <c r="C293" s="126" t="s">
        <v>485</v>
      </c>
      <c r="D293" s="55">
        <v>2</v>
      </c>
      <c r="E293" s="56" t="s">
        <v>2394</v>
      </c>
      <c r="F293" s="126" t="s">
        <v>22</v>
      </c>
      <c r="G293" s="126" t="s">
        <v>1664</v>
      </c>
      <c r="H293" s="131">
        <v>16</v>
      </c>
      <c r="I293" s="49" t="s">
        <v>3563</v>
      </c>
      <c r="J293" s="52">
        <v>3</v>
      </c>
      <c r="K293" s="49"/>
      <c r="L293" s="49" t="s">
        <v>4173</v>
      </c>
      <c r="M293" s="58"/>
    </row>
    <row r="294" spans="1:13" s="62" customFormat="1" ht="15.75" customHeight="1">
      <c r="A294" s="52">
        <v>292</v>
      </c>
      <c r="B294" s="60" t="s">
        <v>1048</v>
      </c>
      <c r="C294" s="126" t="s">
        <v>1049</v>
      </c>
      <c r="D294" s="52">
        <v>7</v>
      </c>
      <c r="E294" s="56" t="s">
        <v>2394</v>
      </c>
      <c r="F294" s="126" t="s">
        <v>22</v>
      </c>
      <c r="G294" s="126" t="s">
        <v>1664</v>
      </c>
      <c r="H294" s="131">
        <v>56</v>
      </c>
      <c r="I294" s="49" t="s">
        <v>3563</v>
      </c>
      <c r="J294" s="52">
        <v>3</v>
      </c>
      <c r="K294" s="49"/>
      <c r="L294" s="49" t="s">
        <v>4174</v>
      </c>
      <c r="M294" s="58"/>
    </row>
    <row r="295" spans="1:13" ht="15">
      <c r="A295" s="52">
        <v>293</v>
      </c>
      <c r="B295" s="60" t="s">
        <v>1153</v>
      </c>
      <c r="C295" s="126" t="s">
        <v>558</v>
      </c>
      <c r="D295" s="52">
        <v>16</v>
      </c>
      <c r="E295" s="56" t="s">
        <v>2394</v>
      </c>
      <c r="F295" s="126" t="s">
        <v>22</v>
      </c>
      <c r="G295" s="126" t="s">
        <v>1664</v>
      </c>
      <c r="H295" s="131">
        <v>688</v>
      </c>
      <c r="I295" s="49" t="s">
        <v>3563</v>
      </c>
      <c r="J295" s="52">
        <v>3</v>
      </c>
      <c r="K295" s="49" t="s">
        <v>4105</v>
      </c>
      <c r="L295" s="49" t="s">
        <v>4175</v>
      </c>
      <c r="M295" s="58"/>
    </row>
    <row r="296" spans="1:13" ht="15">
      <c r="A296" s="52">
        <v>294</v>
      </c>
      <c r="B296" s="60" t="s">
        <v>1156</v>
      </c>
      <c r="C296" s="126" t="s">
        <v>558</v>
      </c>
      <c r="D296" s="52">
        <v>8</v>
      </c>
      <c r="E296" s="56" t="s">
        <v>2394</v>
      </c>
      <c r="F296" s="126" t="s">
        <v>22</v>
      </c>
      <c r="G296" s="126" t="s">
        <v>1664</v>
      </c>
      <c r="H296" s="131">
        <v>64</v>
      </c>
      <c r="I296" s="49" t="s">
        <v>3563</v>
      </c>
      <c r="J296" s="52">
        <v>3</v>
      </c>
      <c r="K296" s="49"/>
      <c r="L296" s="49" t="s">
        <v>4176</v>
      </c>
      <c r="M296" s="58"/>
    </row>
    <row r="297" spans="1:13" ht="15">
      <c r="A297" s="52">
        <v>295</v>
      </c>
      <c r="B297" s="60" t="s">
        <v>1221</v>
      </c>
      <c r="C297" s="126" t="s">
        <v>489</v>
      </c>
      <c r="D297" s="52">
        <v>32</v>
      </c>
      <c r="E297" s="56" t="s">
        <v>2394</v>
      </c>
      <c r="F297" s="126" t="s">
        <v>22</v>
      </c>
      <c r="G297" s="126" t="s">
        <v>1664</v>
      </c>
      <c r="H297" s="131">
        <v>256</v>
      </c>
      <c r="I297" s="49" t="s">
        <v>3563</v>
      </c>
      <c r="J297" s="52">
        <v>3</v>
      </c>
      <c r="K297" s="49"/>
      <c r="L297" s="49" t="s">
        <v>4177</v>
      </c>
      <c r="M297" s="58"/>
    </row>
    <row r="298" spans="1:13" ht="15">
      <c r="A298" s="52">
        <v>296</v>
      </c>
      <c r="B298" s="60" t="s">
        <v>1226</v>
      </c>
      <c r="C298" s="126" t="s">
        <v>1228</v>
      </c>
      <c r="D298" s="52">
        <v>8</v>
      </c>
      <c r="E298" s="56" t="s">
        <v>2394</v>
      </c>
      <c r="F298" s="126" t="s">
        <v>22</v>
      </c>
      <c r="G298" s="126" t="s">
        <v>1664</v>
      </c>
      <c r="H298" s="131">
        <v>64</v>
      </c>
      <c r="I298" s="49" t="s">
        <v>3563</v>
      </c>
      <c r="J298" s="52">
        <v>3</v>
      </c>
      <c r="K298" s="49"/>
      <c r="L298" s="49" t="s">
        <v>4178</v>
      </c>
      <c r="M298" s="58"/>
    </row>
    <row r="299" spans="1:13" ht="15">
      <c r="A299" s="52">
        <v>297</v>
      </c>
      <c r="B299" s="60" t="s">
        <v>1238</v>
      </c>
      <c r="C299" s="126" t="s">
        <v>558</v>
      </c>
      <c r="D299" s="52">
        <v>2</v>
      </c>
      <c r="E299" s="56" t="s">
        <v>2394</v>
      </c>
      <c r="F299" s="126" t="s">
        <v>22</v>
      </c>
      <c r="G299" s="126" t="s">
        <v>1664</v>
      </c>
      <c r="H299" s="131">
        <v>16</v>
      </c>
      <c r="I299" s="49" t="s">
        <v>3563</v>
      </c>
      <c r="J299" s="52">
        <v>3</v>
      </c>
      <c r="K299" s="49"/>
      <c r="L299" s="49" t="s">
        <v>4179</v>
      </c>
      <c r="M299" s="58"/>
    </row>
    <row r="300" spans="1:13" ht="15">
      <c r="A300" s="52">
        <v>298</v>
      </c>
      <c r="B300" s="60" t="s">
        <v>802</v>
      </c>
      <c r="C300" s="126" t="s">
        <v>485</v>
      </c>
      <c r="D300" s="52">
        <v>2</v>
      </c>
      <c r="E300" s="56" t="s">
        <v>2394</v>
      </c>
      <c r="F300" s="126" t="s">
        <v>22</v>
      </c>
      <c r="G300" s="126" t="s">
        <v>1664</v>
      </c>
      <c r="H300" s="131">
        <v>16</v>
      </c>
      <c r="I300" s="49" t="s">
        <v>3563</v>
      </c>
      <c r="J300" s="52">
        <v>4</v>
      </c>
      <c r="K300" s="49"/>
      <c r="L300" s="49" t="s">
        <v>4180</v>
      </c>
      <c r="M300" s="58"/>
    </row>
    <row r="301" spans="1:13" ht="15">
      <c r="A301" s="52">
        <v>299</v>
      </c>
      <c r="B301" s="60" t="s">
        <v>742</v>
      </c>
      <c r="C301" s="126" t="s">
        <v>587</v>
      </c>
      <c r="D301" s="52">
        <v>8</v>
      </c>
      <c r="E301" s="56" t="s">
        <v>2394</v>
      </c>
      <c r="F301" s="126" t="s">
        <v>22</v>
      </c>
      <c r="G301" s="126" t="s">
        <v>1664</v>
      </c>
      <c r="H301" s="131">
        <v>64</v>
      </c>
      <c r="I301" s="49" t="s">
        <v>3563</v>
      </c>
      <c r="J301" s="52">
        <v>4</v>
      </c>
      <c r="K301" s="49"/>
      <c r="L301" s="49" t="s">
        <v>4181</v>
      </c>
      <c r="M301" s="58"/>
    </row>
    <row r="302" spans="1:13" ht="15">
      <c r="A302" s="52">
        <v>300</v>
      </c>
      <c r="B302" s="60" t="s">
        <v>1229</v>
      </c>
      <c r="C302" s="126" t="s">
        <v>506</v>
      </c>
      <c r="D302" s="52">
        <v>4</v>
      </c>
      <c r="E302" s="56" t="s">
        <v>2394</v>
      </c>
      <c r="F302" s="126" t="s">
        <v>22</v>
      </c>
      <c r="G302" s="126" t="s">
        <v>1664</v>
      </c>
      <c r="H302" s="127">
        <v>32</v>
      </c>
      <c r="I302" s="49" t="s">
        <v>3563</v>
      </c>
      <c r="J302" s="52">
        <v>4</v>
      </c>
      <c r="K302" s="49"/>
      <c r="L302" s="188" t="s">
        <v>4182</v>
      </c>
      <c r="M302" s="58"/>
    </row>
    <row r="303" spans="1:13" ht="15">
      <c r="A303" s="52">
        <v>301</v>
      </c>
      <c r="B303" s="60" t="s">
        <v>1273</v>
      </c>
      <c r="C303" s="126" t="s">
        <v>489</v>
      </c>
      <c r="D303" s="52">
        <v>4</v>
      </c>
      <c r="E303" s="56" t="s">
        <v>2394</v>
      </c>
      <c r="F303" s="126" t="s">
        <v>22</v>
      </c>
      <c r="G303" s="126" t="s">
        <v>1664</v>
      </c>
      <c r="H303" s="127">
        <v>32</v>
      </c>
      <c r="I303" s="49" t="s">
        <v>3563</v>
      </c>
      <c r="J303" s="52">
        <v>4</v>
      </c>
      <c r="K303" s="49"/>
      <c r="L303" s="49" t="s">
        <v>4183</v>
      </c>
      <c r="M303" s="58"/>
    </row>
    <row r="304" spans="1:13" ht="15">
      <c r="A304" s="52">
        <v>302</v>
      </c>
      <c r="B304" s="60" t="s">
        <v>1274</v>
      </c>
      <c r="C304" s="126" t="s">
        <v>489</v>
      </c>
      <c r="D304" s="52">
        <v>8</v>
      </c>
      <c r="E304" s="56" t="s">
        <v>2394</v>
      </c>
      <c r="F304" s="126" t="s">
        <v>22</v>
      </c>
      <c r="G304" s="126" t="s">
        <v>1664</v>
      </c>
      <c r="H304" s="131">
        <v>144</v>
      </c>
      <c r="I304" s="49" t="s">
        <v>3563</v>
      </c>
      <c r="J304" s="52">
        <v>4</v>
      </c>
      <c r="K304" s="49"/>
      <c r="L304" s="49" t="s">
        <v>4184</v>
      </c>
      <c r="M304" s="58"/>
    </row>
    <row r="305" spans="1:13" ht="15">
      <c r="A305" s="52">
        <v>303</v>
      </c>
      <c r="B305" s="53" t="s">
        <v>1275</v>
      </c>
      <c r="C305" s="126" t="s">
        <v>489</v>
      </c>
      <c r="D305" s="55">
        <v>8</v>
      </c>
      <c r="E305" s="56" t="s">
        <v>2394</v>
      </c>
      <c r="F305" s="126" t="s">
        <v>22</v>
      </c>
      <c r="G305" s="126" t="s">
        <v>1664</v>
      </c>
      <c r="H305" s="131">
        <v>64</v>
      </c>
      <c r="I305" s="49" t="s">
        <v>3563</v>
      </c>
      <c r="J305" s="52">
        <v>4</v>
      </c>
      <c r="K305" s="49"/>
      <c r="L305" s="49" t="s">
        <v>4185</v>
      </c>
      <c r="M305" s="58"/>
    </row>
    <row r="306" spans="1:13" ht="15">
      <c r="A306" s="52">
        <v>304</v>
      </c>
      <c r="B306" s="60" t="s">
        <v>1278</v>
      </c>
      <c r="C306" s="126" t="s">
        <v>492</v>
      </c>
      <c r="D306" s="52">
        <v>4</v>
      </c>
      <c r="E306" s="56" t="s">
        <v>2394</v>
      </c>
      <c r="F306" s="126" t="s">
        <v>22</v>
      </c>
      <c r="G306" s="126" t="s">
        <v>1664</v>
      </c>
      <c r="H306" s="131">
        <v>32</v>
      </c>
      <c r="I306" s="49" t="s">
        <v>3563</v>
      </c>
      <c r="J306" s="52">
        <v>4</v>
      </c>
      <c r="K306" s="49"/>
      <c r="L306" s="49" t="s">
        <v>4186</v>
      </c>
      <c r="M306" s="58"/>
    </row>
    <row r="307" spans="1:13" ht="15">
      <c r="A307" s="52">
        <v>305</v>
      </c>
      <c r="B307" s="60" t="s">
        <v>1282</v>
      </c>
      <c r="C307" s="126" t="s">
        <v>492</v>
      </c>
      <c r="D307" s="52">
        <v>4</v>
      </c>
      <c r="E307" s="56" t="s">
        <v>2394</v>
      </c>
      <c r="F307" s="126" t="s">
        <v>22</v>
      </c>
      <c r="G307" s="126" t="s">
        <v>1664</v>
      </c>
      <c r="H307" s="131">
        <v>32</v>
      </c>
      <c r="I307" s="49" t="s">
        <v>3563</v>
      </c>
      <c r="J307" s="52">
        <v>4</v>
      </c>
      <c r="K307" s="49"/>
      <c r="L307" s="49" t="s">
        <v>4187</v>
      </c>
      <c r="M307" s="58">
        <v>45533</v>
      </c>
    </row>
    <row r="308" spans="1:13" ht="15">
      <c r="A308" s="52">
        <v>306</v>
      </c>
      <c r="B308" s="60" t="s">
        <v>1283</v>
      </c>
      <c r="C308" s="126" t="s">
        <v>1285</v>
      </c>
      <c r="D308" s="52">
        <v>6</v>
      </c>
      <c r="E308" s="56" t="s">
        <v>2394</v>
      </c>
      <c r="F308" s="126" t="s">
        <v>22</v>
      </c>
      <c r="G308" s="126" t="s">
        <v>1664</v>
      </c>
      <c r="H308" s="131">
        <v>64</v>
      </c>
      <c r="I308" s="49" t="s">
        <v>3563</v>
      </c>
      <c r="J308" s="52">
        <v>4</v>
      </c>
      <c r="K308" s="49"/>
      <c r="L308" s="49" t="s">
        <v>4188</v>
      </c>
      <c r="M308" s="58"/>
    </row>
    <row r="309" spans="1:13" ht="15">
      <c r="A309" s="52">
        <v>307</v>
      </c>
      <c r="B309" s="60" t="s">
        <v>1286</v>
      </c>
      <c r="C309" s="126" t="s">
        <v>1285</v>
      </c>
      <c r="D309" s="52">
        <v>4</v>
      </c>
      <c r="E309" s="56" t="s">
        <v>2394</v>
      </c>
      <c r="F309" s="126" t="s">
        <v>22</v>
      </c>
      <c r="G309" s="126" t="s">
        <v>1664</v>
      </c>
      <c r="H309" s="131">
        <v>32</v>
      </c>
      <c r="I309" s="49" t="s">
        <v>3563</v>
      </c>
      <c r="J309" s="52">
        <v>4</v>
      </c>
      <c r="K309" s="49"/>
      <c r="L309" s="49" t="s">
        <v>4189</v>
      </c>
      <c r="M309" s="58"/>
    </row>
    <row r="310" spans="1:13" ht="15">
      <c r="A310" s="52">
        <v>308</v>
      </c>
      <c r="B310" s="60" t="s">
        <v>857</v>
      </c>
      <c r="C310" s="126" t="s">
        <v>489</v>
      </c>
      <c r="D310" s="52">
        <v>6</v>
      </c>
      <c r="E310" s="56" t="s">
        <v>2394</v>
      </c>
      <c r="F310" s="126" t="s">
        <v>22</v>
      </c>
      <c r="G310" s="126" t="s">
        <v>1664</v>
      </c>
      <c r="H310" s="131">
        <v>48</v>
      </c>
      <c r="I310" s="49" t="s">
        <v>3563</v>
      </c>
      <c r="J310" s="52">
        <v>5</v>
      </c>
      <c r="K310" s="49"/>
      <c r="L310" s="49" t="s">
        <v>4190</v>
      </c>
      <c r="M310" s="58"/>
    </row>
    <row r="311" spans="1:13" ht="15">
      <c r="A311" s="52">
        <v>309</v>
      </c>
      <c r="B311" s="60" t="s">
        <v>875</v>
      </c>
      <c r="C311" s="126" t="s">
        <v>876</v>
      </c>
      <c r="D311" s="52">
        <v>4</v>
      </c>
      <c r="E311" s="56" t="s">
        <v>2394</v>
      </c>
      <c r="F311" s="126" t="s">
        <v>22</v>
      </c>
      <c r="G311" s="126" t="s">
        <v>1664</v>
      </c>
      <c r="H311" s="131">
        <v>32</v>
      </c>
      <c r="I311" s="49" t="s">
        <v>3563</v>
      </c>
      <c r="J311" s="52">
        <v>5</v>
      </c>
      <c r="K311" s="49"/>
      <c r="L311" s="49" t="s">
        <v>4191</v>
      </c>
      <c r="M311" s="58"/>
    </row>
    <row r="312" spans="1:13" ht="15">
      <c r="A312" s="52">
        <v>310</v>
      </c>
      <c r="B312" s="60" t="s">
        <v>1152</v>
      </c>
      <c r="C312" s="126" t="s">
        <v>558</v>
      </c>
      <c r="D312" s="52">
        <v>12</v>
      </c>
      <c r="E312" s="56" t="s">
        <v>2394</v>
      </c>
      <c r="F312" s="126" t="s">
        <v>22</v>
      </c>
      <c r="G312" s="126" t="s">
        <v>1664</v>
      </c>
      <c r="H312" s="131">
        <v>96</v>
      </c>
      <c r="I312" s="49" t="s">
        <v>3563</v>
      </c>
      <c r="J312" s="52">
        <v>5</v>
      </c>
      <c r="K312" s="49"/>
      <c r="L312" s="49" t="s">
        <v>4192</v>
      </c>
      <c r="M312" s="58"/>
    </row>
    <row r="313" spans="1:13" ht="15">
      <c r="A313" s="52">
        <v>311</v>
      </c>
      <c r="B313" s="60" t="s">
        <v>1245</v>
      </c>
      <c r="C313" s="126" t="s">
        <v>506</v>
      </c>
      <c r="D313" s="52">
        <v>2</v>
      </c>
      <c r="E313" s="56" t="s">
        <v>2394</v>
      </c>
      <c r="F313" s="126" t="s">
        <v>22</v>
      </c>
      <c r="G313" s="126" t="s">
        <v>1664</v>
      </c>
      <c r="H313" s="131">
        <v>16</v>
      </c>
      <c r="I313" s="49" t="s">
        <v>3585</v>
      </c>
      <c r="J313" s="52">
        <v>1</v>
      </c>
      <c r="K313" s="49"/>
      <c r="L313" s="49" t="s">
        <v>4193</v>
      </c>
      <c r="M313" s="58"/>
    </row>
    <row r="314" spans="1:13" ht="15">
      <c r="A314" s="52">
        <v>312</v>
      </c>
      <c r="B314" s="60" t="s">
        <v>752</v>
      </c>
      <c r="C314" s="126" t="s">
        <v>489</v>
      </c>
      <c r="D314" s="52">
        <v>4</v>
      </c>
      <c r="E314" s="56" t="s">
        <v>2394</v>
      </c>
      <c r="F314" s="126" t="s">
        <v>22</v>
      </c>
      <c r="G314" s="126" t="s">
        <v>1664</v>
      </c>
      <c r="H314" s="131">
        <v>112</v>
      </c>
      <c r="I314" s="49" t="s">
        <v>3570</v>
      </c>
      <c r="J314" s="52">
        <v>1</v>
      </c>
      <c r="K314" s="49"/>
      <c r="L314" s="49" t="s">
        <v>4194</v>
      </c>
      <c r="M314" s="58"/>
    </row>
    <row r="315" spans="1:13" ht="15">
      <c r="A315" s="52">
        <v>313</v>
      </c>
      <c r="B315" s="60" t="s">
        <v>796</v>
      </c>
      <c r="C315" s="126" t="s">
        <v>485</v>
      </c>
      <c r="D315" s="52">
        <v>2</v>
      </c>
      <c r="E315" s="56" t="s">
        <v>2394</v>
      </c>
      <c r="F315" s="126" t="s">
        <v>22</v>
      </c>
      <c r="G315" s="126" t="s">
        <v>1664</v>
      </c>
      <c r="H315" s="131">
        <v>32</v>
      </c>
      <c r="I315" s="49" t="s">
        <v>3570</v>
      </c>
      <c r="J315" s="52">
        <v>2</v>
      </c>
      <c r="K315" s="49" t="s">
        <v>4105</v>
      </c>
      <c r="L315" s="49" t="s">
        <v>4195</v>
      </c>
      <c r="M315" s="58"/>
    </row>
    <row r="316" spans="1:13" s="62" customFormat="1" ht="15">
      <c r="A316" s="52">
        <v>314</v>
      </c>
      <c r="B316" s="60" t="s">
        <v>1039</v>
      </c>
      <c r="C316" s="126" t="s">
        <v>21</v>
      </c>
      <c r="D316" s="52">
        <v>1</v>
      </c>
      <c r="E316" s="56" t="s">
        <v>2394</v>
      </c>
      <c r="F316" s="126" t="s">
        <v>22</v>
      </c>
      <c r="G316" s="126" t="s">
        <v>1664</v>
      </c>
      <c r="H316" s="131">
        <v>8</v>
      </c>
      <c r="I316" s="49" t="s">
        <v>3570</v>
      </c>
      <c r="J316" s="52">
        <v>2</v>
      </c>
      <c r="K316" s="49" t="s">
        <v>3654</v>
      </c>
      <c r="L316" s="49" t="s">
        <v>4196</v>
      </c>
      <c r="M316" s="58"/>
    </row>
    <row r="317" spans="1:13" s="62" customFormat="1" ht="15">
      <c r="A317" s="52">
        <v>315</v>
      </c>
      <c r="B317" s="60" t="s">
        <v>1040</v>
      </c>
      <c r="C317" s="126" t="s">
        <v>21</v>
      </c>
      <c r="D317" s="52">
        <v>1</v>
      </c>
      <c r="E317" s="56" t="s">
        <v>2394</v>
      </c>
      <c r="F317" s="126" t="s">
        <v>22</v>
      </c>
      <c r="G317" s="126" t="s">
        <v>1664</v>
      </c>
      <c r="H317" s="131">
        <v>8</v>
      </c>
      <c r="I317" s="49" t="s">
        <v>3570</v>
      </c>
      <c r="J317" s="52">
        <v>2</v>
      </c>
      <c r="K317" s="49" t="s">
        <v>3654</v>
      </c>
      <c r="L317" s="49" t="s">
        <v>4197</v>
      </c>
      <c r="M317" s="58"/>
    </row>
    <row r="318" spans="1:13" ht="15">
      <c r="A318" s="52">
        <v>316</v>
      </c>
      <c r="B318" s="60" t="s">
        <v>804</v>
      </c>
      <c r="C318" s="126" t="s">
        <v>485</v>
      </c>
      <c r="D318" s="52">
        <v>2</v>
      </c>
      <c r="E318" s="56" t="s">
        <v>2394</v>
      </c>
      <c r="F318" s="126" t="s">
        <v>22</v>
      </c>
      <c r="G318" s="126" t="s">
        <v>1664</v>
      </c>
      <c r="H318" s="131">
        <v>40</v>
      </c>
      <c r="I318" s="49" t="s">
        <v>3570</v>
      </c>
      <c r="J318" s="52">
        <v>4</v>
      </c>
      <c r="K318" s="49" t="s">
        <v>4105</v>
      </c>
      <c r="L318" s="49" t="s">
        <v>4198</v>
      </c>
      <c r="M318" s="58"/>
    </row>
    <row r="319" spans="1:13" ht="15">
      <c r="A319" s="52">
        <v>317</v>
      </c>
      <c r="B319" s="60" t="s">
        <v>768</v>
      </c>
      <c r="C319" s="126" t="s">
        <v>769</v>
      </c>
      <c r="D319" s="52">
        <v>2</v>
      </c>
      <c r="E319" s="56" t="s">
        <v>2427</v>
      </c>
      <c r="F319" s="126" t="s">
        <v>22</v>
      </c>
      <c r="G319" s="126" t="s">
        <v>1664</v>
      </c>
      <c r="H319" s="131">
        <v>16</v>
      </c>
      <c r="I319" s="49" t="s">
        <v>3559</v>
      </c>
      <c r="J319" s="52">
        <v>1</v>
      </c>
      <c r="K319" s="49"/>
      <c r="L319" s="49" t="s">
        <v>4199</v>
      </c>
      <c r="M319" s="58"/>
    </row>
    <row r="320" spans="1:13" ht="15">
      <c r="A320" s="52">
        <v>318</v>
      </c>
      <c r="B320" s="60" t="s">
        <v>770</v>
      </c>
      <c r="C320" s="126" t="s">
        <v>772</v>
      </c>
      <c r="D320" s="52">
        <v>1</v>
      </c>
      <c r="E320" s="56" t="s">
        <v>2427</v>
      </c>
      <c r="F320" s="126" t="s">
        <v>22</v>
      </c>
      <c r="G320" s="126" t="s">
        <v>1664</v>
      </c>
      <c r="H320" s="131">
        <v>8</v>
      </c>
      <c r="I320" s="49" t="s">
        <v>3559</v>
      </c>
      <c r="J320" s="52">
        <v>1</v>
      </c>
      <c r="K320" s="49"/>
      <c r="L320" s="49" t="s">
        <v>4200</v>
      </c>
      <c r="M320" s="58"/>
    </row>
    <row r="321" spans="1:13" ht="15">
      <c r="A321" s="52">
        <v>319</v>
      </c>
      <c r="B321" s="60" t="s">
        <v>520</v>
      </c>
      <c r="C321" s="126" t="s">
        <v>521</v>
      </c>
      <c r="D321" s="52">
        <v>1</v>
      </c>
      <c r="E321" s="56" t="s">
        <v>2427</v>
      </c>
      <c r="F321" s="126" t="s">
        <v>22</v>
      </c>
      <c r="G321" s="126" t="s">
        <v>1664</v>
      </c>
      <c r="H321" s="131">
        <v>8</v>
      </c>
      <c r="I321" s="49" t="s">
        <v>3559</v>
      </c>
      <c r="J321" s="52">
        <v>1</v>
      </c>
      <c r="K321" s="49"/>
      <c r="L321" s="49" t="s">
        <v>4201</v>
      </c>
      <c r="M321" s="58"/>
    </row>
    <row r="322" spans="1:13" ht="15">
      <c r="A322" s="52">
        <v>320</v>
      </c>
      <c r="B322" s="60" t="s">
        <v>522</v>
      </c>
      <c r="C322" s="126" t="s">
        <v>521</v>
      </c>
      <c r="D322" s="52">
        <v>1</v>
      </c>
      <c r="E322" s="56" t="s">
        <v>2427</v>
      </c>
      <c r="F322" s="126" t="s">
        <v>22</v>
      </c>
      <c r="G322" s="126" t="s">
        <v>1664</v>
      </c>
      <c r="H322" s="131">
        <v>8</v>
      </c>
      <c r="I322" s="49" t="s">
        <v>3559</v>
      </c>
      <c r="J322" s="52">
        <v>1</v>
      </c>
      <c r="K322" s="49"/>
      <c r="L322" s="49" t="s">
        <v>4202</v>
      </c>
      <c r="M322" s="58"/>
    </row>
    <row r="323" spans="1:13" ht="15">
      <c r="A323" s="52">
        <v>321</v>
      </c>
      <c r="B323" s="60" t="s">
        <v>561</v>
      </c>
      <c r="C323" s="126" t="s">
        <v>521</v>
      </c>
      <c r="D323" s="52">
        <v>1</v>
      </c>
      <c r="E323" s="56" t="s">
        <v>2427</v>
      </c>
      <c r="F323" s="126" t="s">
        <v>22</v>
      </c>
      <c r="G323" s="126" t="s">
        <v>1664</v>
      </c>
      <c r="H323" s="131">
        <v>8</v>
      </c>
      <c r="I323" s="49" t="s">
        <v>3559</v>
      </c>
      <c r="J323" s="52">
        <v>1</v>
      </c>
      <c r="K323" s="49"/>
      <c r="L323" s="49" t="s">
        <v>4203</v>
      </c>
      <c r="M323" s="58"/>
    </row>
    <row r="324" spans="1:13" ht="14.25" customHeight="1">
      <c r="A324" s="52">
        <v>322</v>
      </c>
      <c r="B324" s="60" t="s">
        <v>490</v>
      </c>
      <c r="C324" s="126" t="s">
        <v>485</v>
      </c>
      <c r="D324" s="52">
        <v>2</v>
      </c>
      <c r="E324" s="56" t="s">
        <v>2427</v>
      </c>
      <c r="F324" s="126" t="s">
        <v>22</v>
      </c>
      <c r="G324" s="126" t="s">
        <v>1664</v>
      </c>
      <c r="H324" s="131">
        <v>48</v>
      </c>
      <c r="I324" s="49" t="s">
        <v>3559</v>
      </c>
      <c r="J324" s="52">
        <v>2</v>
      </c>
      <c r="K324" s="49"/>
      <c r="L324" s="49" t="s">
        <v>4204</v>
      </c>
      <c r="M324" s="58"/>
    </row>
    <row r="325" spans="1:13" ht="14.25" customHeight="1">
      <c r="A325" s="52">
        <v>323</v>
      </c>
      <c r="B325" s="60" t="s">
        <v>1062</v>
      </c>
      <c r="C325" s="126" t="s">
        <v>1064</v>
      </c>
      <c r="D325" s="52">
        <v>20</v>
      </c>
      <c r="E325" s="56" t="s">
        <v>2427</v>
      </c>
      <c r="F325" s="126" t="s">
        <v>22</v>
      </c>
      <c r="G325" s="126" t="s">
        <v>1664</v>
      </c>
      <c r="H325" s="131">
        <v>160</v>
      </c>
      <c r="I325" s="49" t="s">
        <v>3559</v>
      </c>
      <c r="J325" s="52">
        <v>2</v>
      </c>
      <c r="K325" s="49"/>
      <c r="L325" s="49" t="s">
        <v>4205</v>
      </c>
      <c r="M325" s="58"/>
    </row>
    <row r="326" spans="1:13" ht="15">
      <c r="A326" s="52">
        <v>324</v>
      </c>
      <c r="B326" s="60" t="s">
        <v>752</v>
      </c>
      <c r="C326" s="126" t="s">
        <v>489</v>
      </c>
      <c r="D326" s="52">
        <v>1</v>
      </c>
      <c r="E326" s="56" t="s">
        <v>2427</v>
      </c>
      <c r="F326" s="126" t="s">
        <v>22</v>
      </c>
      <c r="G326" s="126" t="s">
        <v>1664</v>
      </c>
      <c r="H326" s="131">
        <v>112</v>
      </c>
      <c r="I326" s="49" t="s">
        <v>3559</v>
      </c>
      <c r="J326" s="52">
        <v>3</v>
      </c>
      <c r="K326" s="49"/>
      <c r="L326" s="49" t="s">
        <v>4206</v>
      </c>
      <c r="M326" s="58"/>
    </row>
    <row r="327" spans="1:13" ht="15">
      <c r="A327" s="52">
        <v>325</v>
      </c>
      <c r="B327" s="60" t="s">
        <v>1276</v>
      </c>
      <c r="C327" s="126" t="s">
        <v>492</v>
      </c>
      <c r="D327" s="52">
        <v>1</v>
      </c>
      <c r="E327" s="56" t="s">
        <v>2427</v>
      </c>
      <c r="F327" s="126" t="s">
        <v>22</v>
      </c>
      <c r="G327" s="126" t="s">
        <v>1664</v>
      </c>
      <c r="H327" s="131">
        <v>32</v>
      </c>
      <c r="I327" s="49" t="s">
        <v>3559</v>
      </c>
      <c r="J327" s="52">
        <v>3</v>
      </c>
      <c r="K327" s="49"/>
      <c r="L327" s="49" t="s">
        <v>4207</v>
      </c>
      <c r="M327" s="58"/>
    </row>
    <row r="328" spans="1:13" s="62" customFormat="1" ht="15">
      <c r="A328" s="52">
        <v>326</v>
      </c>
      <c r="B328" s="60" t="s">
        <v>612</v>
      </c>
      <c r="C328" s="126" t="s">
        <v>614</v>
      </c>
      <c r="D328" s="52">
        <v>12</v>
      </c>
      <c r="E328" s="56" t="s">
        <v>2427</v>
      </c>
      <c r="F328" s="126" t="s">
        <v>22</v>
      </c>
      <c r="G328" s="126" t="s">
        <v>1686</v>
      </c>
      <c r="H328" s="131">
        <v>1072</v>
      </c>
      <c r="I328" s="49" t="s">
        <v>3563</v>
      </c>
      <c r="J328" s="52">
        <v>1</v>
      </c>
      <c r="K328" s="49"/>
      <c r="L328" s="49" t="s">
        <v>4208</v>
      </c>
      <c r="M328" s="58">
        <v>45533</v>
      </c>
    </row>
    <row r="329" spans="1:13" ht="15">
      <c r="A329" s="52">
        <v>327</v>
      </c>
      <c r="B329" s="53" t="s">
        <v>1271</v>
      </c>
      <c r="C329" s="126" t="s">
        <v>630</v>
      </c>
      <c r="D329" s="55">
        <v>7</v>
      </c>
      <c r="E329" s="56" t="s">
        <v>2427</v>
      </c>
      <c r="F329" s="126" t="s">
        <v>22</v>
      </c>
      <c r="G329" s="126" t="s">
        <v>1664</v>
      </c>
      <c r="H329" s="131">
        <v>72</v>
      </c>
      <c r="I329" s="49" t="s">
        <v>3563</v>
      </c>
      <c r="J329" s="52">
        <v>2</v>
      </c>
      <c r="K329" s="49"/>
      <c r="L329" s="49" t="s">
        <v>4209</v>
      </c>
      <c r="M329" s="58"/>
    </row>
    <row r="330" spans="1:13" ht="15">
      <c r="A330" s="52">
        <v>328</v>
      </c>
      <c r="B330" s="60" t="s">
        <v>524</v>
      </c>
      <c r="C330" s="126" t="s">
        <v>526</v>
      </c>
      <c r="D330" s="52">
        <v>2</v>
      </c>
      <c r="E330" s="56" t="s">
        <v>2427</v>
      </c>
      <c r="F330" s="126" t="s">
        <v>22</v>
      </c>
      <c r="G330" s="126" t="s">
        <v>1664</v>
      </c>
      <c r="H330" s="131">
        <v>16</v>
      </c>
      <c r="I330" s="49" t="s">
        <v>3563</v>
      </c>
      <c r="J330" s="52">
        <v>3</v>
      </c>
      <c r="K330" s="49"/>
      <c r="L330" s="49" t="s">
        <v>4210</v>
      </c>
      <c r="M330" s="58"/>
    </row>
    <row r="331" spans="1:13" ht="15">
      <c r="A331" s="52">
        <v>329</v>
      </c>
      <c r="B331" s="60" t="s">
        <v>1151</v>
      </c>
      <c r="C331" s="126" t="s">
        <v>558</v>
      </c>
      <c r="D331" s="52">
        <v>1</v>
      </c>
      <c r="E331" s="56" t="s">
        <v>2427</v>
      </c>
      <c r="F331" s="126" t="s">
        <v>22</v>
      </c>
      <c r="G331" s="126" t="s">
        <v>1664</v>
      </c>
      <c r="H331" s="131">
        <v>8</v>
      </c>
      <c r="I331" s="49" t="s">
        <v>3563</v>
      </c>
      <c r="J331" s="52">
        <v>3</v>
      </c>
      <c r="K331" s="49"/>
      <c r="L331" s="49" t="s">
        <v>4211</v>
      </c>
      <c r="M331" s="58"/>
    </row>
    <row r="332" spans="1:13" ht="15">
      <c r="A332" s="52">
        <v>330</v>
      </c>
      <c r="B332" s="60" t="s">
        <v>711</v>
      </c>
      <c r="C332" s="126" t="s">
        <v>712</v>
      </c>
      <c r="D332" s="52">
        <v>2</v>
      </c>
      <c r="E332" s="56" t="s">
        <v>2427</v>
      </c>
      <c r="F332" s="126" t="s">
        <v>22</v>
      </c>
      <c r="G332" s="126" t="s">
        <v>1664</v>
      </c>
      <c r="H332" s="131">
        <v>16</v>
      </c>
      <c r="I332" s="49" t="s">
        <v>3563</v>
      </c>
      <c r="J332" s="52">
        <v>3</v>
      </c>
      <c r="K332" s="49"/>
      <c r="L332" s="188" t="s">
        <v>4212</v>
      </c>
      <c r="M332" s="58"/>
    </row>
    <row r="333" spans="1:13" ht="15">
      <c r="A333" s="52">
        <v>331</v>
      </c>
      <c r="B333" s="60" t="s">
        <v>269</v>
      </c>
      <c r="C333" s="126" t="s">
        <v>270</v>
      </c>
      <c r="D333" s="52">
        <v>8</v>
      </c>
      <c r="E333" s="56" t="s">
        <v>2427</v>
      </c>
      <c r="F333" s="126" t="s">
        <v>22</v>
      </c>
      <c r="G333" s="126" t="s">
        <v>1664</v>
      </c>
      <c r="H333" s="131">
        <v>80</v>
      </c>
      <c r="I333" s="49" t="s">
        <v>3563</v>
      </c>
      <c r="J333" s="52">
        <v>5</v>
      </c>
      <c r="K333" s="49" t="s">
        <v>4105</v>
      </c>
      <c r="L333" s="49" t="s">
        <v>4213</v>
      </c>
      <c r="M333" s="58"/>
    </row>
    <row r="334" spans="1:13" ht="15">
      <c r="A334" s="52">
        <v>332</v>
      </c>
      <c r="B334" s="60" t="s">
        <v>496</v>
      </c>
      <c r="C334" s="126" t="s">
        <v>498</v>
      </c>
      <c r="D334" s="52">
        <v>4</v>
      </c>
      <c r="E334" s="56" t="s">
        <v>2427</v>
      </c>
      <c r="F334" s="126" t="s">
        <v>22</v>
      </c>
      <c r="G334" s="126" t="s">
        <v>1664</v>
      </c>
      <c r="H334" s="131">
        <v>32</v>
      </c>
      <c r="I334" s="49" t="s">
        <v>3563</v>
      </c>
      <c r="J334" s="52">
        <v>5</v>
      </c>
      <c r="K334" s="49"/>
      <c r="L334" s="49" t="s">
        <v>4214</v>
      </c>
      <c r="M334" s="58"/>
    </row>
    <row r="335" spans="1:13" ht="15">
      <c r="A335" s="52">
        <v>333</v>
      </c>
      <c r="B335" s="60" t="s">
        <v>1182</v>
      </c>
      <c r="C335" s="126" t="s">
        <v>587</v>
      </c>
      <c r="D335" s="52">
        <v>2</v>
      </c>
      <c r="E335" s="56" t="s">
        <v>2427</v>
      </c>
      <c r="F335" s="126" t="s">
        <v>22</v>
      </c>
      <c r="G335" s="126" t="s">
        <v>1664</v>
      </c>
      <c r="H335" s="131">
        <v>96</v>
      </c>
      <c r="I335" s="49" t="s">
        <v>3570</v>
      </c>
      <c r="J335" s="52">
        <v>5</v>
      </c>
      <c r="K335" s="49"/>
      <c r="L335" s="49" t="s">
        <v>4215</v>
      </c>
      <c r="M335" s="58"/>
    </row>
    <row r="336" spans="1:13" ht="15">
      <c r="A336" s="52">
        <v>334</v>
      </c>
      <c r="B336" s="60" t="s">
        <v>866</v>
      </c>
      <c r="C336" s="126" t="s">
        <v>21</v>
      </c>
      <c r="D336" s="52">
        <v>2</v>
      </c>
      <c r="E336" s="56" t="s">
        <v>2437</v>
      </c>
      <c r="F336" s="126" t="s">
        <v>22</v>
      </c>
      <c r="G336" s="126" t="s">
        <v>1664</v>
      </c>
      <c r="H336" s="131">
        <v>16</v>
      </c>
      <c r="I336" s="49" t="s">
        <v>3594</v>
      </c>
      <c r="J336" s="52">
        <v>1</v>
      </c>
      <c r="K336" s="49"/>
      <c r="L336" s="49" t="s">
        <v>4216</v>
      </c>
      <c r="M336" s="58"/>
    </row>
    <row r="337" spans="1:13" ht="15">
      <c r="A337" s="52">
        <v>335</v>
      </c>
      <c r="B337" s="53" t="s">
        <v>1149</v>
      </c>
      <c r="C337" s="126" t="s">
        <v>558</v>
      </c>
      <c r="D337" s="55">
        <v>8</v>
      </c>
      <c r="E337" s="56" t="s">
        <v>2437</v>
      </c>
      <c r="F337" s="126" t="s">
        <v>22</v>
      </c>
      <c r="G337" s="126" t="s">
        <v>1664</v>
      </c>
      <c r="H337" s="131">
        <v>72</v>
      </c>
      <c r="I337" s="49" t="s">
        <v>3594</v>
      </c>
      <c r="J337" s="52">
        <v>1</v>
      </c>
      <c r="K337" s="49"/>
      <c r="L337" s="49" t="s">
        <v>4217</v>
      </c>
      <c r="M337" s="58"/>
    </row>
    <row r="338" spans="1:13" ht="15">
      <c r="A338" s="52">
        <v>336</v>
      </c>
      <c r="B338" s="60" t="s">
        <v>1235</v>
      </c>
      <c r="C338" s="126" t="s">
        <v>1236</v>
      </c>
      <c r="D338" s="52">
        <v>4</v>
      </c>
      <c r="E338" s="56" t="s">
        <v>2437</v>
      </c>
      <c r="F338" s="126" t="s">
        <v>22</v>
      </c>
      <c r="G338" s="126" t="s">
        <v>1664</v>
      </c>
      <c r="H338" s="131">
        <v>32</v>
      </c>
      <c r="I338" s="49" t="s">
        <v>3594</v>
      </c>
      <c r="J338" s="52">
        <v>1</v>
      </c>
      <c r="K338" s="49"/>
      <c r="L338" s="49" t="s">
        <v>4218</v>
      </c>
      <c r="M338" s="58"/>
    </row>
    <row r="339" spans="1:13" ht="15">
      <c r="A339" s="52">
        <v>337</v>
      </c>
      <c r="B339" s="60" t="s">
        <v>1259</v>
      </c>
      <c r="C339" s="126" t="s">
        <v>1260</v>
      </c>
      <c r="D339" s="52">
        <v>2</v>
      </c>
      <c r="E339" s="56" t="s">
        <v>2437</v>
      </c>
      <c r="F339" s="126" t="s">
        <v>22</v>
      </c>
      <c r="G339" s="126" t="s">
        <v>1664</v>
      </c>
      <c r="H339" s="131">
        <v>16</v>
      </c>
      <c r="I339" s="49" t="s">
        <v>3594</v>
      </c>
      <c r="J339" s="52">
        <v>1</v>
      </c>
      <c r="K339" s="49"/>
      <c r="L339" s="49" t="s">
        <v>4219</v>
      </c>
      <c r="M339" s="58"/>
    </row>
    <row r="340" spans="1:13" ht="15">
      <c r="A340" s="52">
        <v>338</v>
      </c>
      <c r="B340" s="60" t="s">
        <v>1181</v>
      </c>
      <c r="C340" s="126" t="s">
        <v>587</v>
      </c>
      <c r="D340" s="52">
        <v>1</v>
      </c>
      <c r="E340" s="56" t="s">
        <v>2437</v>
      </c>
      <c r="F340" s="126" t="s">
        <v>22</v>
      </c>
      <c r="G340" s="126" t="s">
        <v>1664</v>
      </c>
      <c r="H340" s="131">
        <v>48</v>
      </c>
      <c r="I340" s="49" t="s">
        <v>3594</v>
      </c>
      <c r="J340" s="52">
        <v>2</v>
      </c>
      <c r="K340" s="49"/>
      <c r="L340" s="49" t="s">
        <v>4220</v>
      </c>
      <c r="M340" s="58"/>
    </row>
    <row r="341" spans="1:13" ht="15">
      <c r="A341" s="52">
        <v>339</v>
      </c>
      <c r="B341" s="60" t="s">
        <v>692</v>
      </c>
      <c r="C341" s="126" t="s">
        <v>693</v>
      </c>
      <c r="D341" s="52">
        <v>8</v>
      </c>
      <c r="E341" s="56" t="s">
        <v>2437</v>
      </c>
      <c r="F341" s="126" t="s">
        <v>22</v>
      </c>
      <c r="G341" s="126" t="s">
        <v>1664</v>
      </c>
      <c r="H341" s="131">
        <v>160</v>
      </c>
      <c r="I341" s="49" t="s">
        <v>3594</v>
      </c>
      <c r="J341" s="52">
        <v>2</v>
      </c>
      <c r="K341" s="49"/>
      <c r="L341" s="49" t="s">
        <v>4221</v>
      </c>
      <c r="M341" s="58"/>
    </row>
    <row r="342" spans="1:13" ht="15">
      <c r="A342" s="52">
        <v>340</v>
      </c>
      <c r="B342" s="60" t="s">
        <v>559</v>
      </c>
      <c r="C342" s="126" t="s">
        <v>560</v>
      </c>
      <c r="D342" s="52">
        <v>6</v>
      </c>
      <c r="E342" s="56" t="s">
        <v>2437</v>
      </c>
      <c r="F342" s="126" t="s">
        <v>22</v>
      </c>
      <c r="G342" s="126" t="s">
        <v>1686</v>
      </c>
      <c r="H342" s="131">
        <v>960</v>
      </c>
      <c r="I342" s="49" t="s">
        <v>3594</v>
      </c>
      <c r="J342" s="52">
        <v>5</v>
      </c>
      <c r="K342" s="49" t="s">
        <v>4105</v>
      </c>
      <c r="L342" s="49" t="s">
        <v>4222</v>
      </c>
      <c r="M342" s="58"/>
    </row>
    <row r="343" spans="1:13" ht="15">
      <c r="A343" s="52">
        <v>341</v>
      </c>
      <c r="B343" s="60" t="s">
        <v>612</v>
      </c>
      <c r="C343" s="126" t="s">
        <v>614</v>
      </c>
      <c r="D343" s="52">
        <v>30</v>
      </c>
      <c r="E343" s="56" t="s">
        <v>2437</v>
      </c>
      <c r="F343" s="126" t="s">
        <v>22</v>
      </c>
      <c r="G343" s="126" t="s">
        <v>1686</v>
      </c>
      <c r="H343" s="131">
        <v>1072</v>
      </c>
      <c r="I343" s="49" t="s">
        <v>3563</v>
      </c>
      <c r="J343" s="52">
        <v>1</v>
      </c>
      <c r="K343" s="49"/>
      <c r="L343" s="49" t="s">
        <v>4223</v>
      </c>
      <c r="M343" s="58"/>
    </row>
    <row r="344" spans="1:13" ht="15">
      <c r="A344" s="52">
        <v>342</v>
      </c>
      <c r="B344" s="60" t="s">
        <v>1187</v>
      </c>
      <c r="C344" s="126" t="s">
        <v>1188</v>
      </c>
      <c r="D344" s="52">
        <v>4</v>
      </c>
      <c r="E344" s="56" t="s">
        <v>2437</v>
      </c>
      <c r="F344" s="126" t="s">
        <v>22</v>
      </c>
      <c r="G344" s="126" t="s">
        <v>1664</v>
      </c>
      <c r="H344" s="131">
        <v>88</v>
      </c>
      <c r="I344" s="49" t="s">
        <v>3563</v>
      </c>
      <c r="J344" s="52">
        <v>2</v>
      </c>
      <c r="K344" s="49"/>
      <c r="L344" s="49" t="s">
        <v>4224</v>
      </c>
      <c r="M344" s="58"/>
    </row>
    <row r="345" spans="1:13" ht="15">
      <c r="A345" s="52">
        <v>343</v>
      </c>
      <c r="B345" s="60" t="s">
        <v>1271</v>
      </c>
      <c r="C345" s="126" t="s">
        <v>630</v>
      </c>
      <c r="D345" s="52">
        <v>4</v>
      </c>
      <c r="E345" s="56" t="s">
        <v>2437</v>
      </c>
      <c r="F345" s="126" t="s">
        <v>22</v>
      </c>
      <c r="G345" s="126" t="s">
        <v>1664</v>
      </c>
      <c r="H345" s="131">
        <v>72</v>
      </c>
      <c r="I345" s="49" t="s">
        <v>3563</v>
      </c>
      <c r="J345" s="52">
        <v>2</v>
      </c>
      <c r="K345" s="49"/>
      <c r="L345" s="49" t="s">
        <v>4225</v>
      </c>
      <c r="M345" s="58"/>
    </row>
    <row r="346" spans="1:13" ht="15">
      <c r="A346" s="52">
        <v>344</v>
      </c>
      <c r="B346" s="60" t="s">
        <v>763</v>
      </c>
      <c r="C346" s="126" t="s">
        <v>764</v>
      </c>
      <c r="D346" s="52">
        <v>1</v>
      </c>
      <c r="E346" s="56" t="s">
        <v>2437</v>
      </c>
      <c r="F346" s="126" t="s">
        <v>22</v>
      </c>
      <c r="G346" s="126" t="s">
        <v>1664</v>
      </c>
      <c r="H346" s="131">
        <v>8</v>
      </c>
      <c r="I346" s="49" t="s">
        <v>3563</v>
      </c>
      <c r="J346" s="52">
        <v>3</v>
      </c>
      <c r="K346" s="49"/>
      <c r="L346" s="49" t="s">
        <v>4226</v>
      </c>
      <c r="M346" s="58"/>
    </row>
    <row r="347" spans="1:13" ht="15">
      <c r="A347" s="52">
        <v>345</v>
      </c>
      <c r="B347" s="53" t="s">
        <v>801</v>
      </c>
      <c r="C347" s="126" t="s">
        <v>485</v>
      </c>
      <c r="D347" s="55">
        <v>2</v>
      </c>
      <c r="E347" s="56" t="s">
        <v>2437</v>
      </c>
      <c r="F347" s="126" t="s">
        <v>22</v>
      </c>
      <c r="G347" s="126" t="s">
        <v>1664</v>
      </c>
      <c r="H347" s="131">
        <v>16</v>
      </c>
      <c r="I347" s="49" t="s">
        <v>3563</v>
      </c>
      <c r="J347" s="52">
        <v>3</v>
      </c>
      <c r="K347" s="49"/>
      <c r="L347" s="49" t="s">
        <v>4227</v>
      </c>
      <c r="M347" s="58"/>
    </row>
    <row r="348" spans="1:13" ht="15">
      <c r="A348" s="52">
        <v>346</v>
      </c>
      <c r="B348" s="60" t="s">
        <v>509</v>
      </c>
      <c r="C348" s="126" t="s">
        <v>21</v>
      </c>
      <c r="D348" s="52">
        <v>2</v>
      </c>
      <c r="E348" s="56" t="s">
        <v>2437</v>
      </c>
      <c r="F348" s="126" t="s">
        <v>22</v>
      </c>
      <c r="G348" s="126" t="s">
        <v>1664</v>
      </c>
      <c r="H348" s="131">
        <v>16</v>
      </c>
      <c r="I348" s="49" t="s">
        <v>3563</v>
      </c>
      <c r="J348" s="52">
        <v>3</v>
      </c>
      <c r="K348" s="49"/>
      <c r="L348" s="49" t="s">
        <v>4228</v>
      </c>
      <c r="M348" s="58"/>
    </row>
    <row r="349" spans="1:13" ht="15">
      <c r="A349" s="52">
        <v>347</v>
      </c>
      <c r="B349" s="60" t="s">
        <v>869</v>
      </c>
      <c r="C349" s="126" t="s">
        <v>21</v>
      </c>
      <c r="D349" s="52">
        <v>2</v>
      </c>
      <c r="E349" s="52" t="s">
        <v>2437</v>
      </c>
      <c r="F349" s="126" t="s">
        <v>22</v>
      </c>
      <c r="G349" s="126" t="s">
        <v>1664</v>
      </c>
      <c r="H349" s="131">
        <v>16</v>
      </c>
      <c r="I349" s="49" t="s">
        <v>3563</v>
      </c>
      <c r="J349" s="52">
        <v>3</v>
      </c>
      <c r="K349" s="49"/>
      <c r="L349" s="49" t="s">
        <v>4229</v>
      </c>
      <c r="M349" s="58"/>
    </row>
    <row r="350" spans="1:13" ht="15">
      <c r="A350" s="52">
        <v>348</v>
      </c>
      <c r="B350" s="53" t="s">
        <v>1308</v>
      </c>
      <c r="C350" s="126" t="s">
        <v>1309</v>
      </c>
      <c r="D350" s="55">
        <v>1</v>
      </c>
      <c r="E350" s="52" t="s">
        <v>2437</v>
      </c>
      <c r="F350" s="126" t="s">
        <v>22</v>
      </c>
      <c r="G350" s="126" t="s">
        <v>1664</v>
      </c>
      <c r="H350" s="131">
        <v>8</v>
      </c>
      <c r="I350" s="49" t="s">
        <v>3563</v>
      </c>
      <c r="J350" s="52">
        <v>3</v>
      </c>
      <c r="K350" s="49"/>
      <c r="L350" s="49" t="s">
        <v>4230</v>
      </c>
      <c r="M350" s="58"/>
    </row>
    <row r="351" spans="1:13" ht="15">
      <c r="A351" s="52">
        <v>349</v>
      </c>
      <c r="B351" s="60" t="s">
        <v>585</v>
      </c>
      <c r="C351" s="126" t="s">
        <v>587</v>
      </c>
      <c r="D351" s="52">
        <v>2</v>
      </c>
      <c r="E351" s="52" t="s">
        <v>2437</v>
      </c>
      <c r="F351" s="126" t="s">
        <v>22</v>
      </c>
      <c r="G351" s="126" t="s">
        <v>1664</v>
      </c>
      <c r="H351" s="131">
        <v>48</v>
      </c>
      <c r="I351" s="49" t="s">
        <v>3563</v>
      </c>
      <c r="J351" s="52">
        <v>3</v>
      </c>
      <c r="K351" s="49"/>
      <c r="L351" s="49" t="s">
        <v>4231</v>
      </c>
      <c r="M351" s="58"/>
    </row>
    <row r="352" spans="1:13" ht="15">
      <c r="A352" s="52">
        <v>350</v>
      </c>
      <c r="B352" s="53" t="s">
        <v>637</v>
      </c>
      <c r="C352" s="126" t="s">
        <v>638</v>
      </c>
      <c r="D352" s="55">
        <v>2</v>
      </c>
      <c r="E352" s="56" t="s">
        <v>2437</v>
      </c>
      <c r="F352" s="126" t="s">
        <v>22</v>
      </c>
      <c r="G352" s="126" t="s">
        <v>1664</v>
      </c>
      <c r="H352" s="131">
        <v>240</v>
      </c>
      <c r="I352" s="49" t="s">
        <v>3563</v>
      </c>
      <c r="J352" s="52">
        <v>3</v>
      </c>
      <c r="K352" s="49"/>
      <c r="L352" s="49" t="s">
        <v>4232</v>
      </c>
      <c r="M352" s="58"/>
    </row>
    <row r="353" spans="1:13" ht="15">
      <c r="A353" s="52">
        <v>351</v>
      </c>
      <c r="B353" s="60" t="s">
        <v>973</v>
      </c>
      <c r="C353" s="126" t="s">
        <v>975</v>
      </c>
      <c r="D353" s="52">
        <v>1</v>
      </c>
      <c r="E353" s="56" t="s">
        <v>2437</v>
      </c>
      <c r="F353" s="126" t="s">
        <v>22</v>
      </c>
      <c r="G353" s="126" t="s">
        <v>1664</v>
      </c>
      <c r="H353" s="131">
        <v>8</v>
      </c>
      <c r="I353" s="49" t="s">
        <v>3563</v>
      </c>
      <c r="J353" s="52">
        <v>4</v>
      </c>
      <c r="K353" s="49"/>
      <c r="L353" s="49" t="s">
        <v>4233</v>
      </c>
      <c r="M353" s="58"/>
    </row>
    <row r="354" spans="1:13" ht="15">
      <c r="A354" s="52">
        <v>352</v>
      </c>
      <c r="B354" s="60" t="s">
        <v>991</v>
      </c>
      <c r="C354" s="126" t="s">
        <v>587</v>
      </c>
      <c r="D354" s="52">
        <v>4</v>
      </c>
      <c r="E354" s="52" t="s">
        <v>2437</v>
      </c>
      <c r="F354" s="126" t="s">
        <v>22</v>
      </c>
      <c r="G354" s="126" t="s">
        <v>1664</v>
      </c>
      <c r="H354" s="131">
        <v>32</v>
      </c>
      <c r="I354" s="49" t="s">
        <v>3563</v>
      </c>
      <c r="J354" s="52">
        <v>4</v>
      </c>
      <c r="K354" s="49"/>
      <c r="L354" s="49" t="s">
        <v>4234</v>
      </c>
      <c r="M354" s="58"/>
    </row>
    <row r="355" spans="1:13" ht="15">
      <c r="A355" s="52">
        <v>353</v>
      </c>
      <c r="B355" s="60" t="s">
        <v>1081</v>
      </c>
      <c r="C355" s="126" t="s">
        <v>558</v>
      </c>
      <c r="D355" s="52">
        <v>2</v>
      </c>
      <c r="E355" s="52" t="s">
        <v>2437</v>
      </c>
      <c r="F355" s="126" t="s">
        <v>22</v>
      </c>
      <c r="G355" s="126" t="s">
        <v>1664</v>
      </c>
      <c r="H355" s="131">
        <v>16</v>
      </c>
      <c r="I355" s="49" t="s">
        <v>3563</v>
      </c>
      <c r="J355" s="52">
        <v>4</v>
      </c>
      <c r="K355" s="49"/>
      <c r="L355" s="49" t="s">
        <v>4235</v>
      </c>
      <c r="M355" s="58"/>
    </row>
    <row r="356" spans="1:13" ht="15">
      <c r="A356" s="52">
        <v>354</v>
      </c>
      <c r="B356" s="60" t="s">
        <v>1111</v>
      </c>
      <c r="C356" s="126" t="s">
        <v>1113</v>
      </c>
      <c r="D356" s="52">
        <v>2</v>
      </c>
      <c r="E356" s="52" t="s">
        <v>2437</v>
      </c>
      <c r="F356" s="126" t="s">
        <v>22</v>
      </c>
      <c r="G356" s="126" t="s">
        <v>1664</v>
      </c>
      <c r="H356" s="131">
        <v>16</v>
      </c>
      <c r="I356" s="49" t="s">
        <v>3563</v>
      </c>
      <c r="J356" s="52">
        <v>4</v>
      </c>
      <c r="K356" s="49"/>
      <c r="L356" s="49" t="s">
        <v>4236</v>
      </c>
      <c r="M356" s="58"/>
    </row>
    <row r="357" spans="1:13" ht="15">
      <c r="A357" s="52">
        <v>355</v>
      </c>
      <c r="B357" s="60" t="s">
        <v>1165</v>
      </c>
      <c r="C357" s="126" t="s">
        <v>630</v>
      </c>
      <c r="D357" s="52">
        <v>4</v>
      </c>
      <c r="E357" s="52" t="s">
        <v>2437</v>
      </c>
      <c r="F357" s="126" t="s">
        <v>22</v>
      </c>
      <c r="G357" s="126" t="s">
        <v>1664</v>
      </c>
      <c r="H357" s="131">
        <v>32</v>
      </c>
      <c r="I357" s="49" t="s">
        <v>3563</v>
      </c>
      <c r="J357" s="52">
        <v>4</v>
      </c>
      <c r="K357" s="49"/>
      <c r="L357" s="49" t="s">
        <v>4237</v>
      </c>
      <c r="M357" s="58"/>
    </row>
    <row r="358" spans="1:13" ht="15">
      <c r="A358" s="52">
        <v>356</v>
      </c>
      <c r="B358" s="60" t="s">
        <v>605</v>
      </c>
      <c r="C358" s="126" t="s">
        <v>607</v>
      </c>
      <c r="D358" s="52">
        <v>4</v>
      </c>
      <c r="E358" s="52" t="s">
        <v>2437</v>
      </c>
      <c r="F358" s="126" t="s">
        <v>22</v>
      </c>
      <c r="G358" s="126" t="s">
        <v>1664</v>
      </c>
      <c r="H358" s="131">
        <v>32</v>
      </c>
      <c r="I358" s="49" t="s">
        <v>3563</v>
      </c>
      <c r="J358" s="52">
        <v>4</v>
      </c>
      <c r="K358" s="49" t="s">
        <v>3430</v>
      </c>
      <c r="L358" s="49" t="s">
        <v>4238</v>
      </c>
      <c r="M358" s="58"/>
    </row>
    <row r="359" spans="1:13" ht="15">
      <c r="A359" s="52">
        <v>357</v>
      </c>
      <c r="B359" s="60" t="s">
        <v>696</v>
      </c>
      <c r="C359" s="126" t="s">
        <v>611</v>
      </c>
      <c r="D359" s="52">
        <v>1</v>
      </c>
      <c r="E359" s="52" t="s">
        <v>2437</v>
      </c>
      <c r="F359" s="126" t="s">
        <v>22</v>
      </c>
      <c r="G359" s="126" t="s">
        <v>1664</v>
      </c>
      <c r="H359" s="131">
        <v>16</v>
      </c>
      <c r="I359" s="49" t="s">
        <v>3563</v>
      </c>
      <c r="J359" s="52">
        <v>4</v>
      </c>
      <c r="K359" s="49"/>
      <c r="L359" s="49" t="s">
        <v>4239</v>
      </c>
      <c r="M359" s="58"/>
    </row>
    <row r="360" spans="1:13" ht="15">
      <c r="A360" s="52">
        <v>358</v>
      </c>
      <c r="B360" s="60" t="s">
        <v>776</v>
      </c>
      <c r="C360" s="126" t="s">
        <v>739</v>
      </c>
      <c r="D360" s="52">
        <v>1</v>
      </c>
      <c r="E360" s="52" t="s">
        <v>2437</v>
      </c>
      <c r="F360" s="126" t="s">
        <v>22</v>
      </c>
      <c r="G360" s="126" t="s">
        <v>1664</v>
      </c>
      <c r="H360" s="131">
        <v>8</v>
      </c>
      <c r="I360" s="49" t="s">
        <v>3563</v>
      </c>
      <c r="J360" s="52">
        <v>5</v>
      </c>
      <c r="K360" s="49"/>
      <c r="L360" s="49" t="s">
        <v>4240</v>
      </c>
      <c r="M360" s="58"/>
    </row>
    <row r="361" spans="1:13" ht="15">
      <c r="A361" s="52">
        <v>359</v>
      </c>
      <c r="B361" s="60" t="s">
        <v>867</v>
      </c>
      <c r="C361" s="126" t="s">
        <v>21</v>
      </c>
      <c r="D361" s="52">
        <v>1</v>
      </c>
      <c r="E361" s="52" t="s">
        <v>2437</v>
      </c>
      <c r="F361" s="126" t="s">
        <v>22</v>
      </c>
      <c r="G361" s="126" t="s">
        <v>1664</v>
      </c>
      <c r="H361" s="131">
        <v>8</v>
      </c>
      <c r="I361" s="49" t="s">
        <v>3563</v>
      </c>
      <c r="J361" s="52">
        <v>5</v>
      </c>
      <c r="K361" s="49"/>
      <c r="L361" s="49" t="s">
        <v>4241</v>
      </c>
      <c r="M361" s="58"/>
    </row>
    <row r="362" spans="1:13" ht="15">
      <c r="A362" s="52">
        <v>360</v>
      </c>
      <c r="B362" s="60" t="s">
        <v>1117</v>
      </c>
      <c r="C362" s="126" t="s">
        <v>21</v>
      </c>
      <c r="D362" s="52">
        <v>2</v>
      </c>
      <c r="E362" s="52" t="s">
        <v>2437</v>
      </c>
      <c r="F362" s="126" t="s">
        <v>22</v>
      </c>
      <c r="G362" s="126" t="s">
        <v>1664</v>
      </c>
      <c r="H362" s="131">
        <v>24</v>
      </c>
      <c r="I362" s="49" t="s">
        <v>3563</v>
      </c>
      <c r="J362" s="52">
        <v>5</v>
      </c>
      <c r="K362" s="49"/>
      <c r="L362" s="49" t="s">
        <v>4242</v>
      </c>
      <c r="M362" s="58"/>
    </row>
    <row r="363" spans="1:13" ht="15">
      <c r="A363" s="52">
        <v>361</v>
      </c>
      <c r="B363" s="60" t="s">
        <v>1172</v>
      </c>
      <c r="C363" s="126" t="s">
        <v>630</v>
      </c>
      <c r="D363" s="52">
        <v>6</v>
      </c>
      <c r="E363" s="52" t="s">
        <v>2437</v>
      </c>
      <c r="F363" s="126" t="s">
        <v>22</v>
      </c>
      <c r="G363" s="126" t="s">
        <v>1664</v>
      </c>
      <c r="H363" s="131">
        <v>48</v>
      </c>
      <c r="I363" s="49" t="s">
        <v>3563</v>
      </c>
      <c r="J363" s="52">
        <v>5</v>
      </c>
      <c r="K363" s="49"/>
      <c r="L363" s="49" t="s">
        <v>4243</v>
      </c>
      <c r="M363" s="58"/>
    </row>
    <row r="364" spans="1:13" ht="15">
      <c r="A364" s="52">
        <v>362</v>
      </c>
      <c r="B364" s="60" t="s">
        <v>1186</v>
      </c>
      <c r="C364" s="126" t="s">
        <v>582</v>
      </c>
      <c r="D364" s="52">
        <v>1</v>
      </c>
      <c r="E364" s="56" t="s">
        <v>2437</v>
      </c>
      <c r="F364" s="126" t="s">
        <v>22</v>
      </c>
      <c r="G364" s="126" t="s">
        <v>1664</v>
      </c>
      <c r="H364" s="131">
        <v>8</v>
      </c>
      <c r="I364" s="49" t="s">
        <v>3563</v>
      </c>
      <c r="J364" s="52">
        <v>5</v>
      </c>
      <c r="K364" s="49"/>
      <c r="L364" s="49" t="s">
        <v>4244</v>
      </c>
      <c r="M364" s="58"/>
    </row>
    <row r="365" spans="1:13" ht="15">
      <c r="A365" s="52">
        <v>363</v>
      </c>
      <c r="B365" s="60" t="s">
        <v>1190</v>
      </c>
      <c r="C365" s="126" t="s">
        <v>630</v>
      </c>
      <c r="D365" s="52">
        <v>1</v>
      </c>
      <c r="E365" s="52" t="s">
        <v>2437</v>
      </c>
      <c r="F365" s="126" t="s">
        <v>22</v>
      </c>
      <c r="G365" s="126" t="s">
        <v>1664</v>
      </c>
      <c r="H365" s="131">
        <v>8</v>
      </c>
      <c r="I365" s="49" t="s">
        <v>3563</v>
      </c>
      <c r="J365" s="52">
        <v>5</v>
      </c>
      <c r="K365" s="49"/>
      <c r="L365" s="49" t="s">
        <v>4245</v>
      </c>
      <c r="M365" s="58"/>
    </row>
    <row r="366" spans="1:13" ht="15">
      <c r="A366" s="52">
        <v>364</v>
      </c>
      <c r="B366" s="60" t="s">
        <v>1197</v>
      </c>
      <c r="C366" s="126" t="s">
        <v>611</v>
      </c>
      <c r="D366" s="52">
        <v>1</v>
      </c>
      <c r="E366" s="52" t="s">
        <v>2437</v>
      </c>
      <c r="F366" s="126" t="s">
        <v>22</v>
      </c>
      <c r="G366" s="126" t="s">
        <v>1664</v>
      </c>
      <c r="H366" s="131">
        <v>8</v>
      </c>
      <c r="I366" s="49" t="s">
        <v>3563</v>
      </c>
      <c r="J366" s="52">
        <v>5</v>
      </c>
      <c r="K366" s="49"/>
      <c r="L366" s="49" t="s">
        <v>4246</v>
      </c>
      <c r="M366" s="58"/>
    </row>
    <row r="367" spans="1:13" ht="15">
      <c r="A367" s="52">
        <v>365</v>
      </c>
      <c r="B367" s="60" t="s">
        <v>626</v>
      </c>
      <c r="C367" s="126" t="s">
        <v>627</v>
      </c>
      <c r="D367" s="52">
        <v>1</v>
      </c>
      <c r="E367" s="56" t="s">
        <v>2437</v>
      </c>
      <c r="F367" s="126" t="s">
        <v>22</v>
      </c>
      <c r="G367" s="126" t="s">
        <v>1664</v>
      </c>
      <c r="H367" s="131">
        <v>8</v>
      </c>
      <c r="I367" s="49" t="s">
        <v>3563</v>
      </c>
      <c r="J367" s="52">
        <v>5</v>
      </c>
      <c r="K367" s="49"/>
      <c r="L367" s="49" t="s">
        <v>4247</v>
      </c>
      <c r="M367" s="58"/>
    </row>
    <row r="368" spans="1:13" ht="15">
      <c r="A368" s="52">
        <v>366</v>
      </c>
      <c r="B368" s="60" t="s">
        <v>633</v>
      </c>
      <c r="C368" s="126" t="s">
        <v>634</v>
      </c>
      <c r="D368" s="52">
        <v>4</v>
      </c>
      <c r="E368" s="52" t="s">
        <v>2437</v>
      </c>
      <c r="F368" s="126" t="s">
        <v>22</v>
      </c>
      <c r="G368" s="126" t="s">
        <v>1664</v>
      </c>
      <c r="H368" s="131">
        <v>32</v>
      </c>
      <c r="I368" s="49" t="s">
        <v>3563</v>
      </c>
      <c r="J368" s="52">
        <v>5</v>
      </c>
      <c r="K368" s="49"/>
      <c r="L368" s="49" t="s">
        <v>4248</v>
      </c>
      <c r="M368" s="58"/>
    </row>
    <row r="369" spans="1:13" ht="15">
      <c r="A369" s="52">
        <v>367</v>
      </c>
      <c r="B369" s="60" t="s">
        <v>646</v>
      </c>
      <c r="C369" s="126" t="s">
        <v>647</v>
      </c>
      <c r="D369" s="52">
        <v>1</v>
      </c>
      <c r="E369" s="56" t="s">
        <v>2437</v>
      </c>
      <c r="F369" s="126" t="s">
        <v>22</v>
      </c>
      <c r="G369" s="126" t="s">
        <v>1664</v>
      </c>
      <c r="H369" s="131">
        <v>104</v>
      </c>
      <c r="I369" s="49" t="s">
        <v>3563</v>
      </c>
      <c r="J369" s="52">
        <v>5</v>
      </c>
      <c r="K369" s="49"/>
      <c r="L369" s="49" t="s">
        <v>4249</v>
      </c>
      <c r="M369" s="58"/>
    </row>
    <row r="370" spans="1:13" ht="15">
      <c r="A370" s="52">
        <v>368</v>
      </c>
      <c r="B370" s="60" t="s">
        <v>1223</v>
      </c>
      <c r="C370" s="126" t="s">
        <v>1225</v>
      </c>
      <c r="D370" s="52">
        <v>2</v>
      </c>
      <c r="E370" s="52" t="s">
        <v>2437</v>
      </c>
      <c r="F370" s="126" t="s">
        <v>22</v>
      </c>
      <c r="G370" s="126" t="s">
        <v>1664</v>
      </c>
      <c r="H370" s="131">
        <v>16</v>
      </c>
      <c r="I370" s="49" t="s">
        <v>3563</v>
      </c>
      <c r="J370" s="52">
        <v>5</v>
      </c>
      <c r="K370" s="49"/>
      <c r="L370" s="49" t="s">
        <v>4250</v>
      </c>
      <c r="M370" s="58"/>
    </row>
    <row r="371" spans="1:13" ht="15">
      <c r="A371" s="52">
        <v>369</v>
      </c>
      <c r="B371" s="60" t="s">
        <v>886</v>
      </c>
      <c r="C371" s="126" t="s">
        <v>21</v>
      </c>
      <c r="D371" s="52">
        <v>1</v>
      </c>
      <c r="E371" s="52" t="s">
        <v>2437</v>
      </c>
      <c r="F371" s="126" t="s">
        <v>22</v>
      </c>
      <c r="G371" s="126" t="s">
        <v>1664</v>
      </c>
      <c r="H371" s="131">
        <v>8</v>
      </c>
      <c r="I371" s="49" t="s">
        <v>3570</v>
      </c>
      <c r="J371" s="52">
        <v>1</v>
      </c>
      <c r="K371" s="49"/>
      <c r="L371" s="49" t="s">
        <v>4251</v>
      </c>
      <c r="M371" s="58"/>
    </row>
    <row r="372" spans="1:13" s="62" customFormat="1" ht="15">
      <c r="A372" s="52">
        <v>370</v>
      </c>
      <c r="B372" s="60" t="s">
        <v>513</v>
      </c>
      <c r="C372" s="126" t="s">
        <v>514</v>
      </c>
      <c r="D372" s="52">
        <v>1</v>
      </c>
      <c r="E372" s="52" t="s">
        <v>2437</v>
      </c>
      <c r="F372" s="126" t="s">
        <v>22</v>
      </c>
      <c r="G372" s="126" t="s">
        <v>1664</v>
      </c>
      <c r="H372" s="131">
        <v>8</v>
      </c>
      <c r="I372" s="49" t="s">
        <v>3570</v>
      </c>
      <c r="J372" s="52">
        <v>1</v>
      </c>
      <c r="K372" s="49"/>
      <c r="L372" s="49" t="s">
        <v>4252</v>
      </c>
      <c r="M372" s="58"/>
    </row>
    <row r="373" spans="1:13" ht="15">
      <c r="A373" s="52">
        <v>371</v>
      </c>
      <c r="B373" s="60" t="s">
        <v>1579</v>
      </c>
      <c r="C373" s="126" t="s">
        <v>492</v>
      </c>
      <c r="D373" s="52">
        <v>1</v>
      </c>
      <c r="E373" s="52" t="s">
        <v>2437</v>
      </c>
      <c r="F373" s="126" t="s">
        <v>22</v>
      </c>
      <c r="G373" s="126" t="s">
        <v>1664</v>
      </c>
      <c r="H373" s="131">
        <v>8</v>
      </c>
      <c r="I373" s="49" t="s">
        <v>3570</v>
      </c>
      <c r="J373" s="52">
        <v>2</v>
      </c>
      <c r="K373" s="49"/>
      <c r="L373" s="49" t="s">
        <v>4253</v>
      </c>
      <c r="M373" s="58"/>
    </row>
    <row r="374" spans="1:13" ht="15">
      <c r="A374" s="52">
        <v>372</v>
      </c>
      <c r="B374" s="60" t="s">
        <v>1180</v>
      </c>
      <c r="C374" s="126" t="s">
        <v>587</v>
      </c>
      <c r="D374" s="52">
        <v>4</v>
      </c>
      <c r="E374" s="56" t="s">
        <v>2437</v>
      </c>
      <c r="F374" s="126" t="s">
        <v>22</v>
      </c>
      <c r="G374" s="126" t="s">
        <v>1664</v>
      </c>
      <c r="H374" s="131">
        <v>32</v>
      </c>
      <c r="I374" s="49" t="s">
        <v>3570</v>
      </c>
      <c r="J374" s="52">
        <v>3</v>
      </c>
      <c r="K374" s="49" t="s">
        <v>3727</v>
      </c>
      <c r="L374" s="49" t="s">
        <v>4254</v>
      </c>
      <c r="M374" s="58"/>
    </row>
    <row r="375" spans="1:13" ht="15">
      <c r="A375" s="52">
        <v>373</v>
      </c>
      <c r="B375" s="60" t="s">
        <v>1182</v>
      </c>
      <c r="C375" s="126" t="s">
        <v>587</v>
      </c>
      <c r="D375" s="52">
        <v>2</v>
      </c>
      <c r="E375" s="52" t="s">
        <v>2437</v>
      </c>
      <c r="F375" s="126" t="s">
        <v>22</v>
      </c>
      <c r="G375" s="126" t="s">
        <v>1664</v>
      </c>
      <c r="H375" s="131">
        <v>96</v>
      </c>
      <c r="I375" s="49" t="s">
        <v>3570</v>
      </c>
      <c r="J375" s="52">
        <v>5</v>
      </c>
      <c r="K375" s="49"/>
      <c r="L375" s="49" t="s">
        <v>4255</v>
      </c>
      <c r="M375" s="58"/>
    </row>
    <row r="376" spans="1:13" ht="15">
      <c r="A376" s="52">
        <v>374</v>
      </c>
      <c r="B376" s="60" t="s">
        <v>1183</v>
      </c>
      <c r="C376" s="126" t="s">
        <v>1185</v>
      </c>
      <c r="D376" s="52">
        <v>4</v>
      </c>
      <c r="E376" s="56" t="s">
        <v>2437</v>
      </c>
      <c r="F376" s="126" t="s">
        <v>22</v>
      </c>
      <c r="G376" s="126" t="s">
        <v>1664</v>
      </c>
      <c r="H376" s="131">
        <v>32</v>
      </c>
      <c r="I376" s="49" t="s">
        <v>3570</v>
      </c>
      <c r="J376" s="52">
        <v>5</v>
      </c>
      <c r="K376" s="49" t="s">
        <v>3833</v>
      </c>
      <c r="L376" s="49" t="s">
        <v>4256</v>
      </c>
      <c r="M376" s="58"/>
    </row>
    <row r="377" spans="1:13" ht="15">
      <c r="A377" s="52">
        <v>375</v>
      </c>
      <c r="B377" s="60" t="s">
        <v>644</v>
      </c>
      <c r="C377" s="126" t="s">
        <v>645</v>
      </c>
      <c r="D377" s="52">
        <v>1</v>
      </c>
      <c r="E377" s="52" t="s">
        <v>2443</v>
      </c>
      <c r="F377" s="126" t="s">
        <v>22</v>
      </c>
      <c r="G377" s="126" t="s">
        <v>1664</v>
      </c>
      <c r="H377" s="131">
        <v>8</v>
      </c>
      <c r="I377" s="49" t="s">
        <v>3559</v>
      </c>
      <c r="J377" s="52">
        <v>3</v>
      </c>
      <c r="K377" s="49"/>
      <c r="L377" s="49" t="s">
        <v>4257</v>
      </c>
      <c r="M377" s="58"/>
    </row>
    <row r="378" spans="1:13" ht="15">
      <c r="A378" s="52">
        <v>376</v>
      </c>
      <c r="B378" s="60" t="s">
        <v>559</v>
      </c>
      <c r="C378" s="126" t="s">
        <v>560</v>
      </c>
      <c r="D378" s="52">
        <v>2</v>
      </c>
      <c r="E378" s="52" t="s">
        <v>2443</v>
      </c>
      <c r="F378" s="126" t="s">
        <v>22</v>
      </c>
      <c r="G378" s="126" t="s">
        <v>1686</v>
      </c>
      <c r="H378" s="131">
        <v>960</v>
      </c>
      <c r="I378" s="49" t="s">
        <v>3563</v>
      </c>
      <c r="J378" s="52">
        <v>1</v>
      </c>
      <c r="K378" s="49" t="s">
        <v>4105</v>
      </c>
      <c r="L378" s="49" t="s">
        <v>4258</v>
      </c>
      <c r="M378" s="58"/>
    </row>
    <row r="379" spans="1:13" ht="15">
      <c r="A379" s="52">
        <v>377</v>
      </c>
      <c r="B379" s="59" t="s">
        <v>752</v>
      </c>
      <c r="C379" s="126" t="s">
        <v>489</v>
      </c>
      <c r="D379" s="55">
        <v>1</v>
      </c>
      <c r="E379" s="52" t="s">
        <v>2443</v>
      </c>
      <c r="F379" s="126" t="s">
        <v>22</v>
      </c>
      <c r="G379" s="126" t="s">
        <v>1664</v>
      </c>
      <c r="H379" s="131">
        <v>112</v>
      </c>
      <c r="I379" s="49" t="s">
        <v>3563</v>
      </c>
      <c r="J379" s="52">
        <v>1</v>
      </c>
      <c r="K379" s="49"/>
      <c r="L379" s="49" t="s">
        <v>4259</v>
      </c>
      <c r="M379" s="58"/>
    </row>
    <row r="380" spans="1:13" ht="15">
      <c r="A380" s="52">
        <v>378</v>
      </c>
      <c r="B380" s="59" t="s">
        <v>556</v>
      </c>
      <c r="C380" s="126" t="s">
        <v>558</v>
      </c>
      <c r="D380" s="55">
        <v>2</v>
      </c>
      <c r="E380" s="56" t="s">
        <v>2443</v>
      </c>
      <c r="F380" s="126" t="s">
        <v>22</v>
      </c>
      <c r="G380" s="126" t="s">
        <v>1664</v>
      </c>
      <c r="H380" s="131">
        <v>160</v>
      </c>
      <c r="I380" s="49" t="s">
        <v>3563</v>
      </c>
      <c r="J380" s="52">
        <v>2</v>
      </c>
      <c r="K380" s="49"/>
      <c r="L380" s="49" t="s">
        <v>4260</v>
      </c>
      <c r="M380" s="58"/>
    </row>
    <row r="381" spans="1:13" ht="15">
      <c r="A381" s="52">
        <v>379</v>
      </c>
      <c r="B381" s="60" t="s">
        <v>1178</v>
      </c>
      <c r="C381" s="126" t="s">
        <v>587</v>
      </c>
      <c r="D381" s="52">
        <v>4</v>
      </c>
      <c r="E381" s="56" t="s">
        <v>2443</v>
      </c>
      <c r="F381" s="126" t="s">
        <v>22</v>
      </c>
      <c r="G381" s="126" t="s">
        <v>1664</v>
      </c>
      <c r="H381" s="131">
        <v>32</v>
      </c>
      <c r="I381" s="49" t="s">
        <v>3563</v>
      </c>
      <c r="J381" s="52">
        <v>2</v>
      </c>
      <c r="K381" s="49"/>
      <c r="L381" s="49" t="s">
        <v>4261</v>
      </c>
      <c r="M381" s="58"/>
    </row>
    <row r="382" spans="1:13" ht="15">
      <c r="A382" s="52">
        <v>380</v>
      </c>
      <c r="B382" s="53" t="s">
        <v>1271</v>
      </c>
      <c r="C382" s="126" t="s">
        <v>630</v>
      </c>
      <c r="D382" s="55">
        <v>7</v>
      </c>
      <c r="E382" s="56" t="s">
        <v>2443</v>
      </c>
      <c r="F382" s="126" t="s">
        <v>22</v>
      </c>
      <c r="G382" s="126" t="s">
        <v>1664</v>
      </c>
      <c r="H382" s="131">
        <v>72</v>
      </c>
      <c r="I382" s="49" t="s">
        <v>3563</v>
      </c>
      <c r="J382" s="52">
        <v>2</v>
      </c>
      <c r="K382" s="49"/>
      <c r="L382" s="49" t="s">
        <v>4262</v>
      </c>
      <c r="M382" s="58">
        <v>45533</v>
      </c>
    </row>
    <row r="383" spans="1:13" ht="15">
      <c r="A383" s="52">
        <v>381</v>
      </c>
      <c r="B383" s="60" t="s">
        <v>579</v>
      </c>
      <c r="C383" s="126" t="s">
        <v>489</v>
      </c>
      <c r="D383" s="52">
        <v>1</v>
      </c>
      <c r="E383" s="56" t="s">
        <v>2443</v>
      </c>
      <c r="F383" s="126" t="s">
        <v>22</v>
      </c>
      <c r="G383" s="126" t="s">
        <v>1664</v>
      </c>
      <c r="H383" s="131">
        <v>64</v>
      </c>
      <c r="I383" s="49" t="s">
        <v>3563</v>
      </c>
      <c r="J383" s="52">
        <v>3</v>
      </c>
      <c r="K383" s="49"/>
      <c r="L383" s="49" t="s">
        <v>4263</v>
      </c>
      <c r="M383" s="58"/>
    </row>
    <row r="384" spans="1:13" ht="15">
      <c r="A384" s="52">
        <v>382</v>
      </c>
      <c r="B384" s="53" t="s">
        <v>637</v>
      </c>
      <c r="C384" s="126" t="s">
        <v>638</v>
      </c>
      <c r="D384" s="55">
        <v>4</v>
      </c>
      <c r="E384" s="56" t="s">
        <v>2443</v>
      </c>
      <c r="F384" s="126" t="s">
        <v>22</v>
      </c>
      <c r="G384" s="126" t="s">
        <v>1664</v>
      </c>
      <c r="H384" s="131">
        <v>240</v>
      </c>
      <c r="I384" s="49" t="s">
        <v>3563</v>
      </c>
      <c r="J384" s="52">
        <v>3</v>
      </c>
      <c r="K384" s="49"/>
      <c r="L384" s="49" t="s">
        <v>4264</v>
      </c>
      <c r="M384" s="58"/>
    </row>
    <row r="385" spans="1:13" ht="15">
      <c r="A385" s="52">
        <v>383</v>
      </c>
      <c r="B385" s="60" t="s">
        <v>694</v>
      </c>
      <c r="C385" s="126" t="s">
        <v>695</v>
      </c>
      <c r="D385" s="52">
        <v>4</v>
      </c>
      <c r="E385" s="56" t="s">
        <v>2443</v>
      </c>
      <c r="F385" s="126" t="s">
        <v>22</v>
      </c>
      <c r="G385" s="126" t="s">
        <v>1664</v>
      </c>
      <c r="H385" s="131">
        <v>32</v>
      </c>
      <c r="I385" s="49" t="s">
        <v>3563</v>
      </c>
      <c r="J385" s="52">
        <v>3</v>
      </c>
      <c r="K385" s="49"/>
      <c r="L385" s="49" t="s">
        <v>4265</v>
      </c>
      <c r="M385" s="58"/>
    </row>
    <row r="386" spans="1:13" ht="15">
      <c r="A386" s="52">
        <v>384</v>
      </c>
      <c r="B386" s="60" t="s">
        <v>583</v>
      </c>
      <c r="C386" s="126" t="s">
        <v>584</v>
      </c>
      <c r="D386" s="52">
        <v>14</v>
      </c>
      <c r="E386" s="56" t="s">
        <v>2443</v>
      </c>
      <c r="F386" s="126" t="s">
        <v>22</v>
      </c>
      <c r="G386" s="126" t="s">
        <v>1664</v>
      </c>
      <c r="H386" s="131">
        <v>176</v>
      </c>
      <c r="I386" s="49" t="s">
        <v>3563</v>
      </c>
      <c r="J386" s="52">
        <v>4</v>
      </c>
      <c r="K386" s="49"/>
      <c r="L386" s="49" t="s">
        <v>4266</v>
      </c>
      <c r="M386" s="58"/>
    </row>
    <row r="387" spans="1:13" ht="15">
      <c r="A387" s="52">
        <v>385</v>
      </c>
      <c r="B387" s="53" t="s">
        <v>590</v>
      </c>
      <c r="C387" s="126" t="s">
        <v>591</v>
      </c>
      <c r="D387" s="55">
        <v>2</v>
      </c>
      <c r="E387" s="52" t="s">
        <v>2443</v>
      </c>
      <c r="F387" s="126" t="s">
        <v>22</v>
      </c>
      <c r="G387" s="126" t="s">
        <v>1664</v>
      </c>
      <c r="H387" s="131">
        <v>80</v>
      </c>
      <c r="I387" s="49" t="s">
        <v>3563</v>
      </c>
      <c r="J387" s="52">
        <v>4</v>
      </c>
      <c r="K387" s="49"/>
      <c r="L387" s="49" t="s">
        <v>4267</v>
      </c>
      <c r="M387" s="58"/>
    </row>
    <row r="388" spans="1:13" ht="15">
      <c r="A388" s="52">
        <v>386</v>
      </c>
      <c r="B388" s="53" t="s">
        <v>592</v>
      </c>
      <c r="C388" s="126" t="s">
        <v>593</v>
      </c>
      <c r="D388" s="55">
        <v>26</v>
      </c>
      <c r="E388" s="56" t="s">
        <v>2443</v>
      </c>
      <c r="F388" s="126" t="s">
        <v>22</v>
      </c>
      <c r="G388" s="126" t="s">
        <v>1664</v>
      </c>
      <c r="H388" s="131">
        <v>312</v>
      </c>
      <c r="I388" s="49" t="s">
        <v>3563</v>
      </c>
      <c r="J388" s="52">
        <v>4</v>
      </c>
      <c r="K388" s="49"/>
      <c r="L388" s="49" t="s">
        <v>4268</v>
      </c>
      <c r="M388" s="58"/>
    </row>
    <row r="389" spans="1:13" ht="15">
      <c r="A389" s="52">
        <v>387</v>
      </c>
      <c r="B389" s="60" t="s">
        <v>828</v>
      </c>
      <c r="C389" s="126" t="s">
        <v>830</v>
      </c>
      <c r="D389" s="52">
        <v>1</v>
      </c>
      <c r="E389" s="52" t="s">
        <v>2443</v>
      </c>
      <c r="F389" s="126" t="s">
        <v>22</v>
      </c>
      <c r="G389" s="126" t="s">
        <v>1664</v>
      </c>
      <c r="H389" s="131">
        <v>8</v>
      </c>
      <c r="I389" s="49" t="s">
        <v>3563</v>
      </c>
      <c r="J389" s="52">
        <v>5</v>
      </c>
      <c r="K389" s="49"/>
      <c r="L389" s="49" t="s">
        <v>4269</v>
      </c>
      <c r="M389" s="58"/>
    </row>
    <row r="390" spans="1:13" ht="15">
      <c r="A390" s="52">
        <v>388</v>
      </c>
      <c r="B390" s="60" t="s">
        <v>863</v>
      </c>
      <c r="C390" s="126" t="s">
        <v>865</v>
      </c>
      <c r="D390" s="52">
        <v>2</v>
      </c>
      <c r="E390" s="52" t="s">
        <v>2443</v>
      </c>
      <c r="F390" s="126" t="s">
        <v>22</v>
      </c>
      <c r="G390" s="126" t="s">
        <v>1664</v>
      </c>
      <c r="H390" s="131">
        <v>16</v>
      </c>
      <c r="I390" s="49" t="s">
        <v>3563</v>
      </c>
      <c r="J390" s="52">
        <v>5</v>
      </c>
      <c r="K390" s="49"/>
      <c r="L390" s="49" t="s">
        <v>4270</v>
      </c>
      <c r="M390" s="58"/>
    </row>
    <row r="391" spans="1:13" ht="15">
      <c r="A391" s="52">
        <v>389</v>
      </c>
      <c r="B391" s="53" t="s">
        <v>1205</v>
      </c>
      <c r="C391" s="126" t="s">
        <v>587</v>
      </c>
      <c r="D391" s="55">
        <v>5</v>
      </c>
      <c r="E391" s="52" t="s">
        <v>2443</v>
      </c>
      <c r="F391" s="126" t="s">
        <v>22</v>
      </c>
      <c r="G391" s="126" t="s">
        <v>1664</v>
      </c>
      <c r="H391" s="131">
        <v>40</v>
      </c>
      <c r="I391" s="49" t="s">
        <v>3563</v>
      </c>
      <c r="J391" s="52">
        <v>5</v>
      </c>
      <c r="K391" s="49"/>
      <c r="L391" s="49" t="s">
        <v>4271</v>
      </c>
      <c r="M391" s="58"/>
    </row>
    <row r="392" spans="1:13" ht="15">
      <c r="A392" s="52">
        <v>390</v>
      </c>
      <c r="B392" s="53" t="s">
        <v>573</v>
      </c>
      <c r="C392" s="126" t="s">
        <v>575</v>
      </c>
      <c r="D392" s="55">
        <v>1</v>
      </c>
      <c r="E392" s="52" t="s">
        <v>2443</v>
      </c>
      <c r="F392" s="126" t="s">
        <v>22</v>
      </c>
      <c r="G392" s="126" t="s">
        <v>1664</v>
      </c>
      <c r="H392" s="131">
        <v>8</v>
      </c>
      <c r="I392" s="49" t="s">
        <v>3585</v>
      </c>
      <c r="J392" s="52">
        <v>5</v>
      </c>
      <c r="K392" s="49"/>
      <c r="L392" s="49" t="s">
        <v>4272</v>
      </c>
      <c r="M392" s="58"/>
    </row>
    <row r="393" spans="1:13" ht="15">
      <c r="A393" s="52">
        <v>391</v>
      </c>
      <c r="B393" s="53" t="s">
        <v>784</v>
      </c>
      <c r="C393" s="126" t="s">
        <v>54</v>
      </c>
      <c r="D393" s="55">
        <v>1</v>
      </c>
      <c r="E393" s="52" t="s">
        <v>2443</v>
      </c>
      <c r="F393" s="126" t="s">
        <v>22</v>
      </c>
      <c r="G393" s="126" t="s">
        <v>1664</v>
      </c>
      <c r="H393" s="131">
        <v>8</v>
      </c>
      <c r="I393" s="49" t="s">
        <v>3570</v>
      </c>
      <c r="J393" s="52">
        <v>1</v>
      </c>
      <c r="K393" s="49"/>
      <c r="L393" s="49" t="s">
        <v>4273</v>
      </c>
      <c r="M393" s="58"/>
    </row>
    <row r="394" spans="1:13" ht="15">
      <c r="A394" s="52">
        <v>392</v>
      </c>
      <c r="B394" s="60" t="s">
        <v>1170</v>
      </c>
      <c r="C394" s="126" t="s">
        <v>630</v>
      </c>
      <c r="D394" s="52">
        <v>16</v>
      </c>
      <c r="E394" s="52" t="s">
        <v>2443</v>
      </c>
      <c r="F394" s="126" t="s">
        <v>22</v>
      </c>
      <c r="G394" s="126" t="s">
        <v>1664</v>
      </c>
      <c r="H394" s="131">
        <v>160</v>
      </c>
      <c r="I394" s="49" t="s">
        <v>3570</v>
      </c>
      <c r="J394" s="52">
        <v>1</v>
      </c>
      <c r="K394" s="49"/>
      <c r="L394" s="49" t="s">
        <v>4274</v>
      </c>
      <c r="M394" s="58"/>
    </row>
    <row r="395" spans="1:13" ht="15">
      <c r="A395" s="52">
        <v>393</v>
      </c>
      <c r="B395" s="60" t="s">
        <v>1202</v>
      </c>
      <c r="C395" s="126" t="s">
        <v>715</v>
      </c>
      <c r="D395" s="52">
        <v>8</v>
      </c>
      <c r="E395" s="52" t="s">
        <v>2443</v>
      </c>
      <c r="F395" s="126" t="s">
        <v>22</v>
      </c>
      <c r="G395" s="126" t="s">
        <v>1664</v>
      </c>
      <c r="H395" s="131">
        <v>64</v>
      </c>
      <c r="I395" s="49" t="s">
        <v>3570</v>
      </c>
      <c r="J395" s="52">
        <v>1</v>
      </c>
      <c r="K395" s="49"/>
      <c r="L395" s="49" t="s">
        <v>4275</v>
      </c>
      <c r="M395" s="58"/>
    </row>
    <row r="396" spans="1:13" ht="15">
      <c r="A396" s="52">
        <v>394</v>
      </c>
      <c r="B396" s="60" t="s">
        <v>713</v>
      </c>
      <c r="C396" s="126" t="s">
        <v>715</v>
      </c>
      <c r="D396" s="52">
        <v>1</v>
      </c>
      <c r="E396" s="52" t="s">
        <v>2443</v>
      </c>
      <c r="F396" s="126" t="s">
        <v>22</v>
      </c>
      <c r="G396" s="126" t="s">
        <v>1664</v>
      </c>
      <c r="H396" s="131">
        <v>8</v>
      </c>
      <c r="I396" s="49" t="s">
        <v>3570</v>
      </c>
      <c r="J396" s="52">
        <v>1</v>
      </c>
      <c r="K396" s="49"/>
      <c r="L396" s="49" t="s">
        <v>4276</v>
      </c>
      <c r="M396" s="58"/>
    </row>
    <row r="397" spans="1:13" ht="15">
      <c r="A397" s="52">
        <v>395</v>
      </c>
      <c r="B397" s="60" t="s">
        <v>491</v>
      </c>
      <c r="C397" s="126" t="s">
        <v>492</v>
      </c>
      <c r="D397" s="52">
        <v>2</v>
      </c>
      <c r="E397" s="52" t="s">
        <v>2443</v>
      </c>
      <c r="F397" s="126" t="s">
        <v>22</v>
      </c>
      <c r="G397" s="126" t="s">
        <v>1664</v>
      </c>
      <c r="H397" s="131">
        <v>16</v>
      </c>
      <c r="I397" s="49" t="s">
        <v>3570</v>
      </c>
      <c r="J397" s="52">
        <v>2</v>
      </c>
      <c r="K397" s="49"/>
      <c r="L397" s="188" t="s">
        <v>4277</v>
      </c>
      <c r="M397" s="58"/>
    </row>
    <row r="398" spans="1:13" ht="15">
      <c r="A398" s="52">
        <v>396</v>
      </c>
      <c r="B398" s="60" t="s">
        <v>547</v>
      </c>
      <c r="C398" s="126" t="s">
        <v>548</v>
      </c>
      <c r="D398" s="52">
        <v>4</v>
      </c>
      <c r="E398" s="52" t="s">
        <v>2443</v>
      </c>
      <c r="F398" s="126" t="s">
        <v>22</v>
      </c>
      <c r="G398" s="126" t="s">
        <v>1664</v>
      </c>
      <c r="H398" s="131">
        <v>80</v>
      </c>
      <c r="I398" s="49" t="s">
        <v>3570</v>
      </c>
      <c r="J398" s="52">
        <v>2</v>
      </c>
      <c r="K398" s="49"/>
      <c r="L398" s="49" t="s">
        <v>4278</v>
      </c>
      <c r="M398" s="58"/>
    </row>
    <row r="399" spans="1:13" ht="15">
      <c r="A399" s="52">
        <v>397</v>
      </c>
      <c r="B399" s="53" t="s">
        <v>1136</v>
      </c>
      <c r="C399" s="126" t="s">
        <v>902</v>
      </c>
      <c r="D399" s="55">
        <v>2</v>
      </c>
      <c r="E399" s="52" t="s">
        <v>2443</v>
      </c>
      <c r="F399" s="126" t="s">
        <v>22</v>
      </c>
      <c r="G399" s="126" t="s">
        <v>1664</v>
      </c>
      <c r="H399" s="131">
        <v>64</v>
      </c>
      <c r="I399" s="49" t="s">
        <v>3570</v>
      </c>
      <c r="J399" s="52">
        <v>2</v>
      </c>
      <c r="K399" s="49" t="s">
        <v>4105</v>
      </c>
      <c r="L399" s="49" t="s">
        <v>4279</v>
      </c>
      <c r="M399" s="58"/>
    </row>
    <row r="400" spans="1:13" ht="15">
      <c r="A400" s="52">
        <v>398</v>
      </c>
      <c r="B400" s="53" t="s">
        <v>1319</v>
      </c>
      <c r="C400" s="126" t="s">
        <v>1321</v>
      </c>
      <c r="D400" s="55">
        <v>3</v>
      </c>
      <c r="E400" s="52" t="s">
        <v>2443</v>
      </c>
      <c r="F400" s="126" t="s">
        <v>22</v>
      </c>
      <c r="G400" s="126" t="s">
        <v>1664</v>
      </c>
      <c r="H400" s="131">
        <v>24</v>
      </c>
      <c r="I400" s="49" t="s">
        <v>3570</v>
      </c>
      <c r="J400" s="52">
        <v>2</v>
      </c>
      <c r="K400" s="49"/>
      <c r="L400" s="49" t="s">
        <v>4280</v>
      </c>
      <c r="M400" s="58"/>
    </row>
    <row r="401" spans="1:13" ht="15">
      <c r="A401" s="52">
        <v>399</v>
      </c>
      <c r="B401" s="53" t="s">
        <v>1174</v>
      </c>
      <c r="C401" s="126" t="s">
        <v>582</v>
      </c>
      <c r="D401" s="55">
        <v>10</v>
      </c>
      <c r="E401" s="52" t="s">
        <v>2443</v>
      </c>
      <c r="F401" s="126" t="s">
        <v>22</v>
      </c>
      <c r="G401" s="126" t="s">
        <v>1664</v>
      </c>
      <c r="H401" s="131">
        <v>80</v>
      </c>
      <c r="I401" s="49" t="s">
        <v>3570</v>
      </c>
      <c r="J401" s="52">
        <v>2</v>
      </c>
      <c r="K401" s="49"/>
      <c r="L401" s="49" t="s">
        <v>4281</v>
      </c>
      <c r="M401" s="58"/>
    </row>
    <row r="402" spans="1:13" ht="15">
      <c r="A402" s="52">
        <v>400</v>
      </c>
      <c r="B402" s="53" t="s">
        <v>1195</v>
      </c>
      <c r="C402" s="126" t="s">
        <v>1196</v>
      </c>
      <c r="D402" s="55">
        <v>10</v>
      </c>
      <c r="E402" s="52" t="s">
        <v>2443</v>
      </c>
      <c r="F402" s="126" t="s">
        <v>22</v>
      </c>
      <c r="G402" s="126" t="s">
        <v>1664</v>
      </c>
      <c r="H402" s="131">
        <v>80</v>
      </c>
      <c r="I402" s="49" t="s">
        <v>3570</v>
      </c>
      <c r="J402" s="52">
        <v>2</v>
      </c>
      <c r="K402" s="49"/>
      <c r="L402" s="49" t="s">
        <v>4282</v>
      </c>
      <c r="M402" s="58"/>
    </row>
    <row r="403" spans="1:13" ht="15">
      <c r="A403" s="52">
        <v>401</v>
      </c>
      <c r="B403" s="53" t="s">
        <v>1207</v>
      </c>
      <c r="C403" s="126" t="s">
        <v>1208</v>
      </c>
      <c r="D403" s="55">
        <v>3</v>
      </c>
      <c r="E403" s="52" t="s">
        <v>2443</v>
      </c>
      <c r="F403" s="126" t="s">
        <v>22</v>
      </c>
      <c r="G403" s="126" t="s">
        <v>1664</v>
      </c>
      <c r="H403" s="131">
        <v>24</v>
      </c>
      <c r="I403" s="49" t="s">
        <v>3570</v>
      </c>
      <c r="J403" s="52">
        <v>2</v>
      </c>
      <c r="K403" s="49"/>
      <c r="L403" s="49" t="s">
        <v>4283</v>
      </c>
      <c r="M403" s="58"/>
    </row>
    <row r="404" spans="1:13" ht="23.45" customHeight="1">
      <c r="A404" s="52">
        <v>402</v>
      </c>
      <c r="B404" s="53" t="s">
        <v>466</v>
      </c>
      <c r="C404" s="126" t="s">
        <v>468</v>
      </c>
      <c r="D404" s="55">
        <v>1</v>
      </c>
      <c r="E404" s="52" t="s">
        <v>2443</v>
      </c>
      <c r="F404" s="126" t="s">
        <v>22</v>
      </c>
      <c r="G404" s="126" t="s">
        <v>1664</v>
      </c>
      <c r="H404" s="131">
        <v>8</v>
      </c>
      <c r="I404" s="49" t="s">
        <v>3570</v>
      </c>
      <c r="J404" s="52">
        <v>3</v>
      </c>
      <c r="K404" s="49"/>
      <c r="L404" s="49" t="s">
        <v>4284</v>
      </c>
      <c r="M404" s="58"/>
    </row>
    <row r="405" spans="1:13" ht="15">
      <c r="A405" s="52">
        <v>403</v>
      </c>
      <c r="B405" s="60" t="s">
        <v>809</v>
      </c>
      <c r="C405" s="126" t="s">
        <v>41</v>
      </c>
      <c r="D405" s="52">
        <v>1</v>
      </c>
      <c r="E405" s="52" t="s">
        <v>2443</v>
      </c>
      <c r="F405" s="126" t="s">
        <v>22</v>
      </c>
      <c r="G405" s="126" t="s">
        <v>1664</v>
      </c>
      <c r="H405" s="131">
        <v>8</v>
      </c>
      <c r="I405" s="49" t="s">
        <v>3570</v>
      </c>
      <c r="J405" s="52">
        <v>3</v>
      </c>
      <c r="K405" s="49"/>
      <c r="L405" s="49" t="s">
        <v>4285</v>
      </c>
      <c r="M405" s="58"/>
    </row>
    <row r="406" spans="1:13" s="62" customFormat="1" ht="15">
      <c r="A406" s="52">
        <v>404</v>
      </c>
      <c r="B406" s="60" t="s">
        <v>1163</v>
      </c>
      <c r="C406" s="126" t="s">
        <v>1164</v>
      </c>
      <c r="D406" s="52">
        <v>2</v>
      </c>
      <c r="E406" s="52" t="s">
        <v>2443</v>
      </c>
      <c r="F406" s="126" t="s">
        <v>22</v>
      </c>
      <c r="G406" s="126" t="s">
        <v>1664</v>
      </c>
      <c r="H406" s="131">
        <v>16</v>
      </c>
      <c r="I406" s="49" t="s">
        <v>3570</v>
      </c>
      <c r="J406" s="52">
        <v>3</v>
      </c>
      <c r="K406" s="49"/>
      <c r="L406" s="49" t="s">
        <v>4286</v>
      </c>
      <c r="M406" s="58"/>
    </row>
    <row r="407" spans="1:13" s="62" customFormat="1" ht="15">
      <c r="A407" s="52">
        <v>405</v>
      </c>
      <c r="B407" s="60">
        <v>2376119871</v>
      </c>
      <c r="C407" s="126" t="s">
        <v>1321</v>
      </c>
      <c r="D407" s="52">
        <v>4</v>
      </c>
      <c r="E407" s="52" t="s">
        <v>2443</v>
      </c>
      <c r="F407" s="126" t="s">
        <v>22</v>
      </c>
      <c r="G407" s="126" t="s">
        <v>1664</v>
      </c>
      <c r="H407" s="131">
        <v>32</v>
      </c>
      <c r="I407" s="49" t="s">
        <v>3570</v>
      </c>
      <c r="J407" s="52">
        <v>4</v>
      </c>
      <c r="K407" s="49"/>
      <c r="L407" s="49" t="s">
        <v>4287</v>
      </c>
      <c r="M407" s="58"/>
    </row>
    <row r="408" spans="1:13" s="62" customFormat="1" ht="15">
      <c r="A408" s="52">
        <v>406</v>
      </c>
      <c r="B408" s="60" t="s">
        <v>803</v>
      </c>
      <c r="C408" s="126" t="s">
        <v>485</v>
      </c>
      <c r="D408" s="52">
        <v>8</v>
      </c>
      <c r="E408" s="52" t="s">
        <v>2443</v>
      </c>
      <c r="F408" s="126" t="s">
        <v>22</v>
      </c>
      <c r="G408" s="126" t="s">
        <v>1664</v>
      </c>
      <c r="H408" s="131">
        <v>64</v>
      </c>
      <c r="I408" s="49" t="s">
        <v>3570</v>
      </c>
      <c r="J408" s="52">
        <v>4</v>
      </c>
      <c r="K408" s="49"/>
      <c r="L408" s="49" t="s">
        <v>4288</v>
      </c>
      <c r="M408" s="58"/>
    </row>
    <row r="409" spans="1:13" ht="15">
      <c r="A409" s="52">
        <v>407</v>
      </c>
      <c r="B409" s="60" t="s">
        <v>1168</v>
      </c>
      <c r="C409" s="126" t="s">
        <v>630</v>
      </c>
      <c r="D409" s="52">
        <v>2</v>
      </c>
      <c r="E409" s="52" t="s">
        <v>2443</v>
      </c>
      <c r="F409" s="126" t="s">
        <v>22</v>
      </c>
      <c r="G409" s="126" t="s">
        <v>1664</v>
      </c>
      <c r="H409" s="131">
        <v>16</v>
      </c>
      <c r="I409" s="49" t="s">
        <v>3570</v>
      </c>
      <c r="J409" s="52">
        <v>4</v>
      </c>
      <c r="K409" s="49"/>
      <c r="L409" s="49" t="s">
        <v>4289</v>
      </c>
      <c r="M409" s="58"/>
    </row>
    <row r="410" spans="1:13" ht="15">
      <c r="A410" s="52">
        <v>408</v>
      </c>
      <c r="B410" s="60" t="s">
        <v>1176</v>
      </c>
      <c r="C410" s="126" t="s">
        <v>1177</v>
      </c>
      <c r="D410" s="52">
        <v>14</v>
      </c>
      <c r="E410" s="52" t="s">
        <v>2443</v>
      </c>
      <c r="F410" s="126" t="s">
        <v>22</v>
      </c>
      <c r="G410" s="126" t="s">
        <v>1664</v>
      </c>
      <c r="H410" s="131">
        <v>112</v>
      </c>
      <c r="I410" s="49" t="s">
        <v>3570</v>
      </c>
      <c r="J410" s="52">
        <v>4</v>
      </c>
      <c r="K410" s="49"/>
      <c r="L410" s="49" t="s">
        <v>4290</v>
      </c>
      <c r="M410" s="58"/>
    </row>
    <row r="411" spans="1:13" ht="15">
      <c r="A411" s="52">
        <v>409</v>
      </c>
      <c r="B411" s="53" t="s">
        <v>1199</v>
      </c>
      <c r="C411" s="126" t="s">
        <v>1200</v>
      </c>
      <c r="D411" s="55">
        <v>2</v>
      </c>
      <c r="E411" s="52" t="s">
        <v>2443</v>
      </c>
      <c r="F411" s="126" t="s">
        <v>22</v>
      </c>
      <c r="G411" s="126" t="s">
        <v>1664</v>
      </c>
      <c r="H411" s="131">
        <v>16</v>
      </c>
      <c r="I411" s="49" t="s">
        <v>3794</v>
      </c>
      <c r="J411" s="52">
        <v>4</v>
      </c>
      <c r="K411" s="49"/>
      <c r="L411" s="49" t="s">
        <v>4291</v>
      </c>
      <c r="M411" s="58"/>
    </row>
    <row r="412" spans="1:13" ht="15">
      <c r="A412" s="52">
        <v>410</v>
      </c>
      <c r="B412" s="53" t="s">
        <v>785</v>
      </c>
      <c r="C412" s="126" t="s">
        <v>54</v>
      </c>
      <c r="D412" s="55">
        <v>1</v>
      </c>
      <c r="E412" s="52" t="s">
        <v>2443</v>
      </c>
      <c r="F412" s="126" t="s">
        <v>22</v>
      </c>
      <c r="G412" s="126" t="s">
        <v>1664</v>
      </c>
      <c r="H412" s="131">
        <v>8</v>
      </c>
      <c r="I412" s="49" t="s">
        <v>3570</v>
      </c>
      <c r="J412" s="52">
        <v>5</v>
      </c>
      <c r="K412" s="49"/>
      <c r="L412" s="49" t="s">
        <v>4292</v>
      </c>
      <c r="M412" s="58"/>
    </row>
    <row r="413" spans="1:13" ht="15">
      <c r="A413" s="52">
        <v>411</v>
      </c>
      <c r="B413" s="53" t="s">
        <v>488</v>
      </c>
      <c r="C413" s="126" t="s">
        <v>489</v>
      </c>
      <c r="D413" s="55">
        <v>2</v>
      </c>
      <c r="E413" s="52" t="s">
        <v>2443</v>
      </c>
      <c r="F413" s="126" t="s">
        <v>22</v>
      </c>
      <c r="G413" s="126" t="s">
        <v>1664</v>
      </c>
      <c r="H413" s="131">
        <v>16</v>
      </c>
      <c r="I413" s="49" t="s">
        <v>3570</v>
      </c>
      <c r="J413" s="52">
        <v>5</v>
      </c>
      <c r="K413" s="49"/>
      <c r="L413" s="49" t="s">
        <v>4293</v>
      </c>
      <c r="M413" s="58"/>
    </row>
    <row r="414" spans="1:13" ht="15">
      <c r="A414" s="52">
        <v>412</v>
      </c>
      <c r="B414" s="53" t="s">
        <v>798</v>
      </c>
      <c r="C414" s="126" t="s">
        <v>485</v>
      </c>
      <c r="D414" s="55">
        <v>1</v>
      </c>
      <c r="E414" s="52" t="s">
        <v>2443</v>
      </c>
      <c r="F414" s="126" t="s">
        <v>22</v>
      </c>
      <c r="G414" s="126" t="s">
        <v>1664</v>
      </c>
      <c r="H414" s="131">
        <v>8</v>
      </c>
      <c r="I414" s="49" t="s">
        <v>3570</v>
      </c>
      <c r="J414" s="52">
        <v>5</v>
      </c>
      <c r="K414" s="49"/>
      <c r="L414" s="49" t="s">
        <v>4294</v>
      </c>
      <c r="M414" s="58"/>
    </row>
    <row r="415" spans="1:13" ht="15">
      <c r="A415" s="52">
        <v>413</v>
      </c>
      <c r="B415" s="60" t="s">
        <v>1167</v>
      </c>
      <c r="C415" s="126" t="s">
        <v>630</v>
      </c>
      <c r="D415" s="52">
        <v>6</v>
      </c>
      <c r="E415" s="56" t="s">
        <v>2443</v>
      </c>
      <c r="F415" s="126" t="s">
        <v>22</v>
      </c>
      <c r="G415" s="126" t="s">
        <v>1664</v>
      </c>
      <c r="H415" s="131">
        <v>48</v>
      </c>
      <c r="I415" s="49" t="s">
        <v>3570</v>
      </c>
      <c r="J415" s="52">
        <v>5</v>
      </c>
      <c r="K415" s="49"/>
      <c r="L415" s="49" t="s">
        <v>4295</v>
      </c>
      <c r="M415" s="58"/>
    </row>
    <row r="416" spans="1:13" ht="15">
      <c r="A416" s="52">
        <v>414</v>
      </c>
      <c r="B416" s="60" t="s">
        <v>1182</v>
      </c>
      <c r="C416" s="126" t="s">
        <v>587</v>
      </c>
      <c r="D416" s="52">
        <v>12</v>
      </c>
      <c r="E416" s="52" t="s">
        <v>2443</v>
      </c>
      <c r="F416" s="126" t="s">
        <v>22</v>
      </c>
      <c r="G416" s="126" t="s">
        <v>1664</v>
      </c>
      <c r="H416" s="131">
        <v>96</v>
      </c>
      <c r="I416" s="49" t="s">
        <v>3570</v>
      </c>
      <c r="J416" s="52">
        <v>5</v>
      </c>
      <c r="K416" s="49"/>
      <c r="L416" s="49" t="s">
        <v>4296</v>
      </c>
      <c r="M416" s="58"/>
    </row>
    <row r="417" spans="1:13" ht="15">
      <c r="A417" s="52">
        <v>415</v>
      </c>
      <c r="B417" s="60" t="s">
        <v>1231</v>
      </c>
      <c r="C417" s="126" t="s">
        <v>558</v>
      </c>
      <c r="D417" s="52">
        <v>4</v>
      </c>
      <c r="E417" s="52" t="s">
        <v>2443</v>
      </c>
      <c r="F417" s="126" t="s">
        <v>22</v>
      </c>
      <c r="G417" s="126" t="s">
        <v>1664</v>
      </c>
      <c r="H417" s="131">
        <v>32</v>
      </c>
      <c r="I417" s="49" t="s">
        <v>3570</v>
      </c>
      <c r="J417" s="52">
        <v>5</v>
      </c>
      <c r="K417" s="49"/>
      <c r="L417" s="49" t="s">
        <v>4297</v>
      </c>
      <c r="M417" s="58"/>
    </row>
    <row r="418" spans="1:13" ht="15">
      <c r="A418" s="52">
        <v>416</v>
      </c>
      <c r="B418" s="60" t="s">
        <v>527</v>
      </c>
      <c r="C418" s="126" t="s">
        <v>529</v>
      </c>
      <c r="D418" s="52">
        <v>1</v>
      </c>
      <c r="E418" s="52" t="s">
        <v>2388</v>
      </c>
      <c r="F418" s="126" t="s">
        <v>22</v>
      </c>
      <c r="G418" s="126" t="s">
        <v>1664</v>
      </c>
      <c r="H418" s="131">
        <v>16</v>
      </c>
      <c r="I418" s="49" t="s">
        <v>3559</v>
      </c>
      <c r="J418" s="52">
        <v>1</v>
      </c>
      <c r="K418" s="49"/>
      <c r="L418" s="49" t="s">
        <v>4298</v>
      </c>
      <c r="M418" s="58"/>
    </row>
    <row r="419" spans="1:13" ht="15">
      <c r="A419" s="52">
        <v>417</v>
      </c>
      <c r="B419" s="60" t="s">
        <v>1154</v>
      </c>
      <c r="C419" s="126" t="s">
        <v>558</v>
      </c>
      <c r="D419" s="52">
        <v>8</v>
      </c>
      <c r="E419" s="52" t="s">
        <v>2388</v>
      </c>
      <c r="F419" s="126" t="s">
        <v>22</v>
      </c>
      <c r="G419" s="126" t="s">
        <v>1664</v>
      </c>
      <c r="H419" s="131">
        <v>96</v>
      </c>
      <c r="I419" s="49" t="s">
        <v>3559</v>
      </c>
      <c r="J419" s="52">
        <v>1</v>
      </c>
      <c r="K419" s="49"/>
      <c r="L419" s="49" t="s">
        <v>4299</v>
      </c>
      <c r="M419" s="58"/>
    </row>
    <row r="420" spans="1:13" ht="15">
      <c r="A420" s="52">
        <v>418</v>
      </c>
      <c r="B420" s="60" t="s">
        <v>1155</v>
      </c>
      <c r="C420" s="126" t="s">
        <v>558</v>
      </c>
      <c r="D420" s="52">
        <v>8</v>
      </c>
      <c r="E420" s="52" t="s">
        <v>2388</v>
      </c>
      <c r="F420" s="126" t="s">
        <v>22</v>
      </c>
      <c r="G420" s="126" t="s">
        <v>1664</v>
      </c>
      <c r="H420" s="131">
        <v>64</v>
      </c>
      <c r="I420" s="49" t="s">
        <v>3559</v>
      </c>
      <c r="J420" s="52">
        <v>1</v>
      </c>
      <c r="K420" s="49"/>
      <c r="L420" s="49" t="s">
        <v>4300</v>
      </c>
      <c r="M420" s="58"/>
    </row>
    <row r="421" spans="1:13" ht="15">
      <c r="A421" s="52">
        <v>419</v>
      </c>
      <c r="B421" s="60" t="s">
        <v>1281</v>
      </c>
      <c r="C421" s="126" t="s">
        <v>492</v>
      </c>
      <c r="D421" s="52">
        <v>8</v>
      </c>
      <c r="E421" s="52" t="s">
        <v>2388</v>
      </c>
      <c r="F421" s="126" t="s">
        <v>22</v>
      </c>
      <c r="G421" s="126" t="s">
        <v>1664</v>
      </c>
      <c r="H421" s="131">
        <v>64</v>
      </c>
      <c r="I421" s="49" t="s">
        <v>3559</v>
      </c>
      <c r="J421" s="52">
        <v>1</v>
      </c>
      <c r="K421" s="49" t="s">
        <v>3610</v>
      </c>
      <c r="L421" s="49" t="s">
        <v>4301</v>
      </c>
      <c r="M421" s="58"/>
    </row>
    <row r="422" spans="1:13" ht="15">
      <c r="A422" s="52">
        <v>420</v>
      </c>
      <c r="B422" s="60" t="s">
        <v>1288</v>
      </c>
      <c r="C422" s="126" t="s">
        <v>489</v>
      </c>
      <c r="D422" s="52">
        <v>8</v>
      </c>
      <c r="E422" s="52" t="s">
        <v>2388</v>
      </c>
      <c r="F422" s="126" t="s">
        <v>22</v>
      </c>
      <c r="G422" s="126" t="s">
        <v>1664</v>
      </c>
      <c r="H422" s="131">
        <v>64</v>
      </c>
      <c r="I422" s="49" t="s">
        <v>3559</v>
      </c>
      <c r="J422" s="52">
        <v>1</v>
      </c>
      <c r="K422" s="49"/>
      <c r="L422" s="49" t="s">
        <v>4302</v>
      </c>
      <c r="M422" s="58"/>
    </row>
    <row r="423" spans="1:13" ht="15">
      <c r="A423" s="52">
        <v>421</v>
      </c>
      <c r="B423" s="60" t="s">
        <v>1289</v>
      </c>
      <c r="C423" s="126" t="s">
        <v>489</v>
      </c>
      <c r="D423" s="52">
        <v>8</v>
      </c>
      <c r="E423" s="52" t="s">
        <v>2388</v>
      </c>
      <c r="F423" s="126" t="s">
        <v>22</v>
      </c>
      <c r="G423" s="126" t="s">
        <v>1664</v>
      </c>
      <c r="H423" s="131">
        <v>64</v>
      </c>
      <c r="I423" s="49" t="s">
        <v>3559</v>
      </c>
      <c r="J423" s="52">
        <v>1</v>
      </c>
      <c r="K423" s="49"/>
      <c r="L423" s="49" t="s">
        <v>4303</v>
      </c>
      <c r="M423" s="58"/>
    </row>
    <row r="424" spans="1:13" ht="15">
      <c r="A424" s="52">
        <v>422</v>
      </c>
      <c r="B424" s="60" t="s">
        <v>904</v>
      </c>
      <c r="C424" s="126" t="s">
        <v>906</v>
      </c>
      <c r="D424" s="52">
        <v>6</v>
      </c>
      <c r="E424" s="52" t="s">
        <v>2388</v>
      </c>
      <c r="F424" s="126" t="s">
        <v>22</v>
      </c>
      <c r="G424" s="126" t="s">
        <v>1664</v>
      </c>
      <c r="H424" s="131">
        <v>136</v>
      </c>
      <c r="I424" s="49" t="s">
        <v>3559</v>
      </c>
      <c r="J424" s="52">
        <v>2</v>
      </c>
      <c r="K424" s="49"/>
      <c r="L424" s="49" t="s">
        <v>4304</v>
      </c>
      <c r="M424" s="58"/>
    </row>
    <row r="425" spans="1:13" ht="15">
      <c r="A425" s="52">
        <v>423</v>
      </c>
      <c r="B425" s="60" t="s">
        <v>552</v>
      </c>
      <c r="C425" s="126" t="s">
        <v>21</v>
      </c>
      <c r="D425" s="52">
        <v>1</v>
      </c>
      <c r="E425" s="52" t="s">
        <v>2388</v>
      </c>
      <c r="F425" s="126" t="s">
        <v>22</v>
      </c>
      <c r="G425" s="126" t="s">
        <v>1664</v>
      </c>
      <c r="H425" s="131">
        <v>8</v>
      </c>
      <c r="I425" s="49" t="s">
        <v>3559</v>
      </c>
      <c r="J425" s="52">
        <v>2</v>
      </c>
      <c r="K425" s="49"/>
      <c r="L425" s="49" t="s">
        <v>4305</v>
      </c>
      <c r="M425" s="58"/>
    </row>
    <row r="426" spans="1:13" ht="15">
      <c r="A426" s="52">
        <v>424</v>
      </c>
      <c r="B426" s="60" t="s">
        <v>612</v>
      </c>
      <c r="C426" s="126" t="s">
        <v>614</v>
      </c>
      <c r="D426" s="52">
        <v>2</v>
      </c>
      <c r="E426" s="52" t="s">
        <v>2388</v>
      </c>
      <c r="F426" s="126" t="s">
        <v>22</v>
      </c>
      <c r="G426" s="126" t="s">
        <v>1686</v>
      </c>
      <c r="H426" s="131">
        <v>1072</v>
      </c>
      <c r="I426" s="49" t="s">
        <v>3563</v>
      </c>
      <c r="J426" s="52">
        <v>1</v>
      </c>
      <c r="K426" s="49"/>
      <c r="L426" s="49" t="s">
        <v>4306</v>
      </c>
      <c r="M426" s="58"/>
    </row>
    <row r="427" spans="1:13" ht="15">
      <c r="A427" s="52">
        <v>425</v>
      </c>
      <c r="B427" s="60" t="s">
        <v>556</v>
      </c>
      <c r="C427" s="126" t="s">
        <v>558</v>
      </c>
      <c r="D427" s="52">
        <v>8</v>
      </c>
      <c r="E427" s="52" t="s">
        <v>2388</v>
      </c>
      <c r="F427" s="126" t="s">
        <v>22</v>
      </c>
      <c r="G427" s="126" t="s">
        <v>1664</v>
      </c>
      <c r="H427" s="131">
        <v>160</v>
      </c>
      <c r="I427" s="49" t="s">
        <v>3563</v>
      </c>
      <c r="J427" s="52">
        <v>2</v>
      </c>
      <c r="K427" s="49"/>
      <c r="L427" s="49" t="s">
        <v>4307</v>
      </c>
      <c r="M427" s="58"/>
    </row>
    <row r="428" spans="1:13" ht="15">
      <c r="A428" s="52">
        <v>426</v>
      </c>
      <c r="B428" s="60" t="s">
        <v>1277</v>
      </c>
      <c r="C428" s="126" t="s">
        <v>492</v>
      </c>
      <c r="D428" s="52">
        <v>4</v>
      </c>
      <c r="E428" s="52" t="s">
        <v>2388</v>
      </c>
      <c r="F428" s="126" t="s">
        <v>22</v>
      </c>
      <c r="G428" s="126" t="s">
        <v>1664</v>
      </c>
      <c r="H428" s="131">
        <v>32</v>
      </c>
      <c r="I428" s="49" t="s">
        <v>3563</v>
      </c>
      <c r="J428" s="52">
        <v>2</v>
      </c>
      <c r="K428" s="49"/>
      <c r="L428" s="49" t="s">
        <v>4308</v>
      </c>
      <c r="M428" s="58"/>
    </row>
    <row r="429" spans="1:13" ht="15">
      <c r="A429" s="52">
        <v>427</v>
      </c>
      <c r="B429" s="60" t="s">
        <v>1153</v>
      </c>
      <c r="C429" s="126" t="s">
        <v>558</v>
      </c>
      <c r="D429" s="52">
        <v>16</v>
      </c>
      <c r="E429" s="56" t="s">
        <v>2388</v>
      </c>
      <c r="F429" s="126" t="s">
        <v>22</v>
      </c>
      <c r="G429" s="126" t="s">
        <v>1664</v>
      </c>
      <c r="H429" s="131">
        <v>688</v>
      </c>
      <c r="I429" s="49" t="s">
        <v>3563</v>
      </c>
      <c r="J429" s="52">
        <v>3</v>
      </c>
      <c r="K429" s="49" t="s">
        <v>4105</v>
      </c>
      <c r="L429" s="49" t="s">
        <v>4309</v>
      </c>
      <c r="M429" s="58"/>
    </row>
    <row r="430" spans="1:13" ht="15">
      <c r="A430" s="52">
        <v>428</v>
      </c>
      <c r="B430" s="53" t="s">
        <v>1274</v>
      </c>
      <c r="C430" s="126" t="s">
        <v>489</v>
      </c>
      <c r="D430" s="55">
        <v>8</v>
      </c>
      <c r="E430" s="52" t="s">
        <v>2388</v>
      </c>
      <c r="F430" s="126" t="s">
        <v>22</v>
      </c>
      <c r="G430" s="126" t="s">
        <v>1664</v>
      </c>
      <c r="H430" s="131">
        <v>144</v>
      </c>
      <c r="I430" s="49" t="s">
        <v>3563</v>
      </c>
      <c r="J430" s="52">
        <v>4</v>
      </c>
      <c r="K430" s="49"/>
      <c r="L430" s="49" t="s">
        <v>4310</v>
      </c>
      <c r="M430" s="58"/>
    </row>
    <row r="431" spans="1:13" ht="15">
      <c r="A431" s="52">
        <v>429</v>
      </c>
      <c r="B431" s="60" t="s">
        <v>1245</v>
      </c>
      <c r="C431" s="126" t="s">
        <v>506</v>
      </c>
      <c r="D431" s="52">
        <v>2</v>
      </c>
      <c r="E431" s="52" t="s">
        <v>2388</v>
      </c>
      <c r="F431" s="126" t="s">
        <v>22</v>
      </c>
      <c r="G431" s="126" t="s">
        <v>1664</v>
      </c>
      <c r="H431" s="131">
        <v>16</v>
      </c>
      <c r="I431" s="49" t="s">
        <v>3585</v>
      </c>
      <c r="J431" s="52">
        <v>1</v>
      </c>
      <c r="K431" s="49"/>
      <c r="L431" s="49" t="s">
        <v>4311</v>
      </c>
      <c r="M431" s="58"/>
    </row>
    <row r="432" spans="1:13" ht="15">
      <c r="A432" s="52">
        <v>430</v>
      </c>
      <c r="B432" s="60" t="s">
        <v>752</v>
      </c>
      <c r="C432" s="126" t="s">
        <v>489</v>
      </c>
      <c r="D432" s="52">
        <v>4</v>
      </c>
      <c r="E432" s="52" t="s">
        <v>2388</v>
      </c>
      <c r="F432" s="126" t="s">
        <v>22</v>
      </c>
      <c r="G432" s="126" t="s">
        <v>1664</v>
      </c>
      <c r="H432" s="131">
        <v>112</v>
      </c>
      <c r="I432" s="49" t="s">
        <v>3570</v>
      </c>
      <c r="J432" s="52">
        <v>1</v>
      </c>
      <c r="K432" s="49"/>
      <c r="L432" s="49" t="s">
        <v>4312</v>
      </c>
      <c r="M432" s="58"/>
    </row>
    <row r="433" spans="1:13" ht="15">
      <c r="A433" s="52">
        <v>431</v>
      </c>
      <c r="B433" s="60" t="s">
        <v>501</v>
      </c>
      <c r="C433" s="126" t="s">
        <v>503</v>
      </c>
      <c r="D433" s="52">
        <v>1</v>
      </c>
      <c r="E433" s="52" t="s">
        <v>2388</v>
      </c>
      <c r="F433" s="126" t="s">
        <v>22</v>
      </c>
      <c r="G433" s="126" t="s">
        <v>1664</v>
      </c>
      <c r="H433" s="131">
        <v>8</v>
      </c>
      <c r="I433" s="49" t="s">
        <v>3570</v>
      </c>
      <c r="J433" s="52">
        <v>4</v>
      </c>
      <c r="K433" s="49"/>
      <c r="L433" s="49" t="s">
        <v>4313</v>
      </c>
      <c r="M433" s="58"/>
    </row>
    <row r="434" spans="1:13" ht="15">
      <c r="A434" s="52">
        <v>432</v>
      </c>
      <c r="B434" s="60" t="s">
        <v>1240</v>
      </c>
      <c r="C434" s="126" t="s">
        <v>265</v>
      </c>
      <c r="D434" s="52">
        <v>2</v>
      </c>
      <c r="E434" s="52" t="s">
        <v>2391</v>
      </c>
      <c r="F434" s="126" t="s">
        <v>22</v>
      </c>
      <c r="G434" s="126" t="s">
        <v>1664</v>
      </c>
      <c r="H434" s="131">
        <v>16</v>
      </c>
      <c r="I434" s="49" t="s">
        <v>3559</v>
      </c>
      <c r="J434" s="52"/>
      <c r="K434" s="49"/>
      <c r="L434" s="49" t="s">
        <v>4314</v>
      </c>
      <c r="M434" s="58"/>
    </row>
    <row r="435" spans="1:13" ht="15">
      <c r="A435" s="52">
        <v>433</v>
      </c>
      <c r="B435" s="60" t="s">
        <v>978</v>
      </c>
      <c r="C435" s="126" t="s">
        <v>979</v>
      </c>
      <c r="D435" s="52">
        <v>1</v>
      </c>
      <c r="E435" s="56" t="s">
        <v>2391</v>
      </c>
      <c r="F435" s="126" t="s">
        <v>22</v>
      </c>
      <c r="G435" s="126" t="s">
        <v>1664</v>
      </c>
      <c r="H435" s="131">
        <v>1</v>
      </c>
      <c r="I435" s="49" t="s">
        <v>2511</v>
      </c>
      <c r="J435" s="52">
        <v>2</v>
      </c>
      <c r="K435" s="49"/>
      <c r="L435" s="49" t="s">
        <v>4315</v>
      </c>
      <c r="M435" s="58"/>
    </row>
    <row r="436" spans="1:13" ht="15">
      <c r="A436" s="52">
        <v>434</v>
      </c>
      <c r="B436" s="60" t="s">
        <v>980</v>
      </c>
      <c r="C436" s="126" t="s">
        <v>979</v>
      </c>
      <c r="D436" s="52">
        <v>1</v>
      </c>
      <c r="E436" s="56" t="s">
        <v>2391</v>
      </c>
      <c r="F436" s="126" t="s">
        <v>22</v>
      </c>
      <c r="G436" s="126" t="s">
        <v>1664</v>
      </c>
      <c r="H436" s="131">
        <v>1</v>
      </c>
      <c r="I436" s="49" t="s">
        <v>2511</v>
      </c>
      <c r="J436" s="52">
        <v>2</v>
      </c>
      <c r="K436" s="49"/>
      <c r="L436" s="49" t="s">
        <v>4316</v>
      </c>
      <c r="M436" s="58"/>
    </row>
    <row r="437" spans="1:13" ht="15">
      <c r="A437" s="52">
        <v>435</v>
      </c>
      <c r="B437" s="60" t="s">
        <v>904</v>
      </c>
      <c r="C437" s="126" t="s">
        <v>906</v>
      </c>
      <c r="D437" s="52">
        <v>26</v>
      </c>
      <c r="E437" s="52" t="s">
        <v>2391</v>
      </c>
      <c r="F437" s="126" t="s">
        <v>22</v>
      </c>
      <c r="G437" s="126" t="s">
        <v>1664</v>
      </c>
      <c r="H437" s="131">
        <v>136</v>
      </c>
      <c r="I437" s="49" t="s">
        <v>3706</v>
      </c>
      <c r="J437" s="52"/>
      <c r="K437" s="49"/>
      <c r="L437" s="49" t="s">
        <v>4317</v>
      </c>
      <c r="M437" s="58"/>
    </row>
    <row r="438" spans="1:13" ht="15">
      <c r="A438" s="52">
        <v>436</v>
      </c>
      <c r="B438" s="60" t="s">
        <v>527</v>
      </c>
      <c r="C438" s="126" t="s">
        <v>529</v>
      </c>
      <c r="D438" s="52">
        <v>2</v>
      </c>
      <c r="E438" s="52" t="s">
        <v>2391</v>
      </c>
      <c r="F438" s="126" t="s">
        <v>22</v>
      </c>
      <c r="G438" s="126" t="s">
        <v>1664</v>
      </c>
      <c r="H438" s="131">
        <v>16</v>
      </c>
      <c r="I438" s="49" t="s">
        <v>3559</v>
      </c>
      <c r="J438" s="52">
        <v>1</v>
      </c>
      <c r="K438" s="49"/>
      <c r="L438" s="49" t="s">
        <v>4318</v>
      </c>
      <c r="M438" s="58"/>
    </row>
    <row r="439" spans="1:13" ht="15">
      <c r="A439" s="52">
        <v>437</v>
      </c>
      <c r="B439" s="60" t="s">
        <v>1157</v>
      </c>
      <c r="C439" s="126" t="s">
        <v>558</v>
      </c>
      <c r="D439" s="52">
        <v>8</v>
      </c>
      <c r="E439" s="56" t="s">
        <v>2391</v>
      </c>
      <c r="F439" s="126" t="s">
        <v>22</v>
      </c>
      <c r="G439" s="126" t="s">
        <v>1664</v>
      </c>
      <c r="H439" s="131">
        <v>64</v>
      </c>
      <c r="I439" s="49" t="s">
        <v>3559</v>
      </c>
      <c r="J439" s="52">
        <v>3</v>
      </c>
      <c r="K439" s="49"/>
      <c r="L439" s="49" t="s">
        <v>4319</v>
      </c>
      <c r="M439" s="58"/>
    </row>
    <row r="440" spans="1:13" ht="15">
      <c r="A440" s="52">
        <v>438</v>
      </c>
      <c r="B440" s="60" t="s">
        <v>1175</v>
      </c>
      <c r="C440" s="126" t="s">
        <v>587</v>
      </c>
      <c r="D440" s="52">
        <v>2</v>
      </c>
      <c r="E440" s="52" t="s">
        <v>2391</v>
      </c>
      <c r="F440" s="126" t="s">
        <v>22</v>
      </c>
      <c r="G440" s="126" t="s">
        <v>1664</v>
      </c>
      <c r="H440" s="131">
        <v>16</v>
      </c>
      <c r="I440" s="49" t="s">
        <v>3559</v>
      </c>
      <c r="J440" s="52">
        <v>3</v>
      </c>
      <c r="K440" s="49"/>
      <c r="L440" s="49" t="s">
        <v>4320</v>
      </c>
      <c r="M440" s="58"/>
    </row>
    <row r="441" spans="1:13" ht="15">
      <c r="A441" s="52">
        <v>439</v>
      </c>
      <c r="B441" s="60" t="s">
        <v>752</v>
      </c>
      <c r="C441" s="126" t="s">
        <v>489</v>
      </c>
      <c r="D441" s="52">
        <v>4</v>
      </c>
      <c r="E441" s="52" t="s">
        <v>2391</v>
      </c>
      <c r="F441" s="126" t="s">
        <v>22</v>
      </c>
      <c r="G441" s="126" t="s">
        <v>1664</v>
      </c>
      <c r="H441" s="131">
        <v>112</v>
      </c>
      <c r="I441" s="49" t="s">
        <v>3559</v>
      </c>
      <c r="J441" s="52">
        <v>3</v>
      </c>
      <c r="K441" s="49"/>
      <c r="L441" s="49" t="s">
        <v>4321</v>
      </c>
      <c r="M441" s="58"/>
    </row>
    <row r="442" spans="1:13" ht="15">
      <c r="A442" s="52">
        <v>440</v>
      </c>
      <c r="B442" s="60" t="s">
        <v>1276</v>
      </c>
      <c r="C442" s="126" t="s">
        <v>492</v>
      </c>
      <c r="D442" s="52">
        <v>4</v>
      </c>
      <c r="E442" s="52" t="s">
        <v>2391</v>
      </c>
      <c r="F442" s="126" t="s">
        <v>22</v>
      </c>
      <c r="G442" s="126" t="s">
        <v>1664</v>
      </c>
      <c r="H442" s="131">
        <v>32</v>
      </c>
      <c r="I442" s="49" t="s">
        <v>3559</v>
      </c>
      <c r="J442" s="52">
        <v>3</v>
      </c>
      <c r="K442" s="49"/>
      <c r="L442" s="49" t="s">
        <v>4322</v>
      </c>
      <c r="M442" s="58"/>
    </row>
    <row r="443" spans="1:13" ht="15">
      <c r="A443" s="52">
        <v>441</v>
      </c>
      <c r="B443" s="60" t="s">
        <v>1235</v>
      </c>
      <c r="C443" s="126" t="s">
        <v>1236</v>
      </c>
      <c r="D443" s="52">
        <v>4</v>
      </c>
      <c r="E443" s="52" t="s">
        <v>2391</v>
      </c>
      <c r="F443" s="126" t="s">
        <v>22</v>
      </c>
      <c r="G443" s="126" t="s">
        <v>1664</v>
      </c>
      <c r="H443" s="131">
        <v>32</v>
      </c>
      <c r="I443" s="49" t="s">
        <v>3594</v>
      </c>
      <c r="J443" s="52">
        <v>1</v>
      </c>
      <c r="K443" s="49"/>
      <c r="L443" s="49" t="s">
        <v>4323</v>
      </c>
      <c r="M443" s="58"/>
    </row>
    <row r="444" spans="1:13" ht="15">
      <c r="A444" s="52">
        <v>442</v>
      </c>
      <c r="B444" s="60" t="s">
        <v>1259</v>
      </c>
      <c r="C444" s="126" t="s">
        <v>1260</v>
      </c>
      <c r="D444" s="52">
        <v>2</v>
      </c>
      <c r="E444" s="52" t="s">
        <v>2391</v>
      </c>
      <c r="F444" s="126" t="s">
        <v>22</v>
      </c>
      <c r="G444" s="126" t="s">
        <v>1664</v>
      </c>
      <c r="H444" s="131">
        <v>16</v>
      </c>
      <c r="I444" s="49" t="s">
        <v>3594</v>
      </c>
      <c r="J444" s="52">
        <v>1</v>
      </c>
      <c r="K444" s="49"/>
      <c r="L444" s="49" t="s">
        <v>4324</v>
      </c>
      <c r="M444" s="58"/>
    </row>
    <row r="445" spans="1:13" ht="15">
      <c r="A445" s="52">
        <v>443</v>
      </c>
      <c r="B445" s="60" t="s">
        <v>559</v>
      </c>
      <c r="C445" s="126" t="s">
        <v>560</v>
      </c>
      <c r="D445" s="52">
        <v>4</v>
      </c>
      <c r="E445" s="52" t="s">
        <v>2391</v>
      </c>
      <c r="F445" s="126" t="s">
        <v>22</v>
      </c>
      <c r="G445" s="126" t="s">
        <v>1686</v>
      </c>
      <c r="H445" s="131">
        <v>960</v>
      </c>
      <c r="I445" s="49" t="s">
        <v>3563</v>
      </c>
      <c r="J445" s="52">
        <v>1</v>
      </c>
      <c r="K445" s="49" t="s">
        <v>4105</v>
      </c>
      <c r="L445" s="49" t="s">
        <v>4325</v>
      </c>
      <c r="M445" s="58"/>
    </row>
    <row r="446" spans="1:13" ht="15">
      <c r="A446" s="52">
        <v>444</v>
      </c>
      <c r="B446" s="60" t="s">
        <v>608</v>
      </c>
      <c r="C446" s="126" t="s">
        <v>609</v>
      </c>
      <c r="D446" s="52">
        <v>1</v>
      </c>
      <c r="E446" s="52" t="s">
        <v>2391</v>
      </c>
      <c r="F446" s="126" t="s">
        <v>22</v>
      </c>
      <c r="G446" s="126" t="s">
        <v>1664</v>
      </c>
      <c r="H446" s="131">
        <v>32</v>
      </c>
      <c r="I446" s="49" t="s">
        <v>3563</v>
      </c>
      <c r="J446" s="52">
        <v>2</v>
      </c>
      <c r="K446" s="49"/>
      <c r="L446" s="49" t="s">
        <v>4326</v>
      </c>
      <c r="M446" s="58"/>
    </row>
    <row r="447" spans="1:13" ht="15">
      <c r="A447" s="52">
        <v>445</v>
      </c>
      <c r="B447" s="59" t="s">
        <v>1187</v>
      </c>
      <c r="C447" s="126" t="s">
        <v>1188</v>
      </c>
      <c r="D447" s="55">
        <v>3</v>
      </c>
      <c r="E447" s="52" t="s">
        <v>2391</v>
      </c>
      <c r="F447" s="126" t="s">
        <v>22</v>
      </c>
      <c r="G447" s="126" t="s">
        <v>1664</v>
      </c>
      <c r="H447" s="131">
        <v>88</v>
      </c>
      <c r="I447" s="49" t="s">
        <v>3563</v>
      </c>
      <c r="J447" s="52">
        <v>2</v>
      </c>
      <c r="K447" s="49"/>
      <c r="L447" s="49" t="s">
        <v>4327</v>
      </c>
      <c r="M447" s="58"/>
    </row>
    <row r="448" spans="1:13" ht="15">
      <c r="A448" s="52">
        <v>446</v>
      </c>
      <c r="B448" s="53" t="s">
        <v>624</v>
      </c>
      <c r="C448" s="126" t="s">
        <v>625</v>
      </c>
      <c r="D448" s="55">
        <v>6</v>
      </c>
      <c r="E448" s="56" t="s">
        <v>2391</v>
      </c>
      <c r="F448" s="126" t="s">
        <v>22</v>
      </c>
      <c r="G448" s="126" t="s">
        <v>1664</v>
      </c>
      <c r="H448" s="131">
        <v>88</v>
      </c>
      <c r="I448" s="49" t="s">
        <v>3563</v>
      </c>
      <c r="J448" s="52">
        <v>2</v>
      </c>
      <c r="K448" s="49"/>
      <c r="L448" s="49" t="s">
        <v>4328</v>
      </c>
      <c r="M448" s="58"/>
    </row>
    <row r="449" spans="1:13" ht="15">
      <c r="A449" s="52">
        <v>447</v>
      </c>
      <c r="B449" s="53" t="s">
        <v>484</v>
      </c>
      <c r="C449" s="126" t="s">
        <v>485</v>
      </c>
      <c r="D449" s="55">
        <v>3</v>
      </c>
      <c r="E449" s="52" t="s">
        <v>2391</v>
      </c>
      <c r="F449" s="126" t="s">
        <v>22</v>
      </c>
      <c r="G449" s="126" t="s">
        <v>1664</v>
      </c>
      <c r="H449" s="131">
        <v>40</v>
      </c>
      <c r="I449" s="49" t="s">
        <v>3563</v>
      </c>
      <c r="J449" s="52">
        <v>3</v>
      </c>
      <c r="K449" s="49"/>
      <c r="L449" s="49" t="s">
        <v>4329</v>
      </c>
      <c r="M449" s="58"/>
    </row>
    <row r="450" spans="1:13" ht="15">
      <c r="A450" s="52">
        <v>448</v>
      </c>
      <c r="B450" s="53" t="s">
        <v>579</v>
      </c>
      <c r="C450" s="126" t="s">
        <v>489</v>
      </c>
      <c r="D450" s="55">
        <v>8</v>
      </c>
      <c r="E450" s="52" t="s">
        <v>2391</v>
      </c>
      <c r="F450" s="126" t="s">
        <v>22</v>
      </c>
      <c r="G450" s="126" t="s">
        <v>1664</v>
      </c>
      <c r="H450" s="131">
        <v>64</v>
      </c>
      <c r="I450" s="49" t="s">
        <v>3563</v>
      </c>
      <c r="J450" s="52">
        <v>3</v>
      </c>
      <c r="K450" s="49"/>
      <c r="L450" s="49" t="s">
        <v>4330</v>
      </c>
      <c r="M450" s="58"/>
    </row>
    <row r="451" spans="1:13" ht="15">
      <c r="A451" s="52">
        <v>449</v>
      </c>
      <c r="B451" s="60" t="s">
        <v>1290</v>
      </c>
      <c r="C451" s="126" t="s">
        <v>489</v>
      </c>
      <c r="D451" s="52">
        <v>2</v>
      </c>
      <c r="E451" s="52" t="s">
        <v>2391</v>
      </c>
      <c r="F451" s="126" t="s">
        <v>22</v>
      </c>
      <c r="G451" s="126" t="s">
        <v>1664</v>
      </c>
      <c r="H451" s="131">
        <v>16</v>
      </c>
      <c r="I451" s="49" t="s">
        <v>3742</v>
      </c>
      <c r="J451" s="52">
        <v>3</v>
      </c>
      <c r="K451" s="49"/>
      <c r="L451" s="49" t="s">
        <v>4331</v>
      </c>
      <c r="M451" s="58"/>
    </row>
    <row r="452" spans="1:13" ht="15">
      <c r="A452" s="52">
        <v>450</v>
      </c>
      <c r="B452" s="60" t="s">
        <v>1295</v>
      </c>
      <c r="C452" s="126" t="s">
        <v>1297</v>
      </c>
      <c r="D452" s="52">
        <v>4</v>
      </c>
      <c r="E452" s="56" t="s">
        <v>2391</v>
      </c>
      <c r="F452" s="126" t="s">
        <v>22</v>
      </c>
      <c r="G452" s="126" t="s">
        <v>1664</v>
      </c>
      <c r="H452" s="131">
        <v>32</v>
      </c>
      <c r="I452" s="49" t="s">
        <v>3563</v>
      </c>
      <c r="J452" s="52">
        <v>3</v>
      </c>
      <c r="K452" s="49"/>
      <c r="L452" s="49" t="s">
        <v>4332</v>
      </c>
      <c r="M452" s="58"/>
    </row>
    <row r="453" spans="1:13" ht="15">
      <c r="A453" s="52">
        <v>451</v>
      </c>
      <c r="B453" s="59" t="s">
        <v>538</v>
      </c>
      <c r="C453" s="126" t="s">
        <v>540</v>
      </c>
      <c r="D453" s="55">
        <v>1</v>
      </c>
      <c r="E453" s="52" t="s">
        <v>2391</v>
      </c>
      <c r="F453" s="126" t="s">
        <v>22</v>
      </c>
      <c r="G453" s="126" t="s">
        <v>1664</v>
      </c>
      <c r="H453" s="131">
        <v>24</v>
      </c>
      <c r="I453" s="49" t="s">
        <v>3742</v>
      </c>
      <c r="J453" s="52">
        <v>4</v>
      </c>
      <c r="K453" s="49"/>
      <c r="L453" s="49" t="s">
        <v>4333</v>
      </c>
      <c r="M453" s="58">
        <v>45533</v>
      </c>
    </row>
    <row r="454" spans="1:13" ht="15">
      <c r="A454" s="52">
        <v>452</v>
      </c>
      <c r="B454" s="59" t="s">
        <v>1365</v>
      </c>
      <c r="C454" s="126" t="s">
        <v>1366</v>
      </c>
      <c r="D454" s="55">
        <v>1</v>
      </c>
      <c r="E454" s="52" t="s">
        <v>2391</v>
      </c>
      <c r="F454" s="126" t="s">
        <v>22</v>
      </c>
      <c r="G454" s="126" t="s">
        <v>1664</v>
      </c>
      <c r="H454" s="131">
        <v>8</v>
      </c>
      <c r="I454" s="49" t="s">
        <v>3563</v>
      </c>
      <c r="J454" s="52">
        <v>4</v>
      </c>
      <c r="K454" s="49"/>
      <c r="L454" s="49" t="s">
        <v>4334</v>
      </c>
      <c r="M454" s="58"/>
    </row>
    <row r="455" spans="1:13" ht="15">
      <c r="A455" s="52">
        <v>453</v>
      </c>
      <c r="B455" s="60" t="s">
        <v>1367</v>
      </c>
      <c r="C455" s="126" t="s">
        <v>528</v>
      </c>
      <c r="D455" s="52">
        <v>1</v>
      </c>
      <c r="E455" s="52" t="s">
        <v>2391</v>
      </c>
      <c r="F455" s="126" t="s">
        <v>22</v>
      </c>
      <c r="G455" s="126" t="s">
        <v>1664</v>
      </c>
      <c r="H455" s="131">
        <v>8</v>
      </c>
      <c r="I455" s="49" t="s">
        <v>3563</v>
      </c>
      <c r="J455" s="52">
        <v>4</v>
      </c>
      <c r="K455" s="49"/>
      <c r="L455" s="49" t="s">
        <v>4335</v>
      </c>
      <c r="M455" s="58"/>
    </row>
    <row r="456" spans="1:13" ht="15">
      <c r="A456" s="52">
        <v>454</v>
      </c>
      <c r="B456" s="53" t="s">
        <v>1133</v>
      </c>
      <c r="C456" s="126" t="s">
        <v>1134</v>
      </c>
      <c r="D456" s="55">
        <v>2</v>
      </c>
      <c r="E456" s="56" t="s">
        <v>2391</v>
      </c>
      <c r="F456" s="126" t="s">
        <v>22</v>
      </c>
      <c r="G456" s="126" t="s">
        <v>1664</v>
      </c>
      <c r="H456" s="131">
        <v>32</v>
      </c>
      <c r="I456" s="49" t="s">
        <v>3563</v>
      </c>
      <c r="J456" s="52">
        <v>4</v>
      </c>
      <c r="K456" s="49"/>
      <c r="L456" s="49" t="s">
        <v>4336</v>
      </c>
      <c r="M456" s="58"/>
    </row>
    <row r="457" spans="1:13" ht="15">
      <c r="A457" s="52">
        <v>455</v>
      </c>
      <c r="B457" s="53" t="s">
        <v>499</v>
      </c>
      <c r="C457" s="126" t="s">
        <v>500</v>
      </c>
      <c r="D457" s="55">
        <v>1</v>
      </c>
      <c r="E457" s="52" t="s">
        <v>2391</v>
      </c>
      <c r="F457" s="126" t="s">
        <v>22</v>
      </c>
      <c r="G457" s="126" t="s">
        <v>1664</v>
      </c>
      <c r="H457" s="131">
        <v>8</v>
      </c>
      <c r="I457" s="49" t="s">
        <v>3563</v>
      </c>
      <c r="J457" s="52">
        <v>5</v>
      </c>
      <c r="K457" s="49"/>
      <c r="L457" s="49" t="s">
        <v>4337</v>
      </c>
      <c r="M457" s="58"/>
    </row>
    <row r="458" spans="1:13" ht="15">
      <c r="A458" s="52">
        <v>456</v>
      </c>
      <c r="B458" s="60" t="s">
        <v>863</v>
      </c>
      <c r="C458" s="126" t="s">
        <v>865</v>
      </c>
      <c r="D458" s="52">
        <v>1</v>
      </c>
      <c r="E458" s="52" t="s">
        <v>2391</v>
      </c>
      <c r="F458" s="126" t="s">
        <v>22</v>
      </c>
      <c r="G458" s="126" t="s">
        <v>1664</v>
      </c>
      <c r="H458" s="131">
        <v>16</v>
      </c>
      <c r="I458" s="49" t="s">
        <v>3563</v>
      </c>
      <c r="J458" s="52">
        <v>5</v>
      </c>
      <c r="K458" s="49"/>
      <c r="L458" s="49" t="s">
        <v>4338</v>
      </c>
      <c r="M458" s="58"/>
    </row>
    <row r="459" spans="1:13" ht="15">
      <c r="A459" s="52">
        <v>457</v>
      </c>
      <c r="B459" s="59" t="s">
        <v>637</v>
      </c>
      <c r="C459" s="126" t="s">
        <v>638</v>
      </c>
      <c r="D459" s="55">
        <v>6</v>
      </c>
      <c r="E459" s="52" t="s">
        <v>2391</v>
      </c>
      <c r="F459" s="126" t="s">
        <v>22</v>
      </c>
      <c r="G459" s="126" t="s">
        <v>1664</v>
      </c>
      <c r="H459" s="131">
        <v>240</v>
      </c>
      <c r="I459" s="49" t="s">
        <v>3563</v>
      </c>
      <c r="J459" s="52">
        <v>5</v>
      </c>
      <c r="K459" s="49"/>
      <c r="L459" s="49" t="s">
        <v>4339</v>
      </c>
      <c r="M459" s="58"/>
    </row>
    <row r="460" spans="1:13" ht="15">
      <c r="A460" s="52">
        <v>458</v>
      </c>
      <c r="B460" s="60" t="s">
        <v>469</v>
      </c>
      <c r="C460" s="126" t="s">
        <v>471</v>
      </c>
      <c r="D460" s="52">
        <v>2</v>
      </c>
      <c r="E460" s="52" t="s">
        <v>2391</v>
      </c>
      <c r="F460" s="126" t="s">
        <v>22</v>
      </c>
      <c r="G460" s="126" t="s">
        <v>1664</v>
      </c>
      <c r="H460" s="131">
        <v>16</v>
      </c>
      <c r="I460" s="49" t="s">
        <v>3570</v>
      </c>
      <c r="J460" s="52">
        <v>1</v>
      </c>
      <c r="K460" s="49"/>
      <c r="L460" s="49" t="s">
        <v>4340</v>
      </c>
      <c r="M460" s="58"/>
    </row>
    <row r="461" spans="1:13" ht="15">
      <c r="A461" s="52">
        <v>459</v>
      </c>
      <c r="B461" s="60" t="s">
        <v>870</v>
      </c>
      <c r="C461" s="126" t="s">
        <v>21</v>
      </c>
      <c r="D461" s="52">
        <v>2</v>
      </c>
      <c r="E461" s="52" t="s">
        <v>2391</v>
      </c>
      <c r="F461" s="126" t="s">
        <v>22</v>
      </c>
      <c r="G461" s="126" t="s">
        <v>1664</v>
      </c>
      <c r="H461" s="131">
        <v>16</v>
      </c>
      <c r="I461" s="49" t="s">
        <v>3570</v>
      </c>
      <c r="J461" s="52">
        <v>1</v>
      </c>
      <c r="K461" s="49"/>
      <c r="L461" s="49" t="s">
        <v>4341</v>
      </c>
      <c r="M461" s="58"/>
    </row>
    <row r="462" spans="1:13" ht="15">
      <c r="A462" s="52">
        <v>460</v>
      </c>
      <c r="B462" s="60" t="s">
        <v>1145</v>
      </c>
      <c r="C462" s="126" t="s">
        <v>1134</v>
      </c>
      <c r="D462" s="52">
        <v>2</v>
      </c>
      <c r="E462" s="52" t="s">
        <v>2391</v>
      </c>
      <c r="F462" s="126" t="s">
        <v>22</v>
      </c>
      <c r="G462" s="126" t="s">
        <v>1664</v>
      </c>
      <c r="H462" s="131">
        <v>16</v>
      </c>
      <c r="I462" s="49" t="s">
        <v>3570</v>
      </c>
      <c r="J462" s="52">
        <v>1</v>
      </c>
      <c r="K462" s="49"/>
      <c r="L462" s="49" t="s">
        <v>4342</v>
      </c>
      <c r="M462" s="58"/>
    </row>
    <row r="463" spans="1:13" ht="15">
      <c r="A463" s="52">
        <v>461</v>
      </c>
      <c r="B463" s="60" t="s">
        <v>1166</v>
      </c>
      <c r="C463" s="126" t="s">
        <v>630</v>
      </c>
      <c r="D463" s="52">
        <v>6</v>
      </c>
      <c r="E463" s="52" t="s">
        <v>2391</v>
      </c>
      <c r="F463" s="126" t="s">
        <v>22</v>
      </c>
      <c r="G463" s="126" t="s">
        <v>1664</v>
      </c>
      <c r="H463" s="131">
        <v>56</v>
      </c>
      <c r="I463" s="49" t="s">
        <v>3570</v>
      </c>
      <c r="J463" s="52">
        <v>1</v>
      </c>
      <c r="K463" s="49"/>
      <c r="L463" s="49" t="s">
        <v>4343</v>
      </c>
      <c r="M463" s="58"/>
    </row>
    <row r="464" spans="1:13" ht="15">
      <c r="A464" s="52">
        <v>462</v>
      </c>
      <c r="B464" s="60" t="s">
        <v>1170</v>
      </c>
      <c r="C464" s="126" t="s">
        <v>630</v>
      </c>
      <c r="D464" s="52">
        <v>20</v>
      </c>
      <c r="E464" s="52" t="s">
        <v>2391</v>
      </c>
      <c r="F464" s="126" t="s">
        <v>22</v>
      </c>
      <c r="G464" s="126" t="s">
        <v>1664</v>
      </c>
      <c r="H464" s="131">
        <v>160</v>
      </c>
      <c r="I464" s="49" t="s">
        <v>3570</v>
      </c>
      <c r="J464" s="52">
        <v>1</v>
      </c>
      <c r="K464" s="49"/>
      <c r="L464" s="49" t="s">
        <v>4344</v>
      </c>
      <c r="M464" s="58"/>
    </row>
    <row r="465" spans="1:13" ht="15">
      <c r="A465" s="52">
        <v>463</v>
      </c>
      <c r="B465" s="60" t="s">
        <v>1375</v>
      </c>
      <c r="C465" s="126" t="s">
        <v>587</v>
      </c>
      <c r="D465" s="52">
        <v>2</v>
      </c>
      <c r="E465" s="52" t="s">
        <v>2391</v>
      </c>
      <c r="F465" s="126" t="s">
        <v>22</v>
      </c>
      <c r="G465" s="126" t="s">
        <v>1664</v>
      </c>
      <c r="H465" s="131">
        <v>16</v>
      </c>
      <c r="I465" s="49" t="s">
        <v>3570</v>
      </c>
      <c r="J465" s="52">
        <v>1</v>
      </c>
      <c r="K465" s="49"/>
      <c r="L465" s="49" t="s">
        <v>4345</v>
      </c>
      <c r="M465" s="58"/>
    </row>
    <row r="466" spans="1:13" ht="15">
      <c r="A466" s="52">
        <v>464</v>
      </c>
      <c r="B466" s="60" t="s">
        <v>1206</v>
      </c>
      <c r="C466" s="126" t="s">
        <v>627</v>
      </c>
      <c r="D466" s="52">
        <v>4</v>
      </c>
      <c r="E466" s="52" t="s">
        <v>2391</v>
      </c>
      <c r="F466" s="126" t="s">
        <v>22</v>
      </c>
      <c r="G466" s="126" t="s">
        <v>1664</v>
      </c>
      <c r="H466" s="131">
        <v>32</v>
      </c>
      <c r="I466" s="49" t="s">
        <v>3570</v>
      </c>
      <c r="J466" s="52">
        <v>1</v>
      </c>
      <c r="K466" s="49"/>
      <c r="L466" s="49" t="s">
        <v>4346</v>
      </c>
      <c r="M466" s="58"/>
    </row>
    <row r="467" spans="1:13" ht="15">
      <c r="A467" s="52">
        <v>465</v>
      </c>
      <c r="B467" s="60" t="s">
        <v>1209</v>
      </c>
      <c r="C467" s="126" t="s">
        <v>492</v>
      </c>
      <c r="D467" s="52">
        <v>16</v>
      </c>
      <c r="E467" s="52">
        <v>6</v>
      </c>
      <c r="F467" s="126" t="s">
        <v>22</v>
      </c>
      <c r="G467" s="126" t="s">
        <v>1664</v>
      </c>
      <c r="H467" s="131">
        <v>128</v>
      </c>
      <c r="I467" s="49" t="s">
        <v>3570</v>
      </c>
      <c r="J467" s="52">
        <v>1</v>
      </c>
      <c r="K467" s="49"/>
      <c r="L467" s="49" t="s">
        <v>4347</v>
      </c>
      <c r="M467" s="58"/>
    </row>
    <row r="468" spans="1:13" ht="15">
      <c r="A468" s="52">
        <v>466</v>
      </c>
      <c r="B468" s="60" t="s">
        <v>1390</v>
      </c>
      <c r="C468" s="126" t="s">
        <v>1392</v>
      </c>
      <c r="D468" s="52">
        <v>2</v>
      </c>
      <c r="E468" s="52" t="s">
        <v>2391</v>
      </c>
      <c r="F468" s="126" t="s">
        <v>22</v>
      </c>
      <c r="G468" s="126" t="s">
        <v>1664</v>
      </c>
      <c r="H468" s="131">
        <v>16</v>
      </c>
      <c r="I468" s="49" t="s">
        <v>3570</v>
      </c>
      <c r="J468" s="52">
        <v>1</v>
      </c>
      <c r="K468" s="49"/>
      <c r="L468" s="49" t="s">
        <v>4348</v>
      </c>
      <c r="M468" s="58"/>
    </row>
    <row r="469" spans="1:13" ht="15">
      <c r="A469" s="52">
        <v>467</v>
      </c>
      <c r="B469" s="60" t="s">
        <v>2368</v>
      </c>
      <c r="C469" s="126" t="s">
        <v>2369</v>
      </c>
      <c r="D469" s="52">
        <v>1</v>
      </c>
      <c r="E469" s="52" t="s">
        <v>2391</v>
      </c>
      <c r="F469" s="126" t="s">
        <v>22</v>
      </c>
      <c r="G469" s="126" t="s">
        <v>1664</v>
      </c>
      <c r="H469" s="131">
        <v>8</v>
      </c>
      <c r="I469" s="49" t="s">
        <v>3570</v>
      </c>
      <c r="J469" s="52">
        <v>2</v>
      </c>
      <c r="K469" s="49"/>
      <c r="L469" s="49" t="s">
        <v>4349</v>
      </c>
      <c r="M469" s="58"/>
    </row>
    <row r="470" spans="1:13" ht="15">
      <c r="A470" s="52">
        <v>468</v>
      </c>
      <c r="B470" s="59" t="s">
        <v>590</v>
      </c>
      <c r="C470" s="126" t="s">
        <v>591</v>
      </c>
      <c r="D470" s="55">
        <v>8</v>
      </c>
      <c r="E470" s="52" t="s">
        <v>2391</v>
      </c>
      <c r="F470" s="126" t="s">
        <v>22</v>
      </c>
      <c r="G470" s="126" t="s">
        <v>1664</v>
      </c>
      <c r="H470" s="131">
        <v>80</v>
      </c>
      <c r="I470" s="49" t="s">
        <v>3570</v>
      </c>
      <c r="J470" s="52">
        <v>2</v>
      </c>
      <c r="K470" s="49"/>
      <c r="L470" s="49" t="s">
        <v>4350</v>
      </c>
      <c r="M470" s="58"/>
    </row>
    <row r="471" spans="1:13" ht="15">
      <c r="A471" s="52">
        <v>469</v>
      </c>
      <c r="B471" s="60" t="s">
        <v>629</v>
      </c>
      <c r="C471" s="126" t="s">
        <v>630</v>
      </c>
      <c r="D471" s="52">
        <v>14</v>
      </c>
      <c r="E471" s="52" t="s">
        <v>2391</v>
      </c>
      <c r="F471" s="126" t="s">
        <v>22</v>
      </c>
      <c r="G471" s="126" t="s">
        <v>1664</v>
      </c>
      <c r="H471" s="131">
        <v>112</v>
      </c>
      <c r="I471" s="49" t="s">
        <v>3570</v>
      </c>
      <c r="J471" s="52">
        <v>2</v>
      </c>
      <c r="K471" s="49"/>
      <c r="L471" s="49" t="s">
        <v>4351</v>
      </c>
      <c r="M471" s="58"/>
    </row>
    <row r="472" spans="1:13" ht="15">
      <c r="A472" s="52">
        <v>470</v>
      </c>
      <c r="B472" s="60" t="s">
        <v>1210</v>
      </c>
      <c r="C472" s="126" t="s">
        <v>611</v>
      </c>
      <c r="D472" s="52">
        <v>5</v>
      </c>
      <c r="E472" s="56" t="s">
        <v>2391</v>
      </c>
      <c r="F472" s="126" t="s">
        <v>22</v>
      </c>
      <c r="G472" s="126" t="s">
        <v>1664</v>
      </c>
      <c r="H472" s="131">
        <v>24</v>
      </c>
      <c r="I472" s="49" t="s">
        <v>3570</v>
      </c>
      <c r="J472" s="52">
        <v>2</v>
      </c>
      <c r="K472" s="49"/>
      <c r="L472" s="49" t="s">
        <v>4352</v>
      </c>
      <c r="M472" s="58"/>
    </row>
    <row r="473" spans="1:13" ht="15">
      <c r="A473" s="52">
        <v>471</v>
      </c>
      <c r="B473" s="60" t="s">
        <v>583</v>
      </c>
      <c r="C473" s="126" t="s">
        <v>584</v>
      </c>
      <c r="D473" s="52">
        <v>8</v>
      </c>
      <c r="E473" s="56" t="s">
        <v>2391</v>
      </c>
      <c r="F473" s="126" t="s">
        <v>22</v>
      </c>
      <c r="G473" s="126" t="s">
        <v>1664</v>
      </c>
      <c r="H473" s="131">
        <v>176</v>
      </c>
      <c r="I473" s="49" t="s">
        <v>3570</v>
      </c>
      <c r="J473" s="52">
        <v>3</v>
      </c>
      <c r="K473" s="49"/>
      <c r="L473" s="49" t="s">
        <v>4353</v>
      </c>
      <c r="M473" s="58"/>
    </row>
    <row r="474" spans="1:13" ht="14.25" customHeight="1">
      <c r="A474" s="52">
        <v>472</v>
      </c>
      <c r="B474" s="60" t="s">
        <v>1181</v>
      </c>
      <c r="C474" s="126" t="s">
        <v>587</v>
      </c>
      <c r="D474" s="52">
        <v>6</v>
      </c>
      <c r="E474" s="52" t="s">
        <v>2391</v>
      </c>
      <c r="F474" s="126" t="s">
        <v>22</v>
      </c>
      <c r="G474" s="126" t="s">
        <v>1664</v>
      </c>
      <c r="H474" s="131">
        <v>48</v>
      </c>
      <c r="I474" s="49" t="s">
        <v>3570</v>
      </c>
      <c r="J474" s="52">
        <v>3</v>
      </c>
      <c r="K474" s="49"/>
      <c r="L474" s="49" t="s">
        <v>4354</v>
      </c>
      <c r="M474" s="58"/>
    </row>
    <row r="475" spans="1:13" ht="15">
      <c r="A475" s="52">
        <v>473</v>
      </c>
      <c r="B475" s="60" t="s">
        <v>592</v>
      </c>
      <c r="C475" s="126" t="s">
        <v>593</v>
      </c>
      <c r="D475" s="52">
        <v>28</v>
      </c>
      <c r="E475" s="56" t="s">
        <v>2391</v>
      </c>
      <c r="F475" s="126" t="s">
        <v>22</v>
      </c>
      <c r="G475" s="126" t="s">
        <v>1664</v>
      </c>
      <c r="H475" s="131">
        <v>312</v>
      </c>
      <c r="I475" s="49" t="s">
        <v>3570</v>
      </c>
      <c r="J475" s="52">
        <v>3</v>
      </c>
      <c r="K475" s="49"/>
      <c r="L475" s="49" t="s">
        <v>4355</v>
      </c>
      <c r="M475" s="58"/>
    </row>
    <row r="476" spans="1:13" ht="15">
      <c r="A476" s="52">
        <v>474</v>
      </c>
      <c r="B476" s="60" t="s">
        <v>692</v>
      </c>
      <c r="C476" s="126" t="s">
        <v>693</v>
      </c>
      <c r="D476" s="52">
        <v>14</v>
      </c>
      <c r="E476" s="52" t="s">
        <v>2391</v>
      </c>
      <c r="F476" s="126" t="s">
        <v>22</v>
      </c>
      <c r="G476" s="126" t="s">
        <v>1664</v>
      </c>
      <c r="H476" s="131">
        <v>160</v>
      </c>
      <c r="I476" s="49" t="s">
        <v>3570</v>
      </c>
      <c r="J476" s="52">
        <v>3</v>
      </c>
      <c r="K476" s="49"/>
      <c r="L476" s="49" t="s">
        <v>4356</v>
      </c>
      <c r="M476" s="58"/>
    </row>
    <row r="477" spans="1:13" ht="15">
      <c r="A477" s="52">
        <v>475</v>
      </c>
      <c r="B477" s="60" t="s">
        <v>1298</v>
      </c>
      <c r="C477" s="126" t="s">
        <v>1134</v>
      </c>
      <c r="D477" s="52">
        <v>4</v>
      </c>
      <c r="E477" s="52" t="s">
        <v>2391</v>
      </c>
      <c r="F477" s="126" t="s">
        <v>22</v>
      </c>
      <c r="G477" s="126" t="s">
        <v>1664</v>
      </c>
      <c r="H477" s="131">
        <v>32</v>
      </c>
      <c r="I477" s="49" t="s">
        <v>3570</v>
      </c>
      <c r="J477" s="52">
        <v>3</v>
      </c>
      <c r="K477" s="49"/>
      <c r="L477" s="49" t="s">
        <v>4357</v>
      </c>
      <c r="M477" s="58"/>
    </row>
    <row r="478" spans="1:13" ht="15">
      <c r="A478" s="52">
        <v>476</v>
      </c>
      <c r="B478" s="60" t="s">
        <v>840</v>
      </c>
      <c r="C478" s="126" t="s">
        <v>842</v>
      </c>
      <c r="D478" s="52">
        <v>2</v>
      </c>
      <c r="E478" s="52" t="s">
        <v>2391</v>
      </c>
      <c r="F478" s="126" t="s">
        <v>22</v>
      </c>
      <c r="G478" s="126" t="s">
        <v>1664</v>
      </c>
      <c r="H478" s="131">
        <v>16</v>
      </c>
      <c r="I478" s="49" t="s">
        <v>3570</v>
      </c>
      <c r="J478" s="52">
        <v>4</v>
      </c>
      <c r="K478" s="49"/>
      <c r="L478" s="49" t="s">
        <v>4358</v>
      </c>
      <c r="M478" s="58"/>
    </row>
    <row r="479" spans="1:13" ht="15">
      <c r="A479" s="52">
        <v>477</v>
      </c>
      <c r="B479" s="60" t="s">
        <v>860</v>
      </c>
      <c r="C479" s="126" t="s">
        <v>862</v>
      </c>
      <c r="D479" s="52">
        <v>2</v>
      </c>
      <c r="E479" s="52" t="s">
        <v>2391</v>
      </c>
      <c r="F479" s="126" t="s">
        <v>22</v>
      </c>
      <c r="G479" s="126" t="s">
        <v>1664</v>
      </c>
      <c r="H479" s="131">
        <v>24</v>
      </c>
      <c r="I479" s="49" t="s">
        <v>3570</v>
      </c>
      <c r="J479" s="52">
        <v>4</v>
      </c>
      <c r="K479" s="49" t="s">
        <v>3574</v>
      </c>
      <c r="L479" s="49" t="s">
        <v>4359</v>
      </c>
      <c r="M479" s="58"/>
    </row>
    <row r="480" spans="1:13" ht="15">
      <c r="A480" s="52">
        <v>478</v>
      </c>
      <c r="B480" s="60" t="s">
        <v>934</v>
      </c>
      <c r="C480" s="126" t="s">
        <v>812</v>
      </c>
      <c r="D480" s="52">
        <v>2</v>
      </c>
      <c r="E480" s="52" t="s">
        <v>2391</v>
      </c>
      <c r="F480" s="126" t="s">
        <v>22</v>
      </c>
      <c r="G480" s="126" t="s">
        <v>1664</v>
      </c>
      <c r="H480" s="131">
        <v>16</v>
      </c>
      <c r="I480" s="49" t="s">
        <v>3570</v>
      </c>
      <c r="J480" s="52">
        <v>4</v>
      </c>
      <c r="K480" s="49"/>
      <c r="L480" s="49" t="s">
        <v>4360</v>
      </c>
      <c r="M480" s="58"/>
    </row>
    <row r="481" spans="1:13" ht="15">
      <c r="A481" s="52">
        <v>479</v>
      </c>
      <c r="B481" s="59" t="s">
        <v>1205</v>
      </c>
      <c r="C481" s="126" t="s">
        <v>587</v>
      </c>
      <c r="D481" s="55">
        <v>16</v>
      </c>
      <c r="E481" s="52" t="s">
        <v>2391</v>
      </c>
      <c r="F481" s="126" t="s">
        <v>22</v>
      </c>
      <c r="G481" s="126" t="s">
        <v>1664</v>
      </c>
      <c r="H481" s="131">
        <v>40</v>
      </c>
      <c r="I481" s="49" t="s">
        <v>3570</v>
      </c>
      <c r="J481" s="52">
        <v>4</v>
      </c>
      <c r="K481" s="49"/>
      <c r="L481" s="188" t="s">
        <v>4361</v>
      </c>
      <c r="M481" s="58"/>
    </row>
    <row r="482" spans="1:13" ht="15">
      <c r="A482" s="52">
        <v>480</v>
      </c>
      <c r="B482" s="60" t="s">
        <v>754</v>
      </c>
      <c r="C482" s="126" t="s">
        <v>492</v>
      </c>
      <c r="D482" s="52">
        <v>2</v>
      </c>
      <c r="E482" s="52" t="s">
        <v>2391</v>
      </c>
      <c r="F482" s="126" t="s">
        <v>22</v>
      </c>
      <c r="G482" s="126" t="s">
        <v>1664</v>
      </c>
      <c r="H482" s="131">
        <v>16</v>
      </c>
      <c r="I482" s="49" t="s">
        <v>3570</v>
      </c>
      <c r="J482" s="52">
        <v>4</v>
      </c>
      <c r="K482" s="49"/>
      <c r="L482" s="49" t="s">
        <v>4362</v>
      </c>
      <c r="M482" s="58"/>
    </row>
    <row r="483" spans="1:13" ht="15">
      <c r="A483" s="52">
        <v>481</v>
      </c>
      <c r="B483" s="60" t="s">
        <v>2086</v>
      </c>
      <c r="C483" s="126" t="s">
        <v>2087</v>
      </c>
      <c r="D483" s="52">
        <v>2</v>
      </c>
      <c r="E483" s="52" t="s">
        <v>2391</v>
      </c>
      <c r="F483" s="126" t="s">
        <v>22</v>
      </c>
      <c r="G483" s="126" t="s">
        <v>1664</v>
      </c>
      <c r="H483" s="131">
        <v>16</v>
      </c>
      <c r="I483" s="49" t="s">
        <v>3570</v>
      </c>
      <c r="J483" s="52">
        <v>5</v>
      </c>
      <c r="K483" s="49"/>
      <c r="L483" s="49" t="s">
        <v>4363</v>
      </c>
      <c r="M483" s="58"/>
    </row>
    <row r="484" spans="1:13" ht="15">
      <c r="A484" s="52">
        <v>482</v>
      </c>
      <c r="B484" s="53" t="s">
        <v>109</v>
      </c>
      <c r="C484" s="126" t="s">
        <v>111</v>
      </c>
      <c r="D484" s="55">
        <v>2</v>
      </c>
      <c r="E484" s="52" t="s">
        <v>2391</v>
      </c>
      <c r="F484" s="126" t="s">
        <v>22</v>
      </c>
      <c r="G484" s="126" t="s">
        <v>1664</v>
      </c>
      <c r="H484" s="131">
        <v>16</v>
      </c>
      <c r="I484" s="49" t="s">
        <v>3570</v>
      </c>
      <c r="J484" s="52">
        <v>5</v>
      </c>
      <c r="K484" s="49"/>
      <c r="L484" s="49" t="s">
        <v>4364</v>
      </c>
      <c r="M484" s="58"/>
    </row>
    <row r="485" spans="1:13" ht="15">
      <c r="A485" s="52">
        <v>483</v>
      </c>
      <c r="B485" s="60" t="s">
        <v>1147</v>
      </c>
      <c r="C485" s="126" t="s">
        <v>1148</v>
      </c>
      <c r="D485" s="52">
        <v>1</v>
      </c>
      <c r="E485" s="52" t="s">
        <v>2391</v>
      </c>
      <c r="F485" s="126" t="s">
        <v>22</v>
      </c>
      <c r="G485" s="126" t="s">
        <v>1664</v>
      </c>
      <c r="H485" s="131">
        <v>8</v>
      </c>
      <c r="I485" s="49" t="s">
        <v>3570</v>
      </c>
      <c r="J485" s="52">
        <v>5</v>
      </c>
      <c r="K485" s="49"/>
      <c r="L485" s="188" t="s">
        <v>4365</v>
      </c>
      <c r="M485" s="58"/>
    </row>
    <row r="486" spans="1:13" ht="15">
      <c r="A486" s="52">
        <v>484</v>
      </c>
      <c r="B486" s="60" t="s">
        <v>1182</v>
      </c>
      <c r="C486" s="126" t="s">
        <v>587</v>
      </c>
      <c r="D486" s="52">
        <v>4</v>
      </c>
      <c r="E486" s="52" t="s">
        <v>2391</v>
      </c>
      <c r="F486" s="126" t="s">
        <v>22</v>
      </c>
      <c r="G486" s="126" t="s">
        <v>1664</v>
      </c>
      <c r="H486" s="131">
        <v>96</v>
      </c>
      <c r="I486" s="49" t="s">
        <v>3570</v>
      </c>
      <c r="J486" s="52">
        <v>5</v>
      </c>
      <c r="K486" s="49"/>
      <c r="L486" s="49" t="s">
        <v>4366</v>
      </c>
      <c r="M486" s="58"/>
    </row>
    <row r="487" spans="1:13" ht="15">
      <c r="A487" s="52">
        <v>485</v>
      </c>
      <c r="B487" s="60" t="s">
        <v>1378</v>
      </c>
      <c r="C487" s="126" t="s">
        <v>1379</v>
      </c>
      <c r="D487" s="52">
        <v>1</v>
      </c>
      <c r="E487" s="52" t="s">
        <v>2391</v>
      </c>
      <c r="F487" s="126" t="s">
        <v>22</v>
      </c>
      <c r="G487" s="126" t="s">
        <v>1664</v>
      </c>
      <c r="H487" s="131">
        <v>8</v>
      </c>
      <c r="I487" s="49" t="s">
        <v>3570</v>
      </c>
      <c r="J487" s="52">
        <v>5</v>
      </c>
      <c r="K487" s="49"/>
      <c r="L487" s="49" t="s">
        <v>4367</v>
      </c>
      <c r="M487" s="58">
        <v>45533</v>
      </c>
    </row>
    <row r="488" spans="1:13" ht="15">
      <c r="A488" s="52">
        <v>486</v>
      </c>
      <c r="B488" s="53" t="s">
        <v>1380</v>
      </c>
      <c r="C488" s="126" t="s">
        <v>1379</v>
      </c>
      <c r="D488" s="55">
        <v>1</v>
      </c>
      <c r="E488" s="52" t="s">
        <v>2391</v>
      </c>
      <c r="F488" s="126" t="s">
        <v>22</v>
      </c>
      <c r="G488" s="126" t="s">
        <v>1664</v>
      </c>
      <c r="H488" s="131">
        <v>8</v>
      </c>
      <c r="I488" s="49" t="s">
        <v>3570</v>
      </c>
      <c r="J488" s="52">
        <v>5</v>
      </c>
      <c r="K488" s="49"/>
      <c r="L488" s="49" t="s">
        <v>4368</v>
      </c>
      <c r="M488" s="58"/>
    </row>
    <row r="489" spans="1:13" ht="15">
      <c r="A489" s="52">
        <v>487</v>
      </c>
      <c r="B489" s="60" t="s">
        <v>1135</v>
      </c>
      <c r="C489" s="126" t="s">
        <v>905</v>
      </c>
      <c r="D489" s="52">
        <v>2</v>
      </c>
      <c r="E489" s="52" t="s">
        <v>2391</v>
      </c>
      <c r="F489" s="126" t="s">
        <v>22</v>
      </c>
      <c r="G489" s="126" t="s">
        <v>1664</v>
      </c>
      <c r="H489" s="131">
        <v>32</v>
      </c>
      <c r="I489" s="49" t="s">
        <v>3570</v>
      </c>
      <c r="J489" s="52"/>
      <c r="K489" s="49"/>
      <c r="L489" s="49" t="s">
        <v>4369</v>
      </c>
      <c r="M489" s="58"/>
    </row>
    <row r="490" spans="1:13" ht="15">
      <c r="A490" s="52">
        <v>488</v>
      </c>
      <c r="B490" s="60" t="s">
        <v>493</v>
      </c>
      <c r="C490" s="126" t="s">
        <v>495</v>
      </c>
      <c r="D490" s="52">
        <v>2</v>
      </c>
      <c r="E490" s="52" t="s">
        <v>3689</v>
      </c>
      <c r="F490" s="126" t="s">
        <v>22</v>
      </c>
      <c r="G490" s="126" t="s">
        <v>1664</v>
      </c>
      <c r="H490" s="131">
        <v>16</v>
      </c>
      <c r="I490" s="49" t="s">
        <v>3559</v>
      </c>
      <c r="J490" s="52">
        <v>3</v>
      </c>
      <c r="K490" s="49"/>
      <c r="L490" s="49" t="s">
        <v>4370</v>
      </c>
      <c r="M490" s="58"/>
    </row>
    <row r="491" spans="1:13" ht="15">
      <c r="A491" s="52">
        <v>489</v>
      </c>
      <c r="B491" s="60" t="s">
        <v>2334</v>
      </c>
      <c r="C491" s="126" t="s">
        <v>232</v>
      </c>
      <c r="D491" s="52">
        <v>3</v>
      </c>
      <c r="E491" s="65" t="s">
        <v>3689</v>
      </c>
      <c r="F491" s="126" t="s">
        <v>22</v>
      </c>
      <c r="G491" s="126" t="s">
        <v>1664</v>
      </c>
      <c r="H491" s="131">
        <v>24</v>
      </c>
      <c r="I491" s="49" t="s">
        <v>3570</v>
      </c>
      <c r="J491" s="52">
        <v>2</v>
      </c>
      <c r="K491" s="49"/>
      <c r="L491" s="49" t="s">
        <v>4371</v>
      </c>
      <c r="M491" s="58"/>
    </row>
    <row r="492" spans="1:13" ht="15">
      <c r="A492" s="52">
        <v>490</v>
      </c>
      <c r="B492" s="60" t="s">
        <v>1857</v>
      </c>
      <c r="C492" s="126" t="s">
        <v>1858</v>
      </c>
      <c r="D492" s="52">
        <v>1</v>
      </c>
      <c r="E492" s="52" t="s">
        <v>3751</v>
      </c>
      <c r="F492" s="126" t="s">
        <v>22</v>
      </c>
      <c r="G492" s="126" t="s">
        <v>1664</v>
      </c>
      <c r="H492" s="131">
        <v>8</v>
      </c>
      <c r="I492" s="49" t="s">
        <v>3559</v>
      </c>
      <c r="J492" s="52">
        <v>3</v>
      </c>
      <c r="K492" s="49"/>
      <c r="L492" s="49" t="s">
        <v>4372</v>
      </c>
      <c r="M492" s="58"/>
    </row>
    <row r="493" spans="1:13" ht="15">
      <c r="A493" s="52">
        <v>491</v>
      </c>
      <c r="B493" s="60" t="s">
        <v>523</v>
      </c>
      <c r="C493" s="126" t="s">
        <v>21</v>
      </c>
      <c r="D493" s="52">
        <v>1</v>
      </c>
      <c r="E493" s="52" t="s">
        <v>2437</v>
      </c>
      <c r="F493" s="126" t="s">
        <v>22</v>
      </c>
      <c r="G493" s="126" t="s">
        <v>1664</v>
      </c>
      <c r="H493" s="131">
        <v>48</v>
      </c>
      <c r="I493" s="49" t="s">
        <v>3559</v>
      </c>
      <c r="J493" s="52"/>
      <c r="K493" s="49"/>
      <c r="L493" s="49" t="s">
        <v>4373</v>
      </c>
      <c r="M493" s="58"/>
    </row>
    <row r="494" spans="1:13" ht="15">
      <c r="A494" s="52">
        <v>492</v>
      </c>
      <c r="B494" s="60" t="s">
        <v>240</v>
      </c>
      <c r="C494" s="126" t="s">
        <v>242</v>
      </c>
      <c r="D494" s="52">
        <v>2</v>
      </c>
      <c r="E494" s="52" t="s">
        <v>2391</v>
      </c>
      <c r="F494" s="126" t="s">
        <v>22</v>
      </c>
      <c r="G494" s="126" t="s">
        <v>1664</v>
      </c>
      <c r="H494" s="131">
        <v>128</v>
      </c>
      <c r="I494" s="49" t="s">
        <v>3594</v>
      </c>
      <c r="J494" s="52"/>
      <c r="K494" s="49"/>
      <c r="L494" s="49" t="s">
        <v>4374</v>
      </c>
      <c r="M494" s="58"/>
    </row>
    <row r="495" spans="1:13" ht="15">
      <c r="A495" s="52">
        <v>493</v>
      </c>
      <c r="B495" s="60" t="s">
        <v>240</v>
      </c>
      <c r="C495" s="126" t="s">
        <v>242</v>
      </c>
      <c r="D495" s="52">
        <v>2</v>
      </c>
      <c r="E495" s="52" t="s">
        <v>2391</v>
      </c>
      <c r="F495" s="126" t="s">
        <v>22</v>
      </c>
      <c r="G495" s="126" t="s">
        <v>1664</v>
      </c>
      <c r="H495" s="131">
        <v>128</v>
      </c>
      <c r="I495" s="49" t="s">
        <v>3594</v>
      </c>
      <c r="J495" s="52"/>
      <c r="K495" s="49"/>
      <c r="L495" s="49" t="s">
        <v>4375</v>
      </c>
      <c r="M495" s="58"/>
    </row>
    <row r="496" spans="1:13" ht="15">
      <c r="A496" s="52">
        <v>494</v>
      </c>
      <c r="B496" s="60" t="s">
        <v>901</v>
      </c>
      <c r="C496" s="126" t="s">
        <v>903</v>
      </c>
      <c r="D496" s="52">
        <v>6</v>
      </c>
      <c r="E496" s="52" t="s">
        <v>2391</v>
      </c>
      <c r="F496" s="126" t="s">
        <v>22</v>
      </c>
      <c r="G496" s="126" t="s">
        <v>1664</v>
      </c>
      <c r="H496" s="131">
        <v>24</v>
      </c>
      <c r="I496" s="49" t="s">
        <v>3570</v>
      </c>
      <c r="J496" s="52"/>
      <c r="K496" s="49"/>
      <c r="L496" s="49" t="s">
        <v>4376</v>
      </c>
      <c r="M496" s="58"/>
    </row>
    <row r="497" spans="1:13" ht="15">
      <c r="A497" s="52">
        <v>495</v>
      </c>
      <c r="B497" s="60" t="s">
        <v>1842</v>
      </c>
      <c r="C497" s="126" t="s">
        <v>1838</v>
      </c>
      <c r="D497" s="52">
        <v>4</v>
      </c>
      <c r="E497" s="52" t="s">
        <v>2385</v>
      </c>
      <c r="F497" s="126" t="s">
        <v>1733</v>
      </c>
      <c r="G497" s="126" t="s">
        <v>1664</v>
      </c>
      <c r="H497" s="131">
        <v>32</v>
      </c>
      <c r="I497" s="49" t="s">
        <v>3563</v>
      </c>
      <c r="J497" s="52">
        <v>2</v>
      </c>
      <c r="K497" s="49"/>
      <c r="L497" s="49" t="s">
        <v>4377</v>
      </c>
      <c r="M497" s="58"/>
    </row>
    <row r="498" spans="1:13" ht="15">
      <c r="A498" s="52">
        <v>496</v>
      </c>
      <c r="B498" s="60" t="s">
        <v>1849</v>
      </c>
      <c r="C498" s="126" t="s">
        <v>1851</v>
      </c>
      <c r="D498" s="52">
        <v>2</v>
      </c>
      <c r="E498" s="52" t="s">
        <v>2417</v>
      </c>
      <c r="F498" s="126" t="s">
        <v>1733</v>
      </c>
      <c r="G498" s="126" t="s">
        <v>1664</v>
      </c>
      <c r="H498" s="131">
        <v>16</v>
      </c>
      <c r="I498" s="49" t="s">
        <v>3559</v>
      </c>
      <c r="J498" s="52">
        <v>1</v>
      </c>
      <c r="K498" s="49"/>
      <c r="L498" s="49" t="s">
        <v>4378</v>
      </c>
      <c r="M498" s="58"/>
    </row>
    <row r="499" spans="1:13" ht="15">
      <c r="A499" s="52">
        <v>497</v>
      </c>
      <c r="B499" s="53" t="s">
        <v>2263</v>
      </c>
      <c r="C499" s="126" t="s">
        <v>2265</v>
      </c>
      <c r="D499" s="55">
        <v>2</v>
      </c>
      <c r="E499" s="52" t="s">
        <v>2417</v>
      </c>
      <c r="F499" s="126" t="s">
        <v>1733</v>
      </c>
      <c r="G499" s="126" t="s">
        <v>1664</v>
      </c>
      <c r="H499" s="131">
        <v>16</v>
      </c>
      <c r="I499" s="49" t="s">
        <v>3559</v>
      </c>
      <c r="J499" s="52">
        <v>2</v>
      </c>
      <c r="K499" s="49"/>
      <c r="L499" s="49" t="s">
        <v>4379</v>
      </c>
      <c r="M499" s="58"/>
    </row>
    <row r="500" spans="1:13" ht="15">
      <c r="A500" s="52">
        <v>498</v>
      </c>
      <c r="B500" s="53" t="s">
        <v>2310</v>
      </c>
      <c r="C500" s="126" t="s">
        <v>2265</v>
      </c>
      <c r="D500" s="55">
        <v>4</v>
      </c>
      <c r="E500" s="52" t="s">
        <v>2417</v>
      </c>
      <c r="F500" s="126" t="s">
        <v>1733</v>
      </c>
      <c r="G500" s="126" t="s">
        <v>1664</v>
      </c>
      <c r="H500" s="131">
        <v>32</v>
      </c>
      <c r="I500" s="49" t="s">
        <v>3570</v>
      </c>
      <c r="J500" s="52">
        <v>1</v>
      </c>
      <c r="K500" s="49"/>
      <c r="L500" s="49" t="s">
        <v>4380</v>
      </c>
      <c r="M500" s="58"/>
    </row>
    <row r="501" spans="1:13" ht="15">
      <c r="A501" s="52">
        <v>499</v>
      </c>
      <c r="B501" s="53" t="s">
        <v>1454</v>
      </c>
      <c r="C501" s="126" t="s">
        <v>2062</v>
      </c>
      <c r="D501" s="55">
        <v>2</v>
      </c>
      <c r="E501" s="52" t="s">
        <v>2437</v>
      </c>
      <c r="F501" s="126" t="s">
        <v>1733</v>
      </c>
      <c r="G501" s="126" t="s">
        <v>1664</v>
      </c>
      <c r="H501" s="131">
        <v>16</v>
      </c>
      <c r="I501" s="49" t="s">
        <v>3570</v>
      </c>
      <c r="J501" s="52">
        <v>1</v>
      </c>
      <c r="K501" s="49"/>
      <c r="L501" s="49" t="s">
        <v>4381</v>
      </c>
      <c r="M501" s="58"/>
    </row>
    <row r="502" spans="1:13" ht="15">
      <c r="A502" s="52">
        <v>500</v>
      </c>
      <c r="B502" s="60" t="s">
        <v>1886</v>
      </c>
      <c r="C502" s="126" t="s">
        <v>1888</v>
      </c>
      <c r="D502" s="52">
        <v>1</v>
      </c>
      <c r="E502" s="52" t="s">
        <v>2443</v>
      </c>
      <c r="F502" s="126" t="s">
        <v>1733</v>
      </c>
      <c r="G502" s="126" t="s">
        <v>1664</v>
      </c>
      <c r="H502" s="131">
        <v>8</v>
      </c>
      <c r="I502" s="49" t="s">
        <v>3570</v>
      </c>
      <c r="J502" s="52">
        <v>2</v>
      </c>
      <c r="K502" s="49"/>
      <c r="L502" s="49" t="s">
        <v>4382</v>
      </c>
      <c r="M502" s="58"/>
    </row>
    <row r="503" spans="1:13" ht="15">
      <c r="A503" s="52">
        <v>501</v>
      </c>
      <c r="B503" s="53" t="s">
        <v>2297</v>
      </c>
      <c r="C503" s="126" t="s">
        <v>1931</v>
      </c>
      <c r="D503" s="55">
        <v>5</v>
      </c>
      <c r="E503" s="52" t="s">
        <v>2443</v>
      </c>
      <c r="F503" s="126" t="s">
        <v>1733</v>
      </c>
      <c r="G503" s="126" t="s">
        <v>1664</v>
      </c>
      <c r="H503" s="131">
        <v>40</v>
      </c>
      <c r="I503" s="49" t="s">
        <v>3570</v>
      </c>
      <c r="J503" s="52">
        <v>3</v>
      </c>
      <c r="K503" s="49"/>
      <c r="L503" s="49" t="s">
        <v>4383</v>
      </c>
      <c r="M503" s="58"/>
    </row>
    <row r="504" spans="1:13" ht="15">
      <c r="A504" s="52">
        <v>502</v>
      </c>
      <c r="B504" s="60" t="s">
        <v>2147</v>
      </c>
      <c r="C504" s="126" t="s">
        <v>2148</v>
      </c>
      <c r="D504" s="52">
        <v>2</v>
      </c>
      <c r="E504" s="52" t="s">
        <v>2391</v>
      </c>
      <c r="F504" s="126" t="s">
        <v>1733</v>
      </c>
      <c r="G504" s="126" t="s">
        <v>1664</v>
      </c>
      <c r="H504" s="131">
        <v>16</v>
      </c>
      <c r="I504" s="49" t="s">
        <v>3570</v>
      </c>
      <c r="J504" s="52">
        <v>3</v>
      </c>
      <c r="K504" s="49"/>
      <c r="L504" s="49" t="s">
        <v>4384</v>
      </c>
      <c r="M504" s="58"/>
    </row>
    <row r="505" spans="1:13" ht="15">
      <c r="A505" s="52">
        <v>503</v>
      </c>
      <c r="B505" s="60" t="s">
        <v>2348</v>
      </c>
      <c r="C505" s="126" t="s">
        <v>2148</v>
      </c>
      <c r="D505" s="52">
        <v>2</v>
      </c>
      <c r="E505" s="52" t="s">
        <v>2391</v>
      </c>
      <c r="F505" s="126" t="s">
        <v>1733</v>
      </c>
      <c r="G505" s="126" t="s">
        <v>1664</v>
      </c>
      <c r="H505" s="127">
        <v>16</v>
      </c>
      <c r="I505" s="49" t="s">
        <v>3570</v>
      </c>
      <c r="J505" s="52">
        <v>3</v>
      </c>
      <c r="K505" s="49"/>
      <c r="L505" s="10" t="s">
        <v>4385</v>
      </c>
    </row>
    <row r="506" spans="1:13" ht="15">
      <c r="A506" s="52">
        <v>504</v>
      </c>
      <c r="B506" s="63" t="s">
        <v>1509</v>
      </c>
      <c r="C506" s="126" t="s">
        <v>2060</v>
      </c>
      <c r="D506" s="52">
        <v>2</v>
      </c>
      <c r="E506" s="52" t="s">
        <v>2391</v>
      </c>
      <c r="F506" s="126" t="s">
        <v>1733</v>
      </c>
      <c r="G506" s="126" t="s">
        <v>1664</v>
      </c>
      <c r="H506" s="127">
        <v>8</v>
      </c>
      <c r="I506" s="49"/>
      <c r="J506" s="52"/>
      <c r="K506" s="49"/>
      <c r="L506" s="10" t="s">
        <v>4386</v>
      </c>
    </row>
    <row r="507" spans="1:13" ht="15">
      <c r="A507" s="52">
        <v>505</v>
      </c>
      <c r="B507" s="60" t="s">
        <v>871</v>
      </c>
      <c r="C507" s="126" t="s">
        <v>1852</v>
      </c>
      <c r="D507" s="52">
        <v>2</v>
      </c>
      <c r="E507" s="56" t="s">
        <v>2417</v>
      </c>
      <c r="F507" s="126" t="s">
        <v>853</v>
      </c>
      <c r="G507" s="126" t="s">
        <v>1664</v>
      </c>
      <c r="H507" s="127">
        <v>1440</v>
      </c>
      <c r="I507" s="49" t="s">
        <v>3559</v>
      </c>
      <c r="J507" s="52">
        <v>4</v>
      </c>
      <c r="L507" s="10" t="s">
        <v>4387</v>
      </c>
    </row>
    <row r="508" spans="1:13" ht="15">
      <c r="A508" s="52">
        <v>506</v>
      </c>
      <c r="B508" s="60" t="s">
        <v>849</v>
      </c>
      <c r="C508" s="218" t="s">
        <v>852</v>
      </c>
      <c r="D508" s="52">
        <v>9.4</v>
      </c>
      <c r="E508" s="52" t="s">
        <v>2417</v>
      </c>
      <c r="F508" s="218" t="s">
        <v>853</v>
      </c>
      <c r="G508" s="218" t="s">
        <v>1664</v>
      </c>
      <c r="H508" s="219">
        <v>92192</v>
      </c>
      <c r="I508" s="49" t="s">
        <v>3594</v>
      </c>
      <c r="J508" s="52">
        <v>1</v>
      </c>
      <c r="K508" s="49"/>
    </row>
    <row r="509" spans="1:13" ht="15">
      <c r="A509" s="52">
        <v>507</v>
      </c>
      <c r="B509" s="60" t="s">
        <v>854</v>
      </c>
      <c r="C509" s="218" t="s">
        <v>1852</v>
      </c>
      <c r="D509" s="52">
        <v>1.5</v>
      </c>
      <c r="E509" s="52" t="s">
        <v>2417</v>
      </c>
      <c r="F509" s="218" t="s">
        <v>853</v>
      </c>
      <c r="G509" s="218" t="s">
        <v>1664</v>
      </c>
      <c r="H509" s="219">
        <v>10800</v>
      </c>
      <c r="I509" s="49" t="s">
        <v>3594</v>
      </c>
      <c r="J509" s="52">
        <v>1</v>
      </c>
      <c r="K509" s="49"/>
    </row>
    <row r="510" spans="1:13" ht="15">
      <c r="A510" s="52">
        <v>508</v>
      </c>
      <c r="B510" s="60" t="s">
        <v>858</v>
      </c>
      <c r="C510" s="218" t="s">
        <v>859</v>
      </c>
      <c r="D510" s="52">
        <v>11</v>
      </c>
      <c r="E510" s="52" t="s">
        <v>2385</v>
      </c>
      <c r="F510" s="218" t="s">
        <v>853</v>
      </c>
      <c r="G510" s="218" t="s">
        <v>1664</v>
      </c>
      <c r="H510" s="219">
        <v>87880</v>
      </c>
      <c r="I510" s="49" t="s">
        <v>3594</v>
      </c>
      <c r="J510" s="52">
        <v>1</v>
      </c>
      <c r="K510" s="49"/>
    </row>
    <row r="511" spans="1:13" ht="15">
      <c r="A511" s="52">
        <v>509</v>
      </c>
      <c r="B511" s="60" t="s">
        <v>1302</v>
      </c>
      <c r="C511" s="218" t="s">
        <v>179</v>
      </c>
      <c r="D511" s="52">
        <v>1.76</v>
      </c>
      <c r="E511" s="52" t="s">
        <v>2391</v>
      </c>
      <c r="F511" s="218" t="s">
        <v>853</v>
      </c>
      <c r="G511" s="218" t="s">
        <v>1664</v>
      </c>
      <c r="H511" s="219">
        <v>14.08</v>
      </c>
      <c r="I511" s="49" t="s">
        <v>3876</v>
      </c>
      <c r="J511" s="52">
        <v>1</v>
      </c>
      <c r="K511" s="49"/>
    </row>
    <row r="512" spans="1:13" ht="15">
      <c r="A512" s="52">
        <v>510</v>
      </c>
      <c r="B512" s="60" t="s">
        <v>849</v>
      </c>
      <c r="C512" s="218" t="s">
        <v>852</v>
      </c>
      <c r="D512" s="52">
        <v>1.8</v>
      </c>
      <c r="E512" s="52" t="s">
        <v>2391</v>
      </c>
      <c r="F512" s="218" t="s">
        <v>853</v>
      </c>
      <c r="G512" s="218" t="s">
        <v>1664</v>
      </c>
      <c r="H512" s="219">
        <v>92192</v>
      </c>
      <c r="I512" s="49" t="s">
        <v>3594</v>
      </c>
      <c r="J512" s="52">
        <v>1</v>
      </c>
      <c r="K512" s="49"/>
    </row>
    <row r="513" spans="2:11" ht="15">
      <c r="B513" s="60"/>
      <c r="C513" s="218"/>
      <c r="D513" s="52"/>
      <c r="E513" s="52"/>
      <c r="F513" s="218"/>
      <c r="G513" s="218"/>
      <c r="H513" s="219"/>
      <c r="I513" s="49"/>
      <c r="J513" s="52"/>
      <c r="K513" s="49"/>
    </row>
    <row r="514" spans="2:11" ht="15">
      <c r="B514" s="60"/>
      <c r="C514" s="218"/>
      <c r="D514" s="52"/>
      <c r="E514" s="52"/>
      <c r="F514" s="218"/>
      <c r="G514" s="218"/>
      <c r="H514" s="219"/>
      <c r="I514" s="49"/>
      <c r="J514" s="52"/>
      <c r="K514" s="49"/>
    </row>
    <row r="515" spans="2:11" ht="15">
      <c r="B515" s="60"/>
      <c r="C515" s="218"/>
      <c r="D515" s="52"/>
      <c r="E515" s="52"/>
      <c r="F515" s="218"/>
      <c r="G515" s="218"/>
      <c r="H515" s="219"/>
      <c r="I515" s="49"/>
      <c r="J515" s="52"/>
      <c r="K515" s="49"/>
    </row>
    <row r="516" spans="2:11" ht="15">
      <c r="B516" s="60"/>
      <c r="C516" s="218"/>
      <c r="D516" s="52"/>
      <c r="E516" s="52"/>
      <c r="F516" s="218"/>
      <c r="G516" s="218"/>
      <c r="H516" s="219"/>
      <c r="I516" s="49"/>
      <c r="J516" s="52"/>
      <c r="K516" s="49"/>
    </row>
    <row r="517" spans="2:11" ht="15">
      <c r="B517" s="60"/>
      <c r="C517" s="218"/>
      <c r="D517" s="52"/>
      <c r="E517" s="52"/>
      <c r="F517" s="218"/>
      <c r="G517" s="218"/>
      <c r="H517" s="219"/>
      <c r="I517" s="49"/>
      <c r="J517" s="52"/>
      <c r="K517" s="49"/>
    </row>
    <row r="518" spans="2:11" ht="15">
      <c r="B518" s="60"/>
      <c r="C518" s="218"/>
      <c r="D518" s="52"/>
      <c r="E518" s="52"/>
      <c r="F518" s="218"/>
      <c r="G518" s="218"/>
      <c r="H518" s="219"/>
      <c r="I518" s="49"/>
      <c r="J518" s="52"/>
      <c r="K518" s="49"/>
    </row>
    <row r="519" spans="2:11" ht="15">
      <c r="B519" s="60"/>
      <c r="C519" s="218"/>
      <c r="D519" s="52"/>
      <c r="E519" s="52"/>
      <c r="F519" s="218"/>
      <c r="G519" s="218"/>
      <c r="H519" s="219"/>
      <c r="I519" s="49"/>
      <c r="J519" s="52"/>
      <c r="K519" s="49"/>
    </row>
    <row r="520" spans="2:11" ht="15">
      <c r="B520" s="199"/>
      <c r="C520" s="220"/>
      <c r="D520" s="164"/>
      <c r="E520" s="164"/>
      <c r="F520" s="220"/>
      <c r="G520" s="220"/>
      <c r="H520" s="221"/>
      <c r="I520" s="167"/>
      <c r="J520" s="164"/>
      <c r="K520" s="167"/>
    </row>
  </sheetData>
  <conditionalFormatting sqref="B4">
    <cfRule type="cellIs" dxfId="519" priority="104" operator="equal">
      <formula>$B$3</formula>
    </cfRule>
  </conditionalFormatting>
  <conditionalFormatting sqref="B19">
    <cfRule type="duplicateValues" dxfId="518" priority="103"/>
  </conditionalFormatting>
  <conditionalFormatting sqref="B40">
    <cfRule type="duplicateValues" dxfId="517" priority="107"/>
  </conditionalFormatting>
  <conditionalFormatting sqref="B44">
    <cfRule type="duplicateValues" dxfId="516" priority="46"/>
    <cfRule type="duplicateValues" dxfId="515" priority="47"/>
  </conditionalFormatting>
  <conditionalFormatting sqref="B50">
    <cfRule type="duplicateValues" dxfId="514" priority="12"/>
    <cfRule type="duplicateValues" dxfId="513" priority="13"/>
  </conditionalFormatting>
  <conditionalFormatting sqref="B51">
    <cfRule type="duplicateValues" dxfId="512" priority="108"/>
  </conditionalFormatting>
  <conditionalFormatting sqref="B59">
    <cfRule type="duplicateValues" dxfId="511" priority="44"/>
    <cfRule type="duplicateValues" dxfId="510" priority="45"/>
  </conditionalFormatting>
  <conditionalFormatting sqref="B67">
    <cfRule type="duplicateValues" dxfId="509" priority="36"/>
    <cfRule type="duplicateValues" dxfId="508" priority="37"/>
  </conditionalFormatting>
  <conditionalFormatting sqref="B70:B72">
    <cfRule type="duplicateValues" dxfId="507" priority="109"/>
  </conditionalFormatting>
  <conditionalFormatting sqref="B97">
    <cfRule type="duplicateValues" dxfId="506" priority="42"/>
    <cfRule type="duplicateValues" dxfId="505" priority="43"/>
  </conditionalFormatting>
  <conditionalFormatting sqref="B116">
    <cfRule type="duplicateValues" dxfId="504" priority="97"/>
    <cfRule type="duplicateValues" dxfId="503" priority="98"/>
  </conditionalFormatting>
  <conditionalFormatting sqref="B119">
    <cfRule type="duplicateValues" dxfId="502" priority="34"/>
    <cfRule type="duplicateValues" dxfId="501" priority="35"/>
  </conditionalFormatting>
  <conditionalFormatting sqref="B122">
    <cfRule type="duplicateValues" dxfId="500" priority="38"/>
    <cfRule type="duplicateValues" dxfId="499" priority="39"/>
  </conditionalFormatting>
  <conditionalFormatting sqref="B129">
    <cfRule type="duplicateValues" dxfId="498" priority="106"/>
  </conditionalFormatting>
  <conditionalFormatting sqref="B132">
    <cfRule type="duplicateValues" dxfId="497" priority="110"/>
  </conditionalFormatting>
  <conditionalFormatting sqref="B209">
    <cfRule type="duplicateValues" dxfId="496" priority="10"/>
    <cfRule type="duplicateValues" dxfId="495" priority="11"/>
  </conditionalFormatting>
  <conditionalFormatting sqref="B223">
    <cfRule type="duplicateValues" dxfId="494" priority="86"/>
    <cfRule type="duplicateValues" dxfId="493" priority="87"/>
  </conditionalFormatting>
  <conditionalFormatting sqref="B224">
    <cfRule type="duplicateValues" dxfId="492" priority="88"/>
    <cfRule type="duplicateValues" dxfId="491" priority="89"/>
  </conditionalFormatting>
  <conditionalFormatting sqref="B225">
    <cfRule type="duplicateValues" dxfId="490" priority="90"/>
    <cfRule type="duplicateValues" dxfId="489" priority="91"/>
  </conditionalFormatting>
  <conditionalFormatting sqref="B325">
    <cfRule type="duplicateValues" dxfId="488" priority="8"/>
    <cfRule type="duplicateValues" dxfId="487" priority="9"/>
  </conditionalFormatting>
  <conditionalFormatting sqref="B344">
    <cfRule type="duplicateValues" dxfId="486" priority="40"/>
    <cfRule type="duplicateValues" dxfId="485" priority="41"/>
  </conditionalFormatting>
  <conditionalFormatting sqref="B350">
    <cfRule type="duplicateValues" dxfId="484" priority="101"/>
    <cfRule type="duplicateValues" dxfId="483" priority="102"/>
  </conditionalFormatting>
  <conditionalFormatting sqref="B351">
    <cfRule type="duplicateValues" dxfId="482" priority="99"/>
    <cfRule type="duplicateValues" dxfId="481" priority="100"/>
  </conditionalFormatting>
  <conditionalFormatting sqref="B402">
    <cfRule type="duplicateValues" dxfId="480" priority="84"/>
    <cfRule type="duplicateValues" dxfId="479" priority="85"/>
  </conditionalFormatting>
  <conditionalFormatting sqref="B403">
    <cfRule type="duplicateValues" dxfId="478" priority="92"/>
  </conditionalFormatting>
  <conditionalFormatting sqref="B458">
    <cfRule type="duplicateValues" dxfId="477" priority="95"/>
    <cfRule type="duplicateValues" dxfId="476" priority="96"/>
  </conditionalFormatting>
  <conditionalFormatting sqref="B459">
    <cfRule type="duplicateValues" dxfId="475" priority="93"/>
    <cfRule type="duplicateValues" dxfId="474" priority="94"/>
  </conditionalFormatting>
  <conditionalFormatting sqref="B475">
    <cfRule type="duplicateValues" dxfId="473" priority="82"/>
    <cfRule type="duplicateValues" dxfId="472" priority="83"/>
  </conditionalFormatting>
  <conditionalFormatting sqref="B476">
    <cfRule type="duplicateValues" dxfId="471" priority="80"/>
    <cfRule type="duplicateValues" dxfId="470" priority="81"/>
  </conditionalFormatting>
  <conditionalFormatting sqref="B477">
    <cfRule type="duplicateValues" dxfId="469" priority="78"/>
    <cfRule type="duplicateValues" dxfId="468" priority="79"/>
  </conditionalFormatting>
  <conditionalFormatting sqref="B478">
    <cfRule type="duplicateValues" dxfId="467" priority="76"/>
    <cfRule type="duplicateValues" dxfId="466" priority="77"/>
  </conditionalFormatting>
  <conditionalFormatting sqref="B479">
    <cfRule type="duplicateValues" dxfId="465" priority="74"/>
    <cfRule type="duplicateValues" dxfId="464" priority="75"/>
  </conditionalFormatting>
  <conditionalFormatting sqref="B480">
    <cfRule type="duplicateValues" dxfId="463" priority="72"/>
    <cfRule type="duplicateValues" dxfId="462" priority="73"/>
  </conditionalFormatting>
  <conditionalFormatting sqref="B481">
    <cfRule type="duplicateValues" dxfId="461" priority="70"/>
    <cfRule type="duplicateValues" dxfId="460" priority="71"/>
  </conditionalFormatting>
  <conditionalFormatting sqref="B482">
    <cfRule type="duplicateValues" dxfId="459" priority="68"/>
    <cfRule type="duplicateValues" dxfId="458" priority="69"/>
  </conditionalFormatting>
  <conditionalFormatting sqref="B483">
    <cfRule type="duplicateValues" dxfId="457" priority="66"/>
    <cfRule type="duplicateValues" dxfId="456" priority="67"/>
  </conditionalFormatting>
  <conditionalFormatting sqref="B484">
    <cfRule type="duplicateValues" dxfId="455" priority="64"/>
    <cfRule type="duplicateValues" dxfId="454" priority="65"/>
  </conditionalFormatting>
  <conditionalFormatting sqref="B485">
    <cfRule type="duplicateValues" dxfId="453" priority="62"/>
    <cfRule type="duplicateValues" dxfId="452" priority="63"/>
  </conditionalFormatting>
  <conditionalFormatting sqref="B486">
    <cfRule type="duplicateValues" dxfId="451" priority="60"/>
    <cfRule type="duplicateValues" dxfId="450" priority="61"/>
  </conditionalFormatting>
  <conditionalFormatting sqref="B487">
    <cfRule type="duplicateValues" dxfId="449" priority="58"/>
    <cfRule type="duplicateValues" dxfId="448" priority="59"/>
  </conditionalFormatting>
  <conditionalFormatting sqref="B488">
    <cfRule type="duplicateValues" dxfId="447" priority="56"/>
    <cfRule type="duplicateValues" dxfId="446" priority="57"/>
  </conditionalFormatting>
  <conditionalFormatting sqref="B489">
    <cfRule type="duplicateValues" dxfId="445" priority="54"/>
    <cfRule type="duplicateValues" dxfId="444" priority="55"/>
  </conditionalFormatting>
  <conditionalFormatting sqref="B490">
    <cfRule type="duplicateValues" dxfId="443" priority="52"/>
    <cfRule type="duplicateValues" dxfId="442" priority="53"/>
  </conditionalFormatting>
  <conditionalFormatting sqref="B491">
    <cfRule type="duplicateValues" dxfId="441" priority="50"/>
    <cfRule type="duplicateValues" dxfId="440" priority="51"/>
  </conditionalFormatting>
  <conditionalFormatting sqref="B492">
    <cfRule type="duplicateValues" dxfId="439" priority="48"/>
    <cfRule type="duplicateValues" dxfId="438" priority="49"/>
  </conditionalFormatting>
  <conditionalFormatting sqref="B493">
    <cfRule type="duplicateValues" dxfId="437" priority="32"/>
    <cfRule type="duplicateValues" dxfId="436" priority="33"/>
  </conditionalFormatting>
  <conditionalFormatting sqref="B494">
    <cfRule type="duplicateValues" dxfId="435" priority="30"/>
    <cfRule type="duplicateValues" dxfId="434" priority="31"/>
  </conditionalFormatting>
  <conditionalFormatting sqref="B495">
    <cfRule type="duplicateValues" dxfId="433" priority="28"/>
    <cfRule type="duplicateValues" dxfId="432" priority="29"/>
  </conditionalFormatting>
  <conditionalFormatting sqref="B496">
    <cfRule type="duplicateValues" dxfId="431" priority="26"/>
    <cfRule type="duplicateValues" dxfId="430" priority="27"/>
  </conditionalFormatting>
  <conditionalFormatting sqref="B497">
    <cfRule type="duplicateValues" dxfId="429" priority="24"/>
    <cfRule type="duplicateValues" dxfId="428" priority="25"/>
  </conditionalFormatting>
  <conditionalFormatting sqref="B498">
    <cfRule type="duplicateValues" dxfId="427" priority="22"/>
    <cfRule type="duplicateValues" dxfId="426" priority="23"/>
  </conditionalFormatting>
  <conditionalFormatting sqref="B499">
    <cfRule type="duplicateValues" dxfId="425" priority="20"/>
    <cfRule type="duplicateValues" dxfId="424" priority="21"/>
  </conditionalFormatting>
  <conditionalFormatting sqref="B500">
    <cfRule type="duplicateValues" dxfId="423" priority="18"/>
    <cfRule type="duplicateValues" dxfId="422" priority="19"/>
  </conditionalFormatting>
  <conditionalFormatting sqref="B501">
    <cfRule type="duplicateValues" dxfId="421" priority="16"/>
    <cfRule type="duplicateValues" dxfId="420" priority="17"/>
  </conditionalFormatting>
  <conditionalFormatting sqref="B502">
    <cfRule type="duplicateValues" dxfId="419" priority="14"/>
    <cfRule type="duplicateValues" dxfId="418" priority="15"/>
  </conditionalFormatting>
  <conditionalFormatting sqref="B503">
    <cfRule type="duplicateValues" dxfId="417" priority="6"/>
    <cfRule type="duplicateValues" dxfId="416" priority="7"/>
  </conditionalFormatting>
  <conditionalFormatting sqref="B504">
    <cfRule type="duplicateValues" dxfId="415" priority="4"/>
    <cfRule type="duplicateValues" dxfId="414" priority="5"/>
  </conditionalFormatting>
  <conditionalFormatting sqref="B505">
    <cfRule type="duplicateValues" dxfId="413" priority="3"/>
  </conditionalFormatting>
  <conditionalFormatting sqref="B508:B1048576 B460:B474 B20:B43 B1:B18 B117:B118 B226:B324 B45:B49 B60:B66 B98:B115 B345:B349 B123:B208 B68:B96 B121 B51:B58 B210:B222 B326:B343 B404:B457 B352:B401">
    <cfRule type="duplicateValues" dxfId="412" priority="105"/>
  </conditionalFormatting>
  <conditionalFormatting sqref="B508:B1048576 B460:B474 B73:B96 B52:B58 B41:B43 B130:B131 B20:B39 B117:B118 B2:B18 B133:B208 B226:B324 B45:B49 B60:B66 B98:B115 B345:B349 B123:B128 B68:B69 B121 B210:B222 B326:B343 B404:B457 B352:B401">
    <cfRule type="duplicateValues" dxfId="411" priority="111"/>
  </conditionalFormatting>
  <conditionalFormatting sqref="B507">
    <cfRule type="duplicateValues" dxfId="410" priority="1"/>
  </conditionalFormatting>
  <conditionalFormatting sqref="B507">
    <cfRule type="duplicateValues" dxfId="409" priority="2"/>
  </conditionalFormatting>
  <pageMargins left="0.70866141732283472" right="0.70866141732283472" top="0.74803149606299213" bottom="0.74803149606299213" header="0.31496062992125984" footer="0.31496062992125984"/>
  <pageSetup scale="69" fitToHeight="26" orientation="landscape" r:id="rId1"/>
  <headerFooter>
    <oddHeader>&amp;L&amp;"Arial"&amp;8&amp;K000000INTERNAL&amp;1#</oddHeader>
    <oddFooter>&amp;CFecha rev – Planeamiento – CC:8760 – KSU: 4.2- Interno
&amp;R&amp;N</oddFoot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512"/>
  <sheetViews>
    <sheetView zoomScale="84" zoomScaleNormal="115" workbookViewId="0">
      <pane ySplit="2" topLeftCell="E134" activePane="bottomLeft" state="frozen"/>
      <selection pane="bottomLeft" activeCell="I513" sqref="I513"/>
      <selection activeCell="B23" sqref="B23"/>
    </sheetView>
  </sheetViews>
  <sheetFormatPr defaultColWidth="9.140625" defaultRowHeight="14.45"/>
  <cols>
    <col min="1" max="1" width="6.5703125" style="65" customWidth="1"/>
    <col min="2" max="2" width="17.5703125" style="66" customWidth="1"/>
    <col min="3" max="3" width="41.28515625" style="10" customWidth="1"/>
    <col min="4" max="4" width="16.28515625" style="65" customWidth="1"/>
    <col min="5" max="5" width="17.42578125" style="10" customWidth="1"/>
    <col min="6" max="6" width="21.140625" style="10" customWidth="1"/>
    <col min="7" max="7" width="22" style="10" customWidth="1"/>
    <col min="8" max="8" width="22.28515625" style="65" customWidth="1"/>
    <col min="9" max="9" width="27.7109375" style="10" customWidth="1"/>
    <col min="10" max="10" width="8.5703125" style="65" customWidth="1"/>
    <col min="11" max="11" width="22.5703125" style="10" customWidth="1"/>
    <col min="12" max="12" width="20" style="10" hidden="1" customWidth="1"/>
    <col min="13" max="13" width="9.140625" style="10" customWidth="1"/>
    <col min="14" max="16384" width="9.140625" style="10"/>
  </cols>
  <sheetData>
    <row r="1" spans="1:13">
      <c r="A1" s="46" t="s">
        <v>3331</v>
      </c>
      <c r="B1" s="46"/>
      <c r="C1" s="46"/>
      <c r="D1" s="47"/>
      <c r="E1" s="46"/>
      <c r="F1" s="46" t="s">
        <v>3332</v>
      </c>
      <c r="G1" s="46" t="s">
        <v>4388</v>
      </c>
      <c r="H1" s="46"/>
      <c r="I1" s="46"/>
      <c r="J1" s="47" t="s">
        <v>2371</v>
      </c>
      <c r="K1" s="48">
        <f>+BOM!D2</f>
        <v>45953</v>
      </c>
      <c r="L1" s="49"/>
    </row>
    <row r="2" spans="1:13" ht="30" customHeight="1">
      <c r="A2" s="50" t="s">
        <v>2372</v>
      </c>
      <c r="B2" s="154" t="s">
        <v>2373</v>
      </c>
      <c r="C2" s="155" t="s">
        <v>2374</v>
      </c>
      <c r="D2" s="156" t="s">
        <v>2375</v>
      </c>
      <c r="E2" s="160" t="s">
        <v>3334</v>
      </c>
      <c r="F2" s="158" t="s">
        <v>2377</v>
      </c>
      <c r="G2" s="159" t="s">
        <v>2378</v>
      </c>
      <c r="H2" s="168" t="s">
        <v>2379</v>
      </c>
      <c r="I2" s="159" t="s">
        <v>2380</v>
      </c>
      <c r="J2" s="159" t="s">
        <v>2381</v>
      </c>
      <c r="K2" s="161" t="s">
        <v>2382</v>
      </c>
      <c r="L2" s="185" t="s">
        <v>2383</v>
      </c>
      <c r="M2" s="51" t="s">
        <v>2384</v>
      </c>
    </row>
    <row r="3" spans="1:13" ht="15">
      <c r="A3" s="52">
        <v>1</v>
      </c>
      <c r="B3" s="60" t="s">
        <v>1919</v>
      </c>
      <c r="C3" s="126" t="s">
        <v>1920</v>
      </c>
      <c r="D3" s="113">
        <v>1</v>
      </c>
      <c r="E3" s="115" t="s">
        <v>2385</v>
      </c>
      <c r="F3" s="126" t="s">
        <v>289</v>
      </c>
      <c r="G3" s="126" t="s">
        <v>1667</v>
      </c>
      <c r="H3" s="131">
        <v>1</v>
      </c>
      <c r="I3" s="49" t="s">
        <v>2386</v>
      </c>
      <c r="J3" s="52">
        <v>1</v>
      </c>
      <c r="K3" s="49"/>
      <c r="L3" s="188" t="s">
        <v>4389</v>
      </c>
      <c r="M3" s="49"/>
    </row>
    <row r="4" spans="1:13" ht="15">
      <c r="A4" s="52">
        <v>2</v>
      </c>
      <c r="B4" s="53" t="s">
        <v>1045</v>
      </c>
      <c r="C4" s="126" t="s">
        <v>59</v>
      </c>
      <c r="D4" s="55">
        <v>1</v>
      </c>
      <c r="E4" s="52" t="s">
        <v>2388</v>
      </c>
      <c r="F4" s="126" t="s">
        <v>1047</v>
      </c>
      <c r="G4" s="126" t="s">
        <v>1667</v>
      </c>
      <c r="H4" s="131">
        <v>1</v>
      </c>
      <c r="I4" s="49" t="s">
        <v>3336</v>
      </c>
      <c r="J4" s="52"/>
      <c r="K4" s="49"/>
      <c r="L4" s="49" t="s">
        <v>4390</v>
      </c>
      <c r="M4" s="58"/>
    </row>
    <row r="5" spans="1:13" ht="15">
      <c r="A5" s="52">
        <v>3</v>
      </c>
      <c r="B5" s="53" t="s">
        <v>1999</v>
      </c>
      <c r="C5" s="126" t="s">
        <v>2001</v>
      </c>
      <c r="D5" s="55">
        <v>1</v>
      </c>
      <c r="E5" s="52" t="s">
        <v>2388</v>
      </c>
      <c r="F5" s="126" t="s">
        <v>195</v>
      </c>
      <c r="G5" s="126" t="s">
        <v>1667</v>
      </c>
      <c r="H5" s="131">
        <v>1</v>
      </c>
      <c r="I5" s="49" t="s">
        <v>3336</v>
      </c>
      <c r="J5" s="52"/>
      <c r="K5" s="49"/>
      <c r="L5" s="49" t="s">
        <v>4391</v>
      </c>
      <c r="M5" s="58"/>
    </row>
    <row r="6" spans="1:13" ht="15">
      <c r="A6" s="52">
        <v>4</v>
      </c>
      <c r="B6" s="53" t="s">
        <v>1912</v>
      </c>
      <c r="C6" s="126" t="s">
        <v>1913</v>
      </c>
      <c r="D6" s="55">
        <v>3</v>
      </c>
      <c r="E6" s="52" t="s">
        <v>2394</v>
      </c>
      <c r="F6" s="126" t="s">
        <v>230</v>
      </c>
      <c r="G6" s="126" t="s">
        <v>1667</v>
      </c>
      <c r="H6" s="131">
        <v>1</v>
      </c>
      <c r="I6" s="49" t="s">
        <v>3339</v>
      </c>
      <c r="J6" s="52"/>
      <c r="K6" s="49"/>
      <c r="L6" s="49" t="s">
        <v>4392</v>
      </c>
      <c r="M6" s="58"/>
    </row>
    <row r="7" spans="1:13" ht="15">
      <c r="A7" s="52">
        <v>5</v>
      </c>
      <c r="B7" s="53" t="s">
        <v>1914</v>
      </c>
      <c r="C7" s="126" t="s">
        <v>1913</v>
      </c>
      <c r="D7" s="55">
        <v>4</v>
      </c>
      <c r="E7" s="52" t="s">
        <v>2394</v>
      </c>
      <c r="F7" s="126" t="s">
        <v>230</v>
      </c>
      <c r="G7" s="126" t="s">
        <v>1667</v>
      </c>
      <c r="H7" s="131">
        <v>1</v>
      </c>
      <c r="I7" s="49" t="s">
        <v>3339</v>
      </c>
      <c r="J7" s="52"/>
      <c r="K7" s="49"/>
      <c r="L7" s="49" t="s">
        <v>4393</v>
      </c>
      <c r="M7" s="58"/>
    </row>
    <row r="8" spans="1:13" ht="15">
      <c r="A8" s="52">
        <v>6</v>
      </c>
      <c r="B8" s="53" t="s">
        <v>1304</v>
      </c>
      <c r="C8" s="126" t="s">
        <v>1306</v>
      </c>
      <c r="D8" s="55">
        <v>1</v>
      </c>
      <c r="E8" s="52" t="s">
        <v>2385</v>
      </c>
      <c r="F8" s="126" t="s">
        <v>18</v>
      </c>
      <c r="G8" s="126" t="s">
        <v>1667</v>
      </c>
      <c r="H8" s="131">
        <v>1</v>
      </c>
      <c r="I8" s="49" t="s">
        <v>2386</v>
      </c>
      <c r="J8" s="52">
        <v>1</v>
      </c>
      <c r="K8" s="49"/>
      <c r="L8" s="49" t="s">
        <v>4394</v>
      </c>
      <c r="M8" s="58"/>
    </row>
    <row r="9" spans="1:13" ht="15">
      <c r="A9" s="52">
        <v>7</v>
      </c>
      <c r="B9" s="53" t="s">
        <v>825</v>
      </c>
      <c r="C9" s="126" t="s">
        <v>827</v>
      </c>
      <c r="D9" s="55">
        <v>1</v>
      </c>
      <c r="E9" s="52" t="s">
        <v>2385</v>
      </c>
      <c r="F9" s="126" t="s">
        <v>18</v>
      </c>
      <c r="G9" s="126" t="s">
        <v>1667</v>
      </c>
      <c r="H9" s="131">
        <v>1</v>
      </c>
      <c r="I9" s="49" t="s">
        <v>2386</v>
      </c>
      <c r="J9" s="52">
        <v>1</v>
      </c>
      <c r="K9" s="49"/>
      <c r="L9" s="49" t="s">
        <v>4395</v>
      </c>
      <c r="M9" s="58"/>
    </row>
    <row r="10" spans="1:13" ht="15">
      <c r="A10" s="52">
        <v>8</v>
      </c>
      <c r="B10" s="53" t="s">
        <v>882</v>
      </c>
      <c r="C10" s="126" t="s">
        <v>883</v>
      </c>
      <c r="D10" s="55">
        <v>1</v>
      </c>
      <c r="E10" s="52" t="s">
        <v>2385</v>
      </c>
      <c r="F10" s="126" t="s">
        <v>18</v>
      </c>
      <c r="G10" s="126" t="s">
        <v>1667</v>
      </c>
      <c r="H10" s="131">
        <v>1</v>
      </c>
      <c r="I10" s="49" t="s">
        <v>3382</v>
      </c>
      <c r="J10" s="52"/>
      <c r="K10" s="49"/>
      <c r="L10" s="188" t="s">
        <v>4396</v>
      </c>
      <c r="M10" s="58"/>
    </row>
    <row r="11" spans="1:13" ht="15">
      <c r="A11" s="52">
        <v>9</v>
      </c>
      <c r="B11" s="53" t="s">
        <v>889</v>
      </c>
      <c r="C11" s="126" t="s">
        <v>890</v>
      </c>
      <c r="D11" s="55">
        <v>1</v>
      </c>
      <c r="E11" s="52" t="s">
        <v>2385</v>
      </c>
      <c r="F11" s="126" t="s">
        <v>18</v>
      </c>
      <c r="G11" s="126" t="s">
        <v>1667</v>
      </c>
      <c r="H11" s="131">
        <v>1</v>
      </c>
      <c r="I11" s="49" t="s">
        <v>2386</v>
      </c>
      <c r="J11" s="52">
        <v>2</v>
      </c>
      <c r="K11" s="49"/>
      <c r="L11" s="49" t="s">
        <v>4397</v>
      </c>
      <c r="M11" s="58"/>
    </row>
    <row r="12" spans="1:13" ht="15">
      <c r="A12" s="52">
        <v>10</v>
      </c>
      <c r="B12" s="53" t="s">
        <v>899</v>
      </c>
      <c r="C12" s="126" t="s">
        <v>900</v>
      </c>
      <c r="D12" s="55">
        <v>1</v>
      </c>
      <c r="E12" s="52" t="s">
        <v>2385</v>
      </c>
      <c r="F12" s="126" t="s">
        <v>18</v>
      </c>
      <c r="G12" s="126" t="s">
        <v>1667</v>
      </c>
      <c r="H12" s="131">
        <v>1</v>
      </c>
      <c r="I12" s="49" t="s">
        <v>2386</v>
      </c>
      <c r="J12" s="52">
        <v>2</v>
      </c>
      <c r="K12" s="49"/>
      <c r="L12" s="49" t="s">
        <v>4398</v>
      </c>
      <c r="M12" s="58">
        <v>45533</v>
      </c>
    </row>
    <row r="13" spans="1:13" ht="15">
      <c r="A13" s="52">
        <v>11</v>
      </c>
      <c r="B13" s="59" t="s">
        <v>964</v>
      </c>
      <c r="C13" s="126" t="s">
        <v>965</v>
      </c>
      <c r="D13" s="55">
        <v>1</v>
      </c>
      <c r="E13" s="52" t="s">
        <v>2385</v>
      </c>
      <c r="F13" s="126" t="s">
        <v>18</v>
      </c>
      <c r="G13" s="126" t="s">
        <v>1667</v>
      </c>
      <c r="H13" s="131">
        <v>1</v>
      </c>
      <c r="I13" s="49" t="s">
        <v>3384</v>
      </c>
      <c r="J13" s="52"/>
      <c r="K13" s="49"/>
      <c r="L13" s="49" t="s">
        <v>4399</v>
      </c>
      <c r="M13" s="58"/>
    </row>
    <row r="14" spans="1:13" ht="15">
      <c r="A14" s="52">
        <v>12</v>
      </c>
      <c r="B14" s="59" t="s">
        <v>966</v>
      </c>
      <c r="C14" s="126" t="s">
        <v>965</v>
      </c>
      <c r="D14" s="55">
        <v>1</v>
      </c>
      <c r="E14" s="52" t="s">
        <v>2385</v>
      </c>
      <c r="F14" s="126" t="s">
        <v>18</v>
      </c>
      <c r="G14" s="126" t="s">
        <v>1667</v>
      </c>
      <c r="H14" s="131">
        <v>1</v>
      </c>
      <c r="I14" s="49" t="s">
        <v>3384</v>
      </c>
      <c r="J14" s="52"/>
      <c r="K14" s="49"/>
      <c r="L14" s="49" t="s">
        <v>4400</v>
      </c>
      <c r="M14" s="58"/>
    </row>
    <row r="15" spans="1:13" ht="15">
      <c r="A15" s="52">
        <v>13</v>
      </c>
      <c r="B15" s="53" t="s">
        <v>994</v>
      </c>
      <c r="C15" s="126" t="s">
        <v>996</v>
      </c>
      <c r="D15" s="55">
        <v>1</v>
      </c>
      <c r="E15" s="52" t="s">
        <v>2385</v>
      </c>
      <c r="F15" s="126" t="s">
        <v>18</v>
      </c>
      <c r="G15" s="126" t="s">
        <v>1667</v>
      </c>
      <c r="H15" s="131">
        <v>1</v>
      </c>
      <c r="I15" s="49" t="s">
        <v>2386</v>
      </c>
      <c r="J15" s="52"/>
      <c r="K15" s="49"/>
      <c r="L15" s="49" t="s">
        <v>4401</v>
      </c>
      <c r="M15" s="58">
        <v>45533</v>
      </c>
    </row>
    <row r="16" spans="1:13" ht="15">
      <c r="A16" s="52">
        <v>14</v>
      </c>
      <c r="B16" s="53" t="s">
        <v>1038</v>
      </c>
      <c r="C16" s="126" t="s">
        <v>41</v>
      </c>
      <c r="D16" s="55">
        <v>1</v>
      </c>
      <c r="E16" s="52" t="s">
        <v>2385</v>
      </c>
      <c r="F16" s="126" t="s">
        <v>18</v>
      </c>
      <c r="G16" s="126" t="s">
        <v>1667</v>
      </c>
      <c r="H16" s="131">
        <v>1</v>
      </c>
      <c r="I16" s="49" t="s">
        <v>2386</v>
      </c>
      <c r="J16" s="52">
        <v>2</v>
      </c>
      <c r="K16" s="49"/>
      <c r="L16" s="49" t="s">
        <v>4402</v>
      </c>
      <c r="M16" s="58"/>
    </row>
    <row r="17" spans="1:13" ht="15">
      <c r="A17" s="52">
        <v>15</v>
      </c>
      <c r="B17" s="53" t="s">
        <v>1059</v>
      </c>
      <c r="C17" s="126" t="s">
        <v>1031</v>
      </c>
      <c r="D17" s="55">
        <v>1</v>
      </c>
      <c r="E17" s="52" t="s">
        <v>2385</v>
      </c>
      <c r="F17" s="126" t="s">
        <v>18</v>
      </c>
      <c r="G17" s="126" t="s">
        <v>1667</v>
      </c>
      <c r="H17" s="131">
        <v>1</v>
      </c>
      <c r="I17" s="49" t="s">
        <v>2386</v>
      </c>
      <c r="J17" s="52">
        <v>3</v>
      </c>
      <c r="K17" s="49"/>
      <c r="L17" s="49" t="s">
        <v>4403</v>
      </c>
      <c r="M17" s="58"/>
    </row>
    <row r="18" spans="1:13" ht="15">
      <c r="A18" s="52">
        <v>16</v>
      </c>
      <c r="B18" s="53" t="s">
        <v>1060</v>
      </c>
      <c r="C18" s="126" t="s">
        <v>181</v>
      </c>
      <c r="D18" s="55">
        <v>1</v>
      </c>
      <c r="E18" s="52" t="s">
        <v>2385</v>
      </c>
      <c r="F18" s="126" t="s">
        <v>18</v>
      </c>
      <c r="G18" s="126" t="s">
        <v>1667</v>
      </c>
      <c r="H18" s="131">
        <v>1</v>
      </c>
      <c r="I18" s="49" t="s">
        <v>2386</v>
      </c>
      <c r="J18" s="52">
        <v>4</v>
      </c>
      <c r="K18" s="49"/>
      <c r="L18" s="49" t="s">
        <v>4404</v>
      </c>
      <c r="M18" s="58">
        <v>45533</v>
      </c>
    </row>
    <row r="19" spans="1:13" ht="15">
      <c r="A19" s="52">
        <v>17</v>
      </c>
      <c r="B19" s="67" t="s">
        <v>1080</v>
      </c>
      <c r="C19" s="126" t="s">
        <v>41</v>
      </c>
      <c r="D19" s="55">
        <v>1</v>
      </c>
      <c r="E19" s="52" t="s">
        <v>2385</v>
      </c>
      <c r="F19" s="126" t="s">
        <v>18</v>
      </c>
      <c r="G19" s="126" t="s">
        <v>1667</v>
      </c>
      <c r="H19" s="131">
        <v>1</v>
      </c>
      <c r="I19" s="49" t="s">
        <v>2386</v>
      </c>
      <c r="J19" s="52">
        <v>2</v>
      </c>
      <c r="K19" s="49"/>
      <c r="L19" s="49" t="s">
        <v>4405</v>
      </c>
      <c r="M19" s="58"/>
    </row>
    <row r="20" spans="1:13" ht="15">
      <c r="A20" s="52">
        <v>18</v>
      </c>
      <c r="B20" s="53" t="s">
        <v>1083</v>
      </c>
      <c r="C20" s="126" t="s">
        <v>41</v>
      </c>
      <c r="D20" s="55">
        <v>1</v>
      </c>
      <c r="E20" s="52" t="s">
        <v>2385</v>
      </c>
      <c r="F20" s="126" t="s">
        <v>18</v>
      </c>
      <c r="G20" s="126" t="s">
        <v>1667</v>
      </c>
      <c r="H20" s="131">
        <v>1</v>
      </c>
      <c r="I20" s="49" t="s">
        <v>2386</v>
      </c>
      <c r="J20" s="52">
        <v>2</v>
      </c>
      <c r="K20" s="49"/>
      <c r="L20" s="49" t="s">
        <v>4406</v>
      </c>
      <c r="M20" s="58"/>
    </row>
    <row r="21" spans="1:13" ht="15">
      <c r="A21" s="52">
        <v>19</v>
      </c>
      <c r="B21" s="53" t="s">
        <v>1084</v>
      </c>
      <c r="C21" s="126" t="s">
        <v>41</v>
      </c>
      <c r="D21" s="55">
        <v>1</v>
      </c>
      <c r="E21" s="52" t="s">
        <v>2385</v>
      </c>
      <c r="F21" s="126" t="s">
        <v>18</v>
      </c>
      <c r="G21" s="126" t="s">
        <v>1667</v>
      </c>
      <c r="H21" s="131">
        <v>1</v>
      </c>
      <c r="I21" s="49" t="s">
        <v>2386</v>
      </c>
      <c r="J21" s="52">
        <v>2</v>
      </c>
      <c r="K21" s="49"/>
      <c r="L21" s="49" t="s">
        <v>4407</v>
      </c>
      <c r="M21" s="58"/>
    </row>
    <row r="22" spans="1:13" ht="15">
      <c r="A22" s="52">
        <v>20</v>
      </c>
      <c r="B22" s="53" t="s">
        <v>1100</v>
      </c>
      <c r="C22" s="126" t="s">
        <v>1101</v>
      </c>
      <c r="D22" s="55">
        <v>1</v>
      </c>
      <c r="E22" s="52" t="s">
        <v>2385</v>
      </c>
      <c r="F22" s="126" t="s">
        <v>18</v>
      </c>
      <c r="G22" s="126" t="s">
        <v>1667</v>
      </c>
      <c r="H22" s="131">
        <v>1</v>
      </c>
      <c r="I22" s="49" t="s">
        <v>2386</v>
      </c>
      <c r="J22" s="57">
        <v>2</v>
      </c>
      <c r="K22" s="61"/>
      <c r="L22" s="61" t="s">
        <v>4408</v>
      </c>
      <c r="M22" s="58"/>
    </row>
    <row r="23" spans="1:13" ht="15">
      <c r="A23" s="52">
        <v>21</v>
      </c>
      <c r="B23" s="53" t="s">
        <v>1109</v>
      </c>
      <c r="C23" s="126" t="s">
        <v>179</v>
      </c>
      <c r="D23" s="55">
        <v>1</v>
      </c>
      <c r="E23" s="52" t="s">
        <v>2385</v>
      </c>
      <c r="F23" s="126" t="s">
        <v>18</v>
      </c>
      <c r="G23" s="126" t="s">
        <v>1667</v>
      </c>
      <c r="H23" s="131">
        <v>1</v>
      </c>
      <c r="I23" s="49" t="s">
        <v>2386</v>
      </c>
      <c r="J23" s="52">
        <v>1</v>
      </c>
      <c r="K23" s="49"/>
      <c r="L23" s="49" t="s">
        <v>4409</v>
      </c>
      <c r="M23" s="58"/>
    </row>
    <row r="24" spans="1:13" ht="15">
      <c r="A24" s="52">
        <v>22</v>
      </c>
      <c r="B24" s="53" t="s">
        <v>1110</v>
      </c>
      <c r="C24" s="126" t="s">
        <v>179</v>
      </c>
      <c r="D24" s="55">
        <v>1</v>
      </c>
      <c r="E24" s="52" t="s">
        <v>2385</v>
      </c>
      <c r="F24" s="126" t="s">
        <v>18</v>
      </c>
      <c r="G24" s="126" t="s">
        <v>1667</v>
      </c>
      <c r="H24" s="131">
        <v>1</v>
      </c>
      <c r="I24" s="49" t="s">
        <v>2386</v>
      </c>
      <c r="J24" s="52">
        <v>1</v>
      </c>
      <c r="K24" s="49"/>
      <c r="L24" s="49" t="s">
        <v>4410</v>
      </c>
      <c r="M24" s="58"/>
    </row>
    <row r="25" spans="1:13" ht="15">
      <c r="A25" s="52">
        <v>23</v>
      </c>
      <c r="B25" s="53" t="s">
        <v>1127</v>
      </c>
      <c r="C25" s="126" t="s">
        <v>41</v>
      </c>
      <c r="D25" s="55">
        <v>1</v>
      </c>
      <c r="E25" s="52" t="s">
        <v>2385</v>
      </c>
      <c r="F25" s="126" t="s">
        <v>18</v>
      </c>
      <c r="G25" s="126" t="s">
        <v>1667</v>
      </c>
      <c r="H25" s="131">
        <v>1</v>
      </c>
      <c r="I25" s="49" t="s">
        <v>2386</v>
      </c>
      <c r="J25" s="52"/>
      <c r="K25" s="49"/>
      <c r="L25" s="49" t="s">
        <v>4411</v>
      </c>
      <c r="M25" s="58"/>
    </row>
    <row r="26" spans="1:13" ht="15">
      <c r="A26" s="52">
        <v>24</v>
      </c>
      <c r="B26" s="53" t="s">
        <v>1132</v>
      </c>
      <c r="C26" s="126" t="s">
        <v>179</v>
      </c>
      <c r="D26" s="55">
        <v>1</v>
      </c>
      <c r="E26" s="52" t="s">
        <v>2385</v>
      </c>
      <c r="F26" s="126" t="s">
        <v>18</v>
      </c>
      <c r="G26" s="126" t="s">
        <v>1667</v>
      </c>
      <c r="H26" s="131">
        <v>1</v>
      </c>
      <c r="I26" s="49" t="s">
        <v>2386</v>
      </c>
      <c r="J26" s="52">
        <v>1</v>
      </c>
      <c r="K26" s="49"/>
      <c r="L26" s="49" t="s">
        <v>4412</v>
      </c>
      <c r="M26" s="58"/>
    </row>
    <row r="27" spans="1:13" ht="15">
      <c r="A27" s="52">
        <v>25</v>
      </c>
      <c r="B27" s="53" t="s">
        <v>1161</v>
      </c>
      <c r="C27" s="126" t="s">
        <v>1162</v>
      </c>
      <c r="D27" s="55">
        <v>1</v>
      </c>
      <c r="E27" s="52" t="s">
        <v>2385</v>
      </c>
      <c r="F27" s="126" t="s">
        <v>18</v>
      </c>
      <c r="G27" s="126" t="s">
        <v>1667</v>
      </c>
      <c r="H27" s="131">
        <v>1</v>
      </c>
      <c r="I27" s="49" t="s">
        <v>2386</v>
      </c>
      <c r="J27" s="52">
        <v>2</v>
      </c>
      <c r="K27" s="49"/>
      <c r="L27" s="49" t="s">
        <v>4413</v>
      </c>
      <c r="M27" s="58"/>
    </row>
    <row r="28" spans="1:13" ht="15">
      <c r="A28" s="52">
        <v>26</v>
      </c>
      <c r="B28" s="53" t="s">
        <v>1917</v>
      </c>
      <c r="C28" s="126" t="s">
        <v>1918</v>
      </c>
      <c r="D28" s="55">
        <v>1</v>
      </c>
      <c r="E28" s="52" t="s">
        <v>2417</v>
      </c>
      <c r="F28" s="126" t="s">
        <v>18</v>
      </c>
      <c r="G28" s="126" t="s">
        <v>1667</v>
      </c>
      <c r="H28" s="131">
        <v>1</v>
      </c>
      <c r="I28" s="49" t="s">
        <v>2418</v>
      </c>
      <c r="J28" s="57"/>
      <c r="K28" s="61"/>
      <c r="L28" s="61" t="s">
        <v>4414</v>
      </c>
      <c r="M28" s="58"/>
    </row>
    <row r="29" spans="1:13" ht="15">
      <c r="A29" s="52">
        <v>27</v>
      </c>
      <c r="B29" s="53" t="s">
        <v>1030</v>
      </c>
      <c r="C29" s="126" t="s">
        <v>1032</v>
      </c>
      <c r="D29" s="55">
        <v>1</v>
      </c>
      <c r="E29" s="52" t="s">
        <v>2417</v>
      </c>
      <c r="F29" s="126" t="s">
        <v>18</v>
      </c>
      <c r="G29" s="126" t="s">
        <v>1667</v>
      </c>
      <c r="H29" s="131">
        <v>1</v>
      </c>
      <c r="I29" s="49" t="s">
        <v>2418</v>
      </c>
      <c r="J29" s="52"/>
      <c r="K29" s="49"/>
      <c r="L29" s="49" t="s">
        <v>4415</v>
      </c>
      <c r="M29" s="58"/>
    </row>
    <row r="30" spans="1:13" ht="15">
      <c r="A30" s="52">
        <v>28</v>
      </c>
      <c r="B30" s="53" t="s">
        <v>1034</v>
      </c>
      <c r="C30" s="126" t="s">
        <v>1035</v>
      </c>
      <c r="D30" s="55">
        <v>1</v>
      </c>
      <c r="E30" s="52" t="s">
        <v>2417</v>
      </c>
      <c r="F30" s="126" t="s">
        <v>18</v>
      </c>
      <c r="G30" s="126" t="s">
        <v>1667</v>
      </c>
      <c r="H30" s="131">
        <v>1</v>
      </c>
      <c r="I30" s="49" t="s">
        <v>2418</v>
      </c>
      <c r="J30" s="52"/>
      <c r="K30" s="49"/>
      <c r="L30" s="49" t="s">
        <v>4416</v>
      </c>
      <c r="M30" s="58"/>
    </row>
    <row r="31" spans="1:13" ht="15">
      <c r="A31" s="52">
        <v>29</v>
      </c>
      <c r="B31" s="53" t="s">
        <v>1036</v>
      </c>
      <c r="C31" s="126" t="s">
        <v>1035</v>
      </c>
      <c r="D31" s="55">
        <v>1</v>
      </c>
      <c r="E31" s="52" t="s">
        <v>2417</v>
      </c>
      <c r="F31" s="126" t="s">
        <v>18</v>
      </c>
      <c r="G31" s="126" t="s">
        <v>1667</v>
      </c>
      <c r="H31" s="131">
        <v>1</v>
      </c>
      <c r="I31" s="49" t="s">
        <v>2418</v>
      </c>
      <c r="J31" s="52"/>
      <c r="K31" s="49"/>
      <c r="L31" s="49" t="s">
        <v>4417</v>
      </c>
      <c r="M31" s="58"/>
    </row>
    <row r="32" spans="1:13" ht="15">
      <c r="A32" s="52">
        <v>30</v>
      </c>
      <c r="B32" s="53" t="s">
        <v>1086</v>
      </c>
      <c r="C32" s="126" t="s">
        <v>1087</v>
      </c>
      <c r="D32" s="55">
        <v>1</v>
      </c>
      <c r="E32" s="52" t="s">
        <v>2417</v>
      </c>
      <c r="F32" s="126" t="s">
        <v>18</v>
      </c>
      <c r="G32" s="126" t="s">
        <v>1667</v>
      </c>
      <c r="H32" s="131">
        <v>1</v>
      </c>
      <c r="I32" s="49" t="s">
        <v>2418</v>
      </c>
      <c r="J32" s="52"/>
      <c r="K32" s="49"/>
      <c r="L32" s="49" t="s">
        <v>4418</v>
      </c>
      <c r="M32" s="58"/>
    </row>
    <row r="33" spans="1:13" ht="15">
      <c r="A33" s="52">
        <v>31</v>
      </c>
      <c r="B33" s="59" t="s">
        <v>2049</v>
      </c>
      <c r="C33" s="126" t="s">
        <v>2050</v>
      </c>
      <c r="D33" s="55">
        <v>1</v>
      </c>
      <c r="E33" s="52" t="s">
        <v>2417</v>
      </c>
      <c r="F33" s="126" t="s">
        <v>18</v>
      </c>
      <c r="G33" s="126" t="s">
        <v>1667</v>
      </c>
      <c r="H33" s="131">
        <v>1</v>
      </c>
      <c r="I33" s="49" t="s">
        <v>2418</v>
      </c>
      <c r="J33" s="52"/>
      <c r="K33" s="49"/>
      <c r="L33" s="49" t="s">
        <v>4419</v>
      </c>
      <c r="M33" s="58"/>
    </row>
    <row r="34" spans="1:13" ht="15">
      <c r="A34" s="52">
        <v>32</v>
      </c>
      <c r="B34" s="53" t="s">
        <v>1114</v>
      </c>
      <c r="C34" s="126" t="s">
        <v>1116</v>
      </c>
      <c r="D34" s="55">
        <v>1</v>
      </c>
      <c r="E34" s="52" t="s">
        <v>2417</v>
      </c>
      <c r="F34" s="126" t="s">
        <v>18</v>
      </c>
      <c r="G34" s="126" t="s">
        <v>1667</v>
      </c>
      <c r="H34" s="131">
        <v>1</v>
      </c>
      <c r="I34" s="49" t="s">
        <v>2418</v>
      </c>
      <c r="J34" s="52"/>
      <c r="K34" s="49"/>
      <c r="L34" s="49" t="s">
        <v>4420</v>
      </c>
      <c r="M34" s="58"/>
    </row>
    <row r="35" spans="1:13" ht="15">
      <c r="A35" s="52">
        <v>33</v>
      </c>
      <c r="B35" s="53" t="s">
        <v>2054</v>
      </c>
      <c r="C35" s="126" t="s">
        <v>2056</v>
      </c>
      <c r="D35" s="55">
        <v>1</v>
      </c>
      <c r="E35" s="52" t="s">
        <v>2417</v>
      </c>
      <c r="F35" s="126" t="s">
        <v>18</v>
      </c>
      <c r="G35" s="126" t="s">
        <v>1667</v>
      </c>
      <c r="H35" s="131">
        <v>1</v>
      </c>
      <c r="I35" s="49" t="s">
        <v>2418</v>
      </c>
      <c r="J35" s="57"/>
      <c r="K35" s="61"/>
      <c r="L35" s="61" t="s">
        <v>4421</v>
      </c>
      <c r="M35" s="58"/>
    </row>
    <row r="36" spans="1:13" ht="15">
      <c r="A36" s="52">
        <v>34</v>
      </c>
      <c r="B36" s="53" t="s">
        <v>887</v>
      </c>
      <c r="C36" s="126" t="s">
        <v>888</v>
      </c>
      <c r="D36" s="55">
        <v>1</v>
      </c>
      <c r="E36" s="56" t="s">
        <v>2394</v>
      </c>
      <c r="F36" s="126" t="s">
        <v>18</v>
      </c>
      <c r="G36" s="126" t="s">
        <v>1667</v>
      </c>
      <c r="H36" s="131">
        <v>1</v>
      </c>
      <c r="I36" s="49" t="s">
        <v>2425</v>
      </c>
      <c r="J36" s="52">
        <v>2</v>
      </c>
      <c r="K36" s="49"/>
      <c r="L36" s="49" t="s">
        <v>4422</v>
      </c>
      <c r="M36" s="58"/>
    </row>
    <row r="37" spans="1:13" ht="15">
      <c r="A37" s="52">
        <v>35</v>
      </c>
      <c r="B37" s="60" t="s">
        <v>1009</v>
      </c>
      <c r="C37" s="126" t="s">
        <v>789</v>
      </c>
      <c r="D37" s="52">
        <v>2</v>
      </c>
      <c r="E37" s="52" t="s">
        <v>2394</v>
      </c>
      <c r="F37" s="126" t="s">
        <v>18</v>
      </c>
      <c r="G37" s="126" t="s">
        <v>1667</v>
      </c>
      <c r="H37" s="131">
        <v>2</v>
      </c>
      <c r="I37" s="49" t="s">
        <v>2425</v>
      </c>
      <c r="J37" s="52">
        <v>4</v>
      </c>
      <c r="K37" s="49"/>
      <c r="L37" s="49" t="s">
        <v>4423</v>
      </c>
      <c r="M37" s="58"/>
    </row>
    <row r="38" spans="1:13" ht="15">
      <c r="A38" s="52">
        <v>36</v>
      </c>
      <c r="B38" s="53" t="s">
        <v>1252</v>
      </c>
      <c r="C38" s="126" t="s">
        <v>506</v>
      </c>
      <c r="D38" s="55">
        <v>2</v>
      </c>
      <c r="E38" s="56" t="s">
        <v>2394</v>
      </c>
      <c r="F38" s="126" t="s">
        <v>18</v>
      </c>
      <c r="G38" s="126" t="s">
        <v>1667</v>
      </c>
      <c r="H38" s="131">
        <v>2</v>
      </c>
      <c r="I38" s="49" t="s">
        <v>2425</v>
      </c>
      <c r="J38" s="52">
        <v>2</v>
      </c>
      <c r="K38" s="49"/>
      <c r="L38" s="49" t="s">
        <v>4424</v>
      </c>
      <c r="M38" s="58"/>
    </row>
    <row r="39" spans="1:13" ht="15">
      <c r="A39" s="52">
        <v>37</v>
      </c>
      <c r="B39" s="53" t="s">
        <v>1266</v>
      </c>
      <c r="C39" s="126" t="s">
        <v>1267</v>
      </c>
      <c r="D39" s="55">
        <v>1</v>
      </c>
      <c r="E39" s="52" t="s">
        <v>2394</v>
      </c>
      <c r="F39" s="126" t="s">
        <v>18</v>
      </c>
      <c r="G39" s="126" t="s">
        <v>1667</v>
      </c>
      <c r="H39" s="131">
        <v>1</v>
      </c>
      <c r="I39" s="49" t="s">
        <v>2425</v>
      </c>
      <c r="J39" s="57">
        <v>2</v>
      </c>
      <c r="K39" s="49"/>
      <c r="L39" s="49" t="s">
        <v>4425</v>
      </c>
      <c r="M39" s="58"/>
    </row>
    <row r="40" spans="1:13" ht="15">
      <c r="A40" s="52">
        <v>38</v>
      </c>
      <c r="B40" s="53" t="s">
        <v>1268</v>
      </c>
      <c r="C40" s="126" t="s">
        <v>1267</v>
      </c>
      <c r="D40" s="55">
        <v>1</v>
      </c>
      <c r="E40" s="52" t="s">
        <v>2394</v>
      </c>
      <c r="F40" s="126" t="s">
        <v>18</v>
      </c>
      <c r="G40" s="126" t="s">
        <v>1667</v>
      </c>
      <c r="H40" s="131">
        <v>1</v>
      </c>
      <c r="I40" s="49" t="s">
        <v>2425</v>
      </c>
      <c r="J40" s="52">
        <v>2</v>
      </c>
      <c r="K40" s="49"/>
      <c r="L40" s="49" t="s">
        <v>4426</v>
      </c>
      <c r="M40" s="58"/>
    </row>
    <row r="41" spans="1:13" ht="15">
      <c r="A41" s="52">
        <v>39</v>
      </c>
      <c r="B41" s="53" t="s">
        <v>1067</v>
      </c>
      <c r="C41" s="126" t="s">
        <v>1069</v>
      </c>
      <c r="D41" s="55">
        <v>1</v>
      </c>
      <c r="E41" s="52" t="s">
        <v>2427</v>
      </c>
      <c r="F41" s="126" t="s">
        <v>18</v>
      </c>
      <c r="G41" s="126" t="s">
        <v>1667</v>
      </c>
      <c r="H41" s="131">
        <v>1</v>
      </c>
      <c r="I41" s="49" t="s">
        <v>2428</v>
      </c>
      <c r="J41" s="52"/>
      <c r="K41" s="49"/>
      <c r="L41" s="49" t="s">
        <v>4427</v>
      </c>
      <c r="M41" s="58"/>
    </row>
    <row r="42" spans="1:13" ht="15">
      <c r="A42" s="52">
        <v>40</v>
      </c>
      <c r="B42" s="53" t="s">
        <v>1075</v>
      </c>
      <c r="C42" s="126" t="s">
        <v>1076</v>
      </c>
      <c r="D42" s="55">
        <v>1</v>
      </c>
      <c r="E42" s="52" t="s">
        <v>2427</v>
      </c>
      <c r="F42" s="126" t="s">
        <v>18</v>
      </c>
      <c r="G42" s="126" t="s">
        <v>1667</v>
      </c>
      <c r="H42" s="131">
        <v>1</v>
      </c>
      <c r="I42" s="49" t="s">
        <v>2428</v>
      </c>
      <c r="J42" s="52"/>
      <c r="K42" s="49"/>
      <c r="L42" s="49" t="s">
        <v>4428</v>
      </c>
      <c r="M42" s="58"/>
    </row>
    <row r="43" spans="1:13" ht="15">
      <c r="A43" s="52">
        <v>41</v>
      </c>
      <c r="B43" s="60" t="s">
        <v>741</v>
      </c>
      <c r="C43" s="126" t="s">
        <v>41</v>
      </c>
      <c r="D43" s="52">
        <v>1</v>
      </c>
      <c r="E43" s="52" t="s">
        <v>2427</v>
      </c>
      <c r="F43" s="126" t="s">
        <v>18</v>
      </c>
      <c r="G43" s="126" t="s">
        <v>1667</v>
      </c>
      <c r="H43" s="131">
        <v>1</v>
      </c>
      <c r="I43" s="49" t="s">
        <v>2428</v>
      </c>
      <c r="J43" s="52">
        <v>2</v>
      </c>
      <c r="K43" s="49"/>
      <c r="L43" s="49" t="s">
        <v>4429</v>
      </c>
      <c r="M43" s="58"/>
    </row>
    <row r="44" spans="1:13" ht="15">
      <c r="A44" s="52">
        <v>42</v>
      </c>
      <c r="B44" s="60" t="s">
        <v>1017</v>
      </c>
      <c r="C44" s="126" t="s">
        <v>1019</v>
      </c>
      <c r="D44" s="52">
        <v>2</v>
      </c>
      <c r="E44" s="52" t="s">
        <v>2437</v>
      </c>
      <c r="F44" s="126" t="s">
        <v>18</v>
      </c>
      <c r="G44" s="126" t="s">
        <v>1667</v>
      </c>
      <c r="H44" s="131">
        <v>2</v>
      </c>
      <c r="I44" s="49" t="s">
        <v>2438</v>
      </c>
      <c r="J44" s="52">
        <v>2</v>
      </c>
      <c r="K44" s="49"/>
      <c r="L44" s="49" t="s">
        <v>4430</v>
      </c>
      <c r="M44" s="58"/>
    </row>
    <row r="45" spans="1:13" ht="15">
      <c r="A45" s="52">
        <v>43</v>
      </c>
      <c r="B45" s="53" t="s">
        <v>1082</v>
      </c>
      <c r="C45" s="126" t="s">
        <v>41</v>
      </c>
      <c r="D45" s="55">
        <v>1</v>
      </c>
      <c r="E45" s="52" t="s">
        <v>2437</v>
      </c>
      <c r="F45" s="126" t="s">
        <v>18</v>
      </c>
      <c r="G45" s="126" t="s">
        <v>1667</v>
      </c>
      <c r="H45" s="131">
        <v>1</v>
      </c>
      <c r="I45" s="49" t="s">
        <v>2438</v>
      </c>
      <c r="J45" s="52">
        <v>1</v>
      </c>
      <c r="K45" s="49"/>
      <c r="L45" s="49" t="s">
        <v>4431</v>
      </c>
      <c r="M45" s="58"/>
    </row>
    <row r="46" spans="1:13" ht="15">
      <c r="A46" s="52">
        <v>44</v>
      </c>
      <c r="B46" s="53" t="s">
        <v>1085</v>
      </c>
      <c r="C46" s="126" t="s">
        <v>41</v>
      </c>
      <c r="D46" s="55">
        <v>1</v>
      </c>
      <c r="E46" s="52" t="s">
        <v>2437</v>
      </c>
      <c r="F46" s="126" t="s">
        <v>18</v>
      </c>
      <c r="G46" s="126" t="s">
        <v>1667</v>
      </c>
      <c r="H46" s="131">
        <v>2</v>
      </c>
      <c r="I46" s="49" t="s">
        <v>2438</v>
      </c>
      <c r="J46" s="52">
        <v>2</v>
      </c>
      <c r="K46" s="49"/>
      <c r="L46" s="49" t="s">
        <v>4432</v>
      </c>
      <c r="M46" s="58"/>
    </row>
    <row r="47" spans="1:13" ht="15">
      <c r="A47" s="52">
        <v>45</v>
      </c>
      <c r="B47" s="60" t="s">
        <v>530</v>
      </c>
      <c r="C47" s="126" t="s">
        <v>532</v>
      </c>
      <c r="D47" s="52">
        <v>1</v>
      </c>
      <c r="E47" s="52" t="s">
        <v>2437</v>
      </c>
      <c r="F47" s="126" t="s">
        <v>18</v>
      </c>
      <c r="G47" s="126" t="s">
        <v>1667</v>
      </c>
      <c r="H47" s="131">
        <v>1</v>
      </c>
      <c r="I47" s="49" t="s">
        <v>2438</v>
      </c>
      <c r="J47" s="52">
        <v>3</v>
      </c>
      <c r="K47" s="49"/>
      <c r="L47" s="49" t="s">
        <v>4433</v>
      </c>
      <c r="M47" s="58"/>
    </row>
    <row r="48" spans="1:13" ht="15">
      <c r="A48" s="52">
        <v>46</v>
      </c>
      <c r="B48" s="59" t="s">
        <v>843</v>
      </c>
      <c r="C48" s="126" t="s">
        <v>845</v>
      </c>
      <c r="D48" s="55">
        <v>1</v>
      </c>
      <c r="E48" s="52" t="s">
        <v>2443</v>
      </c>
      <c r="F48" s="126" t="s">
        <v>18</v>
      </c>
      <c r="G48" s="126" t="s">
        <v>1667</v>
      </c>
      <c r="H48" s="131">
        <v>1</v>
      </c>
      <c r="I48" s="49" t="s">
        <v>2444</v>
      </c>
      <c r="J48" s="52">
        <v>3</v>
      </c>
      <c r="K48" s="49"/>
      <c r="L48" s="49" t="s">
        <v>4434</v>
      </c>
      <c r="M48" s="58"/>
    </row>
    <row r="49" spans="1:13" ht="15">
      <c r="A49" s="52">
        <v>47</v>
      </c>
      <c r="B49" s="53" t="s">
        <v>846</v>
      </c>
      <c r="C49" s="126" t="s">
        <v>845</v>
      </c>
      <c r="D49" s="55">
        <v>1</v>
      </c>
      <c r="E49" s="52" t="s">
        <v>2443</v>
      </c>
      <c r="F49" s="126" t="s">
        <v>18</v>
      </c>
      <c r="G49" s="126" t="s">
        <v>1667</v>
      </c>
      <c r="H49" s="131">
        <v>1</v>
      </c>
      <c r="I49" s="49" t="s">
        <v>2444</v>
      </c>
      <c r="J49" s="52">
        <v>3</v>
      </c>
      <c r="K49" s="49"/>
      <c r="L49" s="49" t="s">
        <v>4435</v>
      </c>
      <c r="M49" s="58"/>
    </row>
    <row r="50" spans="1:13" ht="15">
      <c r="A50" s="52">
        <v>48</v>
      </c>
      <c r="B50" s="53" t="s">
        <v>1247</v>
      </c>
      <c r="C50" s="126" t="s">
        <v>1248</v>
      </c>
      <c r="D50" s="55">
        <v>2</v>
      </c>
      <c r="E50" s="52" t="s">
        <v>2388</v>
      </c>
      <c r="F50" s="126" t="s">
        <v>18</v>
      </c>
      <c r="G50" s="126" t="s">
        <v>1667</v>
      </c>
      <c r="H50" s="131">
        <v>2</v>
      </c>
      <c r="I50" s="49" t="s">
        <v>2492</v>
      </c>
      <c r="J50" s="52"/>
      <c r="K50" s="49"/>
      <c r="L50" s="49" t="s">
        <v>4436</v>
      </c>
      <c r="M50" s="58"/>
    </row>
    <row r="51" spans="1:13" ht="15">
      <c r="A51" s="52">
        <v>49</v>
      </c>
      <c r="B51" s="53" t="s">
        <v>836</v>
      </c>
      <c r="C51" s="126" t="s">
        <v>837</v>
      </c>
      <c r="D51" s="55">
        <v>1</v>
      </c>
      <c r="E51" s="52" t="s">
        <v>2391</v>
      </c>
      <c r="F51" s="126" t="s">
        <v>18</v>
      </c>
      <c r="G51" s="126" t="s">
        <v>1667</v>
      </c>
      <c r="H51" s="131">
        <v>1</v>
      </c>
      <c r="I51" s="49" t="s">
        <v>4437</v>
      </c>
      <c r="J51" s="52">
        <v>2</v>
      </c>
      <c r="K51" s="49"/>
      <c r="L51" s="49" t="s">
        <v>4438</v>
      </c>
      <c r="M51" s="58"/>
    </row>
    <row r="52" spans="1:13" ht="15">
      <c r="A52" s="52">
        <v>50</v>
      </c>
      <c r="B52" s="59" t="s">
        <v>838</v>
      </c>
      <c r="C52" s="126" t="s">
        <v>839</v>
      </c>
      <c r="D52" s="55">
        <v>1</v>
      </c>
      <c r="E52" s="52" t="s">
        <v>2391</v>
      </c>
      <c r="F52" s="126" t="s">
        <v>18</v>
      </c>
      <c r="G52" s="126" t="s">
        <v>1667</v>
      </c>
      <c r="H52" s="131">
        <v>1</v>
      </c>
      <c r="I52" s="49" t="s">
        <v>4437</v>
      </c>
      <c r="J52" s="52">
        <v>2</v>
      </c>
      <c r="K52" s="49"/>
      <c r="L52" s="49" t="s">
        <v>4439</v>
      </c>
      <c r="M52" s="58"/>
    </row>
    <row r="53" spans="1:13" ht="15">
      <c r="A53" s="52">
        <v>51</v>
      </c>
      <c r="B53" s="53" t="s">
        <v>1307</v>
      </c>
      <c r="C53" s="126" t="s">
        <v>403</v>
      </c>
      <c r="D53" s="55">
        <v>1</v>
      </c>
      <c r="E53" s="52" t="s">
        <v>2391</v>
      </c>
      <c r="F53" s="126" t="s">
        <v>18</v>
      </c>
      <c r="G53" s="126" t="s">
        <v>1667</v>
      </c>
      <c r="H53" s="131">
        <v>1</v>
      </c>
      <c r="I53" s="49" t="s">
        <v>4440</v>
      </c>
      <c r="J53" s="52">
        <v>2</v>
      </c>
      <c r="K53" s="49" t="s">
        <v>3365</v>
      </c>
      <c r="L53" s="49" t="s">
        <v>4441</v>
      </c>
      <c r="M53" s="58"/>
    </row>
    <row r="54" spans="1:13" ht="15">
      <c r="A54" s="52">
        <v>52</v>
      </c>
      <c r="B54" s="60" t="s">
        <v>988</v>
      </c>
      <c r="C54" s="126" t="s">
        <v>989</v>
      </c>
      <c r="D54" s="113">
        <v>1</v>
      </c>
      <c r="E54" s="52" t="s">
        <v>2391</v>
      </c>
      <c r="F54" s="126" t="s">
        <v>18</v>
      </c>
      <c r="G54" s="126" t="s">
        <v>1667</v>
      </c>
      <c r="H54" s="131">
        <v>1</v>
      </c>
      <c r="I54" s="49" t="s">
        <v>4440</v>
      </c>
      <c r="J54" s="52"/>
      <c r="K54" s="49" t="s">
        <v>3365</v>
      </c>
      <c r="L54" s="49" t="s">
        <v>4442</v>
      </c>
      <c r="M54" s="49"/>
    </row>
    <row r="55" spans="1:13" ht="15">
      <c r="A55" s="52">
        <v>53</v>
      </c>
      <c r="B55" s="59" t="s">
        <v>1070</v>
      </c>
      <c r="C55" s="126" t="s">
        <v>1072</v>
      </c>
      <c r="D55" s="55">
        <v>1</v>
      </c>
      <c r="E55" s="56" t="s">
        <v>2391</v>
      </c>
      <c r="F55" s="126" t="s">
        <v>18</v>
      </c>
      <c r="G55" s="126" t="s">
        <v>1667</v>
      </c>
      <c r="H55" s="131">
        <v>1</v>
      </c>
      <c r="I55" s="49" t="s">
        <v>2447</v>
      </c>
      <c r="J55" s="52"/>
      <c r="K55" s="49"/>
      <c r="L55" s="49" t="s">
        <v>4443</v>
      </c>
      <c r="M55" s="58"/>
    </row>
    <row r="56" spans="1:13" ht="15">
      <c r="A56" s="52">
        <v>54</v>
      </c>
      <c r="B56" s="59" t="s">
        <v>1073</v>
      </c>
      <c r="C56" s="126" t="s">
        <v>1074</v>
      </c>
      <c r="D56" s="55">
        <v>1</v>
      </c>
      <c r="E56" s="52" t="s">
        <v>2391</v>
      </c>
      <c r="F56" s="126" t="s">
        <v>18</v>
      </c>
      <c r="G56" s="126" t="s">
        <v>1667</v>
      </c>
      <c r="H56" s="131">
        <v>1</v>
      </c>
      <c r="I56" s="49" t="s">
        <v>2447</v>
      </c>
      <c r="J56" s="52"/>
      <c r="K56" s="49"/>
      <c r="L56" s="49" t="s">
        <v>4444</v>
      </c>
      <c r="M56" s="58"/>
    </row>
    <row r="57" spans="1:13" ht="15">
      <c r="A57" s="52">
        <v>55</v>
      </c>
      <c r="B57" s="53" t="s">
        <v>1077</v>
      </c>
      <c r="C57" s="126" t="s">
        <v>41</v>
      </c>
      <c r="D57" s="55">
        <v>1</v>
      </c>
      <c r="E57" s="52" t="s">
        <v>2391</v>
      </c>
      <c r="F57" s="126" t="s">
        <v>18</v>
      </c>
      <c r="G57" s="126" t="s">
        <v>1667</v>
      </c>
      <c r="H57" s="131">
        <v>1</v>
      </c>
      <c r="I57" s="49" t="s">
        <v>4440</v>
      </c>
      <c r="J57" s="52">
        <v>3</v>
      </c>
      <c r="K57" s="49" t="s">
        <v>3365</v>
      </c>
      <c r="L57" s="49" t="s">
        <v>4445</v>
      </c>
      <c r="M57" s="58"/>
    </row>
    <row r="58" spans="1:13" ht="15">
      <c r="A58" s="52">
        <v>56</v>
      </c>
      <c r="B58" s="53" t="s">
        <v>1078</v>
      </c>
      <c r="C58" s="126" t="s">
        <v>1079</v>
      </c>
      <c r="D58" s="55">
        <v>1</v>
      </c>
      <c r="E58" s="52" t="s">
        <v>2391</v>
      </c>
      <c r="F58" s="126" t="s">
        <v>18</v>
      </c>
      <c r="G58" s="126" t="s">
        <v>1667</v>
      </c>
      <c r="H58" s="131">
        <v>1</v>
      </c>
      <c r="I58" s="49" t="s">
        <v>4440</v>
      </c>
      <c r="J58" s="52">
        <v>2</v>
      </c>
      <c r="K58" s="49" t="s">
        <v>3365</v>
      </c>
      <c r="L58" s="49" t="s">
        <v>4446</v>
      </c>
      <c r="M58" s="58"/>
    </row>
    <row r="59" spans="1:13" ht="15">
      <c r="A59" s="52">
        <v>57</v>
      </c>
      <c r="B59" s="59" t="s">
        <v>1091</v>
      </c>
      <c r="C59" s="126" t="s">
        <v>913</v>
      </c>
      <c r="D59" s="55">
        <v>1</v>
      </c>
      <c r="E59" s="52" t="s">
        <v>2391</v>
      </c>
      <c r="F59" s="126" t="s">
        <v>18</v>
      </c>
      <c r="G59" s="126" t="s">
        <v>1667</v>
      </c>
      <c r="H59" s="131">
        <v>1</v>
      </c>
      <c r="I59" s="49" t="s">
        <v>2447</v>
      </c>
      <c r="J59" s="52"/>
      <c r="K59" s="49"/>
      <c r="L59" s="49" t="s">
        <v>4447</v>
      </c>
      <c r="M59" s="58"/>
    </row>
    <row r="60" spans="1:13" ht="15">
      <c r="A60" s="52">
        <v>58</v>
      </c>
      <c r="B60" s="53" t="s">
        <v>2129</v>
      </c>
      <c r="C60" s="126" t="s">
        <v>2131</v>
      </c>
      <c r="D60" s="55">
        <v>1</v>
      </c>
      <c r="E60" s="52" t="s">
        <v>2391</v>
      </c>
      <c r="F60" s="126" t="s">
        <v>18</v>
      </c>
      <c r="G60" s="126" t="s">
        <v>1667</v>
      </c>
      <c r="H60" s="131">
        <v>1</v>
      </c>
      <c r="I60" s="49" t="s">
        <v>4440</v>
      </c>
      <c r="J60" s="52"/>
      <c r="K60" s="49" t="s">
        <v>3365</v>
      </c>
      <c r="L60" s="49" t="s">
        <v>4448</v>
      </c>
      <c r="M60" s="58"/>
    </row>
    <row r="61" spans="1:13" ht="15">
      <c r="A61" s="52">
        <v>59</v>
      </c>
      <c r="B61" s="53" t="s">
        <v>2152</v>
      </c>
      <c r="C61" s="126" t="s">
        <v>2151</v>
      </c>
      <c r="D61" s="55">
        <v>1</v>
      </c>
      <c r="E61" s="56" t="s">
        <v>2391</v>
      </c>
      <c r="F61" s="126" t="s">
        <v>18</v>
      </c>
      <c r="G61" s="126" t="s">
        <v>1667</v>
      </c>
      <c r="H61" s="131">
        <v>1</v>
      </c>
      <c r="I61" s="49" t="s">
        <v>4440</v>
      </c>
      <c r="J61" s="52"/>
      <c r="K61" s="49" t="s">
        <v>3365</v>
      </c>
      <c r="L61" s="49" t="s">
        <v>4449</v>
      </c>
      <c r="M61" s="58">
        <v>45533</v>
      </c>
    </row>
    <row r="62" spans="1:13" ht="15">
      <c r="A62" s="52">
        <v>60</v>
      </c>
      <c r="B62" s="59" t="s">
        <v>2153</v>
      </c>
      <c r="C62" s="126" t="s">
        <v>2151</v>
      </c>
      <c r="D62" s="55">
        <v>1</v>
      </c>
      <c r="E62" s="52" t="s">
        <v>2391</v>
      </c>
      <c r="F62" s="126" t="s">
        <v>18</v>
      </c>
      <c r="G62" s="126" t="s">
        <v>1667</v>
      </c>
      <c r="H62" s="131">
        <v>1</v>
      </c>
      <c r="I62" s="49" t="s">
        <v>4440</v>
      </c>
      <c r="J62" s="52"/>
      <c r="K62" s="49" t="s">
        <v>3365</v>
      </c>
      <c r="L62" s="49" t="s">
        <v>4450</v>
      </c>
      <c r="M62" s="58"/>
    </row>
    <row r="63" spans="1:13" ht="15">
      <c r="A63" s="52">
        <v>61</v>
      </c>
      <c r="B63" s="53" t="s">
        <v>2157</v>
      </c>
      <c r="C63" s="126" t="s">
        <v>2151</v>
      </c>
      <c r="D63" s="55">
        <v>1</v>
      </c>
      <c r="E63" s="52" t="s">
        <v>2391</v>
      </c>
      <c r="F63" s="126" t="s">
        <v>18</v>
      </c>
      <c r="G63" s="126" t="s">
        <v>1667</v>
      </c>
      <c r="H63" s="131">
        <v>1</v>
      </c>
      <c r="I63" s="49" t="s">
        <v>4440</v>
      </c>
      <c r="J63" s="52"/>
      <c r="K63" s="49" t="s">
        <v>3365</v>
      </c>
      <c r="L63" s="49" t="s">
        <v>4451</v>
      </c>
      <c r="M63" s="58"/>
    </row>
    <row r="64" spans="1:13" ht="15">
      <c r="A64" s="52">
        <v>62</v>
      </c>
      <c r="B64" s="59" t="s">
        <v>3370</v>
      </c>
      <c r="C64" s="126" t="s">
        <v>984</v>
      </c>
      <c r="D64" s="55">
        <v>1</v>
      </c>
      <c r="E64" s="52" t="s">
        <v>2391</v>
      </c>
      <c r="F64" s="126" t="s">
        <v>18</v>
      </c>
      <c r="G64" s="126" t="s">
        <v>1667</v>
      </c>
      <c r="H64" s="131">
        <v>1</v>
      </c>
      <c r="I64" s="49" t="s">
        <v>4440</v>
      </c>
      <c r="J64" s="52">
        <v>2</v>
      </c>
      <c r="K64" s="49" t="s">
        <v>3365</v>
      </c>
      <c r="L64" s="49" t="s">
        <v>4452</v>
      </c>
      <c r="M64" s="58"/>
    </row>
    <row r="65" spans="1:13" ht="15">
      <c r="A65" s="52">
        <v>63</v>
      </c>
      <c r="B65" s="59" t="s">
        <v>565</v>
      </c>
      <c r="C65" s="126" t="s">
        <v>17</v>
      </c>
      <c r="D65" s="55">
        <v>2</v>
      </c>
      <c r="E65" s="52" t="s">
        <v>2391</v>
      </c>
      <c r="F65" s="126" t="s">
        <v>18</v>
      </c>
      <c r="G65" s="126" t="s">
        <v>1667</v>
      </c>
      <c r="H65" s="131">
        <v>2</v>
      </c>
      <c r="I65" s="49" t="s">
        <v>4440</v>
      </c>
      <c r="J65" s="52">
        <v>2</v>
      </c>
      <c r="K65" s="49" t="s">
        <v>3365</v>
      </c>
      <c r="L65" s="49" t="s">
        <v>4453</v>
      </c>
      <c r="M65" s="58"/>
    </row>
    <row r="66" spans="1:13" ht="15">
      <c r="A66" s="52">
        <v>64</v>
      </c>
      <c r="B66" s="53" t="s">
        <v>783</v>
      </c>
      <c r="C66" s="126" t="s">
        <v>41</v>
      </c>
      <c r="D66" s="55">
        <v>2</v>
      </c>
      <c r="E66" s="52" t="s">
        <v>2385</v>
      </c>
      <c r="F66" s="126" t="s">
        <v>39</v>
      </c>
      <c r="G66" s="126" t="s">
        <v>1667</v>
      </c>
      <c r="H66" s="131">
        <v>2</v>
      </c>
      <c r="I66" s="49" t="s">
        <v>2386</v>
      </c>
      <c r="J66" s="52">
        <v>2</v>
      </c>
      <c r="K66" s="49"/>
      <c r="L66" s="49" t="s">
        <v>4454</v>
      </c>
      <c r="M66" s="58"/>
    </row>
    <row r="67" spans="1:13" ht="15">
      <c r="A67" s="52">
        <v>65</v>
      </c>
      <c r="B67" s="53" t="s">
        <v>822</v>
      </c>
      <c r="C67" s="126" t="s">
        <v>824</v>
      </c>
      <c r="D67" s="55">
        <v>1</v>
      </c>
      <c r="E67" s="52" t="s">
        <v>2385</v>
      </c>
      <c r="F67" s="126" t="s">
        <v>39</v>
      </c>
      <c r="G67" s="126" t="s">
        <v>1667</v>
      </c>
      <c r="H67" s="131">
        <v>1</v>
      </c>
      <c r="I67" s="49" t="s">
        <v>2386</v>
      </c>
      <c r="J67" s="52">
        <v>1</v>
      </c>
      <c r="K67" s="49"/>
      <c r="L67" s="188" t="s">
        <v>4455</v>
      </c>
      <c r="M67" s="58"/>
    </row>
    <row r="68" spans="1:13" ht="15">
      <c r="A68" s="52">
        <v>66</v>
      </c>
      <c r="B68" s="53" t="s">
        <v>911</v>
      </c>
      <c r="C68" s="126" t="s">
        <v>913</v>
      </c>
      <c r="D68" s="55">
        <v>1</v>
      </c>
      <c r="E68" s="52" t="s">
        <v>2385</v>
      </c>
      <c r="F68" s="126" t="s">
        <v>39</v>
      </c>
      <c r="G68" s="126" t="s">
        <v>1667</v>
      </c>
      <c r="H68" s="131">
        <v>1</v>
      </c>
      <c r="I68" s="49" t="s">
        <v>2386</v>
      </c>
      <c r="J68" s="52">
        <v>2</v>
      </c>
      <c r="K68" s="49"/>
      <c r="L68" s="49" t="s">
        <v>4456</v>
      </c>
      <c r="M68" s="58"/>
    </row>
    <row r="69" spans="1:13" ht="15">
      <c r="A69" s="52">
        <v>67</v>
      </c>
      <c r="B69" s="59" t="s">
        <v>914</v>
      </c>
      <c r="C69" s="126" t="s">
        <v>913</v>
      </c>
      <c r="D69" s="55">
        <v>1</v>
      </c>
      <c r="E69" s="52" t="s">
        <v>2385</v>
      </c>
      <c r="F69" s="126" t="s">
        <v>39</v>
      </c>
      <c r="G69" s="126" t="s">
        <v>1667</v>
      </c>
      <c r="H69" s="131">
        <v>1</v>
      </c>
      <c r="I69" s="49" t="s">
        <v>2386</v>
      </c>
      <c r="J69" s="52">
        <v>2</v>
      </c>
      <c r="K69" s="49"/>
      <c r="L69" s="49" t="s">
        <v>4457</v>
      </c>
      <c r="M69" s="58"/>
    </row>
    <row r="70" spans="1:13" ht="15">
      <c r="A70" s="52">
        <v>68</v>
      </c>
      <c r="B70" s="53" t="s">
        <v>967</v>
      </c>
      <c r="C70" s="126" t="s">
        <v>41</v>
      </c>
      <c r="D70" s="55">
        <v>1</v>
      </c>
      <c r="E70" s="52" t="s">
        <v>2385</v>
      </c>
      <c r="F70" s="126" t="s">
        <v>39</v>
      </c>
      <c r="G70" s="126" t="s">
        <v>1667</v>
      </c>
      <c r="H70" s="131">
        <v>1</v>
      </c>
      <c r="I70" s="49" t="s">
        <v>2386</v>
      </c>
      <c r="J70" s="52">
        <v>2</v>
      </c>
      <c r="K70" s="49"/>
      <c r="L70" s="49" t="s">
        <v>4458</v>
      </c>
      <c r="M70" s="58"/>
    </row>
    <row r="71" spans="1:13" ht="15">
      <c r="A71" s="52">
        <v>69</v>
      </c>
      <c r="B71" s="53" t="s">
        <v>1011</v>
      </c>
      <c r="C71" s="126" t="s">
        <v>41</v>
      </c>
      <c r="D71" s="55">
        <v>1</v>
      </c>
      <c r="E71" s="52" t="s">
        <v>2385</v>
      </c>
      <c r="F71" s="126" t="s">
        <v>39</v>
      </c>
      <c r="G71" s="126" t="s">
        <v>1667</v>
      </c>
      <c r="H71" s="131">
        <v>1</v>
      </c>
      <c r="I71" s="49" t="s">
        <v>2386</v>
      </c>
      <c r="J71" s="52">
        <v>3</v>
      </c>
      <c r="K71" s="49"/>
      <c r="L71" s="49" t="s">
        <v>4459</v>
      </c>
      <c r="M71" s="58"/>
    </row>
    <row r="72" spans="1:13" ht="15">
      <c r="A72" s="52">
        <v>70</v>
      </c>
      <c r="B72" s="53" t="s">
        <v>1027</v>
      </c>
      <c r="C72" s="126" t="s">
        <v>1029</v>
      </c>
      <c r="D72" s="55">
        <v>1</v>
      </c>
      <c r="E72" s="52" t="s">
        <v>2385</v>
      </c>
      <c r="F72" s="126" t="s">
        <v>39</v>
      </c>
      <c r="G72" s="126" t="s">
        <v>1667</v>
      </c>
      <c r="H72" s="131">
        <v>1</v>
      </c>
      <c r="I72" s="49" t="s">
        <v>2386</v>
      </c>
      <c r="J72" s="52"/>
      <c r="K72" s="49"/>
      <c r="L72" s="49" t="s">
        <v>4460</v>
      </c>
      <c r="M72" s="58"/>
    </row>
    <row r="73" spans="1:13" ht="15">
      <c r="A73" s="52">
        <v>71</v>
      </c>
      <c r="B73" s="60" t="s">
        <v>1033</v>
      </c>
      <c r="C73" s="126" t="s">
        <v>41</v>
      </c>
      <c r="D73" s="55">
        <v>2</v>
      </c>
      <c r="E73" s="52" t="s">
        <v>2385</v>
      </c>
      <c r="F73" s="126" t="s">
        <v>39</v>
      </c>
      <c r="G73" s="126" t="s">
        <v>1667</v>
      </c>
      <c r="H73" s="131">
        <v>2</v>
      </c>
      <c r="I73" s="49" t="s">
        <v>3384</v>
      </c>
      <c r="J73" s="52"/>
      <c r="K73" s="49"/>
      <c r="L73" s="49" t="s">
        <v>4461</v>
      </c>
      <c r="M73" s="58"/>
    </row>
    <row r="74" spans="1:13" ht="15">
      <c r="A74" s="52">
        <v>72</v>
      </c>
      <c r="B74" s="53" t="s">
        <v>1044</v>
      </c>
      <c r="C74" s="126" t="s">
        <v>41</v>
      </c>
      <c r="D74" s="55">
        <v>1</v>
      </c>
      <c r="E74" s="52" t="s">
        <v>2385</v>
      </c>
      <c r="F74" s="126" t="s">
        <v>39</v>
      </c>
      <c r="G74" s="126" t="s">
        <v>1667</v>
      </c>
      <c r="H74" s="131">
        <v>1</v>
      </c>
      <c r="I74" s="49" t="s">
        <v>2386</v>
      </c>
      <c r="J74" s="52">
        <v>2</v>
      </c>
      <c r="K74" s="49"/>
      <c r="L74" s="49" t="s">
        <v>4462</v>
      </c>
      <c r="M74" s="58"/>
    </row>
    <row r="75" spans="1:13" ht="15">
      <c r="A75" s="52">
        <v>73</v>
      </c>
      <c r="B75" s="53" t="s">
        <v>1313</v>
      </c>
      <c r="C75" s="126" t="s">
        <v>1315</v>
      </c>
      <c r="D75" s="55">
        <v>1</v>
      </c>
      <c r="E75" s="52" t="s">
        <v>2385</v>
      </c>
      <c r="F75" s="126" t="s">
        <v>39</v>
      </c>
      <c r="G75" s="126" t="s">
        <v>1667</v>
      </c>
      <c r="H75" s="131">
        <v>1</v>
      </c>
      <c r="I75" s="49" t="s">
        <v>3382</v>
      </c>
      <c r="J75" s="52"/>
      <c r="K75" s="49"/>
      <c r="L75" s="49" t="s">
        <v>4463</v>
      </c>
      <c r="M75" s="58"/>
    </row>
    <row r="76" spans="1:13" ht="15">
      <c r="A76" s="52">
        <v>74</v>
      </c>
      <c r="B76" s="53" t="s">
        <v>1096</v>
      </c>
      <c r="C76" s="126" t="s">
        <v>1097</v>
      </c>
      <c r="D76" s="55">
        <v>1</v>
      </c>
      <c r="E76" s="52" t="s">
        <v>2385</v>
      </c>
      <c r="F76" s="126" t="s">
        <v>39</v>
      </c>
      <c r="G76" s="126" t="s">
        <v>1667</v>
      </c>
      <c r="H76" s="131">
        <v>1</v>
      </c>
      <c r="I76" s="49" t="s">
        <v>3382</v>
      </c>
      <c r="J76" s="52"/>
      <c r="K76" s="49"/>
      <c r="L76" s="49" t="s">
        <v>4464</v>
      </c>
      <c r="M76" s="58"/>
    </row>
    <row r="77" spans="1:13" ht="15">
      <c r="A77" s="52">
        <v>75</v>
      </c>
      <c r="B77" s="60" t="s">
        <v>1098</v>
      </c>
      <c r="C77" s="126" t="s">
        <v>1099</v>
      </c>
      <c r="D77" s="52">
        <v>1</v>
      </c>
      <c r="E77" s="52" t="s">
        <v>2385</v>
      </c>
      <c r="F77" s="126" t="s">
        <v>39</v>
      </c>
      <c r="G77" s="126" t="s">
        <v>1667</v>
      </c>
      <c r="H77" s="131">
        <v>1</v>
      </c>
      <c r="I77" s="49" t="s">
        <v>3382</v>
      </c>
      <c r="J77" s="52"/>
      <c r="K77" s="49"/>
      <c r="L77" s="49" t="s">
        <v>4465</v>
      </c>
      <c r="M77" s="58"/>
    </row>
    <row r="78" spans="1:13" ht="15">
      <c r="A78" s="52">
        <v>76</v>
      </c>
      <c r="B78" s="53" t="s">
        <v>1131</v>
      </c>
      <c r="C78" s="126" t="s">
        <v>41</v>
      </c>
      <c r="D78" s="55">
        <v>3</v>
      </c>
      <c r="E78" s="52" t="s">
        <v>2385</v>
      </c>
      <c r="F78" s="126" t="s">
        <v>39</v>
      </c>
      <c r="G78" s="126" t="s">
        <v>1667</v>
      </c>
      <c r="H78" s="131">
        <v>3</v>
      </c>
      <c r="I78" s="49" t="s">
        <v>2386</v>
      </c>
      <c r="J78" s="52">
        <v>4</v>
      </c>
      <c r="K78" s="49"/>
      <c r="L78" s="49" t="s">
        <v>4466</v>
      </c>
      <c r="M78" s="58"/>
    </row>
    <row r="79" spans="1:13" ht="15">
      <c r="A79" s="52">
        <v>77</v>
      </c>
      <c r="B79" s="53" t="s">
        <v>2091</v>
      </c>
      <c r="C79" s="126" t="s">
        <v>1896</v>
      </c>
      <c r="D79" s="55">
        <v>1</v>
      </c>
      <c r="E79" s="52" t="s">
        <v>2385</v>
      </c>
      <c r="F79" s="126" t="s">
        <v>39</v>
      </c>
      <c r="G79" s="126" t="s">
        <v>1667</v>
      </c>
      <c r="H79" s="131">
        <v>1</v>
      </c>
      <c r="I79" s="49" t="s">
        <v>2386</v>
      </c>
      <c r="J79" s="52">
        <v>3</v>
      </c>
      <c r="K79" s="49"/>
      <c r="L79" s="49" t="s">
        <v>4467</v>
      </c>
      <c r="M79" s="58"/>
    </row>
    <row r="80" spans="1:13" ht="15">
      <c r="A80" s="52">
        <v>78</v>
      </c>
      <c r="B80" s="53" t="s">
        <v>976</v>
      </c>
      <c r="C80" s="126" t="s">
        <v>162</v>
      </c>
      <c r="D80" s="55">
        <v>2</v>
      </c>
      <c r="E80" s="52" t="s">
        <v>2394</v>
      </c>
      <c r="F80" s="126" t="s">
        <v>39</v>
      </c>
      <c r="G80" s="126" t="s">
        <v>1667</v>
      </c>
      <c r="H80" s="131">
        <v>2</v>
      </c>
      <c r="I80" s="49" t="s">
        <v>2425</v>
      </c>
      <c r="J80" s="52"/>
      <c r="K80" s="49" t="s">
        <v>3365</v>
      </c>
      <c r="L80" s="49" t="s">
        <v>4468</v>
      </c>
      <c r="M80" s="58"/>
    </row>
    <row r="81" spans="1:13" ht="15">
      <c r="A81" s="52">
        <v>79</v>
      </c>
      <c r="B81" s="53" t="s">
        <v>1041</v>
      </c>
      <c r="C81" s="126" t="s">
        <v>1043</v>
      </c>
      <c r="D81" s="55">
        <v>1</v>
      </c>
      <c r="E81" s="52" t="s">
        <v>2394</v>
      </c>
      <c r="F81" s="126" t="s">
        <v>39</v>
      </c>
      <c r="G81" s="126" t="s">
        <v>1667</v>
      </c>
      <c r="H81" s="131">
        <v>1</v>
      </c>
      <c r="I81" s="49" t="s">
        <v>2425</v>
      </c>
      <c r="J81" s="52">
        <v>3</v>
      </c>
      <c r="K81" s="49"/>
      <c r="L81" s="49" t="s">
        <v>4469</v>
      </c>
      <c r="M81" s="58"/>
    </row>
    <row r="82" spans="1:13" ht="15">
      <c r="A82" s="52">
        <v>80</v>
      </c>
      <c r="B82" s="53" t="s">
        <v>1214</v>
      </c>
      <c r="C82" s="126" t="s">
        <v>1216</v>
      </c>
      <c r="D82" s="55">
        <v>2</v>
      </c>
      <c r="E82" s="52" t="s">
        <v>2394</v>
      </c>
      <c r="F82" s="126" t="s">
        <v>39</v>
      </c>
      <c r="G82" s="126" t="s">
        <v>1667</v>
      </c>
      <c r="H82" s="131">
        <v>2</v>
      </c>
      <c r="I82" s="49" t="s">
        <v>2425</v>
      </c>
      <c r="J82" s="52"/>
      <c r="K82" s="49"/>
      <c r="L82" s="49" t="s">
        <v>4470</v>
      </c>
      <c r="M82" s="58"/>
    </row>
    <row r="83" spans="1:13" ht="15">
      <c r="A83" s="52">
        <v>81</v>
      </c>
      <c r="B83" s="53" t="s">
        <v>1217</v>
      </c>
      <c r="C83" s="126" t="s">
        <v>1216</v>
      </c>
      <c r="D83" s="55">
        <v>2</v>
      </c>
      <c r="E83" s="56" t="s">
        <v>2394</v>
      </c>
      <c r="F83" s="126" t="s">
        <v>39</v>
      </c>
      <c r="G83" s="126" t="s">
        <v>1667</v>
      </c>
      <c r="H83" s="131">
        <v>2</v>
      </c>
      <c r="I83" s="49" t="s">
        <v>2425</v>
      </c>
      <c r="J83" s="52">
        <v>2</v>
      </c>
      <c r="K83" s="49"/>
      <c r="L83" s="49" t="s">
        <v>4471</v>
      </c>
      <c r="M83" s="58"/>
    </row>
    <row r="84" spans="1:13" ht="15">
      <c r="A84" s="52">
        <v>82</v>
      </c>
      <c r="B84" s="53" t="s">
        <v>1253</v>
      </c>
      <c r="C84" s="126" t="s">
        <v>1255</v>
      </c>
      <c r="D84" s="55">
        <v>2</v>
      </c>
      <c r="E84" s="52" t="s">
        <v>2394</v>
      </c>
      <c r="F84" s="126" t="s">
        <v>39</v>
      </c>
      <c r="G84" s="126" t="s">
        <v>1667</v>
      </c>
      <c r="H84" s="131">
        <v>2</v>
      </c>
      <c r="I84" s="49" t="s">
        <v>2425</v>
      </c>
      <c r="J84" s="52">
        <v>2</v>
      </c>
      <c r="K84" s="49"/>
      <c r="L84" s="49" t="s">
        <v>4472</v>
      </c>
      <c r="M84" s="58"/>
    </row>
    <row r="85" spans="1:13" ht="15">
      <c r="A85" s="52">
        <v>83</v>
      </c>
      <c r="B85" s="53" t="s">
        <v>1382</v>
      </c>
      <c r="C85" s="126" t="s">
        <v>1384</v>
      </c>
      <c r="D85" s="55">
        <v>2</v>
      </c>
      <c r="E85" s="52" t="s">
        <v>2394</v>
      </c>
      <c r="F85" s="126" t="s">
        <v>39</v>
      </c>
      <c r="G85" s="126" t="s">
        <v>1667</v>
      </c>
      <c r="H85" s="131">
        <v>2</v>
      </c>
      <c r="I85" s="49" t="s">
        <v>2425</v>
      </c>
      <c r="J85" s="52"/>
      <c r="K85" s="49"/>
      <c r="L85" s="49" t="s">
        <v>4473</v>
      </c>
      <c r="M85" s="58"/>
    </row>
    <row r="86" spans="1:13" ht="15">
      <c r="A86" s="52">
        <v>84</v>
      </c>
      <c r="B86" s="60" t="s">
        <v>1263</v>
      </c>
      <c r="C86" s="126" t="s">
        <v>1265</v>
      </c>
      <c r="D86" s="52">
        <v>2</v>
      </c>
      <c r="E86" s="52" t="s">
        <v>2394</v>
      </c>
      <c r="F86" s="126" t="s">
        <v>39</v>
      </c>
      <c r="G86" s="126" t="s">
        <v>1667</v>
      </c>
      <c r="H86" s="131">
        <v>2</v>
      </c>
      <c r="I86" s="49" t="s">
        <v>2425</v>
      </c>
      <c r="J86" s="52">
        <v>3</v>
      </c>
      <c r="K86" s="49"/>
      <c r="L86" s="49" t="s">
        <v>4474</v>
      </c>
      <c r="M86" s="58"/>
    </row>
    <row r="87" spans="1:13" ht="15">
      <c r="A87" s="52">
        <v>85</v>
      </c>
      <c r="B87" s="53" t="s">
        <v>1805</v>
      </c>
      <c r="C87" s="126" t="s">
        <v>1808</v>
      </c>
      <c r="D87" s="55">
        <v>1</v>
      </c>
      <c r="E87" s="56" t="s">
        <v>2437</v>
      </c>
      <c r="F87" s="126" t="s">
        <v>39</v>
      </c>
      <c r="G87" s="126" t="s">
        <v>1667</v>
      </c>
      <c r="H87" s="131">
        <v>1</v>
      </c>
      <c r="I87" s="49" t="s">
        <v>2438</v>
      </c>
      <c r="J87" s="52">
        <v>3</v>
      </c>
      <c r="K87" s="49"/>
      <c r="L87" s="49" t="s">
        <v>4475</v>
      </c>
      <c r="M87" s="58"/>
    </row>
    <row r="88" spans="1:13" ht="15">
      <c r="A88" s="52">
        <v>86</v>
      </c>
      <c r="B88" s="53" t="s">
        <v>1003</v>
      </c>
      <c r="C88" s="126" t="s">
        <v>1005</v>
      </c>
      <c r="D88" s="55">
        <v>1</v>
      </c>
      <c r="E88" s="52" t="s">
        <v>2437</v>
      </c>
      <c r="F88" s="126" t="s">
        <v>39</v>
      </c>
      <c r="G88" s="126" t="s">
        <v>1667</v>
      </c>
      <c r="H88" s="131">
        <v>1</v>
      </c>
      <c r="I88" s="49" t="s">
        <v>2438</v>
      </c>
      <c r="J88" s="52">
        <v>4</v>
      </c>
      <c r="K88" s="49"/>
      <c r="L88" s="49" t="s">
        <v>4476</v>
      </c>
      <c r="M88" s="58"/>
    </row>
    <row r="89" spans="1:13" ht="15">
      <c r="A89" s="52">
        <v>87</v>
      </c>
      <c r="B89" s="53" t="s">
        <v>1010</v>
      </c>
      <c r="C89" s="126" t="s">
        <v>41</v>
      </c>
      <c r="D89" s="55">
        <v>1</v>
      </c>
      <c r="E89" s="52" t="s">
        <v>2437</v>
      </c>
      <c r="F89" s="126" t="s">
        <v>39</v>
      </c>
      <c r="G89" s="126" t="s">
        <v>1667</v>
      </c>
      <c r="H89" s="131">
        <v>1</v>
      </c>
      <c r="I89" s="49" t="s">
        <v>2438</v>
      </c>
      <c r="J89" s="52">
        <v>1</v>
      </c>
      <c r="K89" s="49"/>
      <c r="L89" s="49" t="s">
        <v>4477</v>
      </c>
      <c r="M89" s="58"/>
    </row>
    <row r="90" spans="1:13" ht="15">
      <c r="A90" s="52">
        <v>88</v>
      </c>
      <c r="B90" s="53" t="s">
        <v>1024</v>
      </c>
      <c r="C90" s="126" t="s">
        <v>1026</v>
      </c>
      <c r="D90" s="55">
        <v>1</v>
      </c>
      <c r="E90" s="52" t="s">
        <v>2437</v>
      </c>
      <c r="F90" s="126" t="s">
        <v>39</v>
      </c>
      <c r="G90" s="126" t="s">
        <v>1667</v>
      </c>
      <c r="H90" s="131">
        <v>1</v>
      </c>
      <c r="I90" s="49" t="s">
        <v>2438</v>
      </c>
      <c r="J90" s="52">
        <v>2</v>
      </c>
      <c r="K90" s="49"/>
      <c r="L90" s="49" t="s">
        <v>4478</v>
      </c>
      <c r="M90" s="58"/>
    </row>
    <row r="91" spans="1:13" ht="15">
      <c r="A91" s="52">
        <v>89</v>
      </c>
      <c r="B91" s="53" t="s">
        <v>481</v>
      </c>
      <c r="C91" s="126" t="s">
        <v>483</v>
      </c>
      <c r="D91" s="55">
        <v>1</v>
      </c>
      <c r="E91" s="52" t="s">
        <v>2443</v>
      </c>
      <c r="F91" s="126" t="s">
        <v>39</v>
      </c>
      <c r="G91" s="126" t="s">
        <v>1667</v>
      </c>
      <c r="H91" s="131">
        <v>1</v>
      </c>
      <c r="I91" s="49" t="s">
        <v>2444</v>
      </c>
      <c r="J91" s="52">
        <v>3</v>
      </c>
      <c r="K91" s="49"/>
      <c r="L91" s="49" t="s">
        <v>4479</v>
      </c>
      <c r="M91" s="58"/>
    </row>
    <row r="92" spans="1:13" ht="15">
      <c r="A92" s="52">
        <v>90</v>
      </c>
      <c r="B92" s="53" t="s">
        <v>815</v>
      </c>
      <c r="C92" s="126" t="s">
        <v>817</v>
      </c>
      <c r="D92" s="55">
        <v>2</v>
      </c>
      <c r="E92" s="52" t="s">
        <v>2443</v>
      </c>
      <c r="F92" s="126" t="s">
        <v>39</v>
      </c>
      <c r="G92" s="126" t="s">
        <v>1667</v>
      </c>
      <c r="H92" s="131">
        <v>2</v>
      </c>
      <c r="I92" s="49" t="s">
        <v>2444</v>
      </c>
      <c r="J92" s="52">
        <v>4</v>
      </c>
      <c r="K92" s="49"/>
      <c r="L92" s="49" t="s">
        <v>4480</v>
      </c>
      <c r="M92" s="58"/>
    </row>
    <row r="93" spans="1:13" ht="15">
      <c r="A93" s="52">
        <v>91</v>
      </c>
      <c r="B93" s="53" t="s">
        <v>1435</v>
      </c>
      <c r="C93" s="126" t="s">
        <v>512</v>
      </c>
      <c r="D93" s="55">
        <v>1</v>
      </c>
      <c r="E93" s="52" t="s">
        <v>2443</v>
      </c>
      <c r="F93" s="126" t="s">
        <v>39</v>
      </c>
      <c r="G93" s="126" t="s">
        <v>1667</v>
      </c>
      <c r="H93" s="131">
        <v>1</v>
      </c>
      <c r="I93" s="49" t="s">
        <v>2444</v>
      </c>
      <c r="J93" s="52">
        <v>1</v>
      </c>
      <c r="K93" s="49"/>
      <c r="L93" s="49" t="s">
        <v>4481</v>
      </c>
      <c r="M93" s="58"/>
    </row>
    <row r="94" spans="1:13" ht="15">
      <c r="A94" s="52">
        <v>92</v>
      </c>
      <c r="B94" s="53" t="s">
        <v>1050</v>
      </c>
      <c r="C94" s="126" t="s">
        <v>1051</v>
      </c>
      <c r="D94" s="55">
        <v>1</v>
      </c>
      <c r="E94" s="52" t="s">
        <v>2388</v>
      </c>
      <c r="F94" s="126" t="s">
        <v>39</v>
      </c>
      <c r="G94" s="126" t="s">
        <v>1667</v>
      </c>
      <c r="H94" s="131">
        <v>1</v>
      </c>
      <c r="I94" s="49" t="s">
        <v>2492</v>
      </c>
      <c r="J94" s="52"/>
      <c r="K94" s="49"/>
      <c r="L94" s="49" t="s">
        <v>4482</v>
      </c>
      <c r="M94" s="58"/>
    </row>
    <row r="95" spans="1:13" ht="15">
      <c r="A95" s="52">
        <v>93</v>
      </c>
      <c r="B95" s="59" t="s">
        <v>1052</v>
      </c>
      <c r="C95" s="126" t="s">
        <v>41</v>
      </c>
      <c r="D95" s="55">
        <v>2</v>
      </c>
      <c r="E95" s="52" t="s">
        <v>2388</v>
      </c>
      <c r="F95" s="126" t="s">
        <v>39</v>
      </c>
      <c r="G95" s="126" t="s">
        <v>1667</v>
      </c>
      <c r="H95" s="131">
        <v>2</v>
      </c>
      <c r="I95" s="49" t="s">
        <v>2492</v>
      </c>
      <c r="J95" s="52"/>
      <c r="K95" s="49"/>
      <c r="L95" s="49" t="s">
        <v>4483</v>
      </c>
      <c r="M95" s="58"/>
    </row>
    <row r="96" spans="1:13" ht="15">
      <c r="A96" s="52">
        <v>94</v>
      </c>
      <c r="B96" s="60" t="s">
        <v>1053</v>
      </c>
      <c r="C96" s="126" t="s">
        <v>1054</v>
      </c>
      <c r="D96" s="52">
        <v>1</v>
      </c>
      <c r="E96" s="52" t="s">
        <v>2388</v>
      </c>
      <c r="F96" s="126" t="s">
        <v>39</v>
      </c>
      <c r="G96" s="126" t="s">
        <v>1667</v>
      </c>
      <c r="H96" s="131">
        <v>1</v>
      </c>
      <c r="I96" s="49" t="s">
        <v>2492</v>
      </c>
      <c r="J96" s="52"/>
      <c r="K96" s="49"/>
      <c r="L96" s="49" t="s">
        <v>4484</v>
      </c>
      <c r="M96" s="58"/>
    </row>
    <row r="97" spans="1:13" ht="15">
      <c r="A97" s="52">
        <v>95</v>
      </c>
      <c r="B97" s="53" t="s">
        <v>1055</v>
      </c>
      <c r="C97" s="126" t="s">
        <v>1056</v>
      </c>
      <c r="D97" s="55">
        <v>1</v>
      </c>
      <c r="E97" s="52" t="s">
        <v>2388</v>
      </c>
      <c r="F97" s="126" t="s">
        <v>39</v>
      </c>
      <c r="G97" s="126" t="s">
        <v>1667</v>
      </c>
      <c r="H97" s="52">
        <v>1</v>
      </c>
      <c r="I97" s="49" t="s">
        <v>2492</v>
      </c>
      <c r="J97" s="52"/>
      <c r="K97" s="49"/>
      <c r="L97" s="49" t="s">
        <v>4485</v>
      </c>
      <c r="M97" s="58"/>
    </row>
    <row r="98" spans="1:13" ht="15">
      <c r="A98" s="52">
        <v>96</v>
      </c>
      <c r="B98" s="53" t="s">
        <v>1118</v>
      </c>
      <c r="C98" s="126" t="s">
        <v>41</v>
      </c>
      <c r="D98" s="55">
        <v>1</v>
      </c>
      <c r="E98" s="56" t="s">
        <v>2388</v>
      </c>
      <c r="F98" s="126" t="s">
        <v>39</v>
      </c>
      <c r="G98" s="126" t="s">
        <v>1667</v>
      </c>
      <c r="H98" s="131">
        <v>1</v>
      </c>
      <c r="I98" s="49" t="s">
        <v>2389</v>
      </c>
      <c r="J98" s="52"/>
      <c r="K98" s="49"/>
      <c r="L98" s="49" t="s">
        <v>4486</v>
      </c>
      <c r="M98" s="58"/>
    </row>
    <row r="99" spans="1:13" ht="15">
      <c r="A99" s="52">
        <v>97</v>
      </c>
      <c r="B99" s="53" t="s">
        <v>1119</v>
      </c>
      <c r="C99" s="126" t="s">
        <v>41</v>
      </c>
      <c r="D99" s="55">
        <v>1</v>
      </c>
      <c r="E99" s="56" t="s">
        <v>2388</v>
      </c>
      <c r="F99" s="126" t="s">
        <v>39</v>
      </c>
      <c r="G99" s="126" t="s">
        <v>1667</v>
      </c>
      <c r="H99" s="131">
        <v>1</v>
      </c>
      <c r="I99" s="49" t="s">
        <v>2389</v>
      </c>
      <c r="J99" s="52"/>
      <c r="K99" s="49"/>
      <c r="L99" s="49" t="s">
        <v>4487</v>
      </c>
      <c r="M99" s="58"/>
    </row>
    <row r="100" spans="1:13" ht="15">
      <c r="A100" s="52">
        <v>98</v>
      </c>
      <c r="B100" s="64" t="s">
        <v>1143</v>
      </c>
      <c r="C100" s="126" t="s">
        <v>1144</v>
      </c>
      <c r="D100" s="55">
        <v>4</v>
      </c>
      <c r="E100" s="56" t="s">
        <v>2388</v>
      </c>
      <c r="F100" s="126" t="s">
        <v>39</v>
      </c>
      <c r="G100" s="126" t="s">
        <v>1667</v>
      </c>
      <c r="H100" s="131">
        <v>4</v>
      </c>
      <c r="I100" s="49" t="s">
        <v>2389</v>
      </c>
      <c r="J100" s="52"/>
      <c r="K100" s="49"/>
      <c r="L100" s="49" t="s">
        <v>4488</v>
      </c>
      <c r="M100" s="58"/>
    </row>
    <row r="101" spans="1:13" ht="15">
      <c r="A101" s="52">
        <v>99</v>
      </c>
      <c r="B101" s="53" t="s">
        <v>1211</v>
      </c>
      <c r="C101" s="126" t="s">
        <v>1144</v>
      </c>
      <c r="D101" s="55">
        <v>4</v>
      </c>
      <c r="E101" s="56" t="s">
        <v>2388</v>
      </c>
      <c r="F101" s="126" t="s">
        <v>39</v>
      </c>
      <c r="G101" s="126" t="s">
        <v>1667</v>
      </c>
      <c r="H101" s="131">
        <v>4</v>
      </c>
      <c r="I101" s="49" t="s">
        <v>2389</v>
      </c>
      <c r="J101" s="52"/>
      <c r="K101" s="49"/>
      <c r="L101" s="49" t="s">
        <v>4489</v>
      </c>
      <c r="M101" s="58"/>
    </row>
    <row r="102" spans="1:13" ht="15">
      <c r="A102" s="52">
        <v>100</v>
      </c>
      <c r="B102" s="53" t="s">
        <v>1212</v>
      </c>
      <c r="C102" s="126" t="s">
        <v>1213</v>
      </c>
      <c r="D102" s="55">
        <v>2</v>
      </c>
      <c r="E102" s="56" t="s">
        <v>2388</v>
      </c>
      <c r="F102" s="126" t="s">
        <v>39</v>
      </c>
      <c r="G102" s="126" t="s">
        <v>1667</v>
      </c>
      <c r="H102" s="131">
        <v>2</v>
      </c>
      <c r="I102" s="49" t="s">
        <v>2389</v>
      </c>
      <c r="J102" s="52"/>
      <c r="K102" s="49"/>
      <c r="L102" s="49" t="s">
        <v>4490</v>
      </c>
      <c r="M102" s="58"/>
    </row>
    <row r="103" spans="1:13" ht="15">
      <c r="A103" s="52">
        <v>101</v>
      </c>
      <c r="B103" s="53" t="s">
        <v>1219</v>
      </c>
      <c r="C103" s="126" t="s">
        <v>1220</v>
      </c>
      <c r="D103" s="55">
        <v>2</v>
      </c>
      <c r="E103" s="56" t="s">
        <v>2388</v>
      </c>
      <c r="F103" s="126" t="s">
        <v>39</v>
      </c>
      <c r="G103" s="126" t="s">
        <v>1667</v>
      </c>
      <c r="H103" s="131">
        <v>2</v>
      </c>
      <c r="I103" s="49" t="s">
        <v>2389</v>
      </c>
      <c r="J103" s="52"/>
      <c r="K103" s="49"/>
      <c r="L103" s="49" t="s">
        <v>4491</v>
      </c>
      <c r="M103" s="58"/>
    </row>
    <row r="104" spans="1:13" ht="15">
      <c r="A104" s="52">
        <v>102</v>
      </c>
      <c r="B104" s="53" t="s">
        <v>1233</v>
      </c>
      <c r="C104" s="126" t="s">
        <v>1234</v>
      </c>
      <c r="D104" s="55">
        <v>2</v>
      </c>
      <c r="E104" s="56" t="s">
        <v>2388</v>
      </c>
      <c r="F104" s="126" t="s">
        <v>39</v>
      </c>
      <c r="G104" s="126" t="s">
        <v>1667</v>
      </c>
      <c r="H104" s="131">
        <v>2</v>
      </c>
      <c r="I104" s="49" t="s">
        <v>2389</v>
      </c>
      <c r="J104" s="52"/>
      <c r="K104" s="49"/>
      <c r="L104" s="49" t="s">
        <v>4492</v>
      </c>
      <c r="M104" s="58"/>
    </row>
    <row r="105" spans="1:13" ht="15">
      <c r="A105" s="52">
        <v>103</v>
      </c>
      <c r="B105" s="60" t="s">
        <v>1244</v>
      </c>
      <c r="C105" s="126" t="s">
        <v>1220</v>
      </c>
      <c r="D105" s="52">
        <v>2</v>
      </c>
      <c r="E105" s="56" t="s">
        <v>2388</v>
      </c>
      <c r="F105" s="126" t="s">
        <v>39</v>
      </c>
      <c r="G105" s="126" t="s">
        <v>1667</v>
      </c>
      <c r="H105" s="131">
        <v>2</v>
      </c>
      <c r="I105" s="49" t="s">
        <v>2389</v>
      </c>
      <c r="J105" s="52">
        <v>2</v>
      </c>
      <c r="K105" s="49"/>
      <c r="L105" s="49" t="s">
        <v>4493</v>
      </c>
      <c r="M105" s="58"/>
    </row>
    <row r="106" spans="1:13" ht="15">
      <c r="A106" s="52">
        <v>104</v>
      </c>
      <c r="B106" s="53" t="s">
        <v>1249</v>
      </c>
      <c r="C106" s="126" t="s">
        <v>1250</v>
      </c>
      <c r="D106" s="55">
        <v>1</v>
      </c>
      <c r="E106" s="56" t="s">
        <v>2388</v>
      </c>
      <c r="F106" s="126" t="s">
        <v>39</v>
      </c>
      <c r="G106" s="126" t="s">
        <v>1667</v>
      </c>
      <c r="H106" s="131">
        <v>1</v>
      </c>
      <c r="I106" s="49" t="s">
        <v>2492</v>
      </c>
      <c r="J106" s="52"/>
      <c r="K106" s="49"/>
      <c r="L106" s="49" t="s">
        <v>4494</v>
      </c>
      <c r="M106" s="58"/>
    </row>
    <row r="107" spans="1:13" ht="15">
      <c r="A107" s="52">
        <v>105</v>
      </c>
      <c r="B107" s="53" t="s">
        <v>1251</v>
      </c>
      <c r="C107" s="126" t="s">
        <v>1250</v>
      </c>
      <c r="D107" s="55">
        <v>1</v>
      </c>
      <c r="E107" s="56" t="s">
        <v>2388</v>
      </c>
      <c r="F107" s="126" t="s">
        <v>39</v>
      </c>
      <c r="G107" s="126" t="s">
        <v>1667</v>
      </c>
      <c r="H107" s="131">
        <v>1</v>
      </c>
      <c r="I107" s="49" t="s">
        <v>2492</v>
      </c>
      <c r="J107" s="52"/>
      <c r="K107" s="49"/>
      <c r="L107" s="49" t="s">
        <v>4495</v>
      </c>
      <c r="M107" s="58"/>
    </row>
    <row r="108" spans="1:13" ht="15">
      <c r="A108" s="52">
        <v>106</v>
      </c>
      <c r="B108" s="53" t="s">
        <v>1256</v>
      </c>
      <c r="C108" s="126" t="s">
        <v>1257</v>
      </c>
      <c r="D108" s="55">
        <v>2</v>
      </c>
      <c r="E108" s="56" t="s">
        <v>2388</v>
      </c>
      <c r="F108" s="126" t="s">
        <v>39</v>
      </c>
      <c r="G108" s="126" t="s">
        <v>1667</v>
      </c>
      <c r="H108" s="131">
        <v>2</v>
      </c>
      <c r="I108" s="49" t="s">
        <v>2389</v>
      </c>
      <c r="J108" s="52"/>
      <c r="K108" s="49"/>
      <c r="L108" s="49" t="s">
        <v>4496</v>
      </c>
      <c r="M108" s="58"/>
    </row>
    <row r="109" spans="1:13" ht="15">
      <c r="A109" s="52">
        <v>107</v>
      </c>
      <c r="B109" s="53" t="s">
        <v>1258</v>
      </c>
      <c r="C109" s="126" t="s">
        <v>1248</v>
      </c>
      <c r="D109" s="55">
        <v>2</v>
      </c>
      <c r="E109" s="56" t="s">
        <v>2388</v>
      </c>
      <c r="F109" s="126" t="s">
        <v>39</v>
      </c>
      <c r="G109" s="126" t="s">
        <v>1667</v>
      </c>
      <c r="H109" s="131">
        <v>2</v>
      </c>
      <c r="I109" s="49" t="s">
        <v>2389</v>
      </c>
      <c r="J109" s="52"/>
      <c r="K109" s="49"/>
      <c r="L109" s="49" t="s">
        <v>4497</v>
      </c>
      <c r="M109" s="58"/>
    </row>
    <row r="110" spans="1:13" ht="15">
      <c r="A110" s="52">
        <v>108</v>
      </c>
      <c r="B110" s="53" t="s">
        <v>1385</v>
      </c>
      <c r="C110" s="126" t="s">
        <v>1387</v>
      </c>
      <c r="D110" s="55">
        <v>1</v>
      </c>
      <c r="E110" s="56" t="s">
        <v>2388</v>
      </c>
      <c r="F110" s="126" t="s">
        <v>39</v>
      </c>
      <c r="G110" s="126" t="s">
        <v>1667</v>
      </c>
      <c r="H110" s="131">
        <v>1</v>
      </c>
      <c r="I110" s="49" t="s">
        <v>2389</v>
      </c>
      <c r="J110" s="52"/>
      <c r="K110" s="61"/>
      <c r="L110" s="61" t="s">
        <v>4498</v>
      </c>
      <c r="M110" s="58"/>
    </row>
    <row r="111" spans="1:13" ht="15">
      <c r="A111" s="52">
        <v>109</v>
      </c>
      <c r="B111" s="53" t="s">
        <v>1269</v>
      </c>
      <c r="C111" s="126" t="s">
        <v>558</v>
      </c>
      <c r="D111" s="55">
        <v>2</v>
      </c>
      <c r="E111" s="56" t="s">
        <v>2388</v>
      </c>
      <c r="F111" s="126" t="s">
        <v>39</v>
      </c>
      <c r="G111" s="126" t="s">
        <v>1667</v>
      </c>
      <c r="H111" s="131">
        <v>2</v>
      </c>
      <c r="I111" s="49" t="s">
        <v>2492</v>
      </c>
      <c r="J111" s="52"/>
      <c r="K111" s="49"/>
      <c r="L111" s="49" t="s">
        <v>4499</v>
      </c>
      <c r="M111" s="58"/>
    </row>
    <row r="112" spans="1:13" ht="15">
      <c r="A112" s="52">
        <v>110</v>
      </c>
      <c r="B112" s="53" t="s">
        <v>872</v>
      </c>
      <c r="C112" s="126" t="s">
        <v>874</v>
      </c>
      <c r="D112" s="52">
        <v>2</v>
      </c>
      <c r="E112" s="56" t="s">
        <v>2391</v>
      </c>
      <c r="F112" s="126" t="s">
        <v>39</v>
      </c>
      <c r="G112" s="126" t="s">
        <v>1667</v>
      </c>
      <c r="H112" s="131">
        <v>2</v>
      </c>
      <c r="I112" s="49" t="s">
        <v>4437</v>
      </c>
      <c r="J112" s="52">
        <v>2</v>
      </c>
      <c r="K112" s="49"/>
      <c r="L112" s="49" t="s">
        <v>4500</v>
      </c>
      <c r="M112" s="49"/>
    </row>
    <row r="113" spans="1:13" ht="15">
      <c r="A113" s="52">
        <v>111</v>
      </c>
      <c r="B113" s="53" t="s">
        <v>971</v>
      </c>
      <c r="C113" s="126" t="s">
        <v>972</v>
      </c>
      <c r="D113" s="55">
        <v>1</v>
      </c>
      <c r="E113" s="56" t="s">
        <v>2391</v>
      </c>
      <c r="F113" s="126" t="s">
        <v>39</v>
      </c>
      <c r="G113" s="126" t="s">
        <v>1667</v>
      </c>
      <c r="H113" s="131">
        <v>1</v>
      </c>
      <c r="I113" s="49" t="s">
        <v>4437</v>
      </c>
      <c r="J113" s="52">
        <v>2</v>
      </c>
      <c r="K113" s="49" t="s">
        <v>3365</v>
      </c>
      <c r="L113" s="49" t="s">
        <v>4501</v>
      </c>
      <c r="M113" s="58"/>
    </row>
    <row r="114" spans="1:13" ht="15">
      <c r="A114" s="52">
        <v>112</v>
      </c>
      <c r="B114" s="53" t="s">
        <v>985</v>
      </c>
      <c r="C114" s="126" t="s">
        <v>987</v>
      </c>
      <c r="D114" s="55">
        <v>1</v>
      </c>
      <c r="E114" s="56" t="s">
        <v>2391</v>
      </c>
      <c r="F114" s="126" t="s">
        <v>39</v>
      </c>
      <c r="G114" s="126" t="s">
        <v>1667</v>
      </c>
      <c r="H114" s="131">
        <v>1</v>
      </c>
      <c r="I114" s="49" t="s">
        <v>4440</v>
      </c>
      <c r="J114" s="52"/>
      <c r="K114" s="49" t="s">
        <v>3365</v>
      </c>
      <c r="L114" s="49" t="s">
        <v>4502</v>
      </c>
      <c r="M114" s="58"/>
    </row>
    <row r="115" spans="1:13" ht="15">
      <c r="A115" s="52">
        <v>113</v>
      </c>
      <c r="B115" s="60" t="s">
        <v>1012</v>
      </c>
      <c r="C115" s="126" t="s">
        <v>232</v>
      </c>
      <c r="D115" s="52">
        <v>1</v>
      </c>
      <c r="E115" s="56" t="s">
        <v>2391</v>
      </c>
      <c r="F115" s="126" t="s">
        <v>39</v>
      </c>
      <c r="G115" s="126" t="s">
        <v>1667</v>
      </c>
      <c r="H115" s="131">
        <v>1</v>
      </c>
      <c r="I115" s="49" t="s">
        <v>4437</v>
      </c>
      <c r="J115" s="52">
        <v>3</v>
      </c>
      <c r="K115" s="49"/>
      <c r="L115" s="49" t="s">
        <v>4503</v>
      </c>
      <c r="M115" s="58"/>
    </row>
    <row r="116" spans="1:13" ht="15">
      <c r="A116" s="52">
        <v>114</v>
      </c>
      <c r="B116" s="60" t="s">
        <v>1344</v>
      </c>
      <c r="C116" s="126" t="s">
        <v>1346</v>
      </c>
      <c r="D116" s="52">
        <v>1</v>
      </c>
      <c r="E116" s="56" t="s">
        <v>2391</v>
      </c>
      <c r="F116" s="126" t="s">
        <v>39</v>
      </c>
      <c r="G116" s="126" t="s">
        <v>1667</v>
      </c>
      <c r="H116" s="131">
        <v>1</v>
      </c>
      <c r="I116" s="49" t="s">
        <v>2447</v>
      </c>
      <c r="J116" s="52"/>
      <c r="K116" s="49"/>
      <c r="L116" s="49" t="s">
        <v>4504</v>
      </c>
      <c r="M116" s="58"/>
    </row>
    <row r="117" spans="1:13" ht="15">
      <c r="A117" s="52">
        <v>115</v>
      </c>
      <c r="B117" s="136" t="s">
        <v>1347</v>
      </c>
      <c r="C117" s="126" t="s">
        <v>1346</v>
      </c>
      <c r="D117" s="55">
        <v>1</v>
      </c>
      <c r="E117" s="56" t="s">
        <v>3468</v>
      </c>
      <c r="F117" s="126" t="s">
        <v>39</v>
      </c>
      <c r="G117" s="126" t="s">
        <v>1667</v>
      </c>
      <c r="H117" s="131">
        <v>1</v>
      </c>
      <c r="I117" s="49" t="s">
        <v>2447</v>
      </c>
      <c r="J117" s="52"/>
      <c r="K117" s="49"/>
      <c r="L117" s="49" t="s">
        <v>4505</v>
      </c>
      <c r="M117" s="58">
        <v>45533</v>
      </c>
    </row>
    <row r="118" spans="1:13" ht="15">
      <c r="A118" s="52">
        <v>116</v>
      </c>
      <c r="B118" s="59" t="s">
        <v>2088</v>
      </c>
      <c r="C118" s="126" t="s">
        <v>1896</v>
      </c>
      <c r="D118" s="55">
        <v>1</v>
      </c>
      <c r="E118" s="56" t="s">
        <v>2391</v>
      </c>
      <c r="F118" s="126" t="s">
        <v>39</v>
      </c>
      <c r="G118" s="126" t="s">
        <v>1667</v>
      </c>
      <c r="H118" s="131">
        <v>1</v>
      </c>
      <c r="I118" s="49" t="s">
        <v>4440</v>
      </c>
      <c r="J118" s="52"/>
      <c r="K118" s="49" t="s">
        <v>3365</v>
      </c>
      <c r="L118" s="49" t="s">
        <v>4506</v>
      </c>
      <c r="M118" s="58"/>
    </row>
    <row r="119" spans="1:13" ht="15">
      <c r="A119" s="52">
        <v>117</v>
      </c>
      <c r="B119" s="53" t="s">
        <v>2090</v>
      </c>
      <c r="C119" s="126" t="s">
        <v>1896</v>
      </c>
      <c r="D119" s="55">
        <v>1</v>
      </c>
      <c r="E119" s="56" t="s">
        <v>2391</v>
      </c>
      <c r="F119" s="126" t="s">
        <v>39</v>
      </c>
      <c r="G119" s="126" t="s">
        <v>1667</v>
      </c>
      <c r="H119" s="131">
        <v>1</v>
      </c>
      <c r="I119" s="49" t="s">
        <v>4440</v>
      </c>
      <c r="J119" s="52">
        <v>2</v>
      </c>
      <c r="K119" s="49" t="s">
        <v>3365</v>
      </c>
      <c r="L119" s="49" t="s">
        <v>4507</v>
      </c>
      <c r="M119" s="58"/>
    </row>
    <row r="120" spans="1:13" ht="15">
      <c r="A120" s="52">
        <v>118</v>
      </c>
      <c r="B120" s="53" t="s">
        <v>813</v>
      </c>
      <c r="C120" s="126" t="s">
        <v>814</v>
      </c>
      <c r="D120" s="55">
        <v>1</v>
      </c>
      <c r="E120" s="56" t="s">
        <v>2385</v>
      </c>
      <c r="F120" s="126" t="s">
        <v>12</v>
      </c>
      <c r="G120" s="126" t="s">
        <v>1667</v>
      </c>
      <c r="H120" s="131">
        <v>1</v>
      </c>
      <c r="I120" s="49" t="s">
        <v>2386</v>
      </c>
      <c r="J120" s="52">
        <v>2</v>
      </c>
      <c r="K120" s="49"/>
      <c r="L120" s="49" t="s">
        <v>4508</v>
      </c>
      <c r="M120" s="58"/>
    </row>
    <row r="121" spans="1:13" ht="15">
      <c r="A121" s="52">
        <v>119</v>
      </c>
      <c r="B121" s="60" t="s">
        <v>831</v>
      </c>
      <c r="C121" s="126" t="s">
        <v>833</v>
      </c>
      <c r="D121" s="52">
        <v>1</v>
      </c>
      <c r="E121" s="56" t="s">
        <v>2385</v>
      </c>
      <c r="F121" s="126" t="s">
        <v>12</v>
      </c>
      <c r="G121" s="126" t="s">
        <v>1667</v>
      </c>
      <c r="H121" s="131">
        <v>1</v>
      </c>
      <c r="I121" s="49" t="s">
        <v>2386</v>
      </c>
      <c r="J121" s="52">
        <v>2</v>
      </c>
      <c r="K121" s="49"/>
      <c r="L121" s="49" t="s">
        <v>4509</v>
      </c>
      <c r="M121" s="58"/>
    </row>
    <row r="122" spans="1:13" ht="15">
      <c r="A122" s="52">
        <v>120</v>
      </c>
      <c r="B122" s="60" t="s">
        <v>896</v>
      </c>
      <c r="C122" s="126" t="s">
        <v>898</v>
      </c>
      <c r="D122" s="52">
        <v>1</v>
      </c>
      <c r="E122" s="56" t="s">
        <v>2385</v>
      </c>
      <c r="F122" s="126" t="s">
        <v>12</v>
      </c>
      <c r="G122" s="126" t="s">
        <v>1667</v>
      </c>
      <c r="H122" s="131">
        <v>1</v>
      </c>
      <c r="I122" s="49" t="s">
        <v>2386</v>
      </c>
      <c r="J122" s="52">
        <v>2</v>
      </c>
      <c r="K122" s="49"/>
      <c r="L122" s="49" t="s">
        <v>4510</v>
      </c>
      <c r="M122" s="58"/>
    </row>
    <row r="123" spans="1:13" ht="15">
      <c r="A123" s="52">
        <v>121</v>
      </c>
      <c r="B123" s="59" t="s">
        <v>907</v>
      </c>
      <c r="C123" s="126" t="s">
        <v>41</v>
      </c>
      <c r="D123" s="55">
        <v>1</v>
      </c>
      <c r="E123" s="56" t="s">
        <v>2385</v>
      </c>
      <c r="F123" s="126" t="s">
        <v>12</v>
      </c>
      <c r="G123" s="126" t="s">
        <v>1667</v>
      </c>
      <c r="H123" s="131">
        <v>1</v>
      </c>
      <c r="I123" s="49" t="s">
        <v>2386</v>
      </c>
      <c r="J123" s="52">
        <v>2</v>
      </c>
      <c r="K123" s="49"/>
      <c r="L123" s="49" t="s">
        <v>4511</v>
      </c>
      <c r="M123" s="58"/>
    </row>
    <row r="124" spans="1:13" ht="15">
      <c r="A124" s="52">
        <v>122</v>
      </c>
      <c r="B124" s="53" t="s">
        <v>1065</v>
      </c>
      <c r="C124" s="126" t="s">
        <v>1066</v>
      </c>
      <c r="D124" s="55">
        <v>2</v>
      </c>
      <c r="E124" s="56" t="s">
        <v>2417</v>
      </c>
      <c r="F124" s="126" t="s">
        <v>12</v>
      </c>
      <c r="G124" s="126" t="s">
        <v>1667</v>
      </c>
      <c r="H124" s="131">
        <v>2</v>
      </c>
      <c r="I124" s="49" t="s">
        <v>2418</v>
      </c>
      <c r="J124" s="52"/>
      <c r="K124" s="49"/>
      <c r="L124" s="49" t="s">
        <v>4512</v>
      </c>
      <c r="M124" s="58"/>
    </row>
    <row r="125" spans="1:13" ht="15">
      <c r="A125" s="52">
        <v>123</v>
      </c>
      <c r="B125" s="53" t="s">
        <v>891</v>
      </c>
      <c r="C125" s="126" t="s">
        <v>893</v>
      </c>
      <c r="D125" s="55">
        <v>1</v>
      </c>
      <c r="E125" s="56" t="s">
        <v>2394</v>
      </c>
      <c r="F125" s="126" t="s">
        <v>12</v>
      </c>
      <c r="G125" s="126" t="s">
        <v>1667</v>
      </c>
      <c r="H125" s="131">
        <v>1</v>
      </c>
      <c r="I125" s="49" t="s">
        <v>2425</v>
      </c>
      <c r="J125" s="52">
        <v>3</v>
      </c>
      <c r="K125" s="49"/>
      <c r="L125" s="49" t="s">
        <v>4513</v>
      </c>
      <c r="M125" s="58"/>
    </row>
    <row r="126" spans="1:13" ht="15">
      <c r="A126" s="52">
        <v>124</v>
      </c>
      <c r="B126" s="53" t="s">
        <v>1907</v>
      </c>
      <c r="C126" s="126" t="s">
        <v>1909</v>
      </c>
      <c r="D126" s="55">
        <v>1</v>
      </c>
      <c r="E126" s="56" t="s">
        <v>2394</v>
      </c>
      <c r="F126" s="126" t="s">
        <v>12</v>
      </c>
      <c r="G126" s="126" t="s">
        <v>1667</v>
      </c>
      <c r="H126" s="131">
        <v>1</v>
      </c>
      <c r="I126" s="49" t="s">
        <v>3563</v>
      </c>
      <c r="J126" s="52">
        <v>2</v>
      </c>
      <c r="K126" s="49"/>
      <c r="L126" s="49" t="s">
        <v>4514</v>
      </c>
      <c r="M126" s="58"/>
    </row>
    <row r="127" spans="1:13" ht="15">
      <c r="A127" s="52">
        <v>125</v>
      </c>
      <c r="B127" s="53" t="s">
        <v>1261</v>
      </c>
      <c r="C127" s="126" t="s">
        <v>1262</v>
      </c>
      <c r="D127" s="52">
        <v>1</v>
      </c>
      <c r="E127" s="56" t="s">
        <v>2394</v>
      </c>
      <c r="F127" s="126" t="s">
        <v>12</v>
      </c>
      <c r="G127" s="126" t="s">
        <v>1667</v>
      </c>
      <c r="H127" s="131">
        <v>1</v>
      </c>
      <c r="I127" s="49" t="s">
        <v>2425</v>
      </c>
      <c r="J127" s="52">
        <v>1</v>
      </c>
      <c r="K127" s="49"/>
      <c r="L127" s="49" t="s">
        <v>4515</v>
      </c>
      <c r="M127" s="49"/>
    </row>
    <row r="128" spans="1:13" ht="15">
      <c r="A128" s="52">
        <v>126</v>
      </c>
      <c r="B128" s="53" t="s">
        <v>894</v>
      </c>
      <c r="C128" s="126" t="s">
        <v>895</v>
      </c>
      <c r="D128" s="55">
        <v>1</v>
      </c>
      <c r="E128" s="56" t="s">
        <v>2437</v>
      </c>
      <c r="F128" s="126" t="s">
        <v>12</v>
      </c>
      <c r="G128" s="126" t="s">
        <v>1667</v>
      </c>
      <c r="H128" s="131">
        <v>1</v>
      </c>
      <c r="I128" s="49" t="s">
        <v>2438</v>
      </c>
      <c r="J128" s="52">
        <v>3</v>
      </c>
      <c r="K128" s="49"/>
      <c r="L128" s="49" t="s">
        <v>4516</v>
      </c>
      <c r="M128" s="58"/>
    </row>
    <row r="129" spans="1:13" ht="15">
      <c r="A129" s="52">
        <v>127</v>
      </c>
      <c r="B129" s="53" t="s">
        <v>997</v>
      </c>
      <c r="C129" s="126" t="s">
        <v>998</v>
      </c>
      <c r="D129" s="55">
        <v>1</v>
      </c>
      <c r="E129" s="56" t="s">
        <v>2437</v>
      </c>
      <c r="F129" s="126" t="s">
        <v>12</v>
      </c>
      <c r="G129" s="126" t="s">
        <v>1667</v>
      </c>
      <c r="H129" s="131">
        <v>1</v>
      </c>
      <c r="I129" s="49" t="s">
        <v>2438</v>
      </c>
      <c r="J129" s="52">
        <v>3</v>
      </c>
      <c r="K129" s="49"/>
      <c r="L129" s="49" t="s">
        <v>4517</v>
      </c>
      <c r="M129" s="58"/>
    </row>
    <row r="130" spans="1:13" ht="15">
      <c r="A130" s="52">
        <v>128</v>
      </c>
      <c r="B130" s="53" t="s">
        <v>1002</v>
      </c>
      <c r="C130" s="126" t="s">
        <v>745</v>
      </c>
      <c r="D130" s="55">
        <v>2</v>
      </c>
      <c r="E130" s="56" t="s">
        <v>2437</v>
      </c>
      <c r="F130" s="126" t="s">
        <v>12</v>
      </c>
      <c r="G130" s="126" t="s">
        <v>1667</v>
      </c>
      <c r="H130" s="131">
        <v>2</v>
      </c>
      <c r="I130" s="49" t="s">
        <v>2438</v>
      </c>
      <c r="J130" s="52">
        <v>1</v>
      </c>
      <c r="K130" s="49"/>
      <c r="L130" s="49" t="s">
        <v>4518</v>
      </c>
      <c r="M130" s="58"/>
    </row>
    <row r="131" spans="1:13" ht="15">
      <c r="A131" s="52">
        <v>129</v>
      </c>
      <c r="B131" s="53" t="s">
        <v>1137</v>
      </c>
      <c r="C131" s="126" t="s">
        <v>1139</v>
      </c>
      <c r="D131" s="55">
        <v>1</v>
      </c>
      <c r="E131" s="56" t="s">
        <v>2437</v>
      </c>
      <c r="F131" s="126" t="s">
        <v>12</v>
      </c>
      <c r="G131" s="126" t="s">
        <v>1667</v>
      </c>
      <c r="H131" s="131">
        <v>1</v>
      </c>
      <c r="I131" s="49" t="s">
        <v>2438</v>
      </c>
      <c r="J131" s="52">
        <v>2</v>
      </c>
      <c r="K131" s="49"/>
      <c r="L131" s="49" t="s">
        <v>4519</v>
      </c>
      <c r="M131" s="58"/>
    </row>
    <row r="132" spans="1:13" ht="15">
      <c r="A132" s="52">
        <v>130</v>
      </c>
      <c r="B132" s="53" t="s">
        <v>1159</v>
      </c>
      <c r="C132" s="126" t="s">
        <v>21</v>
      </c>
      <c r="D132" s="55">
        <v>1</v>
      </c>
      <c r="E132" s="56" t="s">
        <v>2437</v>
      </c>
      <c r="F132" s="126" t="s">
        <v>12</v>
      </c>
      <c r="G132" s="126" t="s">
        <v>1667</v>
      </c>
      <c r="H132" s="131">
        <v>1</v>
      </c>
      <c r="I132" s="49" t="s">
        <v>2438</v>
      </c>
      <c r="J132" s="52">
        <v>2</v>
      </c>
      <c r="K132" s="49"/>
      <c r="L132" s="49" t="s">
        <v>4520</v>
      </c>
      <c r="M132" s="58">
        <v>45533</v>
      </c>
    </row>
    <row r="133" spans="1:13" ht="15">
      <c r="A133" s="52">
        <v>131</v>
      </c>
      <c r="B133" s="59" t="s">
        <v>8</v>
      </c>
      <c r="C133" s="126" t="s">
        <v>11</v>
      </c>
      <c r="D133" s="55">
        <v>1</v>
      </c>
      <c r="E133" s="56" t="s">
        <v>2443</v>
      </c>
      <c r="F133" s="126" t="s">
        <v>12</v>
      </c>
      <c r="G133" s="126" t="s">
        <v>1667</v>
      </c>
      <c r="H133" s="131">
        <v>1</v>
      </c>
      <c r="I133" s="49" t="s">
        <v>2444</v>
      </c>
      <c r="J133" s="52">
        <v>3</v>
      </c>
      <c r="K133" s="49"/>
      <c r="L133" s="49" t="s">
        <v>4521</v>
      </c>
      <c r="M133" s="58"/>
    </row>
    <row r="134" spans="1:13" ht="15">
      <c r="A134" s="52">
        <v>132</v>
      </c>
      <c r="B134" s="59" t="s">
        <v>1819</v>
      </c>
      <c r="C134" s="126" t="s">
        <v>1820</v>
      </c>
      <c r="D134" s="55">
        <v>2</v>
      </c>
      <c r="E134" s="56" t="s">
        <v>2443</v>
      </c>
      <c r="F134" s="126" t="s">
        <v>12</v>
      </c>
      <c r="G134" s="126" t="s">
        <v>1667</v>
      </c>
      <c r="H134" s="131">
        <v>2</v>
      </c>
      <c r="I134" s="49" t="s">
        <v>3475</v>
      </c>
      <c r="J134" s="52"/>
      <c r="K134" s="49"/>
      <c r="L134" s="49" t="s">
        <v>4522</v>
      </c>
      <c r="M134" s="58"/>
    </row>
    <row r="135" spans="1:13" ht="15">
      <c r="A135" s="52">
        <v>133</v>
      </c>
      <c r="B135" s="53" t="s">
        <v>773</v>
      </c>
      <c r="C135" s="126" t="s">
        <v>775</v>
      </c>
      <c r="D135" s="55">
        <v>1</v>
      </c>
      <c r="E135" s="56" t="s">
        <v>2443</v>
      </c>
      <c r="F135" s="126" t="s">
        <v>12</v>
      </c>
      <c r="G135" s="126" t="s">
        <v>1667</v>
      </c>
      <c r="H135" s="131">
        <v>1</v>
      </c>
      <c r="I135" s="49" t="s">
        <v>2444</v>
      </c>
      <c r="J135" s="52">
        <v>3</v>
      </c>
      <c r="K135" s="49"/>
      <c r="L135" s="49" t="s">
        <v>4523</v>
      </c>
      <c r="M135" s="58">
        <v>45533</v>
      </c>
    </row>
    <row r="136" spans="1:13" ht="15">
      <c r="A136" s="52">
        <v>134</v>
      </c>
      <c r="B136" s="59" t="s">
        <v>924</v>
      </c>
      <c r="C136" s="126" t="s">
        <v>925</v>
      </c>
      <c r="D136" s="55">
        <v>1</v>
      </c>
      <c r="E136" s="56" t="s">
        <v>2443</v>
      </c>
      <c r="F136" s="126" t="s">
        <v>12</v>
      </c>
      <c r="G136" s="126" t="s">
        <v>1667</v>
      </c>
      <c r="H136" s="131">
        <v>1</v>
      </c>
      <c r="I136" s="49" t="s">
        <v>2444</v>
      </c>
      <c r="J136" s="52">
        <v>3</v>
      </c>
      <c r="K136" s="49"/>
      <c r="L136" s="49" t="s">
        <v>4524</v>
      </c>
      <c r="M136" s="58"/>
    </row>
    <row r="137" spans="1:13" ht="15">
      <c r="A137" s="52">
        <v>135</v>
      </c>
      <c r="B137" s="59" t="s">
        <v>1970</v>
      </c>
      <c r="C137" s="126" t="s">
        <v>1972</v>
      </c>
      <c r="D137" s="55">
        <v>1</v>
      </c>
      <c r="E137" s="56" t="s">
        <v>2443</v>
      </c>
      <c r="F137" s="126" t="s">
        <v>12</v>
      </c>
      <c r="G137" s="126" t="s">
        <v>1667</v>
      </c>
      <c r="H137" s="131">
        <v>1</v>
      </c>
      <c r="I137" s="49" t="s">
        <v>2548</v>
      </c>
      <c r="J137" s="52">
        <v>3</v>
      </c>
      <c r="K137" s="49"/>
      <c r="L137" s="49" t="s">
        <v>4525</v>
      </c>
      <c r="M137" s="58"/>
    </row>
    <row r="138" spans="1:13" ht="15">
      <c r="A138" s="52">
        <v>136</v>
      </c>
      <c r="B138" s="60" t="s">
        <v>544</v>
      </c>
      <c r="C138" s="126" t="s">
        <v>116</v>
      </c>
      <c r="D138" s="52">
        <v>1</v>
      </c>
      <c r="E138" s="56" t="s">
        <v>2388</v>
      </c>
      <c r="F138" s="126" t="s">
        <v>12</v>
      </c>
      <c r="G138" s="126" t="s">
        <v>1667</v>
      </c>
      <c r="H138" s="131">
        <v>1</v>
      </c>
      <c r="I138" s="49" t="s">
        <v>2389</v>
      </c>
      <c r="J138" s="52"/>
      <c r="K138" s="49"/>
      <c r="L138" s="49" t="s">
        <v>4526</v>
      </c>
      <c r="M138" s="58"/>
    </row>
    <row r="139" spans="1:13" ht="15">
      <c r="A139" s="52">
        <v>137</v>
      </c>
      <c r="B139" s="60" t="s">
        <v>879</v>
      </c>
      <c r="C139" s="126" t="s">
        <v>881</v>
      </c>
      <c r="D139" s="52">
        <v>1</v>
      </c>
      <c r="E139" s="56" t="s">
        <v>2391</v>
      </c>
      <c r="F139" s="126" t="s">
        <v>12</v>
      </c>
      <c r="G139" s="126" t="s">
        <v>1667</v>
      </c>
      <c r="H139" s="131">
        <v>1</v>
      </c>
      <c r="I139" s="49" t="s">
        <v>4437</v>
      </c>
      <c r="J139" s="52">
        <v>2</v>
      </c>
      <c r="K139" s="49"/>
      <c r="L139" s="49" t="s">
        <v>4527</v>
      </c>
      <c r="M139" s="58"/>
    </row>
    <row r="140" spans="1:13" ht="15">
      <c r="A140" s="52">
        <v>138</v>
      </c>
      <c r="B140" s="53" t="s">
        <v>1088</v>
      </c>
      <c r="C140" s="126" t="s">
        <v>1090</v>
      </c>
      <c r="D140" s="52">
        <v>1</v>
      </c>
      <c r="E140" s="56" t="s">
        <v>2391</v>
      </c>
      <c r="F140" s="126" t="s">
        <v>12</v>
      </c>
      <c r="G140" s="126" t="s">
        <v>1667</v>
      </c>
      <c r="H140" s="131">
        <v>1</v>
      </c>
      <c r="I140" s="49" t="s">
        <v>2447</v>
      </c>
      <c r="J140" s="52"/>
      <c r="K140" s="49"/>
      <c r="L140" s="49" t="s">
        <v>4528</v>
      </c>
      <c r="M140" s="49"/>
    </row>
    <row r="141" spans="1:13" ht="15">
      <c r="A141" s="52">
        <v>139</v>
      </c>
      <c r="B141" s="53" t="s">
        <v>1092</v>
      </c>
      <c r="C141" s="126" t="s">
        <v>1094</v>
      </c>
      <c r="D141" s="55">
        <v>1</v>
      </c>
      <c r="E141" s="56" t="s">
        <v>2391</v>
      </c>
      <c r="F141" s="126" t="s">
        <v>12</v>
      </c>
      <c r="G141" s="126" t="s">
        <v>1667</v>
      </c>
      <c r="H141" s="131">
        <v>1</v>
      </c>
      <c r="I141" s="49" t="s">
        <v>4437</v>
      </c>
      <c r="J141" s="52">
        <v>3</v>
      </c>
      <c r="K141" s="49"/>
      <c r="L141" s="49" t="s">
        <v>4529</v>
      </c>
      <c r="M141" s="58"/>
    </row>
    <row r="142" spans="1:13" ht="15">
      <c r="A142" s="52">
        <v>140</v>
      </c>
      <c r="B142" s="53" t="s">
        <v>1095</v>
      </c>
      <c r="C142" s="126" t="s">
        <v>316</v>
      </c>
      <c r="D142" s="55">
        <v>1</v>
      </c>
      <c r="E142" s="56" t="s">
        <v>2391</v>
      </c>
      <c r="F142" s="126" t="s">
        <v>12</v>
      </c>
      <c r="G142" s="126" t="s">
        <v>1667</v>
      </c>
      <c r="H142" s="131">
        <v>1</v>
      </c>
      <c r="I142" s="49" t="s">
        <v>4437</v>
      </c>
      <c r="J142" s="52">
        <v>2</v>
      </c>
      <c r="K142" s="49"/>
      <c r="L142" s="49" t="s">
        <v>4530</v>
      </c>
      <c r="M142" s="58"/>
    </row>
    <row r="143" spans="1:13" ht="15">
      <c r="A143" s="52">
        <v>141</v>
      </c>
      <c r="B143" s="60" t="s">
        <v>1122</v>
      </c>
      <c r="C143" s="126" t="s">
        <v>1124</v>
      </c>
      <c r="D143" s="52">
        <v>1</v>
      </c>
      <c r="E143" s="56" t="s">
        <v>2391</v>
      </c>
      <c r="F143" s="126" t="s">
        <v>12</v>
      </c>
      <c r="G143" s="126" t="s">
        <v>1667</v>
      </c>
      <c r="H143" s="131">
        <v>1</v>
      </c>
      <c r="I143" s="49" t="s">
        <v>4440</v>
      </c>
      <c r="J143" s="52">
        <v>2</v>
      </c>
      <c r="K143" s="49" t="s">
        <v>3365</v>
      </c>
      <c r="L143" s="49" t="s">
        <v>4531</v>
      </c>
      <c r="M143" s="58"/>
    </row>
    <row r="144" spans="1:13" ht="15">
      <c r="A144" s="52">
        <v>142</v>
      </c>
      <c r="B144" s="60" t="s">
        <v>1125</v>
      </c>
      <c r="C144" s="126" t="s">
        <v>1126</v>
      </c>
      <c r="D144" s="52">
        <v>1</v>
      </c>
      <c r="E144" s="56" t="s">
        <v>2391</v>
      </c>
      <c r="F144" s="126" t="s">
        <v>12</v>
      </c>
      <c r="G144" s="126" t="s">
        <v>1667</v>
      </c>
      <c r="H144" s="131">
        <v>1</v>
      </c>
      <c r="I144" s="49" t="s">
        <v>4440</v>
      </c>
      <c r="J144" s="52">
        <v>2</v>
      </c>
      <c r="K144" s="49" t="s">
        <v>3365</v>
      </c>
      <c r="L144" s="49" t="s">
        <v>4532</v>
      </c>
      <c r="M144" s="58"/>
    </row>
    <row r="145" spans="1:13" ht="15">
      <c r="A145" s="52">
        <v>143</v>
      </c>
      <c r="B145" s="60" t="s">
        <v>562</v>
      </c>
      <c r="C145" s="126" t="s">
        <v>564</v>
      </c>
      <c r="D145" s="52">
        <v>1</v>
      </c>
      <c r="E145" s="56" t="s">
        <v>2391</v>
      </c>
      <c r="F145" s="126" t="s">
        <v>12</v>
      </c>
      <c r="G145" s="126" t="s">
        <v>1667</v>
      </c>
      <c r="H145" s="131">
        <v>1</v>
      </c>
      <c r="I145" s="49" t="s">
        <v>4437</v>
      </c>
      <c r="J145" s="52"/>
      <c r="K145" s="49"/>
      <c r="L145" s="49" t="s">
        <v>4533</v>
      </c>
      <c r="M145" s="58"/>
    </row>
    <row r="146" spans="1:13" ht="15">
      <c r="A146" s="52">
        <v>144</v>
      </c>
      <c r="B146" s="53" t="s">
        <v>1232</v>
      </c>
      <c r="C146" s="126" t="s">
        <v>560</v>
      </c>
      <c r="D146" s="55">
        <v>2</v>
      </c>
      <c r="E146" s="56" t="s">
        <v>2391</v>
      </c>
      <c r="F146" s="126" t="s">
        <v>12</v>
      </c>
      <c r="G146" s="126" t="s">
        <v>1667</v>
      </c>
      <c r="H146" s="131">
        <v>2</v>
      </c>
      <c r="I146" s="49" t="s">
        <v>4437</v>
      </c>
      <c r="J146" s="52">
        <v>2</v>
      </c>
      <c r="K146" s="49"/>
      <c r="L146" s="49" t="s">
        <v>4534</v>
      </c>
      <c r="M146" s="58"/>
    </row>
    <row r="147" spans="1:13" ht="15">
      <c r="A147" s="52">
        <v>145</v>
      </c>
      <c r="B147" s="60" t="s">
        <v>746</v>
      </c>
      <c r="C147" s="126" t="s">
        <v>41</v>
      </c>
      <c r="D147" s="52">
        <v>1</v>
      </c>
      <c r="E147" s="56" t="s">
        <v>2391</v>
      </c>
      <c r="F147" s="126" t="s">
        <v>12</v>
      </c>
      <c r="G147" s="126" t="s">
        <v>1667</v>
      </c>
      <c r="H147" s="131">
        <v>1</v>
      </c>
      <c r="I147" s="49" t="s">
        <v>4437</v>
      </c>
      <c r="J147" s="52">
        <v>3</v>
      </c>
      <c r="K147" s="49"/>
      <c r="L147" s="49" t="s">
        <v>4535</v>
      </c>
      <c r="M147" s="58"/>
    </row>
    <row r="148" spans="1:13" ht="15">
      <c r="A148" s="52">
        <v>146</v>
      </c>
      <c r="B148" s="53" t="s">
        <v>1239</v>
      </c>
      <c r="C148" s="126" t="s">
        <v>116</v>
      </c>
      <c r="D148" s="55">
        <v>1</v>
      </c>
      <c r="E148" s="56" t="s">
        <v>2391</v>
      </c>
      <c r="F148" s="126" t="s">
        <v>12</v>
      </c>
      <c r="G148" s="126" t="s">
        <v>1667</v>
      </c>
      <c r="H148" s="131">
        <v>1</v>
      </c>
      <c r="I148" s="49" t="s">
        <v>4437</v>
      </c>
      <c r="J148" s="52"/>
      <c r="K148" s="49"/>
      <c r="L148" s="49" t="s">
        <v>4536</v>
      </c>
      <c r="M148" s="58"/>
    </row>
    <row r="149" spans="1:13" ht="15">
      <c r="A149" s="52">
        <v>147</v>
      </c>
      <c r="B149" s="53" t="s">
        <v>1270</v>
      </c>
      <c r="C149" s="126" t="s">
        <v>116</v>
      </c>
      <c r="D149" s="55">
        <v>1</v>
      </c>
      <c r="E149" s="56" t="s">
        <v>2391</v>
      </c>
      <c r="F149" s="126" t="s">
        <v>12</v>
      </c>
      <c r="G149" s="126" t="s">
        <v>1667</v>
      </c>
      <c r="H149" s="131">
        <v>1</v>
      </c>
      <c r="I149" s="49" t="s">
        <v>4437</v>
      </c>
      <c r="J149" s="52">
        <v>2</v>
      </c>
      <c r="K149" s="49"/>
      <c r="L149" s="49" t="s">
        <v>4537</v>
      </c>
      <c r="M149" s="58"/>
    </row>
    <row r="150" spans="1:13" ht="15">
      <c r="A150" s="52">
        <v>148</v>
      </c>
      <c r="B150" s="53" t="s">
        <v>954</v>
      </c>
      <c r="C150" s="126" t="s">
        <v>956</v>
      </c>
      <c r="D150" s="55">
        <v>1</v>
      </c>
      <c r="E150" s="56" t="s">
        <v>2385</v>
      </c>
      <c r="F150" s="126" t="s">
        <v>308</v>
      </c>
      <c r="G150" s="126" t="s">
        <v>1667</v>
      </c>
      <c r="H150" s="131">
        <v>1</v>
      </c>
      <c r="I150" s="49" t="s">
        <v>2386</v>
      </c>
      <c r="J150" s="52">
        <v>2</v>
      </c>
      <c r="K150" s="49"/>
      <c r="L150" s="49" t="s">
        <v>4538</v>
      </c>
      <c r="M150" s="58"/>
    </row>
    <row r="151" spans="1:13" ht="15">
      <c r="A151" s="52">
        <v>149</v>
      </c>
      <c r="B151" s="53" t="s">
        <v>515</v>
      </c>
      <c r="C151" s="126" t="s">
        <v>517</v>
      </c>
      <c r="D151" s="55">
        <v>1</v>
      </c>
      <c r="E151" s="56" t="s">
        <v>2385</v>
      </c>
      <c r="F151" s="126" t="s">
        <v>308</v>
      </c>
      <c r="G151" s="126" t="s">
        <v>1667</v>
      </c>
      <c r="H151" s="131">
        <v>1</v>
      </c>
      <c r="I151" s="49" t="s">
        <v>2386</v>
      </c>
      <c r="J151" s="52">
        <v>1</v>
      </c>
      <c r="K151" s="49" t="s">
        <v>3365</v>
      </c>
      <c r="L151" s="49" t="s">
        <v>4539</v>
      </c>
      <c r="M151" s="58"/>
    </row>
    <row r="152" spans="1:13" ht="15">
      <c r="A152" s="52">
        <v>150</v>
      </c>
      <c r="B152" s="59" t="s">
        <v>518</v>
      </c>
      <c r="C152" s="126" t="s">
        <v>519</v>
      </c>
      <c r="D152" s="55">
        <v>1</v>
      </c>
      <c r="E152" s="56" t="s">
        <v>2385</v>
      </c>
      <c r="F152" s="126" t="s">
        <v>308</v>
      </c>
      <c r="G152" s="126" t="s">
        <v>1667</v>
      </c>
      <c r="H152" s="131">
        <v>1</v>
      </c>
      <c r="I152" s="49" t="s">
        <v>2386</v>
      </c>
      <c r="J152" s="52">
        <v>3</v>
      </c>
      <c r="K152" s="49" t="s">
        <v>3365</v>
      </c>
      <c r="L152" s="49" t="s">
        <v>4540</v>
      </c>
      <c r="M152" s="58"/>
    </row>
    <row r="153" spans="1:13" ht="15">
      <c r="A153" s="52">
        <v>151</v>
      </c>
      <c r="B153" s="53" t="s">
        <v>1341</v>
      </c>
      <c r="C153" s="126" t="s">
        <v>1343</v>
      </c>
      <c r="D153" s="55">
        <v>2</v>
      </c>
      <c r="E153" s="56" t="s">
        <v>2385</v>
      </c>
      <c r="F153" s="126" t="s">
        <v>308</v>
      </c>
      <c r="G153" s="126" t="s">
        <v>1667</v>
      </c>
      <c r="H153" s="131">
        <v>2</v>
      </c>
      <c r="I153" s="49" t="s">
        <v>2386</v>
      </c>
      <c r="J153" s="52">
        <v>3</v>
      </c>
      <c r="K153" s="49"/>
      <c r="L153" s="49" t="s">
        <v>4541</v>
      </c>
      <c r="M153" s="58">
        <v>45533</v>
      </c>
    </row>
    <row r="154" spans="1:13" ht="15">
      <c r="A154" s="52">
        <v>152</v>
      </c>
      <c r="B154" s="59" t="s">
        <v>740</v>
      </c>
      <c r="C154" s="126" t="s">
        <v>41</v>
      </c>
      <c r="D154" s="55">
        <v>1</v>
      </c>
      <c r="E154" s="56" t="s">
        <v>2385</v>
      </c>
      <c r="F154" s="126" t="s">
        <v>308</v>
      </c>
      <c r="G154" s="126" t="s">
        <v>1667</v>
      </c>
      <c r="H154" s="131">
        <v>1</v>
      </c>
      <c r="I154" s="49" t="s">
        <v>2386</v>
      </c>
      <c r="J154" s="52">
        <v>2</v>
      </c>
      <c r="K154" s="49"/>
      <c r="L154" s="49" t="s">
        <v>4542</v>
      </c>
      <c r="M154" s="58"/>
    </row>
    <row r="155" spans="1:13" ht="15">
      <c r="A155" s="52">
        <v>153</v>
      </c>
      <c r="B155" s="53" t="s">
        <v>818</v>
      </c>
      <c r="C155" s="126" t="s">
        <v>820</v>
      </c>
      <c r="D155" s="55">
        <v>1</v>
      </c>
      <c r="E155" s="56" t="s">
        <v>2427</v>
      </c>
      <c r="F155" s="126" t="s">
        <v>308</v>
      </c>
      <c r="G155" s="126" t="s">
        <v>1667</v>
      </c>
      <c r="H155" s="131">
        <v>1</v>
      </c>
      <c r="I155" s="49" t="s">
        <v>2428</v>
      </c>
      <c r="J155" s="52">
        <v>4</v>
      </c>
      <c r="K155" s="49"/>
      <c r="L155" s="188" t="s">
        <v>4543</v>
      </c>
      <c r="M155" s="58"/>
    </row>
    <row r="156" spans="1:13" ht="15">
      <c r="A156" s="52">
        <v>154</v>
      </c>
      <c r="B156" s="53" t="s">
        <v>821</v>
      </c>
      <c r="C156" s="126" t="s">
        <v>820</v>
      </c>
      <c r="D156" s="55">
        <v>1</v>
      </c>
      <c r="E156" s="56" t="s">
        <v>2427</v>
      </c>
      <c r="F156" s="126" t="s">
        <v>308</v>
      </c>
      <c r="G156" s="126" t="s">
        <v>1667</v>
      </c>
      <c r="H156" s="131">
        <v>1</v>
      </c>
      <c r="I156" s="49" t="s">
        <v>2428</v>
      </c>
      <c r="J156" s="52">
        <v>1</v>
      </c>
      <c r="K156" s="49"/>
      <c r="L156" s="49" t="s">
        <v>4544</v>
      </c>
      <c r="M156" s="58"/>
    </row>
    <row r="157" spans="1:13" ht="15">
      <c r="A157" s="52">
        <v>155</v>
      </c>
      <c r="B157" s="53" t="s">
        <v>1102</v>
      </c>
      <c r="C157" s="126" t="s">
        <v>1103</v>
      </c>
      <c r="D157" s="55">
        <v>1</v>
      </c>
      <c r="E157" s="56" t="s">
        <v>2427</v>
      </c>
      <c r="F157" s="126" t="s">
        <v>308</v>
      </c>
      <c r="G157" s="126" t="s">
        <v>1667</v>
      </c>
      <c r="H157" s="131">
        <v>1</v>
      </c>
      <c r="I157" s="49" t="s">
        <v>2428</v>
      </c>
      <c r="J157" s="52">
        <v>1</v>
      </c>
      <c r="K157" s="49"/>
      <c r="L157" s="49" t="s">
        <v>4545</v>
      </c>
      <c r="M157" s="58"/>
    </row>
    <row r="158" spans="1:13" ht="15">
      <c r="A158" s="52">
        <v>156</v>
      </c>
      <c r="B158" s="59" t="s">
        <v>1104</v>
      </c>
      <c r="C158" s="126" t="s">
        <v>1103</v>
      </c>
      <c r="D158" s="55">
        <v>1</v>
      </c>
      <c r="E158" s="56" t="s">
        <v>2427</v>
      </c>
      <c r="F158" s="126" t="s">
        <v>308</v>
      </c>
      <c r="G158" s="126" t="s">
        <v>1667</v>
      </c>
      <c r="H158" s="131">
        <v>1</v>
      </c>
      <c r="I158" s="49" t="s">
        <v>2428</v>
      </c>
      <c r="J158" s="52">
        <v>1</v>
      </c>
      <c r="K158" s="49"/>
      <c r="L158" s="49" t="s">
        <v>4546</v>
      </c>
      <c r="M158" s="58"/>
    </row>
    <row r="159" spans="1:13" ht="15">
      <c r="A159" s="52">
        <v>157</v>
      </c>
      <c r="B159" s="53" t="s">
        <v>1105</v>
      </c>
      <c r="C159" s="126" t="s">
        <v>1107</v>
      </c>
      <c r="D159" s="55">
        <v>1</v>
      </c>
      <c r="E159" s="56" t="s">
        <v>2437</v>
      </c>
      <c r="F159" s="126" t="s">
        <v>308</v>
      </c>
      <c r="G159" s="126" t="s">
        <v>1667</v>
      </c>
      <c r="H159" s="131">
        <v>1</v>
      </c>
      <c r="I159" s="49" t="s">
        <v>2438</v>
      </c>
      <c r="J159" s="52">
        <v>4</v>
      </c>
      <c r="K159" s="49"/>
      <c r="L159" s="49" t="s">
        <v>4547</v>
      </c>
      <c r="M159" s="58"/>
    </row>
    <row r="160" spans="1:13" ht="15">
      <c r="A160" s="52">
        <v>158</v>
      </c>
      <c r="B160" s="53" t="s">
        <v>786</v>
      </c>
      <c r="C160" s="126" t="s">
        <v>521</v>
      </c>
      <c r="D160" s="55">
        <v>1</v>
      </c>
      <c r="E160" s="56" t="s">
        <v>2443</v>
      </c>
      <c r="F160" s="126" t="s">
        <v>308</v>
      </c>
      <c r="G160" s="126" t="s">
        <v>1667</v>
      </c>
      <c r="H160" s="131">
        <v>1</v>
      </c>
      <c r="I160" s="49" t="s">
        <v>2444</v>
      </c>
      <c r="J160" s="52">
        <v>3</v>
      </c>
      <c r="K160" s="49"/>
      <c r="L160" s="49" t="s">
        <v>4548</v>
      </c>
      <c r="M160" s="58"/>
    </row>
    <row r="161" spans="1:13" ht="15">
      <c r="A161" s="52">
        <v>159</v>
      </c>
      <c r="B161" s="59" t="s">
        <v>834</v>
      </c>
      <c r="C161" s="126" t="s">
        <v>835</v>
      </c>
      <c r="D161" s="55">
        <v>1</v>
      </c>
      <c r="E161" s="56" t="s">
        <v>2443</v>
      </c>
      <c r="F161" s="126" t="s">
        <v>308</v>
      </c>
      <c r="G161" s="126" t="s">
        <v>1667</v>
      </c>
      <c r="H161" s="131">
        <v>1</v>
      </c>
      <c r="I161" s="49" t="s">
        <v>2444</v>
      </c>
      <c r="J161" s="52">
        <v>4</v>
      </c>
      <c r="K161" s="49"/>
      <c r="L161" s="49" t="s">
        <v>4549</v>
      </c>
      <c r="M161" s="58"/>
    </row>
    <row r="162" spans="1:13" ht="15">
      <c r="A162" s="52">
        <v>160</v>
      </c>
      <c r="B162" s="53" t="s">
        <v>847</v>
      </c>
      <c r="C162" s="126" t="s">
        <v>848</v>
      </c>
      <c r="D162" s="55">
        <v>2</v>
      </c>
      <c r="E162" s="56" t="s">
        <v>2443</v>
      </c>
      <c r="F162" s="126" t="s">
        <v>308</v>
      </c>
      <c r="G162" s="126" t="s">
        <v>1667</v>
      </c>
      <c r="H162" s="131">
        <v>2</v>
      </c>
      <c r="I162" s="49" t="s">
        <v>2444</v>
      </c>
      <c r="J162" s="52">
        <v>3</v>
      </c>
      <c r="K162" s="49"/>
      <c r="L162" s="49" t="s">
        <v>4550</v>
      </c>
      <c r="M162" s="58"/>
    </row>
    <row r="163" spans="1:13" ht="15">
      <c r="A163" s="52">
        <v>161</v>
      </c>
      <c r="B163" s="59" t="s">
        <v>951</v>
      </c>
      <c r="C163" s="126" t="s">
        <v>952</v>
      </c>
      <c r="D163" s="55">
        <v>1</v>
      </c>
      <c r="E163" s="56" t="s">
        <v>2443</v>
      </c>
      <c r="F163" s="126" t="s">
        <v>308</v>
      </c>
      <c r="G163" s="126" t="s">
        <v>1667</v>
      </c>
      <c r="H163" s="131">
        <v>1</v>
      </c>
      <c r="I163" s="49" t="s">
        <v>2548</v>
      </c>
      <c r="J163" s="52">
        <v>3</v>
      </c>
      <c r="K163" s="49"/>
      <c r="L163" s="49" t="s">
        <v>4551</v>
      </c>
      <c r="M163" s="58"/>
    </row>
    <row r="164" spans="1:13" ht="15">
      <c r="A164" s="52">
        <v>162</v>
      </c>
      <c r="B164" s="60" t="s">
        <v>953</v>
      </c>
      <c r="C164" s="126" t="s">
        <v>952</v>
      </c>
      <c r="D164" s="55">
        <v>1</v>
      </c>
      <c r="E164" s="56" t="s">
        <v>2443</v>
      </c>
      <c r="F164" s="126" t="s">
        <v>308</v>
      </c>
      <c r="G164" s="126" t="s">
        <v>1667</v>
      </c>
      <c r="H164" s="131">
        <v>1</v>
      </c>
      <c r="I164" s="49" t="s">
        <v>2444</v>
      </c>
      <c r="J164" s="52">
        <v>4</v>
      </c>
      <c r="K164" s="49"/>
      <c r="L164" s="49" t="s">
        <v>4552</v>
      </c>
      <c r="M164" s="58"/>
    </row>
    <row r="165" spans="1:13" ht="15">
      <c r="A165" s="52">
        <v>163</v>
      </c>
      <c r="B165" s="59" t="s">
        <v>957</v>
      </c>
      <c r="C165" s="126" t="s">
        <v>366</v>
      </c>
      <c r="D165" s="55">
        <v>1</v>
      </c>
      <c r="E165" s="56" t="s">
        <v>2443</v>
      </c>
      <c r="F165" s="126" t="s">
        <v>308</v>
      </c>
      <c r="G165" s="126" t="s">
        <v>1667</v>
      </c>
      <c r="H165" s="131">
        <v>1</v>
      </c>
      <c r="I165" s="49" t="s">
        <v>2548</v>
      </c>
      <c r="J165" s="52">
        <v>4</v>
      </c>
      <c r="K165" s="49"/>
      <c r="L165" s="49" t="s">
        <v>4553</v>
      </c>
      <c r="M165" s="58"/>
    </row>
    <row r="166" spans="1:13" ht="15">
      <c r="A166" s="52">
        <v>164</v>
      </c>
      <c r="B166" s="53" t="s">
        <v>959</v>
      </c>
      <c r="C166" s="126" t="s">
        <v>961</v>
      </c>
      <c r="D166" s="55">
        <v>1</v>
      </c>
      <c r="E166" s="56" t="s">
        <v>2443</v>
      </c>
      <c r="F166" s="126" t="s">
        <v>308</v>
      </c>
      <c r="G166" s="126" t="s">
        <v>1667</v>
      </c>
      <c r="H166" s="131">
        <v>1</v>
      </c>
      <c r="I166" s="49" t="s">
        <v>2548</v>
      </c>
      <c r="J166" s="52">
        <v>2</v>
      </c>
      <c r="K166" s="49"/>
      <c r="L166" s="49" t="s">
        <v>4554</v>
      </c>
      <c r="M166" s="58"/>
    </row>
    <row r="167" spans="1:13" ht="15">
      <c r="A167" s="52">
        <v>165</v>
      </c>
      <c r="B167" s="53" t="s">
        <v>962</v>
      </c>
      <c r="C167" s="126" t="s">
        <v>963</v>
      </c>
      <c r="D167" s="55">
        <v>1</v>
      </c>
      <c r="E167" s="56" t="s">
        <v>2443</v>
      </c>
      <c r="F167" s="126" t="s">
        <v>308</v>
      </c>
      <c r="G167" s="126" t="s">
        <v>1667</v>
      </c>
      <c r="H167" s="131">
        <v>1</v>
      </c>
      <c r="I167" s="49" t="s">
        <v>2444</v>
      </c>
      <c r="J167" s="52">
        <v>2</v>
      </c>
      <c r="K167" s="49"/>
      <c r="L167" s="49" t="s">
        <v>4555</v>
      </c>
      <c r="M167" s="58"/>
    </row>
    <row r="168" spans="1:13" ht="15">
      <c r="A168" s="52">
        <v>166</v>
      </c>
      <c r="B168" s="53" t="s">
        <v>968</v>
      </c>
      <c r="C168" s="126" t="s">
        <v>970</v>
      </c>
      <c r="D168" s="55">
        <v>1</v>
      </c>
      <c r="E168" s="56" t="s">
        <v>2443</v>
      </c>
      <c r="F168" s="126" t="s">
        <v>308</v>
      </c>
      <c r="G168" s="126" t="s">
        <v>1667</v>
      </c>
      <c r="H168" s="131">
        <v>1</v>
      </c>
      <c r="I168" s="49" t="s">
        <v>2548</v>
      </c>
      <c r="J168" s="52">
        <v>2</v>
      </c>
      <c r="K168" s="49" t="s">
        <v>3365</v>
      </c>
      <c r="L168" s="49" t="s">
        <v>4556</v>
      </c>
      <c r="M168" s="58"/>
    </row>
    <row r="169" spans="1:13" ht="15">
      <c r="A169" s="52">
        <v>167</v>
      </c>
      <c r="B169" s="59" t="s">
        <v>1108</v>
      </c>
      <c r="C169" s="126" t="s">
        <v>963</v>
      </c>
      <c r="D169" s="55">
        <v>1</v>
      </c>
      <c r="E169" s="56" t="s">
        <v>2443</v>
      </c>
      <c r="F169" s="126" t="s">
        <v>308</v>
      </c>
      <c r="G169" s="126" t="s">
        <v>1667</v>
      </c>
      <c r="H169" s="131">
        <v>1</v>
      </c>
      <c r="I169" s="49" t="s">
        <v>2548</v>
      </c>
      <c r="J169" s="52">
        <v>1</v>
      </c>
      <c r="K169" s="49"/>
      <c r="L169" s="49" t="s">
        <v>4557</v>
      </c>
      <c r="M169" s="58"/>
    </row>
    <row r="170" spans="1:13" ht="15">
      <c r="A170" s="52">
        <v>168</v>
      </c>
      <c r="B170" s="53" t="s">
        <v>1140</v>
      </c>
      <c r="C170" s="126" t="s">
        <v>1141</v>
      </c>
      <c r="D170" s="55">
        <v>1</v>
      </c>
      <c r="E170" s="56" t="s">
        <v>2443</v>
      </c>
      <c r="F170" s="126" t="s">
        <v>308</v>
      </c>
      <c r="G170" s="126" t="s">
        <v>1667</v>
      </c>
      <c r="H170" s="131">
        <v>1</v>
      </c>
      <c r="I170" s="49" t="s">
        <v>2548</v>
      </c>
      <c r="J170" s="52">
        <v>3</v>
      </c>
      <c r="K170" s="49"/>
      <c r="L170" s="49" t="s">
        <v>4558</v>
      </c>
      <c r="M170" s="58"/>
    </row>
    <row r="171" spans="1:13" ht="15">
      <c r="A171" s="52">
        <v>169</v>
      </c>
      <c r="B171" s="60" t="s">
        <v>999</v>
      </c>
      <c r="C171" s="126" t="s">
        <v>1001</v>
      </c>
      <c r="D171" s="52">
        <v>1</v>
      </c>
      <c r="E171" s="56" t="s">
        <v>2391</v>
      </c>
      <c r="F171" s="126" t="s">
        <v>308</v>
      </c>
      <c r="G171" s="126" t="s">
        <v>1667</v>
      </c>
      <c r="H171" s="131">
        <v>1</v>
      </c>
      <c r="I171" s="49" t="s">
        <v>4437</v>
      </c>
      <c r="J171" s="52">
        <v>1</v>
      </c>
      <c r="K171" s="49"/>
      <c r="L171" s="49" t="s">
        <v>4559</v>
      </c>
      <c r="M171" s="58"/>
    </row>
    <row r="172" spans="1:13" ht="15">
      <c r="A172" s="52">
        <v>170</v>
      </c>
      <c r="B172" s="53" t="s">
        <v>1120</v>
      </c>
      <c r="C172" s="126" t="s">
        <v>1121</v>
      </c>
      <c r="D172" s="55">
        <v>2</v>
      </c>
      <c r="E172" s="56" t="s">
        <v>2391</v>
      </c>
      <c r="F172" s="126" t="s">
        <v>308</v>
      </c>
      <c r="G172" s="126" t="s">
        <v>1667</v>
      </c>
      <c r="H172" s="131">
        <v>2</v>
      </c>
      <c r="I172" s="49" t="s">
        <v>4437</v>
      </c>
      <c r="J172" s="52">
        <v>2</v>
      </c>
      <c r="K172" s="49"/>
      <c r="L172" s="49" t="s">
        <v>4560</v>
      </c>
      <c r="M172" s="58"/>
    </row>
    <row r="173" spans="1:13" ht="15">
      <c r="A173" s="52">
        <v>171</v>
      </c>
      <c r="B173" s="60" t="s">
        <v>1020</v>
      </c>
      <c r="C173" s="126" t="s">
        <v>1022</v>
      </c>
      <c r="D173" s="52">
        <v>1</v>
      </c>
      <c r="E173" s="56" t="s">
        <v>2437</v>
      </c>
      <c r="F173" s="126" t="s">
        <v>790</v>
      </c>
      <c r="G173" s="126" t="s">
        <v>1667</v>
      </c>
      <c r="H173" s="131">
        <v>1</v>
      </c>
      <c r="I173" s="49" t="s">
        <v>2438</v>
      </c>
      <c r="J173" s="52">
        <v>2</v>
      </c>
      <c r="K173" s="49"/>
      <c r="L173" s="49" t="s">
        <v>4561</v>
      </c>
      <c r="M173" s="58"/>
    </row>
    <row r="174" spans="1:13" ht="15">
      <c r="A174" s="52">
        <v>172</v>
      </c>
      <c r="B174" s="53" t="s">
        <v>1023</v>
      </c>
      <c r="C174" s="126" t="s">
        <v>789</v>
      </c>
      <c r="D174" s="55">
        <v>1</v>
      </c>
      <c r="E174" s="56" t="s">
        <v>2437</v>
      </c>
      <c r="F174" s="126" t="s">
        <v>790</v>
      </c>
      <c r="G174" s="126" t="s">
        <v>1667</v>
      </c>
      <c r="H174" s="131">
        <v>1</v>
      </c>
      <c r="I174" s="49" t="s">
        <v>2438</v>
      </c>
      <c r="J174" s="52">
        <v>2</v>
      </c>
      <c r="K174" s="49"/>
      <c r="L174" s="49" t="s">
        <v>4562</v>
      </c>
      <c r="M174" s="58"/>
    </row>
    <row r="175" spans="1:13" ht="15">
      <c r="A175" s="52">
        <v>173</v>
      </c>
      <c r="B175" s="53" t="s">
        <v>787</v>
      </c>
      <c r="C175" s="126" t="s">
        <v>789</v>
      </c>
      <c r="D175" s="55">
        <v>1</v>
      </c>
      <c r="E175" s="56" t="s">
        <v>2443</v>
      </c>
      <c r="F175" s="126" t="s">
        <v>790</v>
      </c>
      <c r="G175" s="126" t="s">
        <v>1667</v>
      </c>
      <c r="H175" s="131">
        <v>1</v>
      </c>
      <c r="I175" s="49" t="s">
        <v>2444</v>
      </c>
      <c r="J175" s="52">
        <v>1</v>
      </c>
      <c r="K175" s="49"/>
      <c r="L175" s="49" t="s">
        <v>4563</v>
      </c>
      <c r="M175" s="58"/>
    </row>
    <row r="176" spans="1:13" ht="15">
      <c r="A176" s="52">
        <v>174</v>
      </c>
      <c r="B176" s="60" t="s">
        <v>806</v>
      </c>
      <c r="C176" s="126" t="s">
        <v>808</v>
      </c>
      <c r="D176" s="52">
        <v>1</v>
      </c>
      <c r="E176" s="56" t="s">
        <v>2443</v>
      </c>
      <c r="F176" s="126" t="s">
        <v>790</v>
      </c>
      <c r="G176" s="126" t="s">
        <v>1667</v>
      </c>
      <c r="H176" s="131">
        <v>1</v>
      </c>
      <c r="I176" s="49" t="s">
        <v>2444</v>
      </c>
      <c r="J176" s="52">
        <v>2</v>
      </c>
      <c r="K176" s="49"/>
      <c r="L176" s="49" t="s">
        <v>4564</v>
      </c>
      <c r="M176" s="58"/>
    </row>
    <row r="177" spans="1:13" ht="15">
      <c r="A177" s="52">
        <v>175</v>
      </c>
      <c r="B177" s="60" t="s">
        <v>908</v>
      </c>
      <c r="C177" s="126" t="s">
        <v>910</v>
      </c>
      <c r="D177" s="52">
        <v>1</v>
      </c>
      <c r="E177" s="56" t="s">
        <v>2443</v>
      </c>
      <c r="F177" s="126" t="s">
        <v>790</v>
      </c>
      <c r="G177" s="126" t="s">
        <v>1667</v>
      </c>
      <c r="H177" s="131">
        <v>1</v>
      </c>
      <c r="I177" s="49" t="s">
        <v>2548</v>
      </c>
      <c r="J177" s="52"/>
      <c r="K177" s="49"/>
      <c r="L177" s="49" t="s">
        <v>4565</v>
      </c>
      <c r="M177" s="58"/>
    </row>
    <row r="178" spans="1:13" ht="15">
      <c r="A178" s="52">
        <v>176</v>
      </c>
      <c r="B178" s="60" t="s">
        <v>931</v>
      </c>
      <c r="C178" s="126" t="s">
        <v>933</v>
      </c>
      <c r="D178" s="52">
        <v>1</v>
      </c>
      <c r="E178" s="56" t="s">
        <v>2443</v>
      </c>
      <c r="F178" s="126" t="s">
        <v>790</v>
      </c>
      <c r="G178" s="126" t="s">
        <v>1667</v>
      </c>
      <c r="H178" s="131">
        <v>1</v>
      </c>
      <c r="I178" s="49" t="s">
        <v>2444</v>
      </c>
      <c r="J178" s="52">
        <v>2</v>
      </c>
      <c r="K178" s="49"/>
      <c r="L178" s="49" t="s">
        <v>4566</v>
      </c>
      <c r="M178" s="58"/>
    </row>
    <row r="179" spans="1:13" ht="15">
      <c r="A179" s="52">
        <v>177</v>
      </c>
      <c r="B179" s="60" t="s">
        <v>935</v>
      </c>
      <c r="C179" s="126" t="s">
        <v>937</v>
      </c>
      <c r="D179" s="52">
        <v>1</v>
      </c>
      <c r="E179" s="56" t="s">
        <v>2443</v>
      </c>
      <c r="F179" s="126" t="s">
        <v>790</v>
      </c>
      <c r="G179" s="126" t="s">
        <v>1667</v>
      </c>
      <c r="H179" s="131">
        <v>1</v>
      </c>
      <c r="I179" s="49" t="s">
        <v>2548</v>
      </c>
      <c r="J179" s="52">
        <v>1</v>
      </c>
      <c r="K179" s="49"/>
      <c r="L179" s="49" t="s">
        <v>4567</v>
      </c>
      <c r="M179" s="58"/>
    </row>
    <row r="180" spans="1:13" ht="15">
      <c r="A180" s="52">
        <v>178</v>
      </c>
      <c r="B180" s="60" t="s">
        <v>938</v>
      </c>
      <c r="C180" s="126" t="s">
        <v>939</v>
      </c>
      <c r="D180" s="52">
        <v>1</v>
      </c>
      <c r="E180" s="56" t="s">
        <v>2443</v>
      </c>
      <c r="F180" s="126" t="s">
        <v>790</v>
      </c>
      <c r="G180" s="126" t="s">
        <v>1667</v>
      </c>
      <c r="H180" s="131">
        <v>1</v>
      </c>
      <c r="I180" s="49" t="s">
        <v>2444</v>
      </c>
      <c r="J180" s="52">
        <v>2</v>
      </c>
      <c r="K180" s="49"/>
      <c r="L180" s="49" t="s">
        <v>4568</v>
      </c>
      <c r="M180" s="58"/>
    </row>
    <row r="181" spans="1:13" ht="15">
      <c r="A181" s="52">
        <v>179</v>
      </c>
      <c r="B181" s="60" t="s">
        <v>943</v>
      </c>
      <c r="C181" s="126" t="s">
        <v>945</v>
      </c>
      <c r="D181" s="52">
        <v>1</v>
      </c>
      <c r="E181" s="56" t="s">
        <v>2443</v>
      </c>
      <c r="F181" s="126" t="s">
        <v>790</v>
      </c>
      <c r="G181" s="126" t="s">
        <v>1667</v>
      </c>
      <c r="H181" s="131">
        <v>1</v>
      </c>
      <c r="I181" s="49" t="s">
        <v>2444</v>
      </c>
      <c r="J181" s="52">
        <v>3</v>
      </c>
      <c r="K181" s="49"/>
      <c r="L181" s="49" t="s">
        <v>4569</v>
      </c>
      <c r="M181" s="58"/>
    </row>
    <row r="182" spans="1:13" ht="15">
      <c r="A182" s="52">
        <v>180</v>
      </c>
      <c r="B182" s="60" t="s">
        <v>946</v>
      </c>
      <c r="C182" s="126" t="s">
        <v>947</v>
      </c>
      <c r="D182" s="52">
        <v>1</v>
      </c>
      <c r="E182" s="56" t="s">
        <v>2443</v>
      </c>
      <c r="F182" s="126" t="s">
        <v>790</v>
      </c>
      <c r="G182" s="126" t="s">
        <v>1667</v>
      </c>
      <c r="H182" s="131">
        <v>1</v>
      </c>
      <c r="I182" s="49" t="s">
        <v>2444</v>
      </c>
      <c r="J182" s="52">
        <v>3</v>
      </c>
      <c r="K182" s="49"/>
      <c r="L182" s="49" t="s">
        <v>4570</v>
      </c>
      <c r="M182" s="58"/>
    </row>
    <row r="183" spans="1:13" ht="15">
      <c r="A183" s="52">
        <v>181</v>
      </c>
      <c r="B183" s="60" t="s">
        <v>948</v>
      </c>
      <c r="C183" s="126" t="s">
        <v>949</v>
      </c>
      <c r="D183" s="52">
        <v>1</v>
      </c>
      <c r="E183" s="56" t="s">
        <v>2443</v>
      </c>
      <c r="F183" s="126" t="s">
        <v>790</v>
      </c>
      <c r="G183" s="126" t="s">
        <v>1667</v>
      </c>
      <c r="H183" s="131">
        <v>1</v>
      </c>
      <c r="I183" s="49" t="s">
        <v>2444</v>
      </c>
      <c r="J183" s="52">
        <v>3</v>
      </c>
      <c r="K183" s="49"/>
      <c r="L183" s="49" t="s">
        <v>4571</v>
      </c>
      <c r="M183" s="58"/>
    </row>
    <row r="184" spans="1:13" ht="15">
      <c r="A184" s="52">
        <v>182</v>
      </c>
      <c r="B184" s="60" t="s">
        <v>950</v>
      </c>
      <c r="C184" s="126" t="s">
        <v>945</v>
      </c>
      <c r="D184" s="52">
        <v>1</v>
      </c>
      <c r="E184" s="56" t="s">
        <v>2443</v>
      </c>
      <c r="F184" s="126" t="s">
        <v>790</v>
      </c>
      <c r="G184" s="126" t="s">
        <v>1667</v>
      </c>
      <c r="H184" s="131">
        <v>1</v>
      </c>
      <c r="I184" s="49" t="s">
        <v>2444</v>
      </c>
      <c r="J184" s="52">
        <v>3</v>
      </c>
      <c r="K184" s="49"/>
      <c r="L184" s="49" t="s">
        <v>4572</v>
      </c>
      <c r="M184" s="58"/>
    </row>
    <row r="185" spans="1:13" ht="15">
      <c r="A185" s="52">
        <v>183</v>
      </c>
      <c r="B185" s="60" t="s">
        <v>915</v>
      </c>
      <c r="C185" s="126" t="s">
        <v>917</v>
      </c>
      <c r="D185" s="52">
        <v>1</v>
      </c>
      <c r="E185" s="56" t="s">
        <v>2391</v>
      </c>
      <c r="F185" s="126" t="s">
        <v>790</v>
      </c>
      <c r="G185" s="126" t="s">
        <v>1667</v>
      </c>
      <c r="H185" s="131">
        <v>1</v>
      </c>
      <c r="I185" s="49" t="s">
        <v>4437</v>
      </c>
      <c r="J185" s="52">
        <v>1</v>
      </c>
      <c r="K185" s="49"/>
      <c r="L185" s="49" t="s">
        <v>4573</v>
      </c>
      <c r="M185" s="58"/>
    </row>
    <row r="186" spans="1:13" ht="15">
      <c r="A186" s="52">
        <v>184</v>
      </c>
      <c r="B186" s="60" t="s">
        <v>918</v>
      </c>
      <c r="C186" s="126" t="s">
        <v>321</v>
      </c>
      <c r="D186" s="52">
        <v>1</v>
      </c>
      <c r="E186" s="56" t="s">
        <v>2391</v>
      </c>
      <c r="F186" s="126" t="s">
        <v>790</v>
      </c>
      <c r="G186" s="126" t="s">
        <v>1667</v>
      </c>
      <c r="H186" s="131">
        <v>1</v>
      </c>
      <c r="I186" s="49" t="s">
        <v>4437</v>
      </c>
      <c r="J186" s="52"/>
      <c r="K186" s="49"/>
      <c r="L186" s="49" t="s">
        <v>4574</v>
      </c>
      <c r="M186" s="58"/>
    </row>
    <row r="187" spans="1:13" ht="15">
      <c r="A187" s="52">
        <v>185</v>
      </c>
      <c r="B187" s="60" t="s">
        <v>919</v>
      </c>
      <c r="C187" s="126" t="s">
        <v>321</v>
      </c>
      <c r="D187" s="52">
        <v>1</v>
      </c>
      <c r="E187" s="56" t="s">
        <v>2391</v>
      </c>
      <c r="F187" s="126" t="s">
        <v>790</v>
      </c>
      <c r="G187" s="126" t="s">
        <v>1667</v>
      </c>
      <c r="H187" s="131">
        <v>1</v>
      </c>
      <c r="I187" s="49" t="s">
        <v>4437</v>
      </c>
      <c r="J187" s="52"/>
      <c r="K187" s="49"/>
      <c r="L187" s="49" t="s">
        <v>4575</v>
      </c>
      <c r="M187" s="58"/>
    </row>
    <row r="188" spans="1:13" ht="15">
      <c r="A188" s="52">
        <v>186</v>
      </c>
      <c r="B188" s="53" t="s">
        <v>926</v>
      </c>
      <c r="C188" s="126" t="s">
        <v>321</v>
      </c>
      <c r="D188" s="55">
        <v>1</v>
      </c>
      <c r="E188" s="56" t="s">
        <v>2391</v>
      </c>
      <c r="F188" s="126" t="s">
        <v>790</v>
      </c>
      <c r="G188" s="126" t="s">
        <v>1667</v>
      </c>
      <c r="H188" s="131">
        <v>1</v>
      </c>
      <c r="I188" s="49" t="s">
        <v>4437</v>
      </c>
      <c r="J188" s="52">
        <v>1</v>
      </c>
      <c r="K188" s="49"/>
      <c r="L188" s="49" t="s">
        <v>4576</v>
      </c>
      <c r="M188" s="58"/>
    </row>
    <row r="189" spans="1:13" ht="15">
      <c r="A189" s="52">
        <v>187</v>
      </c>
      <c r="B189" s="53" t="s">
        <v>927</v>
      </c>
      <c r="C189" s="126" t="s">
        <v>321</v>
      </c>
      <c r="D189" s="55">
        <v>1</v>
      </c>
      <c r="E189" s="56" t="s">
        <v>2391</v>
      </c>
      <c r="F189" s="126" t="s">
        <v>790</v>
      </c>
      <c r="G189" s="126" t="s">
        <v>1667</v>
      </c>
      <c r="H189" s="131">
        <v>1</v>
      </c>
      <c r="I189" s="49" t="s">
        <v>4437</v>
      </c>
      <c r="J189" s="52">
        <v>3</v>
      </c>
      <c r="K189" s="49"/>
      <c r="L189" s="49" t="s">
        <v>4577</v>
      </c>
      <c r="M189" s="58">
        <v>45533</v>
      </c>
    </row>
    <row r="190" spans="1:13" ht="15">
      <c r="A190" s="52">
        <v>188</v>
      </c>
      <c r="B190" s="53" t="s">
        <v>928</v>
      </c>
      <c r="C190" s="126" t="s">
        <v>930</v>
      </c>
      <c r="D190" s="55">
        <v>2</v>
      </c>
      <c r="E190" s="56" t="s">
        <v>2391</v>
      </c>
      <c r="F190" s="126" t="s">
        <v>790</v>
      </c>
      <c r="G190" s="126" t="s">
        <v>1667</v>
      </c>
      <c r="H190" s="131">
        <v>2</v>
      </c>
      <c r="I190" s="49" t="s">
        <v>4437</v>
      </c>
      <c r="J190" s="52">
        <v>3</v>
      </c>
      <c r="K190" s="49"/>
      <c r="L190" s="49" t="s">
        <v>4578</v>
      </c>
      <c r="M190" s="58"/>
    </row>
    <row r="191" spans="1:13" ht="15">
      <c r="A191" s="52">
        <v>189</v>
      </c>
      <c r="B191" s="60" t="s">
        <v>940</v>
      </c>
      <c r="C191" s="126" t="s">
        <v>941</v>
      </c>
      <c r="D191" s="55">
        <v>1</v>
      </c>
      <c r="E191" s="56" t="s">
        <v>2391</v>
      </c>
      <c r="F191" s="126" t="s">
        <v>790</v>
      </c>
      <c r="G191" s="126" t="s">
        <v>1667</v>
      </c>
      <c r="H191" s="131">
        <v>1</v>
      </c>
      <c r="I191" s="49" t="s">
        <v>4437</v>
      </c>
      <c r="J191" s="52">
        <v>4</v>
      </c>
      <c r="K191" s="49"/>
      <c r="L191" s="49" t="s">
        <v>4579</v>
      </c>
      <c r="M191" s="58"/>
    </row>
    <row r="192" spans="1:13" ht="15">
      <c r="A192" s="52">
        <v>190</v>
      </c>
      <c r="B192" s="59" t="s">
        <v>942</v>
      </c>
      <c r="C192" s="126" t="s">
        <v>941</v>
      </c>
      <c r="D192" s="55">
        <v>1</v>
      </c>
      <c r="E192" s="56" t="s">
        <v>2391</v>
      </c>
      <c r="F192" s="126" t="s">
        <v>790</v>
      </c>
      <c r="G192" s="126" t="s">
        <v>1667</v>
      </c>
      <c r="H192" s="131">
        <v>1</v>
      </c>
      <c r="I192" s="49" t="s">
        <v>4437</v>
      </c>
      <c r="J192" s="52">
        <v>4</v>
      </c>
      <c r="K192" s="49"/>
      <c r="L192" s="49" t="s">
        <v>4580</v>
      </c>
      <c r="M192" s="58"/>
    </row>
    <row r="193" spans="1:13" ht="15">
      <c r="A193" s="52">
        <v>191</v>
      </c>
      <c r="B193" s="59" t="s">
        <v>1128</v>
      </c>
      <c r="C193" s="126" t="s">
        <v>1130</v>
      </c>
      <c r="D193" s="55">
        <v>1</v>
      </c>
      <c r="E193" s="56" t="s">
        <v>2391</v>
      </c>
      <c r="F193" s="126" t="s">
        <v>790</v>
      </c>
      <c r="G193" s="126" t="s">
        <v>1667</v>
      </c>
      <c r="H193" s="131">
        <v>1</v>
      </c>
      <c r="I193" s="49" t="s">
        <v>2447</v>
      </c>
      <c r="J193" s="52"/>
      <c r="K193" s="49"/>
      <c r="L193" s="49" t="s">
        <v>4581</v>
      </c>
      <c r="M193" s="58"/>
    </row>
    <row r="194" spans="1:13" ht="15">
      <c r="A194" s="52">
        <v>192</v>
      </c>
      <c r="B194" s="60" t="s">
        <v>1006</v>
      </c>
      <c r="C194" s="126" t="s">
        <v>1008</v>
      </c>
      <c r="D194" s="52">
        <v>1</v>
      </c>
      <c r="E194" s="56" t="s">
        <v>2437</v>
      </c>
      <c r="F194" s="126" t="s">
        <v>923</v>
      </c>
      <c r="G194" s="126" t="s">
        <v>1667</v>
      </c>
      <c r="H194" s="131">
        <v>1</v>
      </c>
      <c r="I194" s="49" t="s">
        <v>3336</v>
      </c>
      <c r="J194" s="52"/>
      <c r="K194" s="49"/>
      <c r="L194" s="49" t="s">
        <v>4582</v>
      </c>
      <c r="M194" s="58"/>
    </row>
    <row r="195" spans="1:13" ht="15">
      <c r="A195" s="52">
        <v>193</v>
      </c>
      <c r="B195" s="53" t="s">
        <v>920</v>
      </c>
      <c r="C195" s="126" t="s">
        <v>922</v>
      </c>
      <c r="D195" s="55">
        <v>1</v>
      </c>
      <c r="E195" s="56" t="s">
        <v>2391</v>
      </c>
      <c r="F195" s="126" t="s">
        <v>923</v>
      </c>
      <c r="G195" s="126" t="s">
        <v>1667</v>
      </c>
      <c r="H195" s="131">
        <v>1</v>
      </c>
      <c r="I195" s="49" t="s">
        <v>2447</v>
      </c>
      <c r="J195" s="52"/>
      <c r="K195" s="49"/>
      <c r="L195" s="49" t="s">
        <v>4583</v>
      </c>
      <c r="M195" s="58"/>
    </row>
    <row r="196" spans="1:13" ht="15">
      <c r="A196" s="52">
        <v>194</v>
      </c>
      <c r="B196" s="53" t="s">
        <v>877</v>
      </c>
      <c r="C196" s="126" t="s">
        <v>878</v>
      </c>
      <c r="D196" s="55">
        <v>1</v>
      </c>
      <c r="E196" s="56" t="s">
        <v>2391</v>
      </c>
      <c r="F196" s="126" t="s">
        <v>1875</v>
      </c>
      <c r="G196" s="126" t="s">
        <v>1667</v>
      </c>
      <c r="H196" s="131">
        <v>1</v>
      </c>
      <c r="I196" s="49" t="s">
        <v>3009</v>
      </c>
      <c r="J196" s="52"/>
      <c r="K196" s="49"/>
      <c r="L196" s="49" t="s">
        <v>4584</v>
      </c>
      <c r="M196" s="58"/>
    </row>
    <row r="197" spans="1:13" ht="15">
      <c r="A197" s="52">
        <v>195</v>
      </c>
      <c r="B197" s="53" t="s">
        <v>1883</v>
      </c>
      <c r="C197" s="126" t="s">
        <v>1885</v>
      </c>
      <c r="D197" s="55">
        <v>1</v>
      </c>
      <c r="E197" s="56" t="s">
        <v>2443</v>
      </c>
      <c r="F197" s="126" t="s">
        <v>51</v>
      </c>
      <c r="G197" s="126" t="s">
        <v>1667</v>
      </c>
      <c r="H197" s="131">
        <v>1</v>
      </c>
      <c r="I197" s="49" t="s">
        <v>3555</v>
      </c>
      <c r="J197" s="52"/>
      <c r="K197" s="49"/>
      <c r="L197" s="49" t="s">
        <v>4585</v>
      </c>
      <c r="M197" s="58"/>
    </row>
    <row r="198" spans="1:13" ht="15">
      <c r="A198" s="52">
        <v>196</v>
      </c>
      <c r="B198" s="53" t="s">
        <v>1889</v>
      </c>
      <c r="C198" s="126" t="s">
        <v>1890</v>
      </c>
      <c r="D198" s="55">
        <v>1</v>
      </c>
      <c r="E198" s="56" t="s">
        <v>2437</v>
      </c>
      <c r="F198" s="126" t="s">
        <v>1340</v>
      </c>
      <c r="G198" s="126" t="s">
        <v>1667</v>
      </c>
      <c r="H198" s="131">
        <v>1</v>
      </c>
      <c r="I198" s="49" t="s">
        <v>3336</v>
      </c>
      <c r="J198" s="52"/>
      <c r="K198" s="49"/>
      <c r="L198" s="49" t="s">
        <v>4586</v>
      </c>
      <c r="M198" s="58"/>
    </row>
    <row r="199" spans="1:13" ht="15">
      <c r="A199" s="52">
        <v>197</v>
      </c>
      <c r="B199" s="53" t="s">
        <v>1902</v>
      </c>
      <c r="C199" s="126" t="s">
        <v>1890</v>
      </c>
      <c r="D199" s="55">
        <v>1</v>
      </c>
      <c r="E199" s="56" t="s">
        <v>2437</v>
      </c>
      <c r="F199" s="126" t="s">
        <v>1340</v>
      </c>
      <c r="G199" s="126" t="s">
        <v>1667</v>
      </c>
      <c r="H199" s="131">
        <v>1</v>
      </c>
      <c r="I199" s="49" t="s">
        <v>3336</v>
      </c>
      <c r="J199" s="52"/>
      <c r="K199" s="49"/>
      <c r="L199" s="49" t="s">
        <v>4587</v>
      </c>
      <c r="M199" s="58"/>
    </row>
    <row r="200" spans="1:13" ht="15">
      <c r="A200" s="52">
        <v>198</v>
      </c>
      <c r="B200" s="53" t="s">
        <v>523</v>
      </c>
      <c r="C200" s="126" t="s">
        <v>21</v>
      </c>
      <c r="D200" s="55">
        <v>1</v>
      </c>
      <c r="E200" s="56">
        <v>5</v>
      </c>
      <c r="F200" s="126" t="s">
        <v>22</v>
      </c>
      <c r="G200" s="126" t="s">
        <v>1664</v>
      </c>
      <c r="H200" s="131">
        <v>48</v>
      </c>
      <c r="I200" s="49"/>
      <c r="J200" s="52"/>
      <c r="K200" s="49"/>
      <c r="L200" s="49" t="s">
        <v>4588</v>
      </c>
      <c r="M200" s="58"/>
    </row>
    <row r="201" spans="1:13" ht="15">
      <c r="A201" s="52">
        <v>199</v>
      </c>
      <c r="B201" s="53" t="s">
        <v>780</v>
      </c>
      <c r="C201" s="126" t="s">
        <v>265</v>
      </c>
      <c r="D201" s="55">
        <v>2</v>
      </c>
      <c r="E201" s="56" t="s">
        <v>2385</v>
      </c>
      <c r="F201" s="126" t="s">
        <v>22</v>
      </c>
      <c r="G201" s="126" t="s">
        <v>1664</v>
      </c>
      <c r="H201" s="131">
        <v>16</v>
      </c>
      <c r="I201" s="49" t="s">
        <v>3563</v>
      </c>
      <c r="J201" s="52">
        <v>3</v>
      </c>
      <c r="K201" s="49"/>
      <c r="L201" s="188" t="s">
        <v>4589</v>
      </c>
      <c r="M201" s="58"/>
    </row>
    <row r="202" spans="1:13" ht="15">
      <c r="A202" s="52">
        <v>200</v>
      </c>
      <c r="B202" s="53" t="s">
        <v>781</v>
      </c>
      <c r="C202" s="126" t="s">
        <v>739</v>
      </c>
      <c r="D202" s="55">
        <v>1</v>
      </c>
      <c r="E202" s="56" t="s">
        <v>2385</v>
      </c>
      <c r="F202" s="126" t="s">
        <v>22</v>
      </c>
      <c r="G202" s="126" t="s">
        <v>1664</v>
      </c>
      <c r="H202" s="131">
        <v>8</v>
      </c>
      <c r="I202" s="49" t="s">
        <v>3563</v>
      </c>
      <c r="J202" s="52">
        <v>3</v>
      </c>
      <c r="K202" s="49"/>
      <c r="L202" s="49" t="s">
        <v>4590</v>
      </c>
      <c r="M202" s="58"/>
    </row>
    <row r="203" spans="1:13" ht="15">
      <c r="A203" s="52">
        <v>201</v>
      </c>
      <c r="B203" s="59" t="s">
        <v>782</v>
      </c>
      <c r="C203" s="126" t="s">
        <v>558</v>
      </c>
      <c r="D203" s="55">
        <v>2</v>
      </c>
      <c r="E203" s="56" t="s">
        <v>2385</v>
      </c>
      <c r="F203" s="126" t="s">
        <v>22</v>
      </c>
      <c r="G203" s="126" t="s">
        <v>1664</v>
      </c>
      <c r="H203" s="131">
        <v>16</v>
      </c>
      <c r="I203" s="49" t="s">
        <v>3563</v>
      </c>
      <c r="J203" s="52">
        <v>4</v>
      </c>
      <c r="K203" s="49"/>
      <c r="L203" s="49" t="s">
        <v>4591</v>
      </c>
      <c r="M203" s="58"/>
    </row>
    <row r="204" spans="1:13" ht="15">
      <c r="A204" s="52">
        <v>202</v>
      </c>
      <c r="B204" s="60" t="s">
        <v>793</v>
      </c>
      <c r="C204" s="126" t="s">
        <v>485</v>
      </c>
      <c r="D204" s="52">
        <v>4</v>
      </c>
      <c r="E204" s="56" t="s">
        <v>2385</v>
      </c>
      <c r="F204" s="126" t="s">
        <v>22</v>
      </c>
      <c r="G204" s="126" t="s">
        <v>1664</v>
      </c>
      <c r="H204" s="131">
        <v>32</v>
      </c>
      <c r="I204" s="49" t="s">
        <v>3570</v>
      </c>
      <c r="J204" s="52">
        <v>2</v>
      </c>
      <c r="K204" s="49"/>
      <c r="L204" s="49" t="s">
        <v>4592</v>
      </c>
      <c r="M204" s="58"/>
    </row>
    <row r="205" spans="1:13" ht="15">
      <c r="A205" s="52">
        <v>203</v>
      </c>
      <c r="B205" s="59" t="s">
        <v>486</v>
      </c>
      <c r="C205" s="126" t="s">
        <v>485</v>
      </c>
      <c r="D205" s="55">
        <v>23</v>
      </c>
      <c r="E205" s="56" t="s">
        <v>2385</v>
      </c>
      <c r="F205" s="126" t="s">
        <v>22</v>
      </c>
      <c r="G205" s="126" t="s">
        <v>1664</v>
      </c>
      <c r="H205" s="131">
        <v>232</v>
      </c>
      <c r="I205" s="49" t="s">
        <v>3570</v>
      </c>
      <c r="J205" s="52">
        <v>2</v>
      </c>
      <c r="K205" s="49">
        <v>45973</v>
      </c>
      <c r="L205" s="49" t="s">
        <v>4593</v>
      </c>
      <c r="M205" s="58"/>
    </row>
    <row r="206" spans="1:13" ht="15">
      <c r="A206" s="52">
        <v>204</v>
      </c>
      <c r="B206" s="59" t="s">
        <v>795</v>
      </c>
      <c r="C206" s="126" t="s">
        <v>485</v>
      </c>
      <c r="D206" s="55">
        <v>16</v>
      </c>
      <c r="E206" s="56" t="s">
        <v>2385</v>
      </c>
      <c r="F206" s="126" t="s">
        <v>22</v>
      </c>
      <c r="G206" s="126" t="s">
        <v>1664</v>
      </c>
      <c r="H206" s="131">
        <v>192</v>
      </c>
      <c r="I206" s="49" t="s">
        <v>3563</v>
      </c>
      <c r="J206" s="52">
        <v>2</v>
      </c>
      <c r="K206" s="49">
        <v>45973</v>
      </c>
      <c r="L206" s="49" t="s">
        <v>4594</v>
      </c>
      <c r="M206" s="58"/>
    </row>
    <row r="207" spans="1:13" ht="15">
      <c r="A207" s="52">
        <v>205</v>
      </c>
      <c r="B207" s="53" t="s">
        <v>796</v>
      </c>
      <c r="C207" s="126" t="s">
        <v>485</v>
      </c>
      <c r="D207" s="55">
        <v>2</v>
      </c>
      <c r="E207" s="56" t="s">
        <v>2385</v>
      </c>
      <c r="F207" s="126" t="s">
        <v>22</v>
      </c>
      <c r="G207" s="126" t="s">
        <v>1664</v>
      </c>
      <c r="H207" s="131">
        <v>32</v>
      </c>
      <c r="I207" s="49" t="s">
        <v>3570</v>
      </c>
      <c r="J207" s="52">
        <v>2</v>
      </c>
      <c r="K207" s="49"/>
      <c r="L207" s="49" t="s">
        <v>4595</v>
      </c>
      <c r="M207" s="58"/>
    </row>
    <row r="208" spans="1:13" ht="15">
      <c r="A208" s="52">
        <v>206</v>
      </c>
      <c r="B208" s="49" t="s">
        <v>797</v>
      </c>
      <c r="C208" s="126" t="s">
        <v>485</v>
      </c>
      <c r="D208" s="52">
        <v>2</v>
      </c>
      <c r="E208" s="56" t="s">
        <v>2385</v>
      </c>
      <c r="F208" s="126" t="s">
        <v>22</v>
      </c>
      <c r="G208" s="126" t="s">
        <v>1664</v>
      </c>
      <c r="H208" s="131">
        <v>16</v>
      </c>
      <c r="I208" s="49" t="s">
        <v>3563</v>
      </c>
      <c r="J208" s="52">
        <v>2</v>
      </c>
      <c r="K208" s="49"/>
      <c r="L208" s="188" t="s">
        <v>4596</v>
      </c>
      <c r="M208" s="58"/>
    </row>
    <row r="209" spans="1:13" ht="15">
      <c r="A209" s="52">
        <v>207</v>
      </c>
      <c r="B209" s="53" t="s">
        <v>800</v>
      </c>
      <c r="C209" s="126" t="s">
        <v>485</v>
      </c>
      <c r="D209" s="55">
        <v>2</v>
      </c>
      <c r="E209" s="56" t="s">
        <v>2385</v>
      </c>
      <c r="F209" s="126" t="s">
        <v>22</v>
      </c>
      <c r="G209" s="126" t="s">
        <v>1664</v>
      </c>
      <c r="H209" s="131">
        <v>16</v>
      </c>
      <c r="I209" s="49" t="s">
        <v>3563</v>
      </c>
      <c r="J209" s="52">
        <v>2</v>
      </c>
      <c r="K209" s="49"/>
      <c r="L209" s="49" t="s">
        <v>4597</v>
      </c>
      <c r="M209" s="58"/>
    </row>
    <row r="210" spans="1:13" ht="15">
      <c r="A210" s="52">
        <v>208</v>
      </c>
      <c r="B210" s="53" t="s">
        <v>804</v>
      </c>
      <c r="C210" s="126" t="s">
        <v>485</v>
      </c>
      <c r="D210" s="55">
        <v>4</v>
      </c>
      <c r="E210" s="56" t="s">
        <v>2385</v>
      </c>
      <c r="F210" s="126" t="s">
        <v>22</v>
      </c>
      <c r="G210" s="126" t="s">
        <v>1664</v>
      </c>
      <c r="H210" s="131">
        <v>40</v>
      </c>
      <c r="I210" s="49" t="s">
        <v>3570</v>
      </c>
      <c r="J210" s="52">
        <v>4</v>
      </c>
      <c r="K210" s="49"/>
      <c r="L210" s="49" t="s">
        <v>4598</v>
      </c>
      <c r="M210" s="58"/>
    </row>
    <row r="211" spans="1:13" ht="15">
      <c r="A211" s="52">
        <v>209</v>
      </c>
      <c r="B211" s="60" t="s">
        <v>805</v>
      </c>
      <c r="C211" s="126" t="s">
        <v>485</v>
      </c>
      <c r="D211" s="52">
        <v>7</v>
      </c>
      <c r="E211" s="56" t="s">
        <v>2385</v>
      </c>
      <c r="F211" s="126" t="s">
        <v>22</v>
      </c>
      <c r="G211" s="126" t="s">
        <v>1664</v>
      </c>
      <c r="H211" s="131">
        <v>56</v>
      </c>
      <c r="I211" s="49" t="s">
        <v>3563</v>
      </c>
      <c r="J211" s="52">
        <v>5</v>
      </c>
      <c r="K211" s="49"/>
      <c r="L211" s="49" t="s">
        <v>4599</v>
      </c>
      <c r="M211" s="58"/>
    </row>
    <row r="212" spans="1:13" ht="15">
      <c r="A212" s="52">
        <v>210</v>
      </c>
      <c r="B212" s="60" t="s">
        <v>990</v>
      </c>
      <c r="C212" s="126" t="s">
        <v>489</v>
      </c>
      <c r="D212" s="114">
        <v>1</v>
      </c>
      <c r="E212" s="117" t="s">
        <v>2385</v>
      </c>
      <c r="F212" s="126" t="s">
        <v>22</v>
      </c>
      <c r="G212" s="126" t="s">
        <v>1664</v>
      </c>
      <c r="H212" s="131">
        <v>8</v>
      </c>
      <c r="I212" s="49" t="s">
        <v>3563</v>
      </c>
      <c r="J212" s="52">
        <v>5</v>
      </c>
      <c r="L212" s="10" t="s">
        <v>4600</v>
      </c>
      <c r="M212" s="49"/>
    </row>
    <row r="213" spans="1:13" ht="15">
      <c r="A213" s="52">
        <v>211</v>
      </c>
      <c r="B213" s="53" t="s">
        <v>1081</v>
      </c>
      <c r="C213" s="126" t="s">
        <v>558</v>
      </c>
      <c r="D213" s="55">
        <v>2</v>
      </c>
      <c r="E213" s="56" t="s">
        <v>2385</v>
      </c>
      <c r="F213" s="126" t="s">
        <v>22</v>
      </c>
      <c r="G213" s="126" t="s">
        <v>1664</v>
      </c>
      <c r="H213" s="131">
        <v>16</v>
      </c>
      <c r="I213" s="49" t="s">
        <v>3570</v>
      </c>
      <c r="J213" s="52">
        <v>4</v>
      </c>
      <c r="L213" s="10" t="s">
        <v>4601</v>
      </c>
      <c r="M213" s="58">
        <v>45533</v>
      </c>
    </row>
    <row r="214" spans="1:13" ht="15">
      <c r="A214" s="52">
        <v>212</v>
      </c>
      <c r="B214" s="53" t="s">
        <v>1150</v>
      </c>
      <c r="C214" s="126" t="s">
        <v>558</v>
      </c>
      <c r="D214" s="55">
        <v>5</v>
      </c>
      <c r="E214" s="56" t="s">
        <v>2385</v>
      </c>
      <c r="F214" s="126" t="s">
        <v>22</v>
      </c>
      <c r="G214" s="126" t="s">
        <v>1664</v>
      </c>
      <c r="H214" s="131">
        <v>40</v>
      </c>
      <c r="I214" s="49" t="s">
        <v>3563</v>
      </c>
      <c r="J214" s="52">
        <v>5</v>
      </c>
      <c r="K214" s="49"/>
      <c r="L214" s="49" t="s">
        <v>4602</v>
      </c>
      <c r="M214" s="58"/>
    </row>
    <row r="215" spans="1:13" ht="15">
      <c r="A215" s="52">
        <v>213</v>
      </c>
      <c r="B215" s="60" t="s">
        <v>1153</v>
      </c>
      <c r="C215" s="126" t="s">
        <v>558</v>
      </c>
      <c r="D215" s="52">
        <v>16</v>
      </c>
      <c r="E215" s="56" t="s">
        <v>2385</v>
      </c>
      <c r="F215" s="126" t="s">
        <v>22</v>
      </c>
      <c r="G215" s="126" t="s">
        <v>1664</v>
      </c>
      <c r="H215" s="131">
        <v>688</v>
      </c>
      <c r="I215" s="49" t="s">
        <v>3563</v>
      </c>
      <c r="J215" s="52">
        <v>3</v>
      </c>
      <c r="K215" s="49"/>
      <c r="L215" s="49" t="s">
        <v>4603</v>
      </c>
      <c r="M215" s="58"/>
    </row>
    <row r="216" spans="1:13" ht="15">
      <c r="A216" s="52">
        <v>214</v>
      </c>
      <c r="B216" s="60" t="s">
        <v>1157</v>
      </c>
      <c r="C216" s="126" t="s">
        <v>558</v>
      </c>
      <c r="D216" s="55">
        <v>8</v>
      </c>
      <c r="E216" s="56" t="s">
        <v>2385</v>
      </c>
      <c r="F216" s="126" t="s">
        <v>22</v>
      </c>
      <c r="G216" s="126" t="s">
        <v>1664</v>
      </c>
      <c r="H216" s="131">
        <v>64</v>
      </c>
      <c r="I216" s="49" t="s">
        <v>3563</v>
      </c>
      <c r="J216" s="52">
        <v>3</v>
      </c>
      <c r="K216" s="49"/>
      <c r="L216" s="49" t="s">
        <v>4604</v>
      </c>
      <c r="M216" s="58"/>
    </row>
    <row r="217" spans="1:13" ht="15">
      <c r="A217" s="52">
        <v>215</v>
      </c>
      <c r="B217" s="60" t="s">
        <v>1169</v>
      </c>
      <c r="C217" s="126" t="s">
        <v>630</v>
      </c>
      <c r="D217" s="52">
        <v>1</v>
      </c>
      <c r="E217" s="56" t="s">
        <v>2385</v>
      </c>
      <c r="F217" s="126" t="s">
        <v>22</v>
      </c>
      <c r="G217" s="126" t="s">
        <v>1664</v>
      </c>
      <c r="H217" s="131">
        <v>8</v>
      </c>
      <c r="I217" s="49" t="s">
        <v>3563</v>
      </c>
      <c r="J217" s="52">
        <v>5</v>
      </c>
      <c r="K217" s="49"/>
      <c r="L217" s="49" t="s">
        <v>4605</v>
      </c>
      <c r="M217" s="58"/>
    </row>
    <row r="218" spans="1:13" ht="15">
      <c r="A218" s="52">
        <v>216</v>
      </c>
      <c r="B218" s="60" t="s">
        <v>579</v>
      </c>
      <c r="C218" s="126" t="s">
        <v>489</v>
      </c>
      <c r="D218" s="52">
        <v>6</v>
      </c>
      <c r="E218" s="56" t="s">
        <v>2385</v>
      </c>
      <c r="F218" s="126" t="s">
        <v>22</v>
      </c>
      <c r="G218" s="126" t="s">
        <v>1664</v>
      </c>
      <c r="H218" s="131">
        <v>64</v>
      </c>
      <c r="I218" s="49" t="s">
        <v>3570</v>
      </c>
      <c r="J218" s="52">
        <v>3</v>
      </c>
      <c r="K218" s="49"/>
      <c r="L218" s="49" t="s">
        <v>4606</v>
      </c>
      <c r="M218" s="58"/>
    </row>
    <row r="219" spans="1:13" ht="15">
      <c r="A219" s="52">
        <v>217</v>
      </c>
      <c r="B219" s="60" t="s">
        <v>585</v>
      </c>
      <c r="C219" s="126" t="s">
        <v>587</v>
      </c>
      <c r="D219" s="52">
        <v>6</v>
      </c>
      <c r="E219" s="56" t="s">
        <v>2385</v>
      </c>
      <c r="F219" s="126" t="s">
        <v>22</v>
      </c>
      <c r="G219" s="126" t="s">
        <v>1664</v>
      </c>
      <c r="H219" s="131">
        <v>48</v>
      </c>
      <c r="I219" s="49" t="s">
        <v>3570</v>
      </c>
      <c r="J219" s="52">
        <v>2</v>
      </c>
      <c r="K219" s="49"/>
      <c r="L219" s="49" t="s">
        <v>4607</v>
      </c>
      <c r="M219" s="58"/>
    </row>
    <row r="220" spans="1:13" ht="15">
      <c r="A220" s="52">
        <v>218</v>
      </c>
      <c r="B220" s="53" t="s">
        <v>1178</v>
      </c>
      <c r="C220" s="126" t="s">
        <v>587</v>
      </c>
      <c r="D220" s="55">
        <v>1</v>
      </c>
      <c r="E220" s="56" t="s">
        <v>2385</v>
      </c>
      <c r="F220" s="126" t="s">
        <v>22</v>
      </c>
      <c r="G220" s="126" t="s">
        <v>1664</v>
      </c>
      <c r="H220" s="131">
        <v>32</v>
      </c>
      <c r="I220" s="49" t="s">
        <v>3570</v>
      </c>
      <c r="J220" s="52">
        <v>3</v>
      </c>
      <c r="K220" s="49"/>
      <c r="L220" s="49" t="s">
        <v>4608</v>
      </c>
      <c r="M220" s="58"/>
    </row>
    <row r="221" spans="1:13" ht="15">
      <c r="A221" s="52">
        <v>219</v>
      </c>
      <c r="B221" s="60" t="s">
        <v>1179</v>
      </c>
      <c r="C221" s="126" t="s">
        <v>587</v>
      </c>
      <c r="D221" s="52">
        <v>4</v>
      </c>
      <c r="E221" s="56" t="s">
        <v>2385</v>
      </c>
      <c r="F221" s="126" t="s">
        <v>22</v>
      </c>
      <c r="G221" s="126" t="s">
        <v>1664</v>
      </c>
      <c r="H221" s="131">
        <v>64</v>
      </c>
      <c r="I221" s="49" t="s">
        <v>3570</v>
      </c>
      <c r="J221" s="52">
        <v>3</v>
      </c>
      <c r="K221" s="49"/>
      <c r="L221" s="49" t="s">
        <v>4609</v>
      </c>
      <c r="M221" s="58"/>
    </row>
    <row r="222" spans="1:13" ht="15">
      <c r="A222" s="52">
        <v>220</v>
      </c>
      <c r="B222" s="53" t="s">
        <v>608</v>
      </c>
      <c r="C222" s="126" t="s">
        <v>609</v>
      </c>
      <c r="D222" s="55">
        <v>2</v>
      </c>
      <c r="E222" s="56" t="s">
        <v>2385</v>
      </c>
      <c r="F222" s="126" t="s">
        <v>22</v>
      </c>
      <c r="G222" s="126" t="s">
        <v>1664</v>
      </c>
      <c r="H222" s="131">
        <v>32</v>
      </c>
      <c r="I222" s="49" t="s">
        <v>3570</v>
      </c>
      <c r="J222" s="52">
        <v>2</v>
      </c>
      <c r="K222" s="49"/>
      <c r="L222" s="49" t="s">
        <v>4610</v>
      </c>
      <c r="M222" s="58"/>
    </row>
    <row r="223" spans="1:13" ht="15">
      <c r="A223" s="52">
        <v>221</v>
      </c>
      <c r="B223" s="60" t="s">
        <v>1187</v>
      </c>
      <c r="C223" s="126" t="s">
        <v>1188</v>
      </c>
      <c r="D223" s="52">
        <v>8</v>
      </c>
      <c r="E223" s="56" t="s">
        <v>2385</v>
      </c>
      <c r="F223" s="126" t="s">
        <v>22</v>
      </c>
      <c r="G223" s="126" t="s">
        <v>1664</v>
      </c>
      <c r="H223" s="131">
        <v>88</v>
      </c>
      <c r="I223" s="49" t="s">
        <v>3570</v>
      </c>
      <c r="J223" s="52">
        <v>2</v>
      </c>
      <c r="K223" s="49"/>
      <c r="L223" s="49" t="s">
        <v>4611</v>
      </c>
      <c r="M223" s="58"/>
    </row>
    <row r="224" spans="1:13" ht="15">
      <c r="A224" s="52">
        <v>222</v>
      </c>
      <c r="B224" s="53" t="s">
        <v>615</v>
      </c>
      <c r="C224" s="126" t="s">
        <v>616</v>
      </c>
      <c r="D224" s="55">
        <v>2</v>
      </c>
      <c r="E224" s="56" t="s">
        <v>2385</v>
      </c>
      <c r="F224" s="126" t="s">
        <v>22</v>
      </c>
      <c r="G224" s="126" t="s">
        <v>1664</v>
      </c>
      <c r="H224" s="131">
        <v>16</v>
      </c>
      <c r="I224" s="49" t="s">
        <v>3570</v>
      </c>
      <c r="J224" s="52">
        <v>4</v>
      </c>
      <c r="K224" s="49"/>
      <c r="L224" s="49" t="s">
        <v>4612</v>
      </c>
      <c r="M224" s="58"/>
    </row>
    <row r="225" spans="1:14" ht="15">
      <c r="A225" s="52">
        <v>223</v>
      </c>
      <c r="B225" s="60" t="s">
        <v>1191</v>
      </c>
      <c r="C225" s="126" t="s">
        <v>1193</v>
      </c>
      <c r="D225" s="52">
        <v>4</v>
      </c>
      <c r="E225" s="56" t="s">
        <v>2385</v>
      </c>
      <c r="F225" s="126" t="s">
        <v>22</v>
      </c>
      <c r="G225" s="126" t="s">
        <v>1664</v>
      </c>
      <c r="H225" s="131">
        <v>32</v>
      </c>
      <c r="I225" s="49" t="s">
        <v>3563</v>
      </c>
      <c r="J225" s="52">
        <v>4</v>
      </c>
      <c r="K225" s="49"/>
      <c r="L225" s="49" t="s">
        <v>4613</v>
      </c>
      <c r="M225" s="58"/>
    </row>
    <row r="226" spans="1:14" ht="15">
      <c r="A226" s="52">
        <v>224</v>
      </c>
      <c r="B226" s="60" t="s">
        <v>621</v>
      </c>
      <c r="C226" s="126" t="s">
        <v>622</v>
      </c>
      <c r="D226" s="52">
        <v>8</v>
      </c>
      <c r="E226" s="56" t="s">
        <v>2385</v>
      </c>
      <c r="F226" s="126" t="s">
        <v>22</v>
      </c>
      <c r="G226" s="126" t="s">
        <v>1664</v>
      </c>
      <c r="H226" s="131">
        <v>64</v>
      </c>
      <c r="I226" s="49" t="s">
        <v>3563</v>
      </c>
      <c r="J226" s="52">
        <v>4</v>
      </c>
      <c r="K226" s="49"/>
      <c r="L226" s="49" t="s">
        <v>4614</v>
      </c>
      <c r="M226" s="58"/>
    </row>
    <row r="227" spans="1:14" ht="15">
      <c r="A227" s="52">
        <v>225</v>
      </c>
      <c r="B227" s="60" t="s">
        <v>624</v>
      </c>
      <c r="C227" s="126" t="s">
        <v>625</v>
      </c>
      <c r="D227" s="52">
        <v>4</v>
      </c>
      <c r="E227" s="56" t="s">
        <v>2385</v>
      </c>
      <c r="F227" s="126" t="s">
        <v>22</v>
      </c>
      <c r="G227" s="126" t="s">
        <v>1664</v>
      </c>
      <c r="H227" s="131">
        <v>88</v>
      </c>
      <c r="I227" s="49" t="s">
        <v>3570</v>
      </c>
      <c r="J227" s="52">
        <v>3</v>
      </c>
      <c r="K227" s="49"/>
      <c r="L227" s="49" t="s">
        <v>4615</v>
      </c>
      <c r="M227" s="58"/>
    </row>
    <row r="228" spans="1:14" ht="15">
      <c r="A228" s="52">
        <v>226</v>
      </c>
      <c r="B228" s="60" t="s">
        <v>637</v>
      </c>
      <c r="C228" s="126" t="s">
        <v>638</v>
      </c>
      <c r="D228" s="52">
        <v>13</v>
      </c>
      <c r="E228" s="56" t="s">
        <v>2385</v>
      </c>
      <c r="F228" s="126" t="s">
        <v>22</v>
      </c>
      <c r="G228" s="126" t="s">
        <v>1664</v>
      </c>
      <c r="H228" s="131">
        <v>240</v>
      </c>
      <c r="I228" s="49" t="s">
        <v>3563</v>
      </c>
      <c r="J228" s="52">
        <v>4</v>
      </c>
      <c r="K228" s="49"/>
      <c r="L228" s="49" t="s">
        <v>4616</v>
      </c>
      <c r="M228" s="58"/>
    </row>
    <row r="229" spans="1:14" ht="15">
      <c r="A229" s="52">
        <v>227</v>
      </c>
      <c r="B229" s="60" t="s">
        <v>1198</v>
      </c>
      <c r="C229" s="126" t="s">
        <v>627</v>
      </c>
      <c r="D229" s="52">
        <v>3</v>
      </c>
      <c r="E229" s="56" t="s">
        <v>2385</v>
      </c>
      <c r="F229" s="126" t="s">
        <v>22</v>
      </c>
      <c r="G229" s="126" t="s">
        <v>1664</v>
      </c>
      <c r="H229" s="131">
        <v>24</v>
      </c>
      <c r="I229" s="49" t="s">
        <v>3559</v>
      </c>
      <c r="J229" s="52">
        <v>1</v>
      </c>
      <c r="K229" s="49"/>
      <c r="L229" s="49" t="s">
        <v>4617</v>
      </c>
      <c r="M229" s="58"/>
    </row>
    <row r="230" spans="1:14" ht="15">
      <c r="A230" s="52">
        <v>228</v>
      </c>
      <c r="B230" s="60" t="s">
        <v>644</v>
      </c>
      <c r="C230" s="126" t="s">
        <v>645</v>
      </c>
      <c r="D230" s="52">
        <v>1</v>
      </c>
      <c r="E230" s="56" t="s">
        <v>2385</v>
      </c>
      <c r="F230" s="126" t="s">
        <v>22</v>
      </c>
      <c r="G230" s="126" t="s">
        <v>1664</v>
      </c>
      <c r="H230" s="131">
        <v>8</v>
      </c>
      <c r="I230" s="49" t="s">
        <v>3559</v>
      </c>
      <c r="J230" s="52">
        <v>3</v>
      </c>
      <c r="K230" s="49"/>
      <c r="L230" s="49" t="s">
        <v>4618</v>
      </c>
      <c r="M230" s="58"/>
    </row>
    <row r="231" spans="1:14" ht="15">
      <c r="A231" s="52">
        <v>229</v>
      </c>
      <c r="B231" s="60" t="s">
        <v>646</v>
      </c>
      <c r="C231" s="126" t="s">
        <v>647</v>
      </c>
      <c r="D231" s="52">
        <v>3</v>
      </c>
      <c r="E231" s="56" t="s">
        <v>2385</v>
      </c>
      <c r="F231" s="126" t="s">
        <v>22</v>
      </c>
      <c r="G231" s="126" t="s">
        <v>1664</v>
      </c>
      <c r="H231" s="131">
        <v>104</v>
      </c>
      <c r="I231" s="49" t="s">
        <v>3563</v>
      </c>
      <c r="J231" s="52">
        <v>3</v>
      </c>
      <c r="K231" s="49"/>
      <c r="L231" s="49" t="s">
        <v>4619</v>
      </c>
      <c r="M231" s="58"/>
    </row>
    <row r="232" spans="1:14" ht="15">
      <c r="A232" s="52">
        <v>230</v>
      </c>
      <c r="B232" s="60" t="s">
        <v>1201</v>
      </c>
      <c r="C232" s="126" t="s">
        <v>587</v>
      </c>
      <c r="D232" s="52">
        <v>1</v>
      </c>
      <c r="E232" s="56" t="s">
        <v>2385</v>
      </c>
      <c r="F232" s="126" t="s">
        <v>22</v>
      </c>
      <c r="G232" s="126" t="s">
        <v>1664</v>
      </c>
      <c r="H232" s="131">
        <v>8</v>
      </c>
      <c r="I232" s="49" t="s">
        <v>3563</v>
      </c>
      <c r="J232" s="52">
        <v>5</v>
      </c>
      <c r="K232" s="49"/>
      <c r="L232" s="49" t="s">
        <v>4620</v>
      </c>
      <c r="M232" s="58"/>
    </row>
    <row r="233" spans="1:14" ht="15">
      <c r="A233" s="52">
        <v>231</v>
      </c>
      <c r="B233" s="60" t="s">
        <v>692</v>
      </c>
      <c r="C233" s="126" t="s">
        <v>693</v>
      </c>
      <c r="D233" s="52">
        <v>7</v>
      </c>
      <c r="E233" s="56" t="s">
        <v>2385</v>
      </c>
      <c r="F233" s="126" t="s">
        <v>22</v>
      </c>
      <c r="G233" s="126" t="s">
        <v>1664</v>
      </c>
      <c r="H233" s="131">
        <v>160</v>
      </c>
      <c r="I233" s="49" t="s">
        <v>3570</v>
      </c>
      <c r="J233" s="52">
        <v>1</v>
      </c>
      <c r="K233" s="49"/>
      <c r="L233" s="49" t="s">
        <v>4621</v>
      </c>
      <c r="M233" s="58"/>
    </row>
    <row r="234" spans="1:14" ht="15">
      <c r="A234" s="52">
        <v>232</v>
      </c>
      <c r="B234" s="60" t="s">
        <v>696</v>
      </c>
      <c r="C234" s="126" t="s">
        <v>611</v>
      </c>
      <c r="D234" s="52">
        <v>2</v>
      </c>
      <c r="E234" s="56" t="s">
        <v>2385</v>
      </c>
      <c r="F234" s="126" t="s">
        <v>22</v>
      </c>
      <c r="G234" s="126" t="s">
        <v>1664</v>
      </c>
      <c r="H234" s="131">
        <v>16</v>
      </c>
      <c r="I234" s="49" t="s">
        <v>3563</v>
      </c>
      <c r="J234" s="52">
        <v>4</v>
      </c>
      <c r="K234" s="49"/>
      <c r="L234" s="49" t="s">
        <v>4622</v>
      </c>
      <c r="M234" s="58"/>
    </row>
    <row r="235" spans="1:14" ht="15">
      <c r="A235" s="52">
        <v>233</v>
      </c>
      <c r="B235" s="53" t="s">
        <v>718</v>
      </c>
      <c r="C235" s="126" t="s">
        <v>611</v>
      </c>
      <c r="D235" s="55">
        <v>4</v>
      </c>
      <c r="E235" s="56" t="s">
        <v>2385</v>
      </c>
      <c r="F235" s="126" t="s">
        <v>22</v>
      </c>
      <c r="G235" s="126" t="s">
        <v>1664</v>
      </c>
      <c r="H235" s="131">
        <v>32</v>
      </c>
      <c r="I235" s="49" t="s">
        <v>3563</v>
      </c>
      <c r="J235" s="52">
        <v>5</v>
      </c>
      <c r="K235" s="49"/>
      <c r="L235" s="49" t="s">
        <v>4623</v>
      </c>
      <c r="M235" s="58">
        <v>45533</v>
      </c>
    </row>
    <row r="236" spans="1:14" ht="15">
      <c r="A236" s="52">
        <v>234</v>
      </c>
      <c r="B236" s="60" t="s">
        <v>738</v>
      </c>
      <c r="C236" s="126" t="s">
        <v>739</v>
      </c>
      <c r="D236" s="52">
        <v>4</v>
      </c>
      <c r="E236" s="56" t="s">
        <v>2385</v>
      </c>
      <c r="F236" s="126" t="s">
        <v>22</v>
      </c>
      <c r="G236" s="126" t="s">
        <v>1664</v>
      </c>
      <c r="H236" s="131">
        <v>32</v>
      </c>
      <c r="I236" s="49" t="s">
        <v>3563</v>
      </c>
      <c r="J236" s="52">
        <v>1</v>
      </c>
      <c r="K236" s="49"/>
      <c r="L236" s="49" t="s">
        <v>4624</v>
      </c>
      <c r="M236" s="58"/>
      <c r="N236" s="62"/>
    </row>
    <row r="237" spans="1:14" ht="15">
      <c r="A237" s="52">
        <v>235</v>
      </c>
      <c r="B237" s="60" t="s">
        <v>1222</v>
      </c>
      <c r="C237" s="126" t="s">
        <v>739</v>
      </c>
      <c r="D237" s="52">
        <v>3</v>
      </c>
      <c r="E237" s="56" t="s">
        <v>2385</v>
      </c>
      <c r="F237" s="126" t="s">
        <v>22</v>
      </c>
      <c r="G237" s="126" t="s">
        <v>1664</v>
      </c>
      <c r="H237" s="131">
        <v>24</v>
      </c>
      <c r="I237" s="49" t="s">
        <v>3563</v>
      </c>
      <c r="J237" s="52">
        <v>2</v>
      </c>
      <c r="K237" s="49"/>
      <c r="L237" s="49" t="s">
        <v>4625</v>
      </c>
      <c r="M237" s="58"/>
    </row>
    <row r="238" spans="1:14" ht="15">
      <c r="A238" s="52">
        <v>236</v>
      </c>
      <c r="B238" s="59" t="s">
        <v>1237</v>
      </c>
      <c r="C238" s="126" t="s">
        <v>587</v>
      </c>
      <c r="D238" s="55">
        <v>8</v>
      </c>
      <c r="E238" s="56" t="s">
        <v>2385</v>
      </c>
      <c r="F238" s="126" t="s">
        <v>22</v>
      </c>
      <c r="G238" s="126" t="s">
        <v>1664</v>
      </c>
      <c r="H238" s="131">
        <v>64</v>
      </c>
      <c r="I238" s="49" t="s">
        <v>3559</v>
      </c>
      <c r="J238" s="52">
        <v>4</v>
      </c>
      <c r="K238" s="49"/>
      <c r="L238" s="49" t="s">
        <v>4626</v>
      </c>
      <c r="M238" s="58"/>
    </row>
    <row r="239" spans="1:14" ht="15">
      <c r="A239" s="52">
        <v>237</v>
      </c>
      <c r="B239" s="53" t="s">
        <v>1271</v>
      </c>
      <c r="C239" s="126" t="s">
        <v>630</v>
      </c>
      <c r="D239" s="55">
        <v>2</v>
      </c>
      <c r="E239" s="56" t="s">
        <v>2385</v>
      </c>
      <c r="F239" s="126" t="s">
        <v>22</v>
      </c>
      <c r="G239" s="126" t="s">
        <v>1664</v>
      </c>
      <c r="H239" s="131">
        <v>72</v>
      </c>
      <c r="I239" s="49" t="s">
        <v>3570</v>
      </c>
      <c r="J239" s="52">
        <v>3</v>
      </c>
      <c r="K239" s="49"/>
      <c r="L239" s="49" t="s">
        <v>4627</v>
      </c>
      <c r="M239" s="58"/>
    </row>
    <row r="240" spans="1:14" ht="15">
      <c r="A240" s="52">
        <v>238</v>
      </c>
      <c r="B240" s="60" t="s">
        <v>1272</v>
      </c>
      <c r="C240" s="126" t="s">
        <v>492</v>
      </c>
      <c r="D240" s="52">
        <v>2</v>
      </c>
      <c r="E240" s="56" t="s">
        <v>2385</v>
      </c>
      <c r="F240" s="126" t="s">
        <v>22</v>
      </c>
      <c r="G240" s="126" t="s">
        <v>1664</v>
      </c>
      <c r="H240" s="131">
        <v>16</v>
      </c>
      <c r="I240" s="49" t="s">
        <v>3563</v>
      </c>
      <c r="J240" s="52">
        <v>1</v>
      </c>
      <c r="K240" s="49"/>
      <c r="L240" s="49" t="s">
        <v>4628</v>
      </c>
      <c r="M240" s="58"/>
    </row>
    <row r="241" spans="1:13" ht="15">
      <c r="A241" s="52">
        <v>239</v>
      </c>
      <c r="B241" s="60" t="s">
        <v>752</v>
      </c>
      <c r="C241" s="126" t="s">
        <v>489</v>
      </c>
      <c r="D241" s="52">
        <v>4</v>
      </c>
      <c r="E241" s="56" t="s">
        <v>2385</v>
      </c>
      <c r="F241" s="126" t="s">
        <v>22</v>
      </c>
      <c r="G241" s="126" t="s">
        <v>1664</v>
      </c>
      <c r="H241" s="131">
        <v>112</v>
      </c>
      <c r="I241" s="49" t="s">
        <v>3570</v>
      </c>
      <c r="J241" s="52">
        <v>4</v>
      </c>
      <c r="K241" s="49"/>
      <c r="L241" s="49" t="s">
        <v>4629</v>
      </c>
      <c r="M241" s="58"/>
    </row>
    <row r="242" spans="1:13" ht="15">
      <c r="A242" s="52">
        <v>240</v>
      </c>
      <c r="B242" s="60" t="s">
        <v>1274</v>
      </c>
      <c r="C242" s="126" t="s">
        <v>489</v>
      </c>
      <c r="D242" s="52">
        <v>12</v>
      </c>
      <c r="E242" s="56" t="s">
        <v>2385</v>
      </c>
      <c r="F242" s="126" t="s">
        <v>22</v>
      </c>
      <c r="G242" s="126" t="s">
        <v>1664</v>
      </c>
      <c r="H242" s="131">
        <v>144</v>
      </c>
      <c r="I242" s="49" t="s">
        <v>3570</v>
      </c>
      <c r="J242" s="52">
        <v>1</v>
      </c>
      <c r="K242" s="49"/>
      <c r="L242" s="49" t="s">
        <v>4630</v>
      </c>
      <c r="M242" s="58"/>
    </row>
    <row r="243" spans="1:13" ht="15">
      <c r="A243" s="52">
        <v>241</v>
      </c>
      <c r="B243" s="53" t="s">
        <v>1276</v>
      </c>
      <c r="C243" s="126" t="s">
        <v>492</v>
      </c>
      <c r="D243" s="55">
        <v>4</v>
      </c>
      <c r="E243" s="56" t="s">
        <v>2385</v>
      </c>
      <c r="F243" s="126" t="s">
        <v>22</v>
      </c>
      <c r="G243" s="126" t="s">
        <v>1664</v>
      </c>
      <c r="H243" s="131">
        <v>32</v>
      </c>
      <c r="I243" s="49" t="s">
        <v>3563</v>
      </c>
      <c r="J243" s="52">
        <v>1</v>
      </c>
      <c r="K243" s="49"/>
      <c r="L243" s="49" t="s">
        <v>4631</v>
      </c>
      <c r="M243" s="58"/>
    </row>
    <row r="244" spans="1:13" ht="15">
      <c r="A244" s="52">
        <v>242</v>
      </c>
      <c r="B244" s="60" t="s">
        <v>1280</v>
      </c>
      <c r="C244" s="126" t="s">
        <v>492</v>
      </c>
      <c r="D244" s="52">
        <v>12</v>
      </c>
      <c r="E244" s="56" t="s">
        <v>2385</v>
      </c>
      <c r="F244" s="126" t="s">
        <v>22</v>
      </c>
      <c r="G244" s="126" t="s">
        <v>1664</v>
      </c>
      <c r="H244" s="131">
        <v>96</v>
      </c>
      <c r="I244" s="49" t="s">
        <v>3570</v>
      </c>
      <c r="J244" s="52">
        <v>3</v>
      </c>
      <c r="K244" s="49"/>
      <c r="L244" s="49" t="s">
        <v>4632</v>
      </c>
      <c r="M244" s="58"/>
    </row>
    <row r="245" spans="1:13" ht="15">
      <c r="A245" s="52">
        <v>243</v>
      </c>
      <c r="B245" s="60" t="s">
        <v>1292</v>
      </c>
      <c r="C245" s="126" t="s">
        <v>492</v>
      </c>
      <c r="D245" s="52">
        <v>2</v>
      </c>
      <c r="E245" s="56" t="s">
        <v>2385</v>
      </c>
      <c r="F245" s="126" t="s">
        <v>22</v>
      </c>
      <c r="G245" s="126" t="s">
        <v>1664</v>
      </c>
      <c r="H245" s="131">
        <v>16</v>
      </c>
      <c r="I245" s="49" t="s">
        <v>3563</v>
      </c>
      <c r="J245" s="52">
        <v>1</v>
      </c>
      <c r="K245" s="49"/>
      <c r="L245" s="49" t="s">
        <v>4633</v>
      </c>
      <c r="M245" s="58"/>
    </row>
    <row r="246" spans="1:13" ht="15">
      <c r="A246" s="52">
        <v>244</v>
      </c>
      <c r="B246" s="60" t="s">
        <v>1293</v>
      </c>
      <c r="C246" s="126" t="s">
        <v>489</v>
      </c>
      <c r="D246" s="52">
        <v>3</v>
      </c>
      <c r="E246" s="56" t="s">
        <v>2385</v>
      </c>
      <c r="F246" s="126" t="s">
        <v>22</v>
      </c>
      <c r="G246" s="126" t="s">
        <v>1664</v>
      </c>
      <c r="H246" s="131">
        <v>24</v>
      </c>
      <c r="I246" s="49" t="s">
        <v>3563</v>
      </c>
      <c r="J246" s="52">
        <v>1</v>
      </c>
      <c r="K246" s="49"/>
      <c r="L246" s="49" t="s">
        <v>4634</v>
      </c>
      <c r="M246" s="58"/>
    </row>
    <row r="247" spans="1:13" ht="15">
      <c r="A247" s="52">
        <v>245</v>
      </c>
      <c r="B247" s="59" t="s">
        <v>1294</v>
      </c>
      <c r="C247" s="126" t="s">
        <v>492</v>
      </c>
      <c r="D247" s="55">
        <v>2</v>
      </c>
      <c r="E247" s="56" t="s">
        <v>2385</v>
      </c>
      <c r="F247" s="126" t="s">
        <v>22</v>
      </c>
      <c r="G247" s="126" t="s">
        <v>1664</v>
      </c>
      <c r="H247" s="131">
        <v>16</v>
      </c>
      <c r="I247" s="49" t="s">
        <v>3570</v>
      </c>
      <c r="J247" s="52">
        <v>4</v>
      </c>
      <c r="K247" s="49"/>
      <c r="L247" s="49" t="s">
        <v>4635</v>
      </c>
      <c r="M247" s="58">
        <v>45533</v>
      </c>
    </row>
    <row r="248" spans="1:13" ht="15">
      <c r="A248" s="52">
        <v>246</v>
      </c>
      <c r="B248" s="60" t="s">
        <v>1316</v>
      </c>
      <c r="C248" s="126" t="s">
        <v>1318</v>
      </c>
      <c r="D248" s="52">
        <v>1</v>
      </c>
      <c r="E248" s="56" t="s">
        <v>2385</v>
      </c>
      <c r="F248" s="126" t="s">
        <v>22</v>
      </c>
      <c r="G248" s="126" t="s">
        <v>1664</v>
      </c>
      <c r="H248" s="131"/>
      <c r="I248" s="49" t="s">
        <v>3563</v>
      </c>
      <c r="J248" s="52">
        <v>1</v>
      </c>
      <c r="K248" s="49"/>
      <c r="L248" s="49" t="s">
        <v>4636</v>
      </c>
      <c r="M248" s="58"/>
    </row>
    <row r="249" spans="1:13" ht="15">
      <c r="A249" s="52">
        <v>247</v>
      </c>
      <c r="B249" s="60" t="s">
        <v>776</v>
      </c>
      <c r="C249" s="126" t="s">
        <v>739</v>
      </c>
      <c r="D249" s="52">
        <v>1</v>
      </c>
      <c r="E249" s="56" t="s">
        <v>2417</v>
      </c>
      <c r="F249" s="126" t="s">
        <v>22</v>
      </c>
      <c r="G249" s="126" t="s">
        <v>1664</v>
      </c>
      <c r="H249" s="131">
        <v>8</v>
      </c>
      <c r="I249" s="49" t="s">
        <v>3559</v>
      </c>
      <c r="J249" s="52">
        <v>3</v>
      </c>
      <c r="K249" s="49"/>
      <c r="L249" s="49" t="s">
        <v>4637</v>
      </c>
      <c r="M249" s="58"/>
    </row>
    <row r="250" spans="1:13" ht="15">
      <c r="A250" s="52">
        <v>248</v>
      </c>
      <c r="B250" s="60" t="s">
        <v>777</v>
      </c>
      <c r="C250" s="126" t="s">
        <v>778</v>
      </c>
      <c r="D250" s="52">
        <v>3</v>
      </c>
      <c r="E250" s="56" t="s">
        <v>2417</v>
      </c>
      <c r="F250" s="126" t="s">
        <v>22</v>
      </c>
      <c r="G250" s="126" t="s">
        <v>1664</v>
      </c>
      <c r="H250" s="131">
        <v>24</v>
      </c>
      <c r="I250" s="49" t="s">
        <v>3559</v>
      </c>
      <c r="J250" s="52">
        <v>3</v>
      </c>
      <c r="K250" s="49"/>
      <c r="L250" s="49" t="s">
        <v>4638</v>
      </c>
      <c r="M250" s="58"/>
    </row>
    <row r="251" spans="1:13" ht="15">
      <c r="A251" s="52">
        <v>249</v>
      </c>
      <c r="B251" s="60" t="s">
        <v>794</v>
      </c>
      <c r="C251" s="126" t="s">
        <v>485</v>
      </c>
      <c r="D251" s="52">
        <v>2</v>
      </c>
      <c r="E251" s="56" t="s">
        <v>2417</v>
      </c>
      <c r="F251" s="126" t="s">
        <v>22</v>
      </c>
      <c r="G251" s="126" t="s">
        <v>1664</v>
      </c>
      <c r="H251" s="131">
        <v>16</v>
      </c>
      <c r="I251" s="49" t="s">
        <v>3559</v>
      </c>
      <c r="J251" s="52">
        <v>1</v>
      </c>
      <c r="K251" s="49"/>
      <c r="L251" s="49" t="s">
        <v>4639</v>
      </c>
      <c r="M251" s="58"/>
    </row>
    <row r="252" spans="1:13" ht="15">
      <c r="A252" s="52">
        <v>250</v>
      </c>
      <c r="B252" s="60" t="s">
        <v>533</v>
      </c>
      <c r="C252" s="126" t="s">
        <v>534</v>
      </c>
      <c r="D252" s="52">
        <v>14</v>
      </c>
      <c r="E252" s="56" t="s">
        <v>2417</v>
      </c>
      <c r="F252" s="126" t="s">
        <v>22</v>
      </c>
      <c r="G252" s="126" t="s">
        <v>1686</v>
      </c>
      <c r="H252" s="131">
        <v>112</v>
      </c>
      <c r="I252" s="49" t="s">
        <v>3559</v>
      </c>
      <c r="J252" s="52">
        <v>4</v>
      </c>
      <c r="K252" s="49"/>
      <c r="L252" s="49" t="s">
        <v>4640</v>
      </c>
      <c r="M252" s="58">
        <v>45475</v>
      </c>
    </row>
    <row r="253" spans="1:13" ht="15">
      <c r="A253" s="52">
        <v>251</v>
      </c>
      <c r="B253" s="60" t="s">
        <v>547</v>
      </c>
      <c r="C253" s="126" t="s">
        <v>548</v>
      </c>
      <c r="D253" s="52">
        <v>1</v>
      </c>
      <c r="E253" s="56" t="s">
        <v>2417</v>
      </c>
      <c r="F253" s="126" t="s">
        <v>22</v>
      </c>
      <c r="G253" s="126" t="s">
        <v>1664</v>
      </c>
      <c r="H253" s="131">
        <v>80</v>
      </c>
      <c r="I253" s="49" t="s">
        <v>3570</v>
      </c>
      <c r="J253" s="52">
        <v>1</v>
      </c>
      <c r="K253" s="49"/>
      <c r="L253" s="188" t="s">
        <v>4641</v>
      </c>
      <c r="M253" s="58"/>
    </row>
    <row r="254" spans="1:13" ht="15">
      <c r="A254" s="52">
        <v>252</v>
      </c>
      <c r="B254" s="60" t="s">
        <v>559</v>
      </c>
      <c r="C254" s="126" t="s">
        <v>560</v>
      </c>
      <c r="D254" s="52">
        <v>65</v>
      </c>
      <c r="E254" s="56" t="s">
        <v>2417</v>
      </c>
      <c r="F254" s="126" t="s">
        <v>22</v>
      </c>
      <c r="G254" s="126" t="s">
        <v>1686</v>
      </c>
      <c r="H254" s="131">
        <v>960</v>
      </c>
      <c r="I254" s="49" t="s">
        <v>3559</v>
      </c>
      <c r="J254" s="52">
        <v>1</v>
      </c>
      <c r="K254" s="49"/>
      <c r="L254" s="49" t="s">
        <v>4642</v>
      </c>
      <c r="M254" s="58"/>
    </row>
    <row r="255" spans="1:13" ht="15">
      <c r="A255" s="52">
        <v>253</v>
      </c>
      <c r="B255" s="53" t="s">
        <v>1160</v>
      </c>
      <c r="C255" s="126" t="s">
        <v>739</v>
      </c>
      <c r="D255" s="55">
        <v>2</v>
      </c>
      <c r="E255" s="56" t="s">
        <v>2417</v>
      </c>
      <c r="F255" s="126" t="s">
        <v>22</v>
      </c>
      <c r="G255" s="126" t="s">
        <v>1664</v>
      </c>
      <c r="H255" s="131">
        <v>16</v>
      </c>
      <c r="I255" s="49" t="s">
        <v>3559</v>
      </c>
      <c r="J255" s="52">
        <v>5</v>
      </c>
      <c r="K255" s="49"/>
      <c r="L255" s="49" t="s">
        <v>4643</v>
      </c>
      <c r="M255" s="58">
        <v>45475</v>
      </c>
    </row>
    <row r="256" spans="1:13" ht="15">
      <c r="A256" s="52">
        <v>254</v>
      </c>
      <c r="B256" s="59" t="s">
        <v>1171</v>
      </c>
      <c r="C256" s="126" t="s">
        <v>630</v>
      </c>
      <c r="D256" s="55">
        <v>1</v>
      </c>
      <c r="E256" s="56" t="s">
        <v>2417</v>
      </c>
      <c r="F256" s="126" t="s">
        <v>22</v>
      </c>
      <c r="G256" s="126" t="s">
        <v>1664</v>
      </c>
      <c r="H256" s="131">
        <v>8</v>
      </c>
      <c r="I256" s="49" t="s">
        <v>3559</v>
      </c>
      <c r="J256" s="52">
        <v>1</v>
      </c>
      <c r="K256" s="49"/>
      <c r="L256" s="49" t="s">
        <v>4644</v>
      </c>
      <c r="M256" s="58"/>
    </row>
    <row r="257" spans="1:14" ht="15">
      <c r="A257" s="52">
        <v>255</v>
      </c>
      <c r="B257" s="60" t="s">
        <v>1175</v>
      </c>
      <c r="C257" s="126" t="s">
        <v>587</v>
      </c>
      <c r="D257" s="52">
        <v>2</v>
      </c>
      <c r="E257" s="56" t="s">
        <v>2417</v>
      </c>
      <c r="F257" s="126" t="s">
        <v>22</v>
      </c>
      <c r="G257" s="126" t="s">
        <v>1664</v>
      </c>
      <c r="H257" s="131">
        <v>16</v>
      </c>
      <c r="I257" s="49" t="s">
        <v>3559</v>
      </c>
      <c r="J257" s="52">
        <v>3</v>
      </c>
      <c r="K257" s="49"/>
      <c r="L257" s="49" t="s">
        <v>4645</v>
      </c>
      <c r="M257" s="58"/>
    </row>
    <row r="258" spans="1:14" ht="15">
      <c r="A258" s="52">
        <v>256</v>
      </c>
      <c r="B258" s="60" t="s">
        <v>1182</v>
      </c>
      <c r="C258" s="126" t="s">
        <v>587</v>
      </c>
      <c r="D258" s="52">
        <v>1</v>
      </c>
      <c r="E258" s="56" t="s">
        <v>2417</v>
      </c>
      <c r="F258" s="126" t="s">
        <v>22</v>
      </c>
      <c r="G258" s="126" t="s">
        <v>1664</v>
      </c>
      <c r="H258" s="131">
        <v>96</v>
      </c>
      <c r="I258" s="49" t="s">
        <v>3570</v>
      </c>
      <c r="J258" s="52">
        <v>5</v>
      </c>
      <c r="K258" s="49"/>
      <c r="L258" s="49" t="s">
        <v>4646</v>
      </c>
      <c r="M258" s="58"/>
    </row>
    <row r="259" spans="1:14" ht="15">
      <c r="A259" s="52">
        <v>257</v>
      </c>
      <c r="B259" s="53" t="s">
        <v>608</v>
      </c>
      <c r="C259" s="126" t="s">
        <v>609</v>
      </c>
      <c r="D259" s="55">
        <v>1</v>
      </c>
      <c r="E259" s="56" t="s">
        <v>2417</v>
      </c>
      <c r="F259" s="126" t="s">
        <v>22</v>
      </c>
      <c r="G259" s="126" t="s">
        <v>1664</v>
      </c>
      <c r="H259" s="131">
        <v>32</v>
      </c>
      <c r="I259" s="49" t="s">
        <v>3570</v>
      </c>
      <c r="J259" s="52">
        <v>2</v>
      </c>
      <c r="K259" s="49"/>
      <c r="L259" s="49" t="s">
        <v>4647</v>
      </c>
      <c r="M259" s="58"/>
    </row>
    <row r="260" spans="1:14" ht="15">
      <c r="A260" s="52">
        <v>258</v>
      </c>
      <c r="B260" s="60" t="s">
        <v>612</v>
      </c>
      <c r="C260" s="126" t="s">
        <v>614</v>
      </c>
      <c r="D260" s="52">
        <v>46</v>
      </c>
      <c r="E260" s="56" t="s">
        <v>2417</v>
      </c>
      <c r="F260" s="126" t="s">
        <v>22</v>
      </c>
      <c r="G260" s="126" t="s">
        <v>1686</v>
      </c>
      <c r="H260" s="131">
        <v>1072</v>
      </c>
      <c r="I260" s="49" t="s">
        <v>3559</v>
      </c>
      <c r="J260" s="52">
        <v>1</v>
      </c>
      <c r="K260" s="49"/>
      <c r="L260" s="49" t="s">
        <v>4648</v>
      </c>
      <c r="M260" s="58"/>
    </row>
    <row r="261" spans="1:14" s="62" customFormat="1" ht="15">
      <c r="A261" s="52">
        <v>259</v>
      </c>
      <c r="B261" s="60" t="s">
        <v>1187</v>
      </c>
      <c r="C261" s="126" t="s">
        <v>1188</v>
      </c>
      <c r="D261" s="52">
        <v>1</v>
      </c>
      <c r="E261" s="56" t="s">
        <v>2417</v>
      </c>
      <c r="F261" s="126" t="s">
        <v>22</v>
      </c>
      <c r="G261" s="126" t="s">
        <v>1664</v>
      </c>
      <c r="H261" s="131">
        <v>88</v>
      </c>
      <c r="I261" s="49" t="s">
        <v>3559</v>
      </c>
      <c r="J261" s="52">
        <v>2</v>
      </c>
      <c r="K261" s="49"/>
      <c r="L261" s="49" t="s">
        <v>4649</v>
      </c>
      <c r="M261" s="58"/>
      <c r="N261" s="10"/>
    </row>
    <row r="262" spans="1:14" ht="15">
      <c r="A262" s="52">
        <v>260</v>
      </c>
      <c r="B262" s="53" t="s">
        <v>624</v>
      </c>
      <c r="C262" s="126" t="s">
        <v>625</v>
      </c>
      <c r="D262" s="55">
        <v>3</v>
      </c>
      <c r="E262" s="56" t="s">
        <v>2417</v>
      </c>
      <c r="F262" s="126" t="s">
        <v>22</v>
      </c>
      <c r="G262" s="126" t="s">
        <v>1664</v>
      </c>
      <c r="H262" s="131">
        <v>88</v>
      </c>
      <c r="I262" s="49" t="s">
        <v>3563</v>
      </c>
      <c r="J262" s="52">
        <v>2</v>
      </c>
      <c r="K262" s="49"/>
      <c r="L262" s="49" t="s">
        <v>4650</v>
      </c>
      <c r="M262" s="58"/>
    </row>
    <row r="263" spans="1:14" ht="15">
      <c r="A263" s="52">
        <v>261</v>
      </c>
      <c r="B263" s="60" t="s">
        <v>2270</v>
      </c>
      <c r="C263" s="126" t="s">
        <v>2271</v>
      </c>
      <c r="D263" s="52">
        <v>1</v>
      </c>
      <c r="E263" s="56" t="s">
        <v>2417</v>
      </c>
      <c r="F263" s="126" t="s">
        <v>22</v>
      </c>
      <c r="G263" s="126" t="s">
        <v>1664</v>
      </c>
      <c r="H263" s="131">
        <v>1</v>
      </c>
      <c r="I263" s="49" t="s">
        <v>3570</v>
      </c>
      <c r="J263" s="52">
        <v>3</v>
      </c>
      <c r="K263" s="49"/>
      <c r="L263" s="49" t="s">
        <v>4651</v>
      </c>
      <c r="M263" s="58"/>
    </row>
    <row r="264" spans="1:14" ht="15">
      <c r="A264" s="52">
        <v>262</v>
      </c>
      <c r="B264" s="60" t="s">
        <v>706</v>
      </c>
      <c r="C264" s="126" t="s">
        <v>695</v>
      </c>
      <c r="D264" s="52">
        <v>2</v>
      </c>
      <c r="E264" s="56" t="s">
        <v>2385</v>
      </c>
      <c r="F264" s="126" t="s">
        <v>22</v>
      </c>
      <c r="G264" s="126" t="s">
        <v>1664</v>
      </c>
      <c r="H264" s="131">
        <v>40</v>
      </c>
      <c r="I264" s="49" t="s">
        <v>3563</v>
      </c>
      <c r="J264" s="52">
        <v>4</v>
      </c>
      <c r="K264" s="49"/>
      <c r="L264" s="49" t="s">
        <v>4652</v>
      </c>
      <c r="M264" s="58"/>
    </row>
    <row r="265" spans="1:14" ht="15">
      <c r="A265" s="52">
        <v>263</v>
      </c>
      <c r="B265" s="60" t="s">
        <v>706</v>
      </c>
      <c r="C265" s="126" t="s">
        <v>695</v>
      </c>
      <c r="D265" s="52">
        <v>3</v>
      </c>
      <c r="E265" s="56" t="s">
        <v>2417</v>
      </c>
      <c r="F265" s="126" t="s">
        <v>22</v>
      </c>
      <c r="G265" s="126" t="s">
        <v>1664</v>
      </c>
      <c r="H265" s="131">
        <v>40</v>
      </c>
      <c r="I265" s="49" t="s">
        <v>3563</v>
      </c>
      <c r="J265" s="52">
        <v>4</v>
      </c>
      <c r="K265" s="49"/>
      <c r="L265" s="49" t="s">
        <v>4653</v>
      </c>
      <c r="M265" s="58"/>
    </row>
    <row r="266" spans="1:14" ht="15">
      <c r="A266" s="52">
        <v>264</v>
      </c>
      <c r="B266" s="60" t="s">
        <v>1241</v>
      </c>
      <c r="C266" s="126" t="s">
        <v>1243</v>
      </c>
      <c r="D266" s="52">
        <v>3</v>
      </c>
      <c r="E266" s="56" t="s">
        <v>2417</v>
      </c>
      <c r="F266" s="126" t="s">
        <v>22</v>
      </c>
      <c r="G266" s="126" t="s">
        <v>1664</v>
      </c>
      <c r="H266" s="131">
        <v>24</v>
      </c>
      <c r="I266" s="49" t="s">
        <v>3559</v>
      </c>
      <c r="J266" s="52">
        <v>4</v>
      </c>
      <c r="K266" s="49"/>
      <c r="L266" s="49" t="s">
        <v>4654</v>
      </c>
      <c r="M266" s="58"/>
    </row>
    <row r="267" spans="1:14" ht="15">
      <c r="A267" s="52">
        <v>265</v>
      </c>
      <c r="B267" s="60" t="s">
        <v>793</v>
      </c>
      <c r="C267" s="126" t="s">
        <v>485</v>
      </c>
      <c r="D267" s="52">
        <v>6</v>
      </c>
      <c r="E267" s="56" t="s">
        <v>2394</v>
      </c>
      <c r="F267" s="126" t="s">
        <v>22</v>
      </c>
      <c r="G267" s="126" t="s">
        <v>1664</v>
      </c>
      <c r="H267" s="131">
        <v>32</v>
      </c>
      <c r="I267" s="49" t="s">
        <v>3563</v>
      </c>
      <c r="J267" s="52">
        <v>1</v>
      </c>
      <c r="K267" s="49">
        <v>45973</v>
      </c>
      <c r="L267" s="49" t="s">
        <v>4655</v>
      </c>
      <c r="M267" s="58"/>
    </row>
    <row r="268" spans="1:14" ht="15">
      <c r="A268" s="52">
        <v>266</v>
      </c>
      <c r="B268" s="53" t="s">
        <v>796</v>
      </c>
      <c r="C268" s="126" t="s">
        <v>485</v>
      </c>
      <c r="D268" s="55">
        <v>2</v>
      </c>
      <c r="E268" s="56" t="s">
        <v>2394</v>
      </c>
      <c r="F268" s="126" t="s">
        <v>22</v>
      </c>
      <c r="G268" s="126" t="s">
        <v>1664</v>
      </c>
      <c r="H268" s="131">
        <v>32</v>
      </c>
      <c r="I268" s="49" t="s">
        <v>3570</v>
      </c>
      <c r="J268" s="52">
        <v>2</v>
      </c>
      <c r="K268" s="49"/>
      <c r="L268" s="49" t="s">
        <v>4656</v>
      </c>
      <c r="M268" s="58"/>
    </row>
    <row r="269" spans="1:14" ht="15">
      <c r="A269" s="52">
        <v>267</v>
      </c>
      <c r="B269" s="53" t="s">
        <v>799</v>
      </c>
      <c r="C269" s="126" t="s">
        <v>485</v>
      </c>
      <c r="D269" s="55">
        <v>2</v>
      </c>
      <c r="E269" s="56" t="s">
        <v>2394</v>
      </c>
      <c r="F269" s="126" t="s">
        <v>22</v>
      </c>
      <c r="G269" s="126" t="s">
        <v>1664</v>
      </c>
      <c r="H269" s="131">
        <v>16</v>
      </c>
      <c r="I269" s="49" t="s">
        <v>3563</v>
      </c>
      <c r="J269" s="52">
        <v>3</v>
      </c>
      <c r="K269" s="49"/>
      <c r="L269" s="49" t="s">
        <v>4657</v>
      </c>
      <c r="M269" s="58"/>
    </row>
    <row r="270" spans="1:14" ht="15">
      <c r="A270" s="52">
        <v>268</v>
      </c>
      <c r="B270" s="60" t="s">
        <v>802</v>
      </c>
      <c r="C270" s="126" t="s">
        <v>485</v>
      </c>
      <c r="D270" s="52">
        <v>2</v>
      </c>
      <c r="E270" s="56" t="s">
        <v>2394</v>
      </c>
      <c r="F270" s="126" t="s">
        <v>22</v>
      </c>
      <c r="G270" s="126" t="s">
        <v>1664</v>
      </c>
      <c r="H270" s="131">
        <v>16</v>
      </c>
      <c r="I270" s="49" t="s">
        <v>3563</v>
      </c>
      <c r="J270" s="52">
        <v>4</v>
      </c>
      <c r="K270" s="49"/>
      <c r="L270" s="49" t="s">
        <v>4658</v>
      </c>
      <c r="M270" s="58"/>
    </row>
    <row r="271" spans="1:14" ht="15">
      <c r="A271" s="52">
        <v>269</v>
      </c>
      <c r="B271" s="60" t="s">
        <v>804</v>
      </c>
      <c r="C271" s="126" t="s">
        <v>485</v>
      </c>
      <c r="D271" s="52">
        <v>2</v>
      </c>
      <c r="E271" s="56" t="s">
        <v>2394</v>
      </c>
      <c r="F271" s="126" t="s">
        <v>22</v>
      </c>
      <c r="G271" s="126" t="s">
        <v>1664</v>
      </c>
      <c r="H271" s="131">
        <v>40</v>
      </c>
      <c r="I271" s="49" t="s">
        <v>3570</v>
      </c>
      <c r="J271" s="52">
        <v>4</v>
      </c>
      <c r="K271" s="49"/>
      <c r="L271" s="49" t="s">
        <v>4659</v>
      </c>
      <c r="M271" s="58"/>
    </row>
    <row r="272" spans="1:14" ht="15">
      <c r="A272" s="52">
        <v>270</v>
      </c>
      <c r="B272" s="60" t="s">
        <v>857</v>
      </c>
      <c r="C272" s="126" t="s">
        <v>489</v>
      </c>
      <c r="D272" s="52">
        <v>6</v>
      </c>
      <c r="E272" s="56" t="s">
        <v>2394</v>
      </c>
      <c r="F272" s="126" t="s">
        <v>22</v>
      </c>
      <c r="G272" s="126" t="s">
        <v>1664</v>
      </c>
      <c r="H272" s="131">
        <v>48</v>
      </c>
      <c r="I272" s="49" t="s">
        <v>3563</v>
      </c>
      <c r="J272" s="52">
        <v>5</v>
      </c>
      <c r="K272" s="49"/>
      <c r="L272" s="188" t="s">
        <v>4660</v>
      </c>
      <c r="M272" s="58"/>
    </row>
    <row r="273" spans="1:14" ht="15">
      <c r="A273" s="52">
        <v>271</v>
      </c>
      <c r="B273" s="60" t="s">
        <v>875</v>
      </c>
      <c r="C273" s="126" t="s">
        <v>876</v>
      </c>
      <c r="D273" s="52">
        <v>4</v>
      </c>
      <c r="E273" s="56" t="s">
        <v>2394</v>
      </c>
      <c r="F273" s="126" t="s">
        <v>22</v>
      </c>
      <c r="G273" s="126" t="s">
        <v>1664</v>
      </c>
      <c r="H273" s="131">
        <v>32</v>
      </c>
      <c r="I273" s="49" t="s">
        <v>3563</v>
      </c>
      <c r="J273" s="52">
        <v>5</v>
      </c>
      <c r="K273" s="49"/>
      <c r="L273" s="49" t="s">
        <v>4661</v>
      </c>
      <c r="M273" s="58"/>
    </row>
    <row r="274" spans="1:14" ht="15">
      <c r="A274" s="52">
        <v>272</v>
      </c>
      <c r="B274" s="53" t="s">
        <v>1039</v>
      </c>
      <c r="C274" s="126" t="s">
        <v>21</v>
      </c>
      <c r="D274" s="52">
        <v>1</v>
      </c>
      <c r="E274" s="56" t="s">
        <v>2394</v>
      </c>
      <c r="F274" s="126" t="s">
        <v>22</v>
      </c>
      <c r="G274" s="126" t="s">
        <v>1664</v>
      </c>
      <c r="H274" s="131">
        <v>8</v>
      </c>
      <c r="I274" s="49" t="s">
        <v>3570</v>
      </c>
      <c r="J274" s="52">
        <v>2</v>
      </c>
      <c r="K274" s="49"/>
      <c r="L274" s="49" t="s">
        <v>4662</v>
      </c>
      <c r="M274" s="49"/>
      <c r="N274" s="62"/>
    </row>
    <row r="275" spans="1:14" ht="15">
      <c r="A275" s="52">
        <v>273</v>
      </c>
      <c r="B275" s="60" t="s">
        <v>1040</v>
      </c>
      <c r="C275" s="126" t="s">
        <v>21</v>
      </c>
      <c r="D275" s="52">
        <v>1</v>
      </c>
      <c r="E275" s="56" t="s">
        <v>2394</v>
      </c>
      <c r="F275" s="126" t="s">
        <v>22</v>
      </c>
      <c r="G275" s="126" t="s">
        <v>1664</v>
      </c>
      <c r="H275" s="131">
        <v>8</v>
      </c>
      <c r="I275" s="49" t="s">
        <v>3570</v>
      </c>
      <c r="J275" s="52">
        <v>2</v>
      </c>
      <c r="K275" s="49"/>
      <c r="L275" s="49" t="s">
        <v>4663</v>
      </c>
      <c r="M275" s="58"/>
    </row>
    <row r="276" spans="1:14" ht="15">
      <c r="A276" s="52">
        <v>274</v>
      </c>
      <c r="B276" s="60" t="s">
        <v>1048</v>
      </c>
      <c r="C276" s="126" t="s">
        <v>1049</v>
      </c>
      <c r="D276" s="52">
        <v>7</v>
      </c>
      <c r="E276" s="56" t="s">
        <v>2394</v>
      </c>
      <c r="F276" s="126" t="s">
        <v>22</v>
      </c>
      <c r="G276" s="126" t="s">
        <v>1664</v>
      </c>
      <c r="H276" s="131">
        <v>56</v>
      </c>
      <c r="I276" s="49" t="s">
        <v>3563</v>
      </c>
      <c r="J276" s="52">
        <v>3</v>
      </c>
      <c r="K276" s="49"/>
      <c r="L276" s="49" t="s">
        <v>4664</v>
      </c>
      <c r="M276" s="58"/>
    </row>
    <row r="277" spans="1:14" ht="15">
      <c r="A277" s="52">
        <v>275</v>
      </c>
      <c r="B277" s="53" t="s">
        <v>524</v>
      </c>
      <c r="C277" s="126" t="s">
        <v>526</v>
      </c>
      <c r="D277" s="52">
        <v>2</v>
      </c>
      <c r="E277" s="56" t="s">
        <v>2427</v>
      </c>
      <c r="F277" s="126" t="s">
        <v>22</v>
      </c>
      <c r="G277" s="126" t="s">
        <v>1664</v>
      </c>
      <c r="H277" s="131">
        <v>16</v>
      </c>
      <c r="I277" s="49" t="s">
        <v>3563</v>
      </c>
      <c r="J277" s="52">
        <v>3</v>
      </c>
      <c r="K277" s="49"/>
      <c r="L277" s="49" t="s">
        <v>4665</v>
      </c>
      <c r="M277" s="49"/>
    </row>
    <row r="278" spans="1:14" ht="15">
      <c r="A278" s="52">
        <v>276</v>
      </c>
      <c r="B278" s="60" t="s">
        <v>1142</v>
      </c>
      <c r="C278" s="126" t="s">
        <v>1049</v>
      </c>
      <c r="D278" s="52">
        <v>1</v>
      </c>
      <c r="E278" s="56" t="s">
        <v>2394</v>
      </c>
      <c r="F278" s="126" t="s">
        <v>22</v>
      </c>
      <c r="G278" s="126" t="s">
        <v>1664</v>
      </c>
      <c r="H278" s="131">
        <v>64</v>
      </c>
      <c r="I278" s="49" t="s">
        <v>3706</v>
      </c>
      <c r="J278" s="52">
        <v>3</v>
      </c>
      <c r="K278" s="49"/>
      <c r="L278" s="49" t="s">
        <v>4666</v>
      </c>
      <c r="M278" s="58"/>
    </row>
    <row r="279" spans="1:14" ht="15">
      <c r="A279" s="52">
        <v>277</v>
      </c>
      <c r="B279" s="60" t="s">
        <v>1152</v>
      </c>
      <c r="C279" s="126" t="s">
        <v>558</v>
      </c>
      <c r="D279" s="52">
        <v>12</v>
      </c>
      <c r="E279" s="56" t="s">
        <v>2394</v>
      </c>
      <c r="F279" s="126" t="s">
        <v>22</v>
      </c>
      <c r="G279" s="126" t="s">
        <v>1664</v>
      </c>
      <c r="H279" s="131">
        <v>96</v>
      </c>
      <c r="I279" s="49" t="s">
        <v>3563</v>
      </c>
      <c r="J279" s="52">
        <v>5</v>
      </c>
      <c r="K279" s="49"/>
      <c r="L279" s="49" t="s">
        <v>4667</v>
      </c>
      <c r="M279" s="58"/>
    </row>
    <row r="280" spans="1:14" ht="15">
      <c r="A280" s="52">
        <v>278</v>
      </c>
      <c r="B280" s="60" t="s">
        <v>556</v>
      </c>
      <c r="C280" s="126" t="s">
        <v>558</v>
      </c>
      <c r="D280" s="52">
        <v>8</v>
      </c>
      <c r="E280" s="56" t="s">
        <v>2394</v>
      </c>
      <c r="F280" s="126" t="s">
        <v>22</v>
      </c>
      <c r="G280" s="126" t="s">
        <v>1664</v>
      </c>
      <c r="H280" s="131">
        <v>160</v>
      </c>
      <c r="I280" s="49" t="s">
        <v>3563</v>
      </c>
      <c r="J280" s="52">
        <v>2</v>
      </c>
      <c r="K280" s="49"/>
      <c r="L280" s="49" t="s">
        <v>4668</v>
      </c>
      <c r="M280" s="58"/>
    </row>
    <row r="281" spans="1:14" s="62" customFormat="1" ht="15.75" customHeight="1">
      <c r="A281" s="52">
        <v>279</v>
      </c>
      <c r="B281" s="60" t="s">
        <v>1153</v>
      </c>
      <c r="C281" s="126" t="s">
        <v>558</v>
      </c>
      <c r="D281" s="52">
        <v>16</v>
      </c>
      <c r="E281" s="56" t="s">
        <v>2394</v>
      </c>
      <c r="F281" s="126" t="s">
        <v>22</v>
      </c>
      <c r="G281" s="126" t="s">
        <v>1664</v>
      </c>
      <c r="H281" s="131">
        <v>688</v>
      </c>
      <c r="I281" s="49" t="s">
        <v>3563</v>
      </c>
      <c r="J281" s="52">
        <v>3</v>
      </c>
      <c r="K281" s="49"/>
      <c r="L281" s="49" t="s">
        <v>4669</v>
      </c>
      <c r="M281" s="58"/>
      <c r="N281" s="10"/>
    </row>
    <row r="282" spans="1:14" ht="15">
      <c r="A282" s="52">
        <v>280</v>
      </c>
      <c r="B282" s="60" t="s">
        <v>1156</v>
      </c>
      <c r="C282" s="126" t="s">
        <v>558</v>
      </c>
      <c r="D282" s="52">
        <v>8</v>
      </c>
      <c r="E282" s="56" t="s">
        <v>2394</v>
      </c>
      <c r="F282" s="126" t="s">
        <v>22</v>
      </c>
      <c r="G282" s="126" t="s">
        <v>1664</v>
      </c>
      <c r="H282" s="131">
        <v>64</v>
      </c>
      <c r="I282" s="49" t="s">
        <v>3563</v>
      </c>
      <c r="J282" s="52">
        <v>3</v>
      </c>
      <c r="K282" s="49"/>
      <c r="L282" s="49" t="s">
        <v>4670</v>
      </c>
      <c r="M282" s="58"/>
    </row>
    <row r="283" spans="1:14" ht="15">
      <c r="A283" s="52">
        <v>281</v>
      </c>
      <c r="B283" s="53" t="s">
        <v>1189</v>
      </c>
      <c r="C283" s="126" t="s">
        <v>492</v>
      </c>
      <c r="D283" s="55">
        <v>6</v>
      </c>
      <c r="E283" s="56" t="s">
        <v>2394</v>
      </c>
      <c r="F283" s="126" t="s">
        <v>22</v>
      </c>
      <c r="G283" s="126" t="s">
        <v>1664</v>
      </c>
      <c r="H283" s="131">
        <v>48</v>
      </c>
      <c r="I283" s="49" t="s">
        <v>3563</v>
      </c>
      <c r="J283" s="52">
        <v>1</v>
      </c>
      <c r="K283" s="49"/>
      <c r="L283" s="49" t="s">
        <v>4671</v>
      </c>
      <c r="M283" s="58">
        <v>45533</v>
      </c>
    </row>
    <row r="284" spans="1:14" ht="15">
      <c r="A284" s="52">
        <v>282</v>
      </c>
      <c r="B284" s="60" t="s">
        <v>641</v>
      </c>
      <c r="C284" s="126" t="s">
        <v>611</v>
      </c>
      <c r="D284" s="52">
        <v>6</v>
      </c>
      <c r="E284" s="56" t="s">
        <v>2394</v>
      </c>
      <c r="F284" s="126" t="s">
        <v>22</v>
      </c>
      <c r="G284" s="126" t="s">
        <v>1664</v>
      </c>
      <c r="H284" s="131">
        <v>48</v>
      </c>
      <c r="I284" s="49" t="s">
        <v>3563</v>
      </c>
      <c r="J284" s="52">
        <v>2</v>
      </c>
      <c r="K284" s="49"/>
      <c r="L284" s="49" t="s">
        <v>4672</v>
      </c>
      <c r="M284" s="58"/>
    </row>
    <row r="285" spans="1:14" ht="15">
      <c r="A285" s="52">
        <v>283</v>
      </c>
      <c r="B285" s="60" t="s">
        <v>742</v>
      </c>
      <c r="C285" s="126" t="s">
        <v>587</v>
      </c>
      <c r="D285" s="52">
        <v>8</v>
      </c>
      <c r="E285" s="56" t="s">
        <v>2394</v>
      </c>
      <c r="F285" s="126" t="s">
        <v>22</v>
      </c>
      <c r="G285" s="126" t="s">
        <v>1664</v>
      </c>
      <c r="H285" s="131">
        <v>64</v>
      </c>
      <c r="I285" s="49" t="s">
        <v>3563</v>
      </c>
      <c r="J285" s="52">
        <v>4</v>
      </c>
      <c r="K285" s="49"/>
      <c r="L285" s="49" t="s">
        <v>4673</v>
      </c>
      <c r="M285" s="58"/>
    </row>
    <row r="286" spans="1:14" ht="15">
      <c r="A286" s="52">
        <v>284</v>
      </c>
      <c r="B286" s="60" t="s">
        <v>1218</v>
      </c>
      <c r="C286" s="126" t="s">
        <v>587</v>
      </c>
      <c r="D286" s="52">
        <v>2</v>
      </c>
      <c r="E286" s="56" t="s">
        <v>2394</v>
      </c>
      <c r="F286" s="126" t="s">
        <v>22</v>
      </c>
      <c r="G286" s="126" t="s">
        <v>1664</v>
      </c>
      <c r="H286" s="131">
        <v>16</v>
      </c>
      <c r="I286" s="49" t="s">
        <v>3563</v>
      </c>
      <c r="J286" s="52">
        <v>1</v>
      </c>
      <c r="K286" s="49"/>
      <c r="L286" s="49" t="s">
        <v>4674</v>
      </c>
      <c r="M286" s="58"/>
    </row>
    <row r="287" spans="1:14" ht="15">
      <c r="A287" s="52">
        <v>285</v>
      </c>
      <c r="B287" s="60" t="s">
        <v>1221</v>
      </c>
      <c r="C287" s="126" t="s">
        <v>489</v>
      </c>
      <c r="D287" s="52">
        <v>32</v>
      </c>
      <c r="E287" s="56" t="s">
        <v>2394</v>
      </c>
      <c r="F287" s="126" t="s">
        <v>22</v>
      </c>
      <c r="G287" s="126" t="s">
        <v>1664</v>
      </c>
      <c r="H287" s="131">
        <v>256</v>
      </c>
      <c r="I287" s="49" t="s">
        <v>3563</v>
      </c>
      <c r="J287" s="52">
        <v>3</v>
      </c>
      <c r="K287" s="49"/>
      <c r="L287" s="49" t="s">
        <v>4675</v>
      </c>
      <c r="M287" s="58"/>
    </row>
    <row r="288" spans="1:14" ht="15">
      <c r="A288" s="52">
        <v>286</v>
      </c>
      <c r="B288" s="53" t="s">
        <v>1226</v>
      </c>
      <c r="C288" s="126" t="s">
        <v>1228</v>
      </c>
      <c r="D288" s="55">
        <v>8</v>
      </c>
      <c r="E288" s="56" t="s">
        <v>2394</v>
      </c>
      <c r="F288" s="126" t="s">
        <v>22</v>
      </c>
      <c r="G288" s="126" t="s">
        <v>1664</v>
      </c>
      <c r="H288" s="131">
        <v>64</v>
      </c>
      <c r="I288" s="49" t="s">
        <v>3563</v>
      </c>
      <c r="J288" s="52">
        <v>3</v>
      </c>
      <c r="K288" s="49"/>
      <c r="L288" s="49" t="s">
        <v>4676</v>
      </c>
      <c r="M288" s="58"/>
    </row>
    <row r="289" spans="1:14" ht="15">
      <c r="A289" s="52">
        <v>287</v>
      </c>
      <c r="B289" s="60" t="s">
        <v>1229</v>
      </c>
      <c r="C289" s="126" t="s">
        <v>506</v>
      </c>
      <c r="D289" s="52">
        <v>4</v>
      </c>
      <c r="E289" s="56" t="s">
        <v>2394</v>
      </c>
      <c r="F289" s="126" t="s">
        <v>22</v>
      </c>
      <c r="G289" s="126" t="s">
        <v>1664</v>
      </c>
      <c r="H289" s="131">
        <v>32</v>
      </c>
      <c r="I289" s="49" t="s">
        <v>3563</v>
      </c>
      <c r="J289" s="52">
        <v>4</v>
      </c>
      <c r="K289" s="49"/>
      <c r="L289" s="49" t="s">
        <v>4677</v>
      </c>
      <c r="M289" s="58"/>
    </row>
    <row r="290" spans="1:14" ht="15">
      <c r="A290" s="52">
        <v>288</v>
      </c>
      <c r="B290" s="60" t="s">
        <v>1235</v>
      </c>
      <c r="C290" s="126" t="s">
        <v>1236</v>
      </c>
      <c r="D290" s="52">
        <v>4</v>
      </c>
      <c r="E290" s="56" t="s">
        <v>2394</v>
      </c>
      <c r="F290" s="126" t="s">
        <v>22</v>
      </c>
      <c r="G290" s="126" t="s">
        <v>1664</v>
      </c>
      <c r="H290" s="131">
        <v>32</v>
      </c>
      <c r="I290" s="49" t="s">
        <v>3563</v>
      </c>
      <c r="J290" s="52">
        <v>2</v>
      </c>
      <c r="K290" s="49"/>
      <c r="L290" s="49" t="s">
        <v>4678</v>
      </c>
      <c r="M290" s="58"/>
      <c r="N290" s="62"/>
    </row>
    <row r="291" spans="1:14" ht="15">
      <c r="A291" s="52">
        <v>289</v>
      </c>
      <c r="B291" s="60" t="s">
        <v>1238</v>
      </c>
      <c r="C291" s="126" t="s">
        <v>558</v>
      </c>
      <c r="D291" s="52">
        <v>2</v>
      </c>
      <c r="E291" s="56" t="s">
        <v>2394</v>
      </c>
      <c r="F291" s="126" t="s">
        <v>22</v>
      </c>
      <c r="G291" s="126" t="s">
        <v>1664</v>
      </c>
      <c r="H291" s="131">
        <v>16</v>
      </c>
      <c r="I291" s="49" t="s">
        <v>3563</v>
      </c>
      <c r="J291" s="52">
        <v>3</v>
      </c>
      <c r="K291" s="49"/>
      <c r="L291" s="49" t="s">
        <v>4679</v>
      </c>
      <c r="M291" s="58"/>
    </row>
    <row r="292" spans="1:14" ht="15">
      <c r="A292" s="52">
        <v>290</v>
      </c>
      <c r="B292" s="60" t="s">
        <v>1245</v>
      </c>
      <c r="C292" s="126" t="s">
        <v>506</v>
      </c>
      <c r="D292" s="52">
        <v>2</v>
      </c>
      <c r="E292" s="56" t="s">
        <v>2394</v>
      </c>
      <c r="F292" s="126" t="s">
        <v>22</v>
      </c>
      <c r="G292" s="126" t="s">
        <v>1664</v>
      </c>
      <c r="H292" s="131">
        <v>16</v>
      </c>
      <c r="I292" s="49" t="s">
        <v>3585</v>
      </c>
      <c r="J292" s="52">
        <v>1</v>
      </c>
      <c r="K292" s="49"/>
      <c r="L292" s="49" t="s">
        <v>4680</v>
      </c>
      <c r="M292" s="58"/>
    </row>
    <row r="293" spans="1:14" ht="15">
      <c r="A293" s="52">
        <v>291</v>
      </c>
      <c r="B293" s="60" t="s">
        <v>1246</v>
      </c>
      <c r="C293" s="126" t="s">
        <v>506</v>
      </c>
      <c r="D293" s="52">
        <v>2</v>
      </c>
      <c r="E293" s="56" t="s">
        <v>2394</v>
      </c>
      <c r="F293" s="126" t="s">
        <v>22</v>
      </c>
      <c r="G293" s="126" t="s">
        <v>1664</v>
      </c>
      <c r="H293" s="131">
        <v>16</v>
      </c>
      <c r="I293" s="49" t="s">
        <v>3563</v>
      </c>
      <c r="J293" s="52">
        <v>1</v>
      </c>
      <c r="K293" s="49"/>
      <c r="L293" s="49" t="s">
        <v>4681</v>
      </c>
      <c r="M293" s="58"/>
    </row>
    <row r="294" spans="1:14" ht="15">
      <c r="A294" s="52">
        <v>292</v>
      </c>
      <c r="B294" s="60" t="s">
        <v>1259</v>
      </c>
      <c r="C294" s="126" t="s">
        <v>1260</v>
      </c>
      <c r="D294" s="52">
        <v>2</v>
      </c>
      <c r="E294" s="56" t="s">
        <v>2394</v>
      </c>
      <c r="F294" s="126" t="s">
        <v>22</v>
      </c>
      <c r="G294" s="126" t="s">
        <v>1664</v>
      </c>
      <c r="H294" s="131">
        <v>16</v>
      </c>
      <c r="I294" s="49" t="s">
        <v>3563</v>
      </c>
      <c r="J294" s="52">
        <v>1</v>
      </c>
      <c r="K294" s="49"/>
      <c r="L294" s="49" t="s">
        <v>4682</v>
      </c>
      <c r="M294" s="58"/>
    </row>
    <row r="295" spans="1:14" ht="15">
      <c r="A295" s="52">
        <v>293</v>
      </c>
      <c r="B295" s="60" t="s">
        <v>752</v>
      </c>
      <c r="C295" s="126" t="s">
        <v>489</v>
      </c>
      <c r="D295" s="52">
        <v>4</v>
      </c>
      <c r="E295" s="56" t="s">
        <v>2394</v>
      </c>
      <c r="F295" s="126" t="s">
        <v>22</v>
      </c>
      <c r="G295" s="126" t="s">
        <v>1664</v>
      </c>
      <c r="H295" s="131">
        <v>112</v>
      </c>
      <c r="I295" s="49" t="s">
        <v>3570</v>
      </c>
      <c r="J295" s="52">
        <v>1</v>
      </c>
      <c r="K295" s="49"/>
      <c r="L295" s="49" t="s">
        <v>4683</v>
      </c>
      <c r="M295" s="58"/>
    </row>
    <row r="296" spans="1:14" ht="15">
      <c r="A296" s="52">
        <v>294</v>
      </c>
      <c r="B296" s="60" t="s">
        <v>1273</v>
      </c>
      <c r="C296" s="126" t="s">
        <v>489</v>
      </c>
      <c r="D296" s="52">
        <v>4</v>
      </c>
      <c r="E296" s="56" t="s">
        <v>2394</v>
      </c>
      <c r="F296" s="126" t="s">
        <v>22</v>
      </c>
      <c r="G296" s="126" t="s">
        <v>1664</v>
      </c>
      <c r="H296" s="131">
        <v>32</v>
      </c>
      <c r="I296" s="49" t="s">
        <v>3563</v>
      </c>
      <c r="J296" s="52">
        <v>4</v>
      </c>
      <c r="K296" s="49"/>
      <c r="L296" s="49" t="s">
        <v>4684</v>
      </c>
      <c r="M296" s="58"/>
    </row>
    <row r="297" spans="1:14" ht="15">
      <c r="A297" s="52">
        <v>295</v>
      </c>
      <c r="B297" s="60" t="s">
        <v>1274</v>
      </c>
      <c r="C297" s="126" t="s">
        <v>489</v>
      </c>
      <c r="D297" s="52">
        <v>8</v>
      </c>
      <c r="E297" s="56" t="s">
        <v>2394</v>
      </c>
      <c r="F297" s="126" t="s">
        <v>22</v>
      </c>
      <c r="G297" s="126" t="s">
        <v>1664</v>
      </c>
      <c r="H297" s="131">
        <v>144</v>
      </c>
      <c r="I297" s="49" t="s">
        <v>3563</v>
      </c>
      <c r="J297" s="52">
        <v>4</v>
      </c>
      <c r="K297" s="49"/>
      <c r="L297" s="49" t="s">
        <v>4685</v>
      </c>
      <c r="M297" s="58"/>
    </row>
    <row r="298" spans="1:14" ht="15">
      <c r="A298" s="52">
        <v>296</v>
      </c>
      <c r="B298" s="53" t="s">
        <v>1275</v>
      </c>
      <c r="C298" s="126" t="s">
        <v>489</v>
      </c>
      <c r="D298" s="55">
        <v>8</v>
      </c>
      <c r="E298" s="56" t="s">
        <v>2394</v>
      </c>
      <c r="F298" s="126" t="s">
        <v>22</v>
      </c>
      <c r="G298" s="126" t="s">
        <v>1664</v>
      </c>
      <c r="H298" s="131">
        <v>64</v>
      </c>
      <c r="I298" s="49" t="s">
        <v>3563</v>
      </c>
      <c r="J298" s="52">
        <v>4</v>
      </c>
      <c r="K298" s="49"/>
      <c r="L298" s="49" t="s">
        <v>4686</v>
      </c>
      <c r="M298" s="58"/>
    </row>
    <row r="299" spans="1:14" ht="15">
      <c r="A299" s="52">
        <v>297</v>
      </c>
      <c r="B299" s="53" t="s">
        <v>1277</v>
      </c>
      <c r="C299" s="126" t="s">
        <v>492</v>
      </c>
      <c r="D299" s="55">
        <v>4</v>
      </c>
      <c r="E299" s="56" t="s">
        <v>2394</v>
      </c>
      <c r="F299" s="126" t="s">
        <v>22</v>
      </c>
      <c r="G299" s="126" t="s">
        <v>1664</v>
      </c>
      <c r="H299" s="131">
        <v>32</v>
      </c>
      <c r="I299" s="49" t="s">
        <v>3563</v>
      </c>
      <c r="J299" s="52">
        <v>2</v>
      </c>
      <c r="K299" s="49"/>
      <c r="L299" s="49" t="s">
        <v>4687</v>
      </c>
      <c r="M299" s="58"/>
    </row>
    <row r="300" spans="1:14" s="62" customFormat="1" ht="15">
      <c r="A300" s="52">
        <v>298</v>
      </c>
      <c r="B300" s="53" t="s">
        <v>1278</v>
      </c>
      <c r="C300" s="126" t="s">
        <v>492</v>
      </c>
      <c r="D300" s="55">
        <v>4</v>
      </c>
      <c r="E300" s="56" t="s">
        <v>2394</v>
      </c>
      <c r="F300" s="126" t="s">
        <v>22</v>
      </c>
      <c r="G300" s="126" t="s">
        <v>1664</v>
      </c>
      <c r="H300" s="131">
        <v>32</v>
      </c>
      <c r="I300" s="49" t="s">
        <v>3563</v>
      </c>
      <c r="J300" s="52">
        <v>4</v>
      </c>
      <c r="K300" s="49"/>
      <c r="L300" s="49" t="s">
        <v>4688</v>
      </c>
      <c r="M300" s="58"/>
      <c r="N300" s="10"/>
    </row>
    <row r="301" spans="1:14" ht="15">
      <c r="A301" s="52">
        <v>299</v>
      </c>
      <c r="B301" s="60" t="s">
        <v>1279</v>
      </c>
      <c r="C301" s="126" t="s">
        <v>492</v>
      </c>
      <c r="D301" s="52">
        <v>2</v>
      </c>
      <c r="E301" s="56" t="s">
        <v>2394</v>
      </c>
      <c r="F301" s="126" t="s">
        <v>22</v>
      </c>
      <c r="G301" s="126" t="s">
        <v>1664</v>
      </c>
      <c r="H301" s="131">
        <v>32</v>
      </c>
      <c r="I301" s="49" t="s">
        <v>3563</v>
      </c>
      <c r="J301" s="52">
        <v>2</v>
      </c>
      <c r="K301" s="49"/>
      <c r="L301" s="49" t="s">
        <v>4689</v>
      </c>
      <c r="M301" s="58"/>
    </row>
    <row r="302" spans="1:14" ht="15">
      <c r="A302" s="52">
        <v>300</v>
      </c>
      <c r="B302" s="60" t="s">
        <v>1280</v>
      </c>
      <c r="C302" s="126" t="s">
        <v>492</v>
      </c>
      <c r="D302" s="52">
        <v>2</v>
      </c>
      <c r="E302" s="56" t="s">
        <v>2394</v>
      </c>
      <c r="F302" s="126" t="s">
        <v>22</v>
      </c>
      <c r="G302" s="126" t="s">
        <v>1664</v>
      </c>
      <c r="H302" s="131">
        <v>96</v>
      </c>
      <c r="I302" s="49" t="s">
        <v>3563</v>
      </c>
      <c r="J302" s="52">
        <v>2</v>
      </c>
      <c r="K302" s="49"/>
      <c r="L302" s="49" t="s">
        <v>4690</v>
      </c>
      <c r="M302" s="58"/>
    </row>
    <row r="303" spans="1:14" ht="15">
      <c r="A303" s="52">
        <v>301</v>
      </c>
      <c r="B303" s="60" t="s">
        <v>1282</v>
      </c>
      <c r="C303" s="126" t="s">
        <v>492</v>
      </c>
      <c r="D303" s="113">
        <v>4</v>
      </c>
      <c r="E303" s="116" t="s">
        <v>2394</v>
      </c>
      <c r="F303" s="126" t="s">
        <v>22</v>
      </c>
      <c r="G303" s="126" t="s">
        <v>1664</v>
      </c>
      <c r="H303" s="131">
        <v>32</v>
      </c>
      <c r="I303" s="49" t="s">
        <v>3563</v>
      </c>
      <c r="J303" s="52">
        <v>4</v>
      </c>
      <c r="K303" s="49"/>
      <c r="L303" s="49" t="s">
        <v>4691</v>
      </c>
      <c r="M303" s="49"/>
    </row>
    <row r="304" spans="1:14" ht="15">
      <c r="A304" s="52">
        <v>302</v>
      </c>
      <c r="B304" s="53" t="s">
        <v>1283</v>
      </c>
      <c r="C304" s="126" t="s">
        <v>1285</v>
      </c>
      <c r="D304" s="55">
        <v>6</v>
      </c>
      <c r="E304" s="56" t="s">
        <v>2394</v>
      </c>
      <c r="F304" s="126" t="s">
        <v>22</v>
      </c>
      <c r="G304" s="126" t="s">
        <v>1664</v>
      </c>
      <c r="H304" s="131">
        <v>64</v>
      </c>
      <c r="I304" s="49" t="s">
        <v>3563</v>
      </c>
      <c r="J304" s="52">
        <v>4</v>
      </c>
      <c r="K304" s="49"/>
      <c r="L304" s="49" t="s">
        <v>4692</v>
      </c>
      <c r="M304" s="58">
        <v>45533</v>
      </c>
    </row>
    <row r="305" spans="1:14" ht="15">
      <c r="A305" s="52">
        <v>303</v>
      </c>
      <c r="B305" s="53" t="s">
        <v>1286</v>
      </c>
      <c r="C305" s="126" t="s">
        <v>1285</v>
      </c>
      <c r="D305" s="55">
        <v>4</v>
      </c>
      <c r="E305" s="56" t="s">
        <v>2394</v>
      </c>
      <c r="F305" s="126" t="s">
        <v>22</v>
      </c>
      <c r="G305" s="126" t="s">
        <v>1664</v>
      </c>
      <c r="H305" s="131">
        <v>32</v>
      </c>
      <c r="I305" s="49" t="s">
        <v>3563</v>
      </c>
      <c r="J305" s="52">
        <v>4</v>
      </c>
      <c r="K305" s="49"/>
      <c r="L305" s="49" t="s">
        <v>4693</v>
      </c>
      <c r="M305" s="58">
        <v>45533</v>
      </c>
    </row>
    <row r="306" spans="1:14" ht="15">
      <c r="A306" s="52">
        <v>304</v>
      </c>
      <c r="B306" s="60" t="s">
        <v>1287</v>
      </c>
      <c r="C306" s="126" t="s">
        <v>489</v>
      </c>
      <c r="D306" s="52">
        <v>2</v>
      </c>
      <c r="E306" s="56" t="s">
        <v>2394</v>
      </c>
      <c r="F306" s="126" t="s">
        <v>22</v>
      </c>
      <c r="G306" s="126" t="s">
        <v>1664</v>
      </c>
      <c r="H306" s="131">
        <v>32</v>
      </c>
      <c r="I306" s="49" t="s">
        <v>3563</v>
      </c>
      <c r="J306" s="52">
        <v>2</v>
      </c>
      <c r="K306" s="49"/>
      <c r="L306" s="49" t="s">
        <v>4694</v>
      </c>
      <c r="M306" s="58"/>
    </row>
    <row r="307" spans="1:14" ht="14.25" customHeight="1">
      <c r="A307" s="52">
        <v>305</v>
      </c>
      <c r="B307" s="60" t="s">
        <v>768</v>
      </c>
      <c r="C307" s="126" t="s">
        <v>769</v>
      </c>
      <c r="D307" s="52">
        <v>2</v>
      </c>
      <c r="E307" s="56" t="s">
        <v>2427</v>
      </c>
      <c r="F307" s="126" t="s">
        <v>22</v>
      </c>
      <c r="G307" s="126" t="s">
        <v>1664</v>
      </c>
      <c r="H307" s="131">
        <v>16</v>
      </c>
      <c r="I307" s="49" t="s">
        <v>3559</v>
      </c>
      <c r="J307" s="52">
        <v>1</v>
      </c>
      <c r="K307" s="49"/>
      <c r="L307" s="49" t="s">
        <v>4695</v>
      </c>
      <c r="M307" s="58"/>
    </row>
    <row r="308" spans="1:14" ht="14.25" customHeight="1">
      <c r="A308" s="52">
        <v>306</v>
      </c>
      <c r="B308" s="60" t="s">
        <v>269</v>
      </c>
      <c r="C308" s="126" t="s">
        <v>270</v>
      </c>
      <c r="D308" s="52">
        <v>8</v>
      </c>
      <c r="E308" s="56" t="s">
        <v>2427</v>
      </c>
      <c r="F308" s="126" t="s">
        <v>22</v>
      </c>
      <c r="G308" s="126" t="s">
        <v>1664</v>
      </c>
      <c r="H308" s="131">
        <v>80</v>
      </c>
      <c r="I308" s="49" t="s">
        <v>3563</v>
      </c>
      <c r="J308" s="52">
        <v>5</v>
      </c>
      <c r="K308" s="49"/>
      <c r="L308" s="49" t="s">
        <v>4696</v>
      </c>
      <c r="M308" s="58"/>
    </row>
    <row r="309" spans="1:14" ht="15">
      <c r="A309" s="52">
        <v>307</v>
      </c>
      <c r="B309" s="60" t="s">
        <v>770</v>
      </c>
      <c r="C309" s="126" t="s">
        <v>772</v>
      </c>
      <c r="D309" s="52">
        <v>1</v>
      </c>
      <c r="E309" s="56" t="s">
        <v>2427</v>
      </c>
      <c r="F309" s="126" t="s">
        <v>22</v>
      </c>
      <c r="G309" s="126" t="s">
        <v>1664</v>
      </c>
      <c r="H309" s="131">
        <v>8</v>
      </c>
      <c r="I309" s="49" t="s">
        <v>3559</v>
      </c>
      <c r="J309" s="52">
        <v>1</v>
      </c>
      <c r="K309" s="49"/>
      <c r="L309" s="49" t="s">
        <v>4697</v>
      </c>
      <c r="M309" s="58"/>
    </row>
    <row r="310" spans="1:14" ht="15">
      <c r="A310" s="52">
        <v>308</v>
      </c>
      <c r="B310" s="60" t="s">
        <v>490</v>
      </c>
      <c r="C310" s="126" t="s">
        <v>485</v>
      </c>
      <c r="D310" s="52">
        <v>2</v>
      </c>
      <c r="E310" s="56" t="s">
        <v>2427</v>
      </c>
      <c r="F310" s="126" t="s">
        <v>22</v>
      </c>
      <c r="G310" s="126" t="s">
        <v>1664</v>
      </c>
      <c r="H310" s="131">
        <v>48</v>
      </c>
      <c r="I310" s="49" t="s">
        <v>3559</v>
      </c>
      <c r="J310" s="52">
        <v>2</v>
      </c>
      <c r="K310" s="49"/>
      <c r="L310" s="49" t="s">
        <v>4698</v>
      </c>
      <c r="M310" s="58"/>
    </row>
    <row r="311" spans="1:14" s="62" customFormat="1" ht="15">
      <c r="A311" s="52">
        <v>309</v>
      </c>
      <c r="B311" s="53" t="s">
        <v>496</v>
      </c>
      <c r="C311" s="126" t="s">
        <v>498</v>
      </c>
      <c r="D311" s="55">
        <v>4</v>
      </c>
      <c r="E311" s="56" t="s">
        <v>2427</v>
      </c>
      <c r="F311" s="126" t="s">
        <v>22</v>
      </c>
      <c r="G311" s="126" t="s">
        <v>1664</v>
      </c>
      <c r="H311" s="131">
        <v>32</v>
      </c>
      <c r="I311" s="49" t="s">
        <v>3563</v>
      </c>
      <c r="J311" s="52">
        <v>5</v>
      </c>
      <c r="K311" s="49"/>
      <c r="L311" s="49" t="s">
        <v>4699</v>
      </c>
      <c r="M311" s="58">
        <v>45533</v>
      </c>
      <c r="N311" s="10"/>
    </row>
    <row r="312" spans="1:14" ht="15">
      <c r="A312" s="52">
        <v>310</v>
      </c>
      <c r="B312" s="53" t="s">
        <v>520</v>
      </c>
      <c r="C312" s="126" t="s">
        <v>521</v>
      </c>
      <c r="D312" s="55">
        <v>1</v>
      </c>
      <c r="E312" s="56" t="s">
        <v>2427</v>
      </c>
      <c r="F312" s="126" t="s">
        <v>22</v>
      </c>
      <c r="G312" s="126" t="s">
        <v>1664</v>
      </c>
      <c r="H312" s="131">
        <v>8</v>
      </c>
      <c r="I312" s="49" t="s">
        <v>3559</v>
      </c>
      <c r="J312" s="52">
        <v>1</v>
      </c>
      <c r="K312" s="49" t="s">
        <v>3400</v>
      </c>
      <c r="L312" s="49" t="s">
        <v>4700</v>
      </c>
      <c r="M312" s="58">
        <v>45533</v>
      </c>
    </row>
    <row r="313" spans="1:14" ht="15">
      <c r="A313" s="52">
        <v>311</v>
      </c>
      <c r="B313" s="60" t="s">
        <v>522</v>
      </c>
      <c r="C313" s="126" t="s">
        <v>521</v>
      </c>
      <c r="D313" s="52">
        <v>1</v>
      </c>
      <c r="E313" s="56" t="s">
        <v>2427</v>
      </c>
      <c r="F313" s="126" t="s">
        <v>22</v>
      </c>
      <c r="G313" s="126" t="s">
        <v>1664</v>
      </c>
      <c r="H313" s="131">
        <v>8</v>
      </c>
      <c r="I313" s="49" t="s">
        <v>3559</v>
      </c>
      <c r="J313" s="52">
        <v>1</v>
      </c>
      <c r="K313" s="49" t="s">
        <v>3400</v>
      </c>
      <c r="L313" s="49" t="s">
        <v>4701</v>
      </c>
      <c r="M313" s="58"/>
    </row>
    <row r="314" spans="1:14" ht="15">
      <c r="A314" s="52">
        <v>312</v>
      </c>
      <c r="B314" s="60" t="s">
        <v>1062</v>
      </c>
      <c r="C314" s="126" t="s">
        <v>1064</v>
      </c>
      <c r="D314" s="52">
        <v>20</v>
      </c>
      <c r="E314" s="56" t="s">
        <v>2427</v>
      </c>
      <c r="F314" s="126" t="s">
        <v>22</v>
      </c>
      <c r="G314" s="126" t="s">
        <v>1664</v>
      </c>
      <c r="H314" s="131">
        <v>160</v>
      </c>
      <c r="I314" s="49" t="s">
        <v>3559</v>
      </c>
      <c r="J314" s="52">
        <v>2</v>
      </c>
      <c r="K314" s="49"/>
      <c r="L314" s="49" t="s">
        <v>4702</v>
      </c>
      <c r="M314" s="58"/>
    </row>
    <row r="315" spans="1:14" ht="15">
      <c r="A315" s="52">
        <v>313</v>
      </c>
      <c r="B315" s="53" t="s">
        <v>1151</v>
      </c>
      <c r="C315" s="126" t="s">
        <v>558</v>
      </c>
      <c r="D315" s="55">
        <v>1</v>
      </c>
      <c r="E315" s="56" t="s">
        <v>2427</v>
      </c>
      <c r="F315" s="126" t="s">
        <v>22</v>
      </c>
      <c r="G315" s="126" t="s">
        <v>1664</v>
      </c>
      <c r="H315" s="131">
        <v>8</v>
      </c>
      <c r="I315" s="49" t="s">
        <v>3563</v>
      </c>
      <c r="J315" s="52">
        <v>3</v>
      </c>
      <c r="K315" s="49"/>
      <c r="L315" s="188" t="s">
        <v>4703</v>
      </c>
      <c r="M315" s="58">
        <v>45533</v>
      </c>
    </row>
    <row r="316" spans="1:14" ht="15">
      <c r="A316" s="52">
        <v>314</v>
      </c>
      <c r="B316" s="60" t="s">
        <v>561</v>
      </c>
      <c r="C316" s="126" t="s">
        <v>521</v>
      </c>
      <c r="D316" s="52">
        <v>1</v>
      </c>
      <c r="E316" s="56" t="s">
        <v>2427</v>
      </c>
      <c r="F316" s="126" t="s">
        <v>22</v>
      </c>
      <c r="G316" s="126" t="s">
        <v>1664</v>
      </c>
      <c r="H316" s="131">
        <v>8</v>
      </c>
      <c r="I316" s="49" t="s">
        <v>3559</v>
      </c>
      <c r="J316" s="52">
        <v>1</v>
      </c>
      <c r="K316" s="49"/>
      <c r="L316" s="49" t="s">
        <v>4704</v>
      </c>
      <c r="M316" s="58"/>
    </row>
    <row r="317" spans="1:14" ht="15">
      <c r="A317" s="52">
        <v>315</v>
      </c>
      <c r="B317" s="60" t="s">
        <v>612</v>
      </c>
      <c r="C317" s="126" t="s">
        <v>614</v>
      </c>
      <c r="D317" s="52">
        <v>12</v>
      </c>
      <c r="E317" s="56" t="s">
        <v>2427</v>
      </c>
      <c r="F317" s="126" t="s">
        <v>22</v>
      </c>
      <c r="G317" s="126" t="s">
        <v>1686</v>
      </c>
      <c r="H317" s="131">
        <v>1072</v>
      </c>
      <c r="I317" s="49" t="s">
        <v>3563</v>
      </c>
      <c r="J317" s="52">
        <v>1</v>
      </c>
      <c r="K317" s="49"/>
      <c r="L317" s="49" t="s">
        <v>4705</v>
      </c>
      <c r="M317" s="58">
        <v>45533</v>
      </c>
    </row>
    <row r="318" spans="1:14" ht="15">
      <c r="A318" s="52">
        <v>316</v>
      </c>
      <c r="B318" s="60" t="s">
        <v>711</v>
      </c>
      <c r="C318" s="126" t="s">
        <v>712</v>
      </c>
      <c r="D318" s="52">
        <v>2</v>
      </c>
      <c r="E318" s="56" t="s">
        <v>2427</v>
      </c>
      <c r="F318" s="126" t="s">
        <v>22</v>
      </c>
      <c r="G318" s="126" t="s">
        <v>1664</v>
      </c>
      <c r="H318" s="131">
        <v>16</v>
      </c>
      <c r="I318" s="49" t="s">
        <v>3563</v>
      </c>
      <c r="J318" s="52">
        <v>3</v>
      </c>
      <c r="K318" s="49"/>
      <c r="L318" s="49" t="s">
        <v>4706</v>
      </c>
      <c r="M318" s="58"/>
    </row>
    <row r="319" spans="1:14" ht="15">
      <c r="A319" s="52">
        <v>317</v>
      </c>
      <c r="B319" s="60" t="s">
        <v>1271</v>
      </c>
      <c r="C319" s="126" t="s">
        <v>630</v>
      </c>
      <c r="D319" s="52">
        <v>7</v>
      </c>
      <c r="E319" s="56" t="s">
        <v>2427</v>
      </c>
      <c r="F319" s="126" t="s">
        <v>22</v>
      </c>
      <c r="G319" s="126" t="s">
        <v>1664</v>
      </c>
      <c r="H319" s="131">
        <v>72</v>
      </c>
      <c r="I319" s="49" t="s">
        <v>3563</v>
      </c>
      <c r="J319" s="52">
        <v>2</v>
      </c>
      <c r="K319" s="49"/>
      <c r="L319" s="49" t="s">
        <v>4707</v>
      </c>
      <c r="M319" s="58"/>
    </row>
    <row r="320" spans="1:14" ht="15">
      <c r="A320" s="52">
        <v>318</v>
      </c>
      <c r="B320" s="60" t="s">
        <v>752</v>
      </c>
      <c r="C320" s="126" t="s">
        <v>489</v>
      </c>
      <c r="D320" s="52">
        <v>1</v>
      </c>
      <c r="E320" s="56" t="s">
        <v>2427</v>
      </c>
      <c r="F320" s="126" t="s">
        <v>22</v>
      </c>
      <c r="G320" s="126" t="s">
        <v>1664</v>
      </c>
      <c r="H320" s="131">
        <v>112</v>
      </c>
      <c r="I320" s="49" t="s">
        <v>3559</v>
      </c>
      <c r="J320" s="52">
        <v>3</v>
      </c>
      <c r="K320" s="49"/>
      <c r="L320" s="49" t="s">
        <v>4708</v>
      </c>
      <c r="M320" s="58">
        <v>45533</v>
      </c>
    </row>
    <row r="321" spans="1:14" ht="15">
      <c r="A321" s="52">
        <v>319</v>
      </c>
      <c r="B321" s="60" t="s">
        <v>1276</v>
      </c>
      <c r="C321" s="126" t="s">
        <v>492</v>
      </c>
      <c r="D321" s="52">
        <v>1</v>
      </c>
      <c r="E321" s="56" t="s">
        <v>2427</v>
      </c>
      <c r="F321" s="126" t="s">
        <v>22</v>
      </c>
      <c r="G321" s="126" t="s">
        <v>1664</v>
      </c>
      <c r="H321" s="131">
        <v>32</v>
      </c>
      <c r="I321" s="49" t="s">
        <v>3559</v>
      </c>
      <c r="J321" s="52">
        <v>3</v>
      </c>
      <c r="K321" s="49"/>
      <c r="L321" s="49" t="s">
        <v>4709</v>
      </c>
      <c r="M321" s="58"/>
    </row>
    <row r="322" spans="1:14" ht="15">
      <c r="A322" s="52">
        <v>320</v>
      </c>
      <c r="B322" s="60" t="s">
        <v>763</v>
      </c>
      <c r="C322" s="126" t="s">
        <v>764</v>
      </c>
      <c r="D322" s="52">
        <v>1</v>
      </c>
      <c r="E322" s="56" t="s">
        <v>2437</v>
      </c>
      <c r="F322" s="126" t="s">
        <v>22</v>
      </c>
      <c r="G322" s="126" t="s">
        <v>1664</v>
      </c>
      <c r="H322" s="131">
        <v>8</v>
      </c>
      <c r="I322" s="49" t="s">
        <v>3563</v>
      </c>
      <c r="J322" s="52">
        <v>3</v>
      </c>
      <c r="K322" s="49"/>
      <c r="L322" s="49" t="s">
        <v>4710</v>
      </c>
      <c r="M322" s="58"/>
    </row>
    <row r="323" spans="1:14" ht="15">
      <c r="A323" s="52">
        <v>321</v>
      </c>
      <c r="B323" s="60" t="s">
        <v>1765</v>
      </c>
      <c r="C323" s="126" t="s">
        <v>1766</v>
      </c>
      <c r="D323" s="52">
        <v>2</v>
      </c>
      <c r="E323" s="56" t="s">
        <v>2437</v>
      </c>
      <c r="F323" s="126" t="s">
        <v>22</v>
      </c>
      <c r="G323" s="126" t="s">
        <v>1664</v>
      </c>
      <c r="H323" s="131">
        <v>16</v>
      </c>
      <c r="I323" s="49" t="s">
        <v>3563</v>
      </c>
      <c r="J323" s="52">
        <v>2</v>
      </c>
      <c r="K323" s="49"/>
      <c r="L323" s="49" t="s">
        <v>4711</v>
      </c>
      <c r="M323" s="58"/>
    </row>
    <row r="324" spans="1:14" ht="15">
      <c r="A324" s="52">
        <v>322</v>
      </c>
      <c r="B324" s="60" t="s">
        <v>776</v>
      </c>
      <c r="C324" s="126" t="s">
        <v>739</v>
      </c>
      <c r="D324" s="52">
        <v>1</v>
      </c>
      <c r="E324" s="56" t="s">
        <v>2437</v>
      </c>
      <c r="F324" s="126" t="s">
        <v>22</v>
      </c>
      <c r="G324" s="126" t="s">
        <v>1664</v>
      </c>
      <c r="H324" s="131">
        <v>8</v>
      </c>
      <c r="I324" s="49" t="s">
        <v>3563</v>
      </c>
      <c r="J324" s="52">
        <v>5</v>
      </c>
      <c r="K324" s="49"/>
      <c r="L324" s="49" t="s">
        <v>4712</v>
      </c>
      <c r="M324" s="58"/>
    </row>
    <row r="325" spans="1:14" ht="15">
      <c r="A325" s="52">
        <v>323</v>
      </c>
      <c r="B325" s="60" t="s">
        <v>801</v>
      </c>
      <c r="C325" s="126" t="s">
        <v>485</v>
      </c>
      <c r="D325" s="52">
        <v>2</v>
      </c>
      <c r="E325" s="56" t="s">
        <v>2437</v>
      </c>
      <c r="F325" s="126" t="s">
        <v>22</v>
      </c>
      <c r="G325" s="126" t="s">
        <v>1664</v>
      </c>
      <c r="H325" s="131">
        <v>16</v>
      </c>
      <c r="I325" s="49" t="s">
        <v>3563</v>
      </c>
      <c r="J325" s="52">
        <v>3</v>
      </c>
      <c r="K325" s="49"/>
      <c r="L325" s="49" t="s">
        <v>4713</v>
      </c>
      <c r="M325" s="58"/>
    </row>
    <row r="326" spans="1:14" ht="15">
      <c r="A326" s="52">
        <v>324</v>
      </c>
      <c r="B326" s="60" t="s">
        <v>866</v>
      </c>
      <c r="C326" s="126" t="s">
        <v>21</v>
      </c>
      <c r="D326" s="52">
        <v>2</v>
      </c>
      <c r="E326" s="56" t="s">
        <v>2437</v>
      </c>
      <c r="F326" s="126" t="s">
        <v>22</v>
      </c>
      <c r="G326" s="126" t="s">
        <v>1664</v>
      </c>
      <c r="H326" s="131">
        <v>16</v>
      </c>
      <c r="I326" s="49" t="s">
        <v>3594</v>
      </c>
      <c r="J326" s="52">
        <v>1</v>
      </c>
      <c r="K326" s="49"/>
      <c r="L326" s="49" t="s">
        <v>4714</v>
      </c>
      <c r="M326" s="58"/>
    </row>
    <row r="327" spans="1:14" ht="15">
      <c r="A327" s="52">
        <v>325</v>
      </c>
      <c r="B327" s="60" t="s">
        <v>867</v>
      </c>
      <c r="C327" s="126" t="s">
        <v>21</v>
      </c>
      <c r="D327" s="52">
        <v>1</v>
      </c>
      <c r="E327" s="56" t="s">
        <v>2437</v>
      </c>
      <c r="F327" s="126" t="s">
        <v>22</v>
      </c>
      <c r="G327" s="126" t="s">
        <v>1664</v>
      </c>
      <c r="H327" s="131">
        <v>8</v>
      </c>
      <c r="I327" s="49" t="s">
        <v>3563</v>
      </c>
      <c r="J327" s="52">
        <v>5</v>
      </c>
      <c r="K327" s="49"/>
      <c r="L327" s="49" t="s">
        <v>4715</v>
      </c>
      <c r="M327" s="58"/>
    </row>
    <row r="328" spans="1:14" ht="15">
      <c r="A328" s="52">
        <v>326</v>
      </c>
      <c r="B328" s="60" t="s">
        <v>509</v>
      </c>
      <c r="C328" s="126" t="s">
        <v>21</v>
      </c>
      <c r="D328" s="52">
        <v>2</v>
      </c>
      <c r="E328" s="56" t="s">
        <v>2437</v>
      </c>
      <c r="F328" s="126" t="s">
        <v>22</v>
      </c>
      <c r="G328" s="126" t="s">
        <v>1664</v>
      </c>
      <c r="H328" s="131">
        <v>16</v>
      </c>
      <c r="I328" s="49" t="s">
        <v>3563</v>
      </c>
      <c r="J328" s="52">
        <v>3</v>
      </c>
      <c r="K328" s="49"/>
      <c r="L328" s="49" t="s">
        <v>4716</v>
      </c>
      <c r="M328" s="58"/>
    </row>
    <row r="329" spans="1:14" ht="15">
      <c r="A329" s="52">
        <v>327</v>
      </c>
      <c r="B329" s="60" t="s">
        <v>869</v>
      </c>
      <c r="C329" s="126" t="s">
        <v>21</v>
      </c>
      <c r="D329" s="52">
        <v>2</v>
      </c>
      <c r="E329" s="56" t="s">
        <v>2437</v>
      </c>
      <c r="F329" s="126" t="s">
        <v>22</v>
      </c>
      <c r="G329" s="126" t="s">
        <v>1664</v>
      </c>
      <c r="H329" s="131">
        <v>16</v>
      </c>
      <c r="I329" s="49" t="s">
        <v>3563</v>
      </c>
      <c r="J329" s="52">
        <v>3</v>
      </c>
      <c r="K329" s="49"/>
      <c r="L329" s="49" t="s">
        <v>4717</v>
      </c>
      <c r="M329" s="58"/>
    </row>
    <row r="330" spans="1:14" ht="15">
      <c r="A330" s="52">
        <v>328</v>
      </c>
      <c r="B330" s="60" t="s">
        <v>886</v>
      </c>
      <c r="C330" s="126" t="s">
        <v>21</v>
      </c>
      <c r="D330" s="52">
        <v>1</v>
      </c>
      <c r="E330" s="56" t="s">
        <v>2437</v>
      </c>
      <c r="F330" s="126" t="s">
        <v>22</v>
      </c>
      <c r="G330" s="126" t="s">
        <v>1664</v>
      </c>
      <c r="H330" s="131">
        <v>8</v>
      </c>
      <c r="I330" s="49" t="s">
        <v>3570</v>
      </c>
      <c r="J330" s="52">
        <v>1</v>
      </c>
      <c r="K330" s="49"/>
      <c r="L330" s="49" t="s">
        <v>4718</v>
      </c>
      <c r="M330" s="58"/>
    </row>
    <row r="331" spans="1:14" ht="15">
      <c r="A331" s="52">
        <v>329</v>
      </c>
      <c r="B331" s="60" t="s">
        <v>513</v>
      </c>
      <c r="C331" s="126" t="s">
        <v>514</v>
      </c>
      <c r="D331" s="52">
        <v>1</v>
      </c>
      <c r="E331" s="56" t="s">
        <v>2437</v>
      </c>
      <c r="F331" s="126" t="s">
        <v>22</v>
      </c>
      <c r="G331" s="126" t="s">
        <v>1664</v>
      </c>
      <c r="H331" s="131">
        <v>8</v>
      </c>
      <c r="I331" s="49" t="s">
        <v>3570</v>
      </c>
      <c r="J331" s="52">
        <v>1</v>
      </c>
      <c r="K331" s="49"/>
      <c r="L331" s="49" t="s">
        <v>4719</v>
      </c>
      <c r="M331" s="58"/>
    </row>
    <row r="332" spans="1:14" ht="15">
      <c r="A332" s="52">
        <v>330</v>
      </c>
      <c r="B332" s="60" t="s">
        <v>1308</v>
      </c>
      <c r="C332" s="126" t="s">
        <v>1309</v>
      </c>
      <c r="D332" s="52">
        <v>1</v>
      </c>
      <c r="E332" s="56" t="s">
        <v>2437</v>
      </c>
      <c r="F332" s="126" t="s">
        <v>22</v>
      </c>
      <c r="G332" s="126" t="s">
        <v>1664</v>
      </c>
      <c r="H332" s="131">
        <v>8</v>
      </c>
      <c r="I332" s="49" t="s">
        <v>3563</v>
      </c>
      <c r="J332" s="52">
        <v>3</v>
      </c>
      <c r="K332" s="49"/>
      <c r="L332" s="49" t="s">
        <v>4720</v>
      </c>
      <c r="M332" s="58"/>
    </row>
    <row r="333" spans="1:14" ht="15">
      <c r="A333" s="52">
        <v>331</v>
      </c>
      <c r="B333" s="60" t="s">
        <v>973</v>
      </c>
      <c r="C333" s="126" t="s">
        <v>975</v>
      </c>
      <c r="D333" s="52">
        <v>1</v>
      </c>
      <c r="E333" s="56" t="s">
        <v>2437</v>
      </c>
      <c r="F333" s="126" t="s">
        <v>22</v>
      </c>
      <c r="G333" s="126" t="s">
        <v>1664</v>
      </c>
      <c r="H333" s="131">
        <v>8</v>
      </c>
      <c r="I333" s="49" t="s">
        <v>3563</v>
      </c>
      <c r="J333" s="52">
        <v>4</v>
      </c>
      <c r="K333" s="49" t="s">
        <v>3400</v>
      </c>
      <c r="L333" s="49" t="s">
        <v>4721</v>
      </c>
      <c r="M333" s="58"/>
    </row>
    <row r="334" spans="1:14" ht="15">
      <c r="A334" s="52">
        <v>332</v>
      </c>
      <c r="B334" s="60" t="s">
        <v>991</v>
      </c>
      <c r="C334" s="126" t="s">
        <v>587</v>
      </c>
      <c r="D334" s="52">
        <v>4</v>
      </c>
      <c r="E334" s="56" t="s">
        <v>2437</v>
      </c>
      <c r="F334" s="126" t="s">
        <v>22</v>
      </c>
      <c r="G334" s="126" t="s">
        <v>1664</v>
      </c>
      <c r="H334" s="131">
        <v>32</v>
      </c>
      <c r="I334" s="49" t="s">
        <v>3563</v>
      </c>
      <c r="J334" s="52">
        <v>4</v>
      </c>
      <c r="K334" s="49"/>
      <c r="L334" s="49" t="s">
        <v>4722</v>
      </c>
      <c r="M334" s="58"/>
      <c r="N334" s="62"/>
    </row>
    <row r="335" spans="1:14" ht="15">
      <c r="A335" s="52">
        <v>333</v>
      </c>
      <c r="B335" s="60" t="s">
        <v>1081</v>
      </c>
      <c r="C335" s="126" t="s">
        <v>558</v>
      </c>
      <c r="D335" s="52">
        <v>2</v>
      </c>
      <c r="E335" s="56" t="s">
        <v>2437</v>
      </c>
      <c r="F335" s="126" t="s">
        <v>22</v>
      </c>
      <c r="G335" s="126" t="s">
        <v>1664</v>
      </c>
      <c r="H335" s="131">
        <v>16</v>
      </c>
      <c r="I335" s="49" t="s">
        <v>3563</v>
      </c>
      <c r="J335" s="52">
        <v>4</v>
      </c>
      <c r="K335" s="49"/>
      <c r="L335" s="49" t="s">
        <v>4723</v>
      </c>
      <c r="M335" s="58"/>
    </row>
    <row r="336" spans="1:14" ht="15">
      <c r="A336" s="52">
        <v>334</v>
      </c>
      <c r="B336" s="60" t="s">
        <v>1111</v>
      </c>
      <c r="C336" s="126" t="s">
        <v>1113</v>
      </c>
      <c r="D336" s="52">
        <v>2</v>
      </c>
      <c r="E336" s="56" t="s">
        <v>2437</v>
      </c>
      <c r="F336" s="126" t="s">
        <v>22</v>
      </c>
      <c r="G336" s="126" t="s">
        <v>1664</v>
      </c>
      <c r="H336" s="131">
        <v>16</v>
      </c>
      <c r="I336" s="49" t="s">
        <v>3563</v>
      </c>
      <c r="J336" s="52">
        <v>4</v>
      </c>
      <c r="K336" s="49"/>
      <c r="L336" s="49" t="s">
        <v>4724</v>
      </c>
      <c r="M336" s="58"/>
    </row>
    <row r="337" spans="1:13" ht="15">
      <c r="A337" s="52">
        <v>335</v>
      </c>
      <c r="B337" s="60" t="s">
        <v>1117</v>
      </c>
      <c r="C337" s="126" t="s">
        <v>21</v>
      </c>
      <c r="D337" s="52">
        <v>2</v>
      </c>
      <c r="E337" s="56" t="s">
        <v>2437</v>
      </c>
      <c r="F337" s="126" t="s">
        <v>22</v>
      </c>
      <c r="G337" s="126" t="s">
        <v>1664</v>
      </c>
      <c r="H337" s="131">
        <v>24</v>
      </c>
      <c r="I337" s="49" t="s">
        <v>3563</v>
      </c>
      <c r="J337" s="52">
        <v>5</v>
      </c>
      <c r="K337" s="49"/>
      <c r="L337" s="49" t="s">
        <v>4725</v>
      </c>
      <c r="M337" s="58"/>
    </row>
    <row r="338" spans="1:13" ht="15">
      <c r="A338" s="52">
        <v>336</v>
      </c>
      <c r="B338" s="60" t="s">
        <v>1149</v>
      </c>
      <c r="C338" s="126" t="s">
        <v>558</v>
      </c>
      <c r="D338" s="52">
        <v>8</v>
      </c>
      <c r="E338" s="56" t="s">
        <v>2437</v>
      </c>
      <c r="F338" s="126" t="s">
        <v>22</v>
      </c>
      <c r="G338" s="126" t="s">
        <v>1664</v>
      </c>
      <c r="H338" s="131">
        <v>72</v>
      </c>
      <c r="I338" s="49" t="s">
        <v>3594</v>
      </c>
      <c r="J338" s="52">
        <v>1</v>
      </c>
      <c r="K338" s="49"/>
      <c r="L338" s="49" t="s">
        <v>4726</v>
      </c>
      <c r="M338" s="58"/>
    </row>
    <row r="339" spans="1:13" ht="15">
      <c r="A339" s="52">
        <v>337</v>
      </c>
      <c r="B339" s="60" t="s">
        <v>559</v>
      </c>
      <c r="C339" s="126" t="s">
        <v>560</v>
      </c>
      <c r="D339" s="52">
        <v>6</v>
      </c>
      <c r="E339" s="56" t="s">
        <v>2437</v>
      </c>
      <c r="F339" s="126" t="s">
        <v>22</v>
      </c>
      <c r="G339" s="126" t="s">
        <v>1686</v>
      </c>
      <c r="H339" s="131">
        <v>960</v>
      </c>
      <c r="I339" s="49" t="s">
        <v>3594</v>
      </c>
      <c r="J339" s="52">
        <v>5</v>
      </c>
      <c r="K339" s="49"/>
      <c r="L339" s="49" t="s">
        <v>4727</v>
      </c>
      <c r="M339" s="58"/>
    </row>
    <row r="340" spans="1:13" ht="15">
      <c r="A340" s="52">
        <v>338</v>
      </c>
      <c r="B340" s="60" t="s">
        <v>1165</v>
      </c>
      <c r="C340" s="126" t="s">
        <v>630</v>
      </c>
      <c r="D340" s="52">
        <v>4</v>
      </c>
      <c r="E340" s="56" t="s">
        <v>2437</v>
      </c>
      <c r="F340" s="126" t="s">
        <v>22</v>
      </c>
      <c r="G340" s="126" t="s">
        <v>1664</v>
      </c>
      <c r="H340" s="131">
        <v>32</v>
      </c>
      <c r="I340" s="49" t="s">
        <v>3563</v>
      </c>
      <c r="J340" s="52">
        <v>4</v>
      </c>
      <c r="K340" s="49"/>
      <c r="L340" s="49" t="s">
        <v>4728</v>
      </c>
      <c r="M340" s="58"/>
    </row>
    <row r="341" spans="1:13" ht="15">
      <c r="A341" s="52">
        <v>339</v>
      </c>
      <c r="B341" s="60" t="s">
        <v>1172</v>
      </c>
      <c r="C341" s="126" t="s">
        <v>630</v>
      </c>
      <c r="D341" s="52">
        <v>6</v>
      </c>
      <c r="E341" s="56" t="s">
        <v>2437</v>
      </c>
      <c r="F341" s="126" t="s">
        <v>22</v>
      </c>
      <c r="G341" s="126" t="s">
        <v>1664</v>
      </c>
      <c r="H341" s="131">
        <v>48</v>
      </c>
      <c r="I341" s="49" t="s">
        <v>3563</v>
      </c>
      <c r="J341" s="52">
        <v>5</v>
      </c>
      <c r="K341" s="49"/>
      <c r="L341" s="49" t="s">
        <v>4729</v>
      </c>
      <c r="M341" s="58"/>
    </row>
    <row r="342" spans="1:13" ht="15">
      <c r="A342" s="52">
        <v>340</v>
      </c>
      <c r="B342" s="60" t="s">
        <v>585</v>
      </c>
      <c r="C342" s="126" t="s">
        <v>587</v>
      </c>
      <c r="D342" s="52">
        <v>2</v>
      </c>
      <c r="E342" s="56" t="s">
        <v>2437</v>
      </c>
      <c r="F342" s="126" t="s">
        <v>22</v>
      </c>
      <c r="G342" s="126" t="s">
        <v>1664</v>
      </c>
      <c r="H342" s="131">
        <v>48</v>
      </c>
      <c r="I342" s="49" t="s">
        <v>3563</v>
      </c>
      <c r="J342" s="52">
        <v>3</v>
      </c>
      <c r="K342" s="49"/>
      <c r="L342" s="49" t="s">
        <v>4730</v>
      </c>
      <c r="M342" s="58"/>
    </row>
    <row r="343" spans="1:13" ht="15">
      <c r="A343" s="52">
        <v>341</v>
      </c>
      <c r="B343" s="60" t="s">
        <v>1180</v>
      </c>
      <c r="C343" s="126" t="s">
        <v>587</v>
      </c>
      <c r="D343" s="52">
        <v>2</v>
      </c>
      <c r="E343" s="56" t="s">
        <v>2437</v>
      </c>
      <c r="F343" s="126" t="s">
        <v>22</v>
      </c>
      <c r="G343" s="126" t="s">
        <v>1664</v>
      </c>
      <c r="H343" s="131">
        <v>32</v>
      </c>
      <c r="I343" s="49" t="s">
        <v>3570</v>
      </c>
      <c r="J343" s="52">
        <v>3</v>
      </c>
      <c r="K343" s="49"/>
      <c r="L343" s="49" t="s">
        <v>4731</v>
      </c>
      <c r="M343" s="58"/>
    </row>
    <row r="344" spans="1:13" ht="15">
      <c r="A344" s="52">
        <v>342</v>
      </c>
      <c r="B344" s="60" t="s">
        <v>1181</v>
      </c>
      <c r="C344" s="126" t="s">
        <v>587</v>
      </c>
      <c r="D344" s="52">
        <v>1</v>
      </c>
      <c r="E344" s="56" t="s">
        <v>2437</v>
      </c>
      <c r="F344" s="126" t="s">
        <v>22</v>
      </c>
      <c r="G344" s="126" t="s">
        <v>1664</v>
      </c>
      <c r="H344" s="131">
        <v>48</v>
      </c>
      <c r="I344" s="49" t="s">
        <v>3594</v>
      </c>
      <c r="J344" s="52">
        <v>2</v>
      </c>
      <c r="K344" s="49"/>
      <c r="L344" s="49" t="s">
        <v>4732</v>
      </c>
      <c r="M344" s="58"/>
    </row>
    <row r="345" spans="1:13" ht="15">
      <c r="A345" s="52">
        <v>343</v>
      </c>
      <c r="B345" s="60" t="s">
        <v>1182</v>
      </c>
      <c r="C345" s="126" t="s">
        <v>587</v>
      </c>
      <c r="D345" s="52">
        <v>2</v>
      </c>
      <c r="E345" s="56" t="s">
        <v>2437</v>
      </c>
      <c r="F345" s="126" t="s">
        <v>22</v>
      </c>
      <c r="G345" s="126" t="s">
        <v>1664</v>
      </c>
      <c r="H345" s="127">
        <v>96</v>
      </c>
      <c r="I345" s="49" t="s">
        <v>3570</v>
      </c>
      <c r="J345" s="52">
        <v>5</v>
      </c>
      <c r="K345" s="49"/>
      <c r="L345" s="49" t="s">
        <v>4733</v>
      </c>
      <c r="M345" s="58"/>
    </row>
    <row r="346" spans="1:13" ht="15">
      <c r="A346" s="52">
        <v>344</v>
      </c>
      <c r="B346" s="60" t="s">
        <v>605</v>
      </c>
      <c r="C346" s="126" t="s">
        <v>607</v>
      </c>
      <c r="D346" s="52">
        <v>4</v>
      </c>
      <c r="E346" s="56" t="s">
        <v>2437</v>
      </c>
      <c r="F346" s="126" t="s">
        <v>22</v>
      </c>
      <c r="G346" s="126" t="s">
        <v>1664</v>
      </c>
      <c r="H346" s="127">
        <v>32</v>
      </c>
      <c r="I346" s="49" t="s">
        <v>3563</v>
      </c>
      <c r="J346" s="52">
        <v>4</v>
      </c>
      <c r="K346" s="49"/>
      <c r="L346" s="49" t="s">
        <v>4734</v>
      </c>
      <c r="M346" s="58"/>
    </row>
    <row r="347" spans="1:13" ht="15">
      <c r="A347" s="52">
        <v>345</v>
      </c>
      <c r="B347" s="60" t="s">
        <v>612</v>
      </c>
      <c r="C347" s="126" t="s">
        <v>614</v>
      </c>
      <c r="D347" s="52">
        <v>30</v>
      </c>
      <c r="E347" s="56" t="s">
        <v>2437</v>
      </c>
      <c r="F347" s="126" t="s">
        <v>22</v>
      </c>
      <c r="G347" s="126" t="s">
        <v>1686</v>
      </c>
      <c r="H347" s="131">
        <v>1072</v>
      </c>
      <c r="I347" s="49" t="s">
        <v>3563</v>
      </c>
      <c r="J347" s="52">
        <v>1</v>
      </c>
      <c r="K347" s="49"/>
      <c r="L347" s="49" t="s">
        <v>4735</v>
      </c>
      <c r="M347" s="58"/>
    </row>
    <row r="348" spans="1:13" ht="15">
      <c r="A348" s="52">
        <v>346</v>
      </c>
      <c r="B348" s="53" t="s">
        <v>1183</v>
      </c>
      <c r="C348" s="126" t="s">
        <v>1185</v>
      </c>
      <c r="D348" s="55">
        <v>2</v>
      </c>
      <c r="E348" s="52" t="s">
        <v>2437</v>
      </c>
      <c r="F348" s="126" t="s">
        <v>22</v>
      </c>
      <c r="G348" s="126" t="s">
        <v>1664</v>
      </c>
      <c r="H348" s="131">
        <v>32</v>
      </c>
      <c r="I348" s="49" t="s">
        <v>3570</v>
      </c>
      <c r="J348" s="52">
        <v>5</v>
      </c>
      <c r="K348" s="49"/>
      <c r="L348" s="49" t="s">
        <v>4736</v>
      </c>
      <c r="M348" s="58"/>
    </row>
    <row r="349" spans="1:13" ht="15">
      <c r="A349" s="52">
        <v>347</v>
      </c>
      <c r="B349" s="60" t="s">
        <v>1186</v>
      </c>
      <c r="C349" s="126" t="s">
        <v>582</v>
      </c>
      <c r="D349" s="52">
        <v>1</v>
      </c>
      <c r="E349" s="52" t="s">
        <v>2437</v>
      </c>
      <c r="F349" s="126" t="s">
        <v>22</v>
      </c>
      <c r="G349" s="126" t="s">
        <v>1664</v>
      </c>
      <c r="H349" s="131">
        <v>8</v>
      </c>
      <c r="I349" s="49" t="s">
        <v>3563</v>
      </c>
      <c r="J349" s="52">
        <v>5</v>
      </c>
      <c r="K349" s="49"/>
      <c r="L349" s="49" t="s">
        <v>4737</v>
      </c>
      <c r="M349" s="58"/>
    </row>
    <row r="350" spans="1:13" ht="15">
      <c r="A350" s="52">
        <v>348</v>
      </c>
      <c r="B350" s="60" t="s">
        <v>1579</v>
      </c>
      <c r="C350" s="126" t="s">
        <v>492</v>
      </c>
      <c r="D350" s="52">
        <v>1</v>
      </c>
      <c r="E350" s="52" t="s">
        <v>2437</v>
      </c>
      <c r="F350" s="126" t="s">
        <v>22</v>
      </c>
      <c r="G350" s="126" t="s">
        <v>1664</v>
      </c>
      <c r="H350" s="131">
        <v>8</v>
      </c>
      <c r="I350" s="49" t="s">
        <v>3570</v>
      </c>
      <c r="J350" s="52">
        <v>2</v>
      </c>
      <c r="K350" s="49"/>
      <c r="L350" s="49" t="s">
        <v>4738</v>
      </c>
      <c r="M350" s="58"/>
    </row>
    <row r="351" spans="1:13" ht="15">
      <c r="A351" s="52">
        <v>349</v>
      </c>
      <c r="B351" s="60" t="s">
        <v>1187</v>
      </c>
      <c r="C351" s="126" t="s">
        <v>1188</v>
      </c>
      <c r="D351" s="52">
        <v>4</v>
      </c>
      <c r="E351" s="56" t="s">
        <v>2437</v>
      </c>
      <c r="F351" s="126" t="s">
        <v>22</v>
      </c>
      <c r="G351" s="126" t="s">
        <v>1664</v>
      </c>
      <c r="H351" s="131">
        <v>88</v>
      </c>
      <c r="I351" s="49" t="s">
        <v>3563</v>
      </c>
      <c r="J351" s="52">
        <v>2</v>
      </c>
      <c r="K351" s="49"/>
      <c r="L351" s="49" t="s">
        <v>4739</v>
      </c>
      <c r="M351" s="58"/>
    </row>
    <row r="352" spans="1:13" ht="15">
      <c r="A352" s="52">
        <v>350</v>
      </c>
      <c r="B352" s="60" t="s">
        <v>1190</v>
      </c>
      <c r="C352" s="126" t="s">
        <v>630</v>
      </c>
      <c r="D352" s="52">
        <v>1</v>
      </c>
      <c r="E352" s="52" t="s">
        <v>2437</v>
      </c>
      <c r="F352" s="126" t="s">
        <v>22</v>
      </c>
      <c r="G352" s="126" t="s">
        <v>1664</v>
      </c>
      <c r="H352" s="131">
        <v>8</v>
      </c>
      <c r="I352" s="49" t="s">
        <v>3563</v>
      </c>
      <c r="J352" s="52">
        <v>5</v>
      </c>
      <c r="K352" s="49"/>
      <c r="L352" s="49" t="s">
        <v>4740</v>
      </c>
      <c r="M352" s="58"/>
    </row>
    <row r="353" spans="1:14" ht="15">
      <c r="A353" s="52">
        <v>351</v>
      </c>
      <c r="B353" s="60" t="s">
        <v>1197</v>
      </c>
      <c r="C353" s="126" t="s">
        <v>611</v>
      </c>
      <c r="D353" s="52">
        <v>1</v>
      </c>
      <c r="E353" s="52" t="s">
        <v>2437</v>
      </c>
      <c r="F353" s="126" t="s">
        <v>22</v>
      </c>
      <c r="G353" s="126" t="s">
        <v>1664</v>
      </c>
      <c r="H353" s="131">
        <v>8</v>
      </c>
      <c r="I353" s="49" t="s">
        <v>3563</v>
      </c>
      <c r="J353" s="52">
        <v>5</v>
      </c>
      <c r="K353" s="49"/>
      <c r="L353" s="49" t="s">
        <v>4741</v>
      </c>
      <c r="M353" s="58"/>
    </row>
    <row r="354" spans="1:14" s="62" customFormat="1" ht="15">
      <c r="A354" s="52">
        <v>352</v>
      </c>
      <c r="B354" s="60" t="s">
        <v>626</v>
      </c>
      <c r="C354" s="126" t="s">
        <v>627</v>
      </c>
      <c r="D354" s="52">
        <v>1</v>
      </c>
      <c r="E354" s="52" t="s">
        <v>2437</v>
      </c>
      <c r="F354" s="126" t="s">
        <v>22</v>
      </c>
      <c r="G354" s="126" t="s">
        <v>1664</v>
      </c>
      <c r="H354" s="131">
        <v>8</v>
      </c>
      <c r="I354" s="49" t="s">
        <v>3563</v>
      </c>
      <c r="J354" s="52">
        <v>5</v>
      </c>
      <c r="K354" s="49"/>
      <c r="L354" s="49" t="s">
        <v>4742</v>
      </c>
      <c r="M354" s="58"/>
      <c r="N354" s="10"/>
    </row>
    <row r="355" spans="1:14" ht="15">
      <c r="A355" s="52">
        <v>353</v>
      </c>
      <c r="B355" s="53" t="s">
        <v>633</v>
      </c>
      <c r="C355" s="126" t="s">
        <v>634</v>
      </c>
      <c r="D355" s="55">
        <v>4</v>
      </c>
      <c r="E355" s="52" t="s">
        <v>2437</v>
      </c>
      <c r="F355" s="126" t="s">
        <v>22</v>
      </c>
      <c r="G355" s="126" t="s">
        <v>1664</v>
      </c>
      <c r="H355" s="131">
        <v>32</v>
      </c>
      <c r="I355" s="49" t="s">
        <v>3563</v>
      </c>
      <c r="J355" s="52">
        <v>5</v>
      </c>
      <c r="K355" s="49"/>
      <c r="L355" s="49" t="s">
        <v>4743</v>
      </c>
      <c r="M355" s="58"/>
    </row>
    <row r="356" spans="1:14" ht="15">
      <c r="A356" s="52">
        <v>354</v>
      </c>
      <c r="B356" s="60" t="s">
        <v>637</v>
      </c>
      <c r="C356" s="126" t="s">
        <v>638</v>
      </c>
      <c r="D356" s="52">
        <v>2</v>
      </c>
      <c r="E356" s="52" t="s">
        <v>2437</v>
      </c>
      <c r="F356" s="126" t="s">
        <v>22</v>
      </c>
      <c r="G356" s="126" t="s">
        <v>1664</v>
      </c>
      <c r="H356" s="131">
        <v>240</v>
      </c>
      <c r="I356" s="49" t="s">
        <v>3563</v>
      </c>
      <c r="J356" s="52">
        <v>3</v>
      </c>
      <c r="K356" s="49"/>
      <c r="L356" s="49" t="s">
        <v>4744</v>
      </c>
      <c r="M356" s="58"/>
    </row>
    <row r="357" spans="1:14" ht="15">
      <c r="A357" s="52">
        <v>355</v>
      </c>
      <c r="B357" s="60" t="s">
        <v>646</v>
      </c>
      <c r="C357" s="126" t="s">
        <v>647</v>
      </c>
      <c r="D357" s="52">
        <v>1</v>
      </c>
      <c r="E357" s="52" t="s">
        <v>2437</v>
      </c>
      <c r="F357" s="126" t="s">
        <v>22</v>
      </c>
      <c r="G357" s="126" t="s">
        <v>1664</v>
      </c>
      <c r="H357" s="131">
        <v>104</v>
      </c>
      <c r="I357" s="49" t="s">
        <v>3563</v>
      </c>
      <c r="J357" s="52">
        <v>5</v>
      </c>
      <c r="K357" s="49"/>
      <c r="L357" s="49" t="s">
        <v>4745</v>
      </c>
      <c r="M357" s="58"/>
    </row>
    <row r="358" spans="1:14" ht="15">
      <c r="A358" s="52">
        <v>356</v>
      </c>
      <c r="B358" s="60" t="s">
        <v>692</v>
      </c>
      <c r="C358" s="126" t="s">
        <v>693</v>
      </c>
      <c r="D358" s="52">
        <v>8</v>
      </c>
      <c r="E358" s="52" t="s">
        <v>2437</v>
      </c>
      <c r="F358" s="126" t="s">
        <v>22</v>
      </c>
      <c r="G358" s="126" t="s">
        <v>1664</v>
      </c>
      <c r="H358" s="131">
        <v>160</v>
      </c>
      <c r="I358" s="49" t="s">
        <v>3594</v>
      </c>
      <c r="J358" s="52">
        <v>2</v>
      </c>
      <c r="K358" s="49"/>
      <c r="L358" s="49" t="s">
        <v>4746</v>
      </c>
      <c r="M358" s="58"/>
    </row>
    <row r="359" spans="1:14" ht="15">
      <c r="A359" s="52">
        <v>357</v>
      </c>
      <c r="B359" s="60" t="s">
        <v>696</v>
      </c>
      <c r="C359" s="126" t="s">
        <v>611</v>
      </c>
      <c r="D359" s="52">
        <v>1</v>
      </c>
      <c r="E359" s="52" t="s">
        <v>2437</v>
      </c>
      <c r="F359" s="126" t="s">
        <v>22</v>
      </c>
      <c r="G359" s="126" t="s">
        <v>1664</v>
      </c>
      <c r="H359" s="131">
        <v>16</v>
      </c>
      <c r="I359" s="49" t="s">
        <v>3563</v>
      </c>
      <c r="J359" s="52">
        <v>4</v>
      </c>
      <c r="K359" s="49"/>
      <c r="L359" s="49" t="s">
        <v>4747</v>
      </c>
      <c r="M359" s="58"/>
    </row>
    <row r="360" spans="1:14" ht="15">
      <c r="A360" s="52">
        <v>358</v>
      </c>
      <c r="B360" s="60" t="s">
        <v>1223</v>
      </c>
      <c r="C360" s="126" t="s">
        <v>1225</v>
      </c>
      <c r="D360" s="52">
        <v>2</v>
      </c>
      <c r="E360" s="52" t="s">
        <v>2437</v>
      </c>
      <c r="F360" s="126" t="s">
        <v>22</v>
      </c>
      <c r="G360" s="126" t="s">
        <v>1664</v>
      </c>
      <c r="H360" s="131">
        <v>16</v>
      </c>
      <c r="I360" s="49" t="s">
        <v>3563</v>
      </c>
      <c r="J360" s="52">
        <v>5</v>
      </c>
      <c r="K360" s="49"/>
      <c r="L360" s="49" t="s">
        <v>4748</v>
      </c>
      <c r="M360" s="58"/>
    </row>
    <row r="361" spans="1:14" ht="15">
      <c r="A361" s="52">
        <v>359</v>
      </c>
      <c r="B361" s="60" t="s">
        <v>1235</v>
      </c>
      <c r="C361" s="126" t="s">
        <v>1236</v>
      </c>
      <c r="D361" s="52">
        <v>4</v>
      </c>
      <c r="E361" s="52" t="s">
        <v>2437</v>
      </c>
      <c r="F361" s="126" t="s">
        <v>22</v>
      </c>
      <c r="G361" s="126" t="s">
        <v>1664</v>
      </c>
      <c r="H361" s="131">
        <v>32</v>
      </c>
      <c r="I361" s="49" t="s">
        <v>3594</v>
      </c>
      <c r="J361" s="52">
        <v>1</v>
      </c>
      <c r="K361" s="49"/>
      <c r="L361" s="49" t="s">
        <v>4749</v>
      </c>
      <c r="M361" s="58"/>
    </row>
    <row r="362" spans="1:14" ht="15">
      <c r="A362" s="52">
        <v>360</v>
      </c>
      <c r="B362" s="59" t="s">
        <v>1259</v>
      </c>
      <c r="C362" s="126" t="s">
        <v>1260</v>
      </c>
      <c r="D362" s="55">
        <v>2</v>
      </c>
      <c r="E362" s="56" t="s">
        <v>2437</v>
      </c>
      <c r="F362" s="126" t="s">
        <v>22</v>
      </c>
      <c r="G362" s="126" t="s">
        <v>1664</v>
      </c>
      <c r="H362" s="131">
        <v>16</v>
      </c>
      <c r="I362" s="49" t="s">
        <v>3594</v>
      </c>
      <c r="J362" s="52">
        <v>1</v>
      </c>
      <c r="K362" s="49"/>
      <c r="L362" s="49" t="s">
        <v>4750</v>
      </c>
      <c r="M362" s="58"/>
    </row>
    <row r="363" spans="1:14" ht="15">
      <c r="A363" s="52">
        <v>361</v>
      </c>
      <c r="B363" s="53" t="s">
        <v>1271</v>
      </c>
      <c r="C363" s="126" t="s">
        <v>630</v>
      </c>
      <c r="D363" s="55">
        <v>4</v>
      </c>
      <c r="E363" s="56" t="s">
        <v>2437</v>
      </c>
      <c r="F363" s="126" t="s">
        <v>22</v>
      </c>
      <c r="G363" s="126" t="s">
        <v>1664</v>
      </c>
      <c r="H363" s="131">
        <v>72</v>
      </c>
      <c r="I363" s="49" t="s">
        <v>3563</v>
      </c>
      <c r="J363" s="52">
        <v>2</v>
      </c>
      <c r="K363" s="49"/>
      <c r="L363" s="49" t="s">
        <v>4751</v>
      </c>
      <c r="M363" s="58">
        <v>45533</v>
      </c>
    </row>
    <row r="364" spans="1:14" ht="15">
      <c r="A364" s="52">
        <v>362</v>
      </c>
      <c r="B364" s="60">
        <v>2376119871</v>
      </c>
      <c r="C364" s="126" t="s">
        <v>1321</v>
      </c>
      <c r="D364" s="52">
        <v>4</v>
      </c>
      <c r="E364" s="52" t="s">
        <v>2443</v>
      </c>
      <c r="F364" s="126" t="s">
        <v>22</v>
      </c>
      <c r="G364" s="126" t="s">
        <v>1664</v>
      </c>
      <c r="H364" s="131">
        <v>32</v>
      </c>
      <c r="I364" s="49" t="s">
        <v>3570</v>
      </c>
      <c r="J364" s="52">
        <v>4</v>
      </c>
      <c r="K364" s="49"/>
      <c r="L364" s="49" t="s">
        <v>4752</v>
      </c>
      <c r="M364" s="58"/>
    </row>
    <row r="365" spans="1:14" ht="15">
      <c r="A365" s="52">
        <v>363</v>
      </c>
      <c r="B365" s="60" t="s">
        <v>466</v>
      </c>
      <c r="C365" s="126" t="s">
        <v>468</v>
      </c>
      <c r="D365" s="52">
        <v>1</v>
      </c>
      <c r="E365" s="52" t="s">
        <v>2443</v>
      </c>
      <c r="F365" s="126" t="s">
        <v>22</v>
      </c>
      <c r="G365" s="126" t="s">
        <v>1664</v>
      </c>
      <c r="H365" s="131">
        <v>8</v>
      </c>
      <c r="I365" s="49" t="s">
        <v>3570</v>
      </c>
      <c r="J365" s="52">
        <v>3</v>
      </c>
      <c r="K365" s="49"/>
      <c r="L365" s="49" t="s">
        <v>4753</v>
      </c>
      <c r="M365" s="58"/>
    </row>
    <row r="366" spans="1:14" ht="15">
      <c r="A366" s="52">
        <v>364</v>
      </c>
      <c r="B366" s="59" t="s">
        <v>784</v>
      </c>
      <c r="C366" s="126" t="s">
        <v>54</v>
      </c>
      <c r="D366" s="55">
        <v>1</v>
      </c>
      <c r="E366" s="52" t="s">
        <v>2443</v>
      </c>
      <c r="F366" s="126" t="s">
        <v>22</v>
      </c>
      <c r="G366" s="126" t="s">
        <v>1664</v>
      </c>
      <c r="H366" s="131">
        <v>8</v>
      </c>
      <c r="I366" s="49" t="s">
        <v>3570</v>
      </c>
      <c r="J366" s="52">
        <v>1</v>
      </c>
      <c r="K366" s="49"/>
      <c r="L366" s="49" t="s">
        <v>4754</v>
      </c>
      <c r="M366" s="58"/>
    </row>
    <row r="367" spans="1:14" ht="15">
      <c r="A367" s="52">
        <v>365</v>
      </c>
      <c r="B367" s="60" t="s">
        <v>785</v>
      </c>
      <c r="C367" s="126" t="s">
        <v>54</v>
      </c>
      <c r="D367" s="52">
        <v>1</v>
      </c>
      <c r="E367" s="52" t="s">
        <v>2443</v>
      </c>
      <c r="F367" s="126" t="s">
        <v>22</v>
      </c>
      <c r="G367" s="126" t="s">
        <v>1664</v>
      </c>
      <c r="H367" s="131">
        <v>8</v>
      </c>
      <c r="I367" s="49" t="s">
        <v>3570</v>
      </c>
      <c r="J367" s="52">
        <v>5</v>
      </c>
      <c r="K367" s="49"/>
      <c r="L367" s="49" t="s">
        <v>4755</v>
      </c>
      <c r="M367" s="58"/>
    </row>
    <row r="368" spans="1:14" ht="15">
      <c r="A368" s="52">
        <v>366</v>
      </c>
      <c r="B368" s="60" t="s">
        <v>488</v>
      </c>
      <c r="C368" s="126" t="s">
        <v>489</v>
      </c>
      <c r="D368" s="52">
        <v>2</v>
      </c>
      <c r="E368" s="56" t="s">
        <v>2443</v>
      </c>
      <c r="F368" s="126" t="s">
        <v>22</v>
      </c>
      <c r="G368" s="126" t="s">
        <v>1664</v>
      </c>
      <c r="H368" s="131">
        <v>16</v>
      </c>
      <c r="I368" s="49" t="s">
        <v>3570</v>
      </c>
      <c r="J368" s="52">
        <v>5</v>
      </c>
      <c r="K368" s="49"/>
      <c r="L368" s="49" t="s">
        <v>4756</v>
      </c>
      <c r="M368" s="58"/>
    </row>
    <row r="369" spans="1:14" ht="15">
      <c r="A369" s="52">
        <v>367</v>
      </c>
      <c r="B369" s="60" t="s">
        <v>798</v>
      </c>
      <c r="C369" s="126" t="s">
        <v>485</v>
      </c>
      <c r="D369" s="52">
        <v>1</v>
      </c>
      <c r="E369" s="52" t="s">
        <v>2443</v>
      </c>
      <c r="F369" s="126" t="s">
        <v>22</v>
      </c>
      <c r="G369" s="126" t="s">
        <v>1664</v>
      </c>
      <c r="H369" s="131">
        <v>8</v>
      </c>
      <c r="I369" s="49" t="s">
        <v>3570</v>
      </c>
      <c r="J369" s="52">
        <v>5</v>
      </c>
      <c r="K369" s="49"/>
      <c r="L369" s="49" t="s">
        <v>4757</v>
      </c>
      <c r="M369" s="58"/>
    </row>
    <row r="370" spans="1:14" ht="15">
      <c r="A370" s="52">
        <v>368</v>
      </c>
      <c r="B370" s="60" t="s">
        <v>491</v>
      </c>
      <c r="C370" s="126" t="s">
        <v>492</v>
      </c>
      <c r="D370" s="52">
        <v>2</v>
      </c>
      <c r="E370" s="52" t="s">
        <v>2443</v>
      </c>
      <c r="F370" s="126" t="s">
        <v>22</v>
      </c>
      <c r="G370" s="126" t="s">
        <v>1664</v>
      </c>
      <c r="H370" s="131">
        <v>16</v>
      </c>
      <c r="I370" s="49" t="s">
        <v>3570</v>
      </c>
      <c r="J370" s="52">
        <v>2</v>
      </c>
      <c r="K370" s="49"/>
      <c r="L370" s="49" t="s">
        <v>4758</v>
      </c>
      <c r="M370" s="58"/>
    </row>
    <row r="371" spans="1:14" ht="15">
      <c r="A371" s="52">
        <v>369</v>
      </c>
      <c r="B371" s="53" t="s">
        <v>803</v>
      </c>
      <c r="C371" s="126" t="s">
        <v>485</v>
      </c>
      <c r="D371" s="55">
        <v>8</v>
      </c>
      <c r="E371" s="56" t="s">
        <v>2443</v>
      </c>
      <c r="F371" s="126" t="s">
        <v>22</v>
      </c>
      <c r="G371" s="126" t="s">
        <v>1664</v>
      </c>
      <c r="H371" s="131">
        <v>64</v>
      </c>
      <c r="I371" s="49" t="s">
        <v>3570</v>
      </c>
      <c r="J371" s="52">
        <v>4</v>
      </c>
      <c r="K371" s="49"/>
      <c r="L371" s="49" t="s">
        <v>4759</v>
      </c>
      <c r="M371" s="58"/>
    </row>
    <row r="372" spans="1:14" ht="15">
      <c r="A372" s="52">
        <v>370</v>
      </c>
      <c r="B372" s="53" t="s">
        <v>809</v>
      </c>
      <c r="C372" s="126" t="s">
        <v>41</v>
      </c>
      <c r="D372" s="55">
        <v>1</v>
      </c>
      <c r="E372" s="56" t="s">
        <v>2443</v>
      </c>
      <c r="F372" s="126" t="s">
        <v>22</v>
      </c>
      <c r="G372" s="126" t="s">
        <v>1664</v>
      </c>
      <c r="H372" s="131">
        <v>8</v>
      </c>
      <c r="I372" s="49" t="s">
        <v>3570</v>
      </c>
      <c r="J372" s="52">
        <v>3</v>
      </c>
      <c r="K372" s="49"/>
      <c r="L372" s="49" t="s">
        <v>4760</v>
      </c>
      <c r="M372" s="58"/>
    </row>
    <row r="373" spans="1:14" ht="15">
      <c r="A373" s="52">
        <v>371</v>
      </c>
      <c r="B373" s="60" t="s">
        <v>828</v>
      </c>
      <c r="C373" s="126" t="s">
        <v>830</v>
      </c>
      <c r="D373" s="52">
        <v>1</v>
      </c>
      <c r="E373" s="52" t="s">
        <v>2443</v>
      </c>
      <c r="F373" s="126" t="s">
        <v>22</v>
      </c>
      <c r="G373" s="126" t="s">
        <v>1664</v>
      </c>
      <c r="H373" s="131">
        <v>8</v>
      </c>
      <c r="I373" s="49" t="s">
        <v>3563</v>
      </c>
      <c r="J373" s="52">
        <v>5</v>
      </c>
      <c r="K373" s="49"/>
      <c r="L373" s="49" t="s">
        <v>4761</v>
      </c>
      <c r="M373" s="58"/>
    </row>
    <row r="374" spans="1:14" ht="15">
      <c r="A374" s="52">
        <v>372</v>
      </c>
      <c r="B374" s="60" t="s">
        <v>863</v>
      </c>
      <c r="C374" s="126" t="s">
        <v>865</v>
      </c>
      <c r="D374" s="52">
        <v>2</v>
      </c>
      <c r="E374" s="52" t="s">
        <v>2443</v>
      </c>
      <c r="F374" s="126" t="s">
        <v>22</v>
      </c>
      <c r="G374" s="126" t="s">
        <v>1664</v>
      </c>
      <c r="H374" s="131">
        <v>16</v>
      </c>
      <c r="I374" s="49" t="s">
        <v>3563</v>
      </c>
      <c r="J374" s="52">
        <v>5</v>
      </c>
      <c r="K374" s="49"/>
      <c r="L374" s="49" t="s">
        <v>4762</v>
      </c>
      <c r="M374" s="58"/>
    </row>
    <row r="375" spans="1:14" ht="15">
      <c r="A375" s="52">
        <v>373</v>
      </c>
      <c r="B375" s="60" t="s">
        <v>547</v>
      </c>
      <c r="C375" s="126" t="s">
        <v>548</v>
      </c>
      <c r="D375" s="52">
        <v>4</v>
      </c>
      <c r="E375" s="52" t="s">
        <v>2443</v>
      </c>
      <c r="F375" s="126" t="s">
        <v>22</v>
      </c>
      <c r="G375" s="126" t="s">
        <v>1664</v>
      </c>
      <c r="H375" s="131">
        <v>80</v>
      </c>
      <c r="I375" s="49" t="s">
        <v>3570</v>
      </c>
      <c r="J375" s="52">
        <v>2</v>
      </c>
      <c r="K375" s="49"/>
      <c r="L375" s="49" t="s">
        <v>4763</v>
      </c>
      <c r="M375" s="58"/>
    </row>
    <row r="376" spans="1:14" ht="15">
      <c r="A376" s="52">
        <v>374</v>
      </c>
      <c r="B376" s="60" t="s">
        <v>1136</v>
      </c>
      <c r="C376" s="126" t="s">
        <v>902</v>
      </c>
      <c r="D376" s="52">
        <v>2</v>
      </c>
      <c r="E376" s="56" t="s">
        <v>2443</v>
      </c>
      <c r="F376" s="126" t="s">
        <v>22</v>
      </c>
      <c r="G376" s="126" t="s">
        <v>1664</v>
      </c>
      <c r="H376" s="131">
        <v>64</v>
      </c>
      <c r="I376" s="49" t="s">
        <v>3570</v>
      </c>
      <c r="J376" s="52">
        <v>2</v>
      </c>
      <c r="K376" s="49"/>
      <c r="L376" s="49" t="s">
        <v>4764</v>
      </c>
      <c r="M376" s="58"/>
    </row>
    <row r="377" spans="1:14" ht="15">
      <c r="A377" s="52">
        <v>375</v>
      </c>
      <c r="B377" s="60" t="s">
        <v>556</v>
      </c>
      <c r="C377" s="126" t="s">
        <v>558</v>
      </c>
      <c r="D377" s="52">
        <v>2</v>
      </c>
      <c r="E377" s="52" t="s">
        <v>2443</v>
      </c>
      <c r="F377" s="126" t="s">
        <v>22</v>
      </c>
      <c r="G377" s="126" t="s">
        <v>1664</v>
      </c>
      <c r="H377" s="131">
        <v>160</v>
      </c>
      <c r="I377" s="49" t="s">
        <v>3563</v>
      </c>
      <c r="J377" s="52">
        <v>2</v>
      </c>
      <c r="K377" s="49"/>
      <c r="L377" s="49" t="s">
        <v>4765</v>
      </c>
      <c r="M377" s="58"/>
    </row>
    <row r="378" spans="1:14" ht="15">
      <c r="A378" s="52">
        <v>376</v>
      </c>
      <c r="B378" s="60" t="s">
        <v>559</v>
      </c>
      <c r="C378" s="126" t="s">
        <v>560</v>
      </c>
      <c r="D378" s="52">
        <v>2</v>
      </c>
      <c r="E378" s="56" t="s">
        <v>2443</v>
      </c>
      <c r="F378" s="126" t="s">
        <v>22</v>
      </c>
      <c r="G378" s="126" t="s">
        <v>1686</v>
      </c>
      <c r="H378" s="131">
        <v>960</v>
      </c>
      <c r="I378" s="49" t="s">
        <v>3563</v>
      </c>
      <c r="J378" s="52">
        <v>1</v>
      </c>
      <c r="K378" s="49"/>
      <c r="L378" s="49" t="s">
        <v>4766</v>
      </c>
      <c r="M378" s="58"/>
    </row>
    <row r="379" spans="1:14" ht="15">
      <c r="A379" s="52">
        <v>377</v>
      </c>
      <c r="B379" s="60" t="s">
        <v>573</v>
      </c>
      <c r="C379" s="126" t="s">
        <v>575</v>
      </c>
      <c r="D379" s="52">
        <v>1</v>
      </c>
      <c r="E379" s="52" t="s">
        <v>2443</v>
      </c>
      <c r="F379" s="126" t="s">
        <v>22</v>
      </c>
      <c r="G379" s="126" t="s">
        <v>1664</v>
      </c>
      <c r="H379" s="131">
        <v>8</v>
      </c>
      <c r="I379" s="49" t="s">
        <v>3585</v>
      </c>
      <c r="J379" s="52">
        <v>5</v>
      </c>
      <c r="K379" s="49"/>
      <c r="L379" s="49" t="s">
        <v>4767</v>
      </c>
      <c r="M379" s="58"/>
    </row>
    <row r="380" spans="1:14" ht="15">
      <c r="A380" s="52">
        <v>378</v>
      </c>
      <c r="B380" s="60" t="s">
        <v>1167</v>
      </c>
      <c r="C380" s="126" t="s">
        <v>630</v>
      </c>
      <c r="D380" s="52">
        <v>6</v>
      </c>
      <c r="E380" s="56" t="s">
        <v>2443</v>
      </c>
      <c r="F380" s="126" t="s">
        <v>22</v>
      </c>
      <c r="G380" s="126" t="s">
        <v>1664</v>
      </c>
      <c r="H380" s="131">
        <v>48</v>
      </c>
      <c r="I380" s="49" t="s">
        <v>3570</v>
      </c>
      <c r="J380" s="52">
        <v>5</v>
      </c>
      <c r="K380" s="49"/>
      <c r="L380" s="49" t="s">
        <v>4768</v>
      </c>
      <c r="M380" s="58"/>
    </row>
    <row r="381" spans="1:14" ht="15">
      <c r="A381" s="52">
        <v>379</v>
      </c>
      <c r="B381" s="60" t="s">
        <v>1168</v>
      </c>
      <c r="C381" s="126" t="s">
        <v>630</v>
      </c>
      <c r="D381" s="52">
        <v>2</v>
      </c>
      <c r="E381" s="56" t="s">
        <v>2443</v>
      </c>
      <c r="F381" s="126" t="s">
        <v>22</v>
      </c>
      <c r="G381" s="126" t="s">
        <v>1664</v>
      </c>
      <c r="H381" s="131">
        <v>16</v>
      </c>
      <c r="I381" s="49" t="s">
        <v>3570</v>
      </c>
      <c r="J381" s="52">
        <v>4</v>
      </c>
      <c r="K381" s="49"/>
      <c r="L381" s="49" t="s">
        <v>4769</v>
      </c>
      <c r="M381" s="58"/>
    </row>
    <row r="382" spans="1:14" ht="15">
      <c r="A382" s="52">
        <v>380</v>
      </c>
      <c r="B382" s="60" t="s">
        <v>1170</v>
      </c>
      <c r="C382" s="126" t="s">
        <v>630</v>
      </c>
      <c r="D382" s="52">
        <v>16</v>
      </c>
      <c r="E382" s="56" t="s">
        <v>2443</v>
      </c>
      <c r="F382" s="126" t="s">
        <v>22</v>
      </c>
      <c r="G382" s="126" t="s">
        <v>1664</v>
      </c>
      <c r="H382" s="131">
        <v>160</v>
      </c>
      <c r="I382" s="49" t="s">
        <v>3570</v>
      </c>
      <c r="J382" s="52">
        <v>1</v>
      </c>
      <c r="K382" s="49"/>
      <c r="L382" s="49" t="s">
        <v>4770</v>
      </c>
      <c r="M382" s="58"/>
    </row>
    <row r="383" spans="1:14" ht="23.45" customHeight="1">
      <c r="A383" s="52">
        <v>381</v>
      </c>
      <c r="B383" s="60" t="s">
        <v>579</v>
      </c>
      <c r="C383" s="126" t="s">
        <v>489</v>
      </c>
      <c r="D383" s="52">
        <v>1</v>
      </c>
      <c r="E383" s="56" t="s">
        <v>2443</v>
      </c>
      <c r="F383" s="126" t="s">
        <v>22</v>
      </c>
      <c r="G383" s="126" t="s">
        <v>1664</v>
      </c>
      <c r="H383" s="131">
        <v>64</v>
      </c>
      <c r="I383" s="49" t="s">
        <v>3563</v>
      </c>
      <c r="J383" s="52">
        <v>3</v>
      </c>
      <c r="K383" s="49"/>
      <c r="L383" s="49" t="s">
        <v>4771</v>
      </c>
      <c r="M383" s="58"/>
      <c r="N383" s="62"/>
    </row>
    <row r="384" spans="1:14" s="62" customFormat="1" ht="15">
      <c r="A384" s="52">
        <v>382</v>
      </c>
      <c r="B384" s="60" t="s">
        <v>583</v>
      </c>
      <c r="C384" s="126" t="s">
        <v>584</v>
      </c>
      <c r="D384" s="52">
        <v>16</v>
      </c>
      <c r="E384" s="52" t="s">
        <v>2443</v>
      </c>
      <c r="F384" s="126" t="s">
        <v>22</v>
      </c>
      <c r="G384" s="126" t="s">
        <v>1664</v>
      </c>
      <c r="H384" s="131">
        <v>176</v>
      </c>
      <c r="I384" s="49" t="s">
        <v>3563</v>
      </c>
      <c r="J384" s="52">
        <v>4</v>
      </c>
      <c r="K384" s="49"/>
      <c r="L384" s="49" t="s">
        <v>4772</v>
      </c>
      <c r="M384" s="58"/>
      <c r="N384" s="10"/>
    </row>
    <row r="385" spans="1:14" s="62" customFormat="1" ht="15">
      <c r="A385" s="52">
        <v>383</v>
      </c>
      <c r="B385" s="60" t="s">
        <v>1174</v>
      </c>
      <c r="C385" s="126" t="s">
        <v>582</v>
      </c>
      <c r="D385" s="52">
        <v>8</v>
      </c>
      <c r="E385" s="56" t="s">
        <v>2443</v>
      </c>
      <c r="F385" s="126" t="s">
        <v>22</v>
      </c>
      <c r="G385" s="126" t="s">
        <v>1664</v>
      </c>
      <c r="H385" s="131">
        <v>80</v>
      </c>
      <c r="I385" s="49" t="s">
        <v>3570</v>
      </c>
      <c r="J385" s="52">
        <v>2</v>
      </c>
      <c r="K385" s="49"/>
      <c r="L385" s="49" t="s">
        <v>4773</v>
      </c>
      <c r="M385" s="58"/>
      <c r="N385" s="10"/>
    </row>
    <row r="386" spans="1:14" ht="15">
      <c r="A386" s="52">
        <v>384</v>
      </c>
      <c r="B386" s="60" t="s">
        <v>1176</v>
      </c>
      <c r="C386" s="126" t="s">
        <v>1177</v>
      </c>
      <c r="D386" s="52">
        <v>14</v>
      </c>
      <c r="E386" s="52" t="s">
        <v>2443</v>
      </c>
      <c r="F386" s="126" t="s">
        <v>22</v>
      </c>
      <c r="G386" s="126" t="s">
        <v>1664</v>
      </c>
      <c r="H386" s="131">
        <v>112</v>
      </c>
      <c r="I386" s="49" t="s">
        <v>3570</v>
      </c>
      <c r="J386" s="52">
        <v>4</v>
      </c>
      <c r="K386" s="49"/>
      <c r="L386" s="49" t="s">
        <v>4774</v>
      </c>
      <c r="M386" s="58"/>
    </row>
    <row r="387" spans="1:14" ht="15">
      <c r="A387" s="52">
        <v>385</v>
      </c>
      <c r="B387" s="60" t="s">
        <v>1178</v>
      </c>
      <c r="C387" s="126" t="s">
        <v>587</v>
      </c>
      <c r="D387" s="52">
        <v>4</v>
      </c>
      <c r="E387" s="52" t="s">
        <v>2443</v>
      </c>
      <c r="F387" s="126" t="s">
        <v>22</v>
      </c>
      <c r="G387" s="126" t="s">
        <v>1664</v>
      </c>
      <c r="H387" s="131">
        <v>32</v>
      </c>
      <c r="I387" s="49" t="s">
        <v>3563</v>
      </c>
      <c r="J387" s="52">
        <v>2</v>
      </c>
      <c r="K387" s="49"/>
      <c r="L387" s="49" t="s">
        <v>4775</v>
      </c>
      <c r="M387" s="58"/>
    </row>
    <row r="388" spans="1:14" ht="15">
      <c r="A388" s="52">
        <v>386</v>
      </c>
      <c r="B388" s="60" t="s">
        <v>592</v>
      </c>
      <c r="C388" s="126" t="s">
        <v>593</v>
      </c>
      <c r="D388" s="52">
        <v>30</v>
      </c>
      <c r="E388" s="52" t="s">
        <v>2443</v>
      </c>
      <c r="F388" s="126" t="s">
        <v>22</v>
      </c>
      <c r="G388" s="126" t="s">
        <v>1664</v>
      </c>
      <c r="H388" s="131">
        <v>312</v>
      </c>
      <c r="I388" s="49" t="s">
        <v>3563</v>
      </c>
      <c r="J388" s="52">
        <v>4</v>
      </c>
      <c r="K388" s="49"/>
      <c r="L388" s="49" t="s">
        <v>4776</v>
      </c>
      <c r="M388" s="58"/>
    </row>
    <row r="389" spans="1:14" ht="15">
      <c r="A389" s="52">
        <v>387</v>
      </c>
      <c r="B389" s="53" t="s">
        <v>1182</v>
      </c>
      <c r="C389" s="126" t="s">
        <v>587</v>
      </c>
      <c r="D389" s="55">
        <v>15</v>
      </c>
      <c r="E389" s="52" t="s">
        <v>2443</v>
      </c>
      <c r="F389" s="126" t="s">
        <v>22</v>
      </c>
      <c r="G389" s="126" t="s">
        <v>1664</v>
      </c>
      <c r="H389" s="131">
        <v>96</v>
      </c>
      <c r="I389" s="49" t="s">
        <v>3570</v>
      </c>
      <c r="J389" s="52">
        <v>5</v>
      </c>
      <c r="K389" s="49"/>
      <c r="L389" s="49" t="s">
        <v>4777</v>
      </c>
      <c r="M389" s="58"/>
      <c r="N389" s="62"/>
    </row>
    <row r="390" spans="1:14" ht="15">
      <c r="A390" s="52">
        <v>388</v>
      </c>
      <c r="B390" s="60" t="s">
        <v>1195</v>
      </c>
      <c r="C390" s="126" t="s">
        <v>1196</v>
      </c>
      <c r="D390" s="52">
        <v>8</v>
      </c>
      <c r="E390" s="52" t="s">
        <v>2443</v>
      </c>
      <c r="F390" s="126" t="s">
        <v>22</v>
      </c>
      <c r="G390" s="126" t="s">
        <v>1664</v>
      </c>
      <c r="H390" s="131">
        <v>80</v>
      </c>
      <c r="I390" s="49" t="s">
        <v>3570</v>
      </c>
      <c r="J390" s="52">
        <v>2</v>
      </c>
      <c r="K390" s="49"/>
      <c r="L390" s="49" t="s">
        <v>4778</v>
      </c>
      <c r="M390" s="58"/>
    </row>
    <row r="391" spans="1:14" ht="15">
      <c r="A391" s="52">
        <v>389</v>
      </c>
      <c r="B391" s="53" t="s">
        <v>637</v>
      </c>
      <c r="C391" s="126" t="s">
        <v>638</v>
      </c>
      <c r="D391" s="55">
        <v>4</v>
      </c>
      <c r="E391" s="52" t="s">
        <v>2443</v>
      </c>
      <c r="F391" s="126" t="s">
        <v>22</v>
      </c>
      <c r="G391" s="126" t="s">
        <v>1664</v>
      </c>
      <c r="H391" s="131">
        <v>240</v>
      </c>
      <c r="I391" s="49" t="s">
        <v>3563</v>
      </c>
      <c r="J391" s="52">
        <v>3</v>
      </c>
      <c r="K391" s="49"/>
      <c r="L391" s="49" t="s">
        <v>4779</v>
      </c>
      <c r="M391" s="58"/>
    </row>
    <row r="392" spans="1:14" ht="15">
      <c r="A392" s="52">
        <v>390</v>
      </c>
      <c r="B392" s="60" t="s">
        <v>644</v>
      </c>
      <c r="C392" s="126" t="s">
        <v>645</v>
      </c>
      <c r="D392" s="52">
        <v>1</v>
      </c>
      <c r="E392" s="52" t="s">
        <v>2443</v>
      </c>
      <c r="F392" s="126" t="s">
        <v>22</v>
      </c>
      <c r="G392" s="126" t="s">
        <v>1664</v>
      </c>
      <c r="H392" s="131">
        <v>8</v>
      </c>
      <c r="I392" s="49" t="s">
        <v>3559</v>
      </c>
      <c r="J392" s="52">
        <v>3</v>
      </c>
      <c r="K392" s="49"/>
      <c r="L392" s="49" t="s">
        <v>4780</v>
      </c>
      <c r="M392" s="58"/>
      <c r="N392" s="62"/>
    </row>
    <row r="393" spans="1:14" ht="15">
      <c r="A393" s="52">
        <v>391</v>
      </c>
      <c r="B393" s="60" t="s">
        <v>1199</v>
      </c>
      <c r="C393" s="126" t="s">
        <v>1200</v>
      </c>
      <c r="D393" s="52">
        <v>2</v>
      </c>
      <c r="E393" s="52" t="s">
        <v>2443</v>
      </c>
      <c r="F393" s="126" t="s">
        <v>22</v>
      </c>
      <c r="G393" s="126" t="s">
        <v>1664</v>
      </c>
      <c r="H393" s="131">
        <v>16</v>
      </c>
      <c r="I393" s="49" t="s">
        <v>3794</v>
      </c>
      <c r="J393" s="52">
        <v>4</v>
      </c>
      <c r="K393" s="49"/>
      <c r="L393" s="49" t="s">
        <v>4781</v>
      </c>
      <c r="M393" s="58"/>
    </row>
    <row r="394" spans="1:14" ht="15">
      <c r="A394" s="52">
        <v>392</v>
      </c>
      <c r="B394" s="60" t="s">
        <v>1202</v>
      </c>
      <c r="C394" s="126" t="s">
        <v>715</v>
      </c>
      <c r="D394" s="52">
        <v>8</v>
      </c>
      <c r="E394" s="52" t="s">
        <v>2443</v>
      </c>
      <c r="F394" s="126" t="s">
        <v>22</v>
      </c>
      <c r="G394" s="126" t="s">
        <v>1664</v>
      </c>
      <c r="H394" s="131">
        <v>64</v>
      </c>
      <c r="I394" s="49" t="s">
        <v>3570</v>
      </c>
      <c r="J394" s="52">
        <v>1</v>
      </c>
      <c r="K394" s="49"/>
      <c r="L394" s="49" t="s">
        <v>4782</v>
      </c>
      <c r="M394" s="58">
        <v>45533</v>
      </c>
    </row>
    <row r="395" spans="1:14" ht="15">
      <c r="A395" s="52">
        <v>393</v>
      </c>
      <c r="B395" s="60" t="s">
        <v>1205</v>
      </c>
      <c r="C395" s="126" t="s">
        <v>587</v>
      </c>
      <c r="D395" s="52">
        <v>5</v>
      </c>
      <c r="E395" s="52" t="s">
        <v>2443</v>
      </c>
      <c r="F395" s="126" t="s">
        <v>22</v>
      </c>
      <c r="G395" s="126" t="s">
        <v>1664</v>
      </c>
      <c r="H395" s="131">
        <v>40</v>
      </c>
      <c r="I395" s="49" t="s">
        <v>3563</v>
      </c>
      <c r="J395" s="52">
        <v>5</v>
      </c>
      <c r="K395" s="49"/>
      <c r="L395" s="49" t="s">
        <v>4783</v>
      </c>
      <c r="M395" s="58"/>
    </row>
    <row r="396" spans="1:14" ht="15">
      <c r="A396" s="52">
        <v>394</v>
      </c>
      <c r="B396" s="60" t="s">
        <v>694</v>
      </c>
      <c r="C396" s="126" t="s">
        <v>695</v>
      </c>
      <c r="D396" s="52">
        <v>4</v>
      </c>
      <c r="E396" s="52" t="s">
        <v>2443</v>
      </c>
      <c r="F396" s="126" t="s">
        <v>22</v>
      </c>
      <c r="G396" s="126" t="s">
        <v>1664</v>
      </c>
      <c r="H396" s="131">
        <v>32</v>
      </c>
      <c r="I396" s="49" t="s">
        <v>3563</v>
      </c>
      <c r="J396" s="52">
        <v>3</v>
      </c>
      <c r="K396" s="49"/>
      <c r="L396" s="49" t="s">
        <v>4784</v>
      </c>
      <c r="M396" s="58"/>
    </row>
    <row r="397" spans="1:14" ht="15">
      <c r="A397" s="52">
        <v>395</v>
      </c>
      <c r="B397" s="60" t="s">
        <v>1207</v>
      </c>
      <c r="C397" s="126" t="s">
        <v>1208</v>
      </c>
      <c r="D397" s="52">
        <v>3</v>
      </c>
      <c r="E397" s="52" t="s">
        <v>2443</v>
      </c>
      <c r="F397" s="126" t="s">
        <v>22</v>
      </c>
      <c r="G397" s="126" t="s">
        <v>1664</v>
      </c>
      <c r="H397" s="131">
        <v>24</v>
      </c>
      <c r="I397" s="49" t="s">
        <v>3570</v>
      </c>
      <c r="J397" s="52">
        <v>2</v>
      </c>
      <c r="K397" s="49"/>
      <c r="L397" s="49" t="s">
        <v>4785</v>
      </c>
      <c r="M397" s="58"/>
    </row>
    <row r="398" spans="1:14" ht="15">
      <c r="A398" s="52">
        <v>396</v>
      </c>
      <c r="B398" s="60" t="s">
        <v>713</v>
      </c>
      <c r="C398" s="126" t="s">
        <v>715</v>
      </c>
      <c r="D398" s="52">
        <v>1</v>
      </c>
      <c r="E398" s="52" t="s">
        <v>2443</v>
      </c>
      <c r="F398" s="126" t="s">
        <v>22</v>
      </c>
      <c r="G398" s="126" t="s">
        <v>1664</v>
      </c>
      <c r="H398" s="131">
        <v>8</v>
      </c>
      <c r="I398" s="49" t="s">
        <v>3570</v>
      </c>
      <c r="J398" s="52">
        <v>1</v>
      </c>
      <c r="K398" s="49"/>
      <c r="L398" s="49" t="s">
        <v>4786</v>
      </c>
      <c r="M398" s="58"/>
    </row>
    <row r="399" spans="1:14" ht="15">
      <c r="A399" s="52">
        <v>397</v>
      </c>
      <c r="B399" s="60" t="s">
        <v>1231</v>
      </c>
      <c r="C399" s="126" t="s">
        <v>558</v>
      </c>
      <c r="D399" s="52">
        <v>4</v>
      </c>
      <c r="E399" s="52" t="s">
        <v>2443</v>
      </c>
      <c r="F399" s="126" t="s">
        <v>22</v>
      </c>
      <c r="G399" s="126" t="s">
        <v>1664</v>
      </c>
      <c r="H399" s="131">
        <v>32</v>
      </c>
      <c r="I399" s="49" t="s">
        <v>3570</v>
      </c>
      <c r="J399" s="52">
        <v>5</v>
      </c>
      <c r="K399" s="49"/>
      <c r="L399" s="49" t="s">
        <v>4787</v>
      </c>
      <c r="M399" s="58"/>
    </row>
    <row r="400" spans="1:14" ht="15">
      <c r="A400" s="52">
        <v>398</v>
      </c>
      <c r="B400" s="60" t="s">
        <v>1271</v>
      </c>
      <c r="C400" s="126" t="s">
        <v>630</v>
      </c>
      <c r="D400" s="52">
        <v>7</v>
      </c>
      <c r="E400" s="52" t="s">
        <v>2443</v>
      </c>
      <c r="F400" s="126" t="s">
        <v>22</v>
      </c>
      <c r="G400" s="126" t="s">
        <v>1664</v>
      </c>
      <c r="H400" s="131">
        <v>72</v>
      </c>
      <c r="I400" s="49" t="s">
        <v>3563</v>
      </c>
      <c r="J400" s="52">
        <v>2</v>
      </c>
      <c r="K400" s="49"/>
      <c r="L400" s="49" t="s">
        <v>4788</v>
      </c>
      <c r="M400" s="58"/>
    </row>
    <row r="401" spans="1:13" ht="15">
      <c r="A401" s="52">
        <v>399</v>
      </c>
      <c r="B401" s="60" t="s">
        <v>752</v>
      </c>
      <c r="C401" s="126" t="s">
        <v>489</v>
      </c>
      <c r="D401" s="52">
        <v>1</v>
      </c>
      <c r="E401" s="52" t="s">
        <v>2443</v>
      </c>
      <c r="F401" s="126" t="s">
        <v>22</v>
      </c>
      <c r="G401" s="126" t="s">
        <v>1664</v>
      </c>
      <c r="H401" s="131">
        <v>112</v>
      </c>
      <c r="I401" s="49" t="s">
        <v>3563</v>
      </c>
      <c r="J401" s="52">
        <v>1</v>
      </c>
      <c r="K401" s="49"/>
      <c r="L401" s="49" t="s">
        <v>4789</v>
      </c>
      <c r="M401" s="58"/>
    </row>
    <row r="402" spans="1:13" ht="15">
      <c r="A402" s="52">
        <v>400</v>
      </c>
      <c r="B402" s="60" t="s">
        <v>501</v>
      </c>
      <c r="C402" s="126" t="s">
        <v>503</v>
      </c>
      <c r="D402" s="52">
        <v>1</v>
      </c>
      <c r="E402" s="52" t="s">
        <v>2388</v>
      </c>
      <c r="F402" s="126" t="s">
        <v>22</v>
      </c>
      <c r="G402" s="126" t="s">
        <v>1664</v>
      </c>
      <c r="H402" s="131">
        <v>8</v>
      </c>
      <c r="I402" s="49" t="s">
        <v>3570</v>
      </c>
      <c r="J402" s="52">
        <v>4</v>
      </c>
      <c r="K402" s="49"/>
      <c r="L402" s="49" t="s">
        <v>4790</v>
      </c>
      <c r="M402" s="58"/>
    </row>
    <row r="403" spans="1:13" ht="15">
      <c r="A403" s="52">
        <v>401</v>
      </c>
      <c r="B403" s="60" t="s">
        <v>904</v>
      </c>
      <c r="C403" s="126" t="s">
        <v>906</v>
      </c>
      <c r="D403" s="52">
        <v>6</v>
      </c>
      <c r="E403" s="52" t="s">
        <v>2388</v>
      </c>
      <c r="F403" s="126" t="s">
        <v>22</v>
      </c>
      <c r="G403" s="126" t="s">
        <v>1664</v>
      </c>
      <c r="H403" s="131">
        <v>136</v>
      </c>
      <c r="I403" s="49" t="s">
        <v>3559</v>
      </c>
      <c r="J403" s="52">
        <v>2</v>
      </c>
      <c r="K403" s="49"/>
      <c r="L403" s="49" t="s">
        <v>4791</v>
      </c>
      <c r="M403" s="58"/>
    </row>
    <row r="404" spans="1:13" ht="15">
      <c r="A404" s="52">
        <v>402</v>
      </c>
      <c r="B404" s="60" t="s">
        <v>527</v>
      </c>
      <c r="C404" s="126" t="s">
        <v>529</v>
      </c>
      <c r="D404" s="52">
        <v>1</v>
      </c>
      <c r="E404" s="52" t="s">
        <v>2388</v>
      </c>
      <c r="F404" s="126" t="s">
        <v>22</v>
      </c>
      <c r="G404" s="126" t="s">
        <v>1664</v>
      </c>
      <c r="H404" s="131">
        <v>16</v>
      </c>
      <c r="I404" s="49" t="s">
        <v>3559</v>
      </c>
      <c r="J404" s="52">
        <v>1</v>
      </c>
      <c r="K404" s="49"/>
      <c r="L404" s="49" t="s">
        <v>4792</v>
      </c>
      <c r="M404" s="58"/>
    </row>
    <row r="405" spans="1:13" ht="15">
      <c r="A405" s="52">
        <v>403</v>
      </c>
      <c r="B405" s="60" t="s">
        <v>552</v>
      </c>
      <c r="C405" s="126" t="s">
        <v>21</v>
      </c>
      <c r="D405" s="52">
        <v>1</v>
      </c>
      <c r="E405" s="52" t="s">
        <v>2388</v>
      </c>
      <c r="F405" s="126" t="s">
        <v>22</v>
      </c>
      <c r="G405" s="126" t="s">
        <v>1664</v>
      </c>
      <c r="H405" s="131">
        <v>8</v>
      </c>
      <c r="I405" s="49" t="s">
        <v>3559</v>
      </c>
      <c r="J405" s="52">
        <v>2</v>
      </c>
      <c r="K405" s="49"/>
      <c r="L405" s="49" t="s">
        <v>4793</v>
      </c>
      <c r="M405" s="58"/>
    </row>
    <row r="406" spans="1:13" ht="15">
      <c r="A406" s="52">
        <v>404</v>
      </c>
      <c r="B406" s="60" t="s">
        <v>556</v>
      </c>
      <c r="C406" s="126" t="s">
        <v>558</v>
      </c>
      <c r="D406" s="52">
        <v>8</v>
      </c>
      <c r="E406" s="52" t="s">
        <v>2388</v>
      </c>
      <c r="F406" s="126" t="s">
        <v>22</v>
      </c>
      <c r="G406" s="126" t="s">
        <v>1664</v>
      </c>
      <c r="H406" s="131">
        <v>160</v>
      </c>
      <c r="I406" s="49" t="s">
        <v>3563</v>
      </c>
      <c r="J406" s="52">
        <v>2</v>
      </c>
      <c r="K406" s="49"/>
      <c r="L406" s="49" t="s">
        <v>4794</v>
      </c>
      <c r="M406" s="58"/>
    </row>
    <row r="407" spans="1:13" ht="15">
      <c r="A407" s="52">
        <v>405</v>
      </c>
      <c r="B407" s="60" t="s">
        <v>1153</v>
      </c>
      <c r="C407" s="126" t="s">
        <v>558</v>
      </c>
      <c r="D407" s="52">
        <v>16</v>
      </c>
      <c r="E407" s="52" t="s">
        <v>2388</v>
      </c>
      <c r="F407" s="126" t="s">
        <v>22</v>
      </c>
      <c r="G407" s="126" t="s">
        <v>1664</v>
      </c>
      <c r="H407" s="131">
        <v>688</v>
      </c>
      <c r="I407" s="49" t="s">
        <v>3563</v>
      </c>
      <c r="J407" s="52">
        <v>3</v>
      </c>
      <c r="K407" s="49"/>
      <c r="L407" s="49" t="s">
        <v>4795</v>
      </c>
      <c r="M407" s="58"/>
    </row>
    <row r="408" spans="1:13" ht="15">
      <c r="A408" s="52">
        <v>406</v>
      </c>
      <c r="B408" s="60" t="s">
        <v>1154</v>
      </c>
      <c r="C408" s="126" t="s">
        <v>558</v>
      </c>
      <c r="D408" s="52">
        <v>8</v>
      </c>
      <c r="E408" s="52" t="s">
        <v>2388</v>
      </c>
      <c r="F408" s="126" t="s">
        <v>22</v>
      </c>
      <c r="G408" s="126" t="s">
        <v>1664</v>
      </c>
      <c r="H408" s="131">
        <v>96</v>
      </c>
      <c r="I408" s="49" t="s">
        <v>3559</v>
      </c>
      <c r="J408" s="52">
        <v>1</v>
      </c>
      <c r="K408" s="49"/>
      <c r="L408" s="49" t="s">
        <v>4796</v>
      </c>
      <c r="M408" s="58"/>
    </row>
    <row r="409" spans="1:13" ht="15">
      <c r="A409" s="52">
        <v>407</v>
      </c>
      <c r="B409" s="53" t="s">
        <v>1155</v>
      </c>
      <c r="C409" s="126" t="s">
        <v>558</v>
      </c>
      <c r="D409" s="55">
        <v>8</v>
      </c>
      <c r="E409" s="52" t="s">
        <v>2388</v>
      </c>
      <c r="F409" s="126" t="s">
        <v>22</v>
      </c>
      <c r="G409" s="126" t="s">
        <v>1664</v>
      </c>
      <c r="H409" s="131">
        <v>64</v>
      </c>
      <c r="I409" s="49" t="s">
        <v>3559</v>
      </c>
      <c r="J409" s="52">
        <v>1</v>
      </c>
      <c r="K409" s="49"/>
      <c r="L409" s="49" t="s">
        <v>4797</v>
      </c>
      <c r="M409" s="58"/>
    </row>
    <row r="410" spans="1:13" ht="15">
      <c r="A410" s="52">
        <v>408</v>
      </c>
      <c r="B410" s="60" t="s">
        <v>612</v>
      </c>
      <c r="C410" s="126" t="s">
        <v>614</v>
      </c>
      <c r="D410" s="52">
        <v>2</v>
      </c>
      <c r="E410" s="56" t="s">
        <v>2388</v>
      </c>
      <c r="F410" s="126" t="s">
        <v>22</v>
      </c>
      <c r="G410" s="126" t="s">
        <v>1686</v>
      </c>
      <c r="H410" s="131">
        <v>1072</v>
      </c>
      <c r="I410" s="49" t="s">
        <v>3563</v>
      </c>
      <c r="J410" s="52">
        <v>1</v>
      </c>
      <c r="K410" s="49"/>
      <c r="L410" s="49" t="s">
        <v>4798</v>
      </c>
      <c r="M410" s="58"/>
    </row>
    <row r="411" spans="1:13" ht="15">
      <c r="A411" s="52">
        <v>409</v>
      </c>
      <c r="B411" s="60" t="s">
        <v>1245</v>
      </c>
      <c r="C411" s="126" t="s">
        <v>506</v>
      </c>
      <c r="D411" s="52">
        <v>2</v>
      </c>
      <c r="E411" s="56" t="s">
        <v>2388</v>
      </c>
      <c r="F411" s="126" t="s">
        <v>22</v>
      </c>
      <c r="G411" s="126" t="s">
        <v>1664</v>
      </c>
      <c r="H411" s="131">
        <v>16</v>
      </c>
      <c r="I411" s="49" t="s">
        <v>3585</v>
      </c>
      <c r="J411" s="52">
        <v>1</v>
      </c>
      <c r="K411" s="49"/>
      <c r="L411" s="49" t="s">
        <v>4799</v>
      </c>
      <c r="M411" s="58"/>
    </row>
    <row r="412" spans="1:13" ht="15">
      <c r="A412" s="52">
        <v>410</v>
      </c>
      <c r="B412" s="53" t="s">
        <v>752</v>
      </c>
      <c r="C412" s="126" t="s">
        <v>489</v>
      </c>
      <c r="D412" s="55">
        <v>4</v>
      </c>
      <c r="E412" s="52" t="s">
        <v>2388</v>
      </c>
      <c r="F412" s="126" t="s">
        <v>22</v>
      </c>
      <c r="G412" s="126" t="s">
        <v>1664</v>
      </c>
      <c r="H412" s="131">
        <v>112</v>
      </c>
      <c r="I412" s="49" t="s">
        <v>3570</v>
      </c>
      <c r="J412" s="52">
        <v>1</v>
      </c>
      <c r="K412" s="49"/>
      <c r="L412" s="49" t="s">
        <v>4800</v>
      </c>
      <c r="M412" s="58"/>
    </row>
    <row r="413" spans="1:13" ht="15">
      <c r="A413" s="52">
        <v>411</v>
      </c>
      <c r="B413" s="60" t="s">
        <v>1274</v>
      </c>
      <c r="C413" s="126" t="s">
        <v>489</v>
      </c>
      <c r="D413" s="52">
        <v>8</v>
      </c>
      <c r="E413" s="52" t="s">
        <v>2388</v>
      </c>
      <c r="F413" s="126" t="s">
        <v>22</v>
      </c>
      <c r="G413" s="126" t="s">
        <v>1664</v>
      </c>
      <c r="H413" s="131">
        <v>144</v>
      </c>
      <c r="I413" s="49" t="s">
        <v>3563</v>
      </c>
      <c r="J413" s="52">
        <v>4</v>
      </c>
      <c r="K413" s="49"/>
      <c r="L413" s="49" t="s">
        <v>4801</v>
      </c>
      <c r="M413" s="58"/>
    </row>
    <row r="414" spans="1:13" ht="15">
      <c r="A414" s="52">
        <v>412</v>
      </c>
      <c r="B414" s="60" t="s">
        <v>1277</v>
      </c>
      <c r="C414" s="126" t="s">
        <v>492</v>
      </c>
      <c r="D414" s="52">
        <v>4</v>
      </c>
      <c r="E414" s="52" t="s">
        <v>2388</v>
      </c>
      <c r="F414" s="126" t="s">
        <v>22</v>
      </c>
      <c r="G414" s="126" t="s">
        <v>1664</v>
      </c>
      <c r="H414" s="131">
        <v>32</v>
      </c>
      <c r="I414" s="49" t="s">
        <v>3563</v>
      </c>
      <c r="J414" s="52">
        <v>2</v>
      </c>
      <c r="K414" s="49"/>
      <c r="L414" s="49" t="s">
        <v>4802</v>
      </c>
      <c r="M414" s="58"/>
    </row>
    <row r="415" spans="1:13" ht="15">
      <c r="A415" s="52">
        <v>413</v>
      </c>
      <c r="B415" s="60" t="s">
        <v>1281</v>
      </c>
      <c r="C415" s="126" t="s">
        <v>492</v>
      </c>
      <c r="D415" s="52">
        <v>8</v>
      </c>
      <c r="E415" s="52" t="s">
        <v>2388</v>
      </c>
      <c r="F415" s="126" t="s">
        <v>22</v>
      </c>
      <c r="G415" s="126" t="s">
        <v>1664</v>
      </c>
      <c r="H415" s="131">
        <v>64</v>
      </c>
      <c r="I415" s="49" t="s">
        <v>3559</v>
      </c>
      <c r="J415" s="52">
        <v>1</v>
      </c>
      <c r="K415" s="49"/>
      <c r="L415" s="49" t="s">
        <v>4803</v>
      </c>
      <c r="M415" s="58"/>
    </row>
    <row r="416" spans="1:13" ht="15">
      <c r="A416" s="52">
        <v>414</v>
      </c>
      <c r="B416" s="53" t="s">
        <v>1288</v>
      </c>
      <c r="C416" s="126" t="s">
        <v>489</v>
      </c>
      <c r="D416" s="55">
        <v>8</v>
      </c>
      <c r="E416" s="52" t="s">
        <v>2388</v>
      </c>
      <c r="F416" s="126" t="s">
        <v>22</v>
      </c>
      <c r="G416" s="126" t="s">
        <v>1664</v>
      </c>
      <c r="H416" s="131">
        <v>64</v>
      </c>
      <c r="I416" s="49" t="s">
        <v>3559</v>
      </c>
      <c r="J416" s="52">
        <v>1</v>
      </c>
      <c r="K416" s="49"/>
      <c r="L416" s="49" t="s">
        <v>4804</v>
      </c>
      <c r="M416" s="58"/>
    </row>
    <row r="417" spans="1:13" ht="15">
      <c r="A417" s="52">
        <v>415</v>
      </c>
      <c r="B417" s="53" t="s">
        <v>1289</v>
      </c>
      <c r="C417" s="126" t="s">
        <v>489</v>
      </c>
      <c r="D417" s="55">
        <v>8</v>
      </c>
      <c r="E417" s="52" t="s">
        <v>2388</v>
      </c>
      <c r="F417" s="126" t="s">
        <v>22</v>
      </c>
      <c r="G417" s="126" t="s">
        <v>1664</v>
      </c>
      <c r="H417" s="131">
        <v>64</v>
      </c>
      <c r="I417" s="49" t="s">
        <v>3559</v>
      </c>
      <c r="J417" s="52">
        <v>1</v>
      </c>
      <c r="K417" s="49"/>
      <c r="L417" s="49" t="s">
        <v>4805</v>
      </c>
      <c r="M417" s="58"/>
    </row>
    <row r="418" spans="1:13" ht="15">
      <c r="A418" s="52">
        <v>416</v>
      </c>
      <c r="B418" s="60" t="s">
        <v>2086</v>
      </c>
      <c r="C418" s="126" t="s">
        <v>2087</v>
      </c>
      <c r="D418" s="52">
        <v>1</v>
      </c>
      <c r="E418" s="52" t="s">
        <v>2391</v>
      </c>
      <c r="F418" s="126" t="s">
        <v>22</v>
      </c>
      <c r="G418" s="126" t="s">
        <v>1664</v>
      </c>
      <c r="H418" s="131">
        <v>16</v>
      </c>
      <c r="I418" s="49" t="s">
        <v>3570</v>
      </c>
      <c r="J418" s="52">
        <v>5</v>
      </c>
      <c r="K418" s="49"/>
      <c r="L418" s="49" t="s">
        <v>4806</v>
      </c>
      <c r="M418" s="58"/>
    </row>
    <row r="419" spans="1:13" ht="15">
      <c r="A419" s="52">
        <v>417</v>
      </c>
      <c r="B419" s="60" t="s">
        <v>109</v>
      </c>
      <c r="C419" s="126" t="s">
        <v>111</v>
      </c>
      <c r="D419" s="52">
        <v>1</v>
      </c>
      <c r="E419" s="52" t="s">
        <v>2391</v>
      </c>
      <c r="F419" s="126" t="s">
        <v>22</v>
      </c>
      <c r="G419" s="126" t="s">
        <v>1664</v>
      </c>
      <c r="H419" s="131">
        <v>16</v>
      </c>
      <c r="I419" s="49" t="s">
        <v>3570</v>
      </c>
      <c r="J419" s="52">
        <v>5</v>
      </c>
      <c r="K419" s="49"/>
      <c r="L419" s="49" t="s">
        <v>4807</v>
      </c>
      <c r="M419" s="58"/>
    </row>
    <row r="420" spans="1:13" ht="15">
      <c r="A420" s="52">
        <v>418</v>
      </c>
      <c r="B420" s="53" t="s">
        <v>469</v>
      </c>
      <c r="C420" s="126" t="s">
        <v>471</v>
      </c>
      <c r="D420" s="55">
        <v>2</v>
      </c>
      <c r="E420" s="56" t="s">
        <v>2391</v>
      </c>
      <c r="F420" s="126" t="s">
        <v>22</v>
      </c>
      <c r="G420" s="126" t="s">
        <v>1664</v>
      </c>
      <c r="H420" s="131">
        <v>16</v>
      </c>
      <c r="I420" s="49" t="s">
        <v>3570</v>
      </c>
      <c r="J420" s="52">
        <v>1</v>
      </c>
      <c r="K420" s="49"/>
      <c r="L420" s="49" t="s">
        <v>4808</v>
      </c>
      <c r="M420" s="58"/>
    </row>
    <row r="421" spans="1:13" ht="15">
      <c r="A421" s="52">
        <v>419</v>
      </c>
      <c r="B421" s="60" t="s">
        <v>484</v>
      </c>
      <c r="C421" s="126" t="s">
        <v>485</v>
      </c>
      <c r="D421" s="52">
        <v>3</v>
      </c>
      <c r="E421" s="56" t="s">
        <v>2391</v>
      </c>
      <c r="F421" s="126" t="s">
        <v>22</v>
      </c>
      <c r="G421" s="126" t="s">
        <v>1664</v>
      </c>
      <c r="H421" s="131">
        <v>40</v>
      </c>
      <c r="I421" s="49" t="s">
        <v>3563</v>
      </c>
      <c r="J421" s="52">
        <v>3</v>
      </c>
      <c r="K421" s="49"/>
      <c r="L421" s="49" t="s">
        <v>4809</v>
      </c>
      <c r="M421" s="58"/>
    </row>
    <row r="422" spans="1:13" ht="15">
      <c r="A422" s="52">
        <v>420</v>
      </c>
      <c r="B422" s="60" t="s">
        <v>840</v>
      </c>
      <c r="C422" s="126" t="s">
        <v>842</v>
      </c>
      <c r="D422" s="52">
        <v>2</v>
      </c>
      <c r="E422" s="52" t="s">
        <v>2391</v>
      </c>
      <c r="F422" s="126" t="s">
        <v>22</v>
      </c>
      <c r="G422" s="126" t="s">
        <v>1664</v>
      </c>
      <c r="H422" s="131">
        <v>16</v>
      </c>
      <c r="I422" s="49" t="s">
        <v>3570</v>
      </c>
      <c r="J422" s="52">
        <v>4</v>
      </c>
      <c r="K422" s="49"/>
      <c r="L422" s="49" t="s">
        <v>4810</v>
      </c>
      <c r="M422" s="58"/>
    </row>
    <row r="423" spans="1:13" ht="15">
      <c r="A423" s="52">
        <v>421</v>
      </c>
      <c r="B423" s="60" t="s">
        <v>499</v>
      </c>
      <c r="C423" s="126" t="s">
        <v>500</v>
      </c>
      <c r="D423" s="52">
        <v>1</v>
      </c>
      <c r="E423" s="52" t="s">
        <v>2391</v>
      </c>
      <c r="F423" s="126" t="s">
        <v>22</v>
      </c>
      <c r="G423" s="126" t="s">
        <v>1664</v>
      </c>
      <c r="H423" s="131">
        <v>8</v>
      </c>
      <c r="I423" s="49" t="s">
        <v>3563</v>
      </c>
      <c r="J423" s="52">
        <v>5</v>
      </c>
      <c r="K423" s="49"/>
      <c r="L423" s="49" t="s">
        <v>4811</v>
      </c>
      <c r="M423" s="58"/>
    </row>
    <row r="424" spans="1:13" ht="15">
      <c r="A424" s="52">
        <v>422</v>
      </c>
      <c r="B424" s="60" t="s">
        <v>860</v>
      </c>
      <c r="C424" s="126" t="s">
        <v>862</v>
      </c>
      <c r="D424" s="52">
        <v>2</v>
      </c>
      <c r="E424" s="52" t="s">
        <v>2391</v>
      </c>
      <c r="F424" s="126" t="s">
        <v>22</v>
      </c>
      <c r="G424" s="126" t="s">
        <v>1664</v>
      </c>
      <c r="H424" s="131">
        <v>24</v>
      </c>
      <c r="I424" s="49" t="s">
        <v>3570</v>
      </c>
      <c r="J424" s="52">
        <v>4</v>
      </c>
      <c r="K424" s="49"/>
      <c r="L424" s="49" t="s">
        <v>4812</v>
      </c>
      <c r="M424" s="58"/>
    </row>
    <row r="425" spans="1:13" ht="15">
      <c r="A425" s="52">
        <v>423</v>
      </c>
      <c r="B425" s="53" t="s">
        <v>863</v>
      </c>
      <c r="C425" s="126" t="s">
        <v>865</v>
      </c>
      <c r="D425" s="55">
        <v>1</v>
      </c>
      <c r="E425" s="52" t="s">
        <v>2391</v>
      </c>
      <c r="F425" s="126" t="s">
        <v>22</v>
      </c>
      <c r="G425" s="126" t="s">
        <v>1664</v>
      </c>
      <c r="H425" s="131">
        <v>16</v>
      </c>
      <c r="I425" s="49" t="s">
        <v>3563</v>
      </c>
      <c r="J425" s="52">
        <v>5</v>
      </c>
      <c r="K425" s="49"/>
      <c r="L425" s="49" t="s">
        <v>4813</v>
      </c>
      <c r="M425" s="58"/>
    </row>
    <row r="426" spans="1:13" ht="15">
      <c r="A426" s="52">
        <v>424</v>
      </c>
      <c r="B426" s="60" t="s">
        <v>870</v>
      </c>
      <c r="C426" s="126" t="s">
        <v>21</v>
      </c>
      <c r="D426" s="52">
        <v>1</v>
      </c>
      <c r="E426" s="52" t="s">
        <v>2391</v>
      </c>
      <c r="F426" s="126" t="s">
        <v>22</v>
      </c>
      <c r="G426" s="126" t="s">
        <v>1664</v>
      </c>
      <c r="H426" s="131">
        <v>16</v>
      </c>
      <c r="I426" s="49" t="s">
        <v>3570</v>
      </c>
      <c r="J426" s="52">
        <v>1</v>
      </c>
      <c r="K426" s="49"/>
      <c r="L426" s="49" t="s">
        <v>4814</v>
      </c>
      <c r="M426" s="58"/>
    </row>
    <row r="427" spans="1:13" ht="15">
      <c r="A427" s="52">
        <v>425</v>
      </c>
      <c r="B427" s="60" t="s">
        <v>2368</v>
      </c>
      <c r="C427" s="126" t="s">
        <v>2369</v>
      </c>
      <c r="D427" s="52">
        <v>1</v>
      </c>
      <c r="E427" s="52" t="s">
        <v>2391</v>
      </c>
      <c r="F427" s="126" t="s">
        <v>22</v>
      </c>
      <c r="G427" s="126" t="s">
        <v>1664</v>
      </c>
      <c r="H427" s="131">
        <v>8</v>
      </c>
      <c r="I427" s="49" t="s">
        <v>3570</v>
      </c>
      <c r="J427" s="52">
        <v>2</v>
      </c>
      <c r="K427" s="49"/>
      <c r="L427" s="49" t="s">
        <v>4815</v>
      </c>
      <c r="M427" s="58"/>
    </row>
    <row r="428" spans="1:13" ht="15">
      <c r="A428" s="52">
        <v>426</v>
      </c>
      <c r="B428" s="60" t="s">
        <v>904</v>
      </c>
      <c r="C428" s="126" t="s">
        <v>906</v>
      </c>
      <c r="D428" s="52">
        <v>23</v>
      </c>
      <c r="E428" s="52" t="s">
        <v>2391</v>
      </c>
      <c r="F428" s="126" t="s">
        <v>22</v>
      </c>
      <c r="G428" s="126" t="s">
        <v>1664</v>
      </c>
      <c r="H428" s="131">
        <v>136</v>
      </c>
      <c r="I428" s="49" t="s">
        <v>3706</v>
      </c>
      <c r="J428" s="52"/>
      <c r="K428" s="49"/>
      <c r="L428" s="49" t="s">
        <v>4816</v>
      </c>
      <c r="M428" s="58"/>
    </row>
    <row r="429" spans="1:13" ht="15">
      <c r="A429" s="52">
        <v>427</v>
      </c>
      <c r="B429" s="60" t="s">
        <v>934</v>
      </c>
      <c r="C429" s="126" t="s">
        <v>812</v>
      </c>
      <c r="D429" s="52">
        <v>2</v>
      </c>
      <c r="E429" s="52" t="s">
        <v>2391</v>
      </c>
      <c r="F429" s="126" t="s">
        <v>22</v>
      </c>
      <c r="G429" s="126" t="s">
        <v>1664</v>
      </c>
      <c r="H429" s="131">
        <v>16</v>
      </c>
      <c r="I429" s="49" t="s">
        <v>3570</v>
      </c>
      <c r="J429" s="52">
        <v>4</v>
      </c>
      <c r="K429" s="49"/>
      <c r="L429" s="49" t="s">
        <v>4817</v>
      </c>
      <c r="M429" s="58"/>
    </row>
    <row r="430" spans="1:13" ht="15">
      <c r="A430" s="52">
        <v>428</v>
      </c>
      <c r="B430" s="60" t="s">
        <v>978</v>
      </c>
      <c r="C430" s="126" t="s">
        <v>979</v>
      </c>
      <c r="D430" s="52">
        <v>1</v>
      </c>
      <c r="E430" s="52" t="s">
        <v>2391</v>
      </c>
      <c r="F430" s="126" t="s">
        <v>22</v>
      </c>
      <c r="G430" s="126" t="s">
        <v>1664</v>
      </c>
      <c r="H430" s="131">
        <v>1</v>
      </c>
      <c r="I430" s="49" t="s">
        <v>4437</v>
      </c>
      <c r="J430" s="52">
        <v>2</v>
      </c>
      <c r="K430" s="49" t="s">
        <v>3365</v>
      </c>
      <c r="L430" s="49" t="s">
        <v>4818</v>
      </c>
      <c r="M430" s="58"/>
    </row>
    <row r="431" spans="1:13" ht="15">
      <c r="A431" s="52">
        <v>429</v>
      </c>
      <c r="B431" s="60" t="s">
        <v>980</v>
      </c>
      <c r="C431" s="126" t="s">
        <v>979</v>
      </c>
      <c r="D431" s="52">
        <v>1</v>
      </c>
      <c r="E431" s="52" t="s">
        <v>2391</v>
      </c>
      <c r="F431" s="126" t="s">
        <v>22</v>
      </c>
      <c r="G431" s="126" t="s">
        <v>1664</v>
      </c>
      <c r="H431" s="131">
        <v>1</v>
      </c>
      <c r="I431" s="49" t="s">
        <v>4437</v>
      </c>
      <c r="J431" s="52">
        <v>2</v>
      </c>
      <c r="K431" s="49"/>
      <c r="L431" s="49" t="s">
        <v>4819</v>
      </c>
      <c r="M431" s="58"/>
    </row>
    <row r="432" spans="1:13" ht="15">
      <c r="A432" s="52">
        <v>430</v>
      </c>
      <c r="B432" s="60" t="s">
        <v>527</v>
      </c>
      <c r="C432" s="126" t="s">
        <v>529</v>
      </c>
      <c r="D432" s="52">
        <v>2</v>
      </c>
      <c r="E432" s="52" t="s">
        <v>2391</v>
      </c>
      <c r="F432" s="126" t="s">
        <v>22</v>
      </c>
      <c r="G432" s="126" t="s">
        <v>1664</v>
      </c>
      <c r="H432" s="131">
        <v>16</v>
      </c>
      <c r="I432" s="49" t="s">
        <v>3559</v>
      </c>
      <c r="J432" s="52">
        <v>1</v>
      </c>
      <c r="K432" s="49"/>
      <c r="L432" s="49" t="s">
        <v>4820</v>
      </c>
      <c r="M432" s="58"/>
    </row>
    <row r="433" spans="1:13" ht="15">
      <c r="A433" s="52">
        <v>431</v>
      </c>
      <c r="B433" s="60" t="s">
        <v>538</v>
      </c>
      <c r="C433" s="126" t="s">
        <v>540</v>
      </c>
      <c r="D433" s="52">
        <v>1</v>
      </c>
      <c r="E433" s="52" t="s">
        <v>2391</v>
      </c>
      <c r="F433" s="126" t="s">
        <v>22</v>
      </c>
      <c r="G433" s="126" t="s">
        <v>1664</v>
      </c>
      <c r="H433" s="131">
        <v>24</v>
      </c>
      <c r="I433" s="49" t="s">
        <v>3742</v>
      </c>
      <c r="J433" s="52">
        <v>4</v>
      </c>
      <c r="K433" s="49"/>
      <c r="L433" s="49" t="s">
        <v>4821</v>
      </c>
      <c r="M433" s="58"/>
    </row>
    <row r="434" spans="1:13" ht="15">
      <c r="A434" s="52">
        <v>432</v>
      </c>
      <c r="B434" s="60" t="s">
        <v>1133</v>
      </c>
      <c r="C434" s="126" t="s">
        <v>1134</v>
      </c>
      <c r="D434" s="52">
        <v>2</v>
      </c>
      <c r="E434" s="52" t="s">
        <v>2391</v>
      </c>
      <c r="F434" s="126" t="s">
        <v>22</v>
      </c>
      <c r="G434" s="126" t="s">
        <v>1664</v>
      </c>
      <c r="H434" s="131">
        <v>32</v>
      </c>
      <c r="I434" s="49" t="s">
        <v>3563</v>
      </c>
      <c r="J434" s="52">
        <v>4</v>
      </c>
      <c r="K434" s="49"/>
      <c r="L434" s="49" t="s">
        <v>4822</v>
      </c>
      <c r="M434" s="58"/>
    </row>
    <row r="435" spans="1:13" ht="15">
      <c r="A435" s="52">
        <v>433</v>
      </c>
      <c r="B435" s="60" t="s">
        <v>1135</v>
      </c>
      <c r="C435" s="126" t="s">
        <v>905</v>
      </c>
      <c r="D435" s="52">
        <v>2</v>
      </c>
      <c r="E435" s="56" t="s">
        <v>2391</v>
      </c>
      <c r="F435" s="126" t="s">
        <v>22</v>
      </c>
      <c r="G435" s="126" t="s">
        <v>1664</v>
      </c>
      <c r="H435" s="131">
        <v>32</v>
      </c>
      <c r="I435" s="49" t="s">
        <v>3570</v>
      </c>
      <c r="J435" s="52"/>
      <c r="K435" s="49"/>
      <c r="L435" s="49" t="s">
        <v>4823</v>
      </c>
      <c r="M435" s="58"/>
    </row>
    <row r="436" spans="1:13" ht="15">
      <c r="A436" s="52">
        <v>434</v>
      </c>
      <c r="B436" s="53" t="s">
        <v>1145</v>
      </c>
      <c r="C436" s="126" t="s">
        <v>1134</v>
      </c>
      <c r="D436" s="55">
        <v>2</v>
      </c>
      <c r="E436" s="52" t="s">
        <v>2391</v>
      </c>
      <c r="F436" s="126" t="s">
        <v>22</v>
      </c>
      <c r="G436" s="126" t="s">
        <v>1664</v>
      </c>
      <c r="H436" s="131">
        <v>16</v>
      </c>
      <c r="I436" s="49" t="s">
        <v>3570</v>
      </c>
      <c r="J436" s="52">
        <v>1</v>
      </c>
      <c r="K436" s="49"/>
      <c r="L436" s="49" t="s">
        <v>4824</v>
      </c>
      <c r="M436" s="58"/>
    </row>
    <row r="437" spans="1:13" ht="15">
      <c r="A437" s="52">
        <v>435</v>
      </c>
      <c r="B437" s="53" t="s">
        <v>1147</v>
      </c>
      <c r="C437" s="126" t="s">
        <v>1148</v>
      </c>
      <c r="D437" s="52">
        <v>1</v>
      </c>
      <c r="E437" s="52" t="s">
        <v>2391</v>
      </c>
      <c r="F437" s="126" t="s">
        <v>22</v>
      </c>
      <c r="G437" s="126" t="s">
        <v>1664</v>
      </c>
      <c r="H437" s="131">
        <v>8</v>
      </c>
      <c r="I437" s="49" t="s">
        <v>3570</v>
      </c>
      <c r="J437" s="52">
        <v>5</v>
      </c>
      <c r="K437" s="49"/>
      <c r="L437" s="49" t="s">
        <v>4825</v>
      </c>
      <c r="M437" s="49"/>
    </row>
    <row r="438" spans="1:13" ht="15">
      <c r="A438" s="52">
        <v>436</v>
      </c>
      <c r="B438" s="53" t="s">
        <v>1157</v>
      </c>
      <c r="C438" s="126" t="s">
        <v>558</v>
      </c>
      <c r="D438" s="52">
        <v>8</v>
      </c>
      <c r="E438" s="52" t="s">
        <v>2391</v>
      </c>
      <c r="F438" s="126" t="s">
        <v>22</v>
      </c>
      <c r="G438" s="126" t="s">
        <v>1664</v>
      </c>
      <c r="H438" s="131">
        <v>64</v>
      </c>
      <c r="I438" s="49" t="s">
        <v>3559</v>
      </c>
      <c r="J438" s="52">
        <v>3</v>
      </c>
      <c r="K438" s="49"/>
      <c r="L438" s="49" t="s">
        <v>4826</v>
      </c>
      <c r="M438" s="49"/>
    </row>
    <row r="439" spans="1:13" ht="15">
      <c r="A439" s="52">
        <v>437</v>
      </c>
      <c r="B439" s="53" t="s">
        <v>559</v>
      </c>
      <c r="C439" s="126" t="s">
        <v>560</v>
      </c>
      <c r="D439" s="55">
        <v>4</v>
      </c>
      <c r="E439" s="52" t="s">
        <v>2391</v>
      </c>
      <c r="F439" s="126" t="s">
        <v>22</v>
      </c>
      <c r="G439" s="126" t="s">
        <v>1686</v>
      </c>
      <c r="H439" s="131">
        <v>960</v>
      </c>
      <c r="I439" s="49" t="s">
        <v>3563</v>
      </c>
      <c r="J439" s="52">
        <v>1</v>
      </c>
      <c r="K439" s="49"/>
      <c r="L439" s="188" t="s">
        <v>4827</v>
      </c>
      <c r="M439" s="58">
        <v>45533</v>
      </c>
    </row>
    <row r="440" spans="1:13" ht="15">
      <c r="A440" s="52">
        <v>438</v>
      </c>
      <c r="B440" s="53" t="s">
        <v>1166</v>
      </c>
      <c r="C440" s="126" t="s">
        <v>630</v>
      </c>
      <c r="D440" s="55">
        <v>6</v>
      </c>
      <c r="E440" s="52" t="s">
        <v>2391</v>
      </c>
      <c r="F440" s="126" t="s">
        <v>22</v>
      </c>
      <c r="G440" s="126" t="s">
        <v>1664</v>
      </c>
      <c r="H440" s="131">
        <v>56</v>
      </c>
      <c r="I440" s="49" t="s">
        <v>3570</v>
      </c>
      <c r="J440" s="52">
        <v>1</v>
      </c>
      <c r="K440" s="49"/>
      <c r="L440" s="188" t="s">
        <v>4828</v>
      </c>
      <c r="M440" s="58">
        <v>45533</v>
      </c>
    </row>
    <row r="441" spans="1:13" ht="15">
      <c r="A441" s="52">
        <v>439</v>
      </c>
      <c r="B441" s="53" t="s">
        <v>1170</v>
      </c>
      <c r="C441" s="126" t="s">
        <v>630</v>
      </c>
      <c r="D441" s="55">
        <v>20</v>
      </c>
      <c r="E441" s="52" t="s">
        <v>2391</v>
      </c>
      <c r="F441" s="126" t="s">
        <v>22</v>
      </c>
      <c r="G441" s="126" t="s">
        <v>1664</v>
      </c>
      <c r="H441" s="131">
        <v>160</v>
      </c>
      <c r="I441" s="49" t="s">
        <v>3570</v>
      </c>
      <c r="J441" s="52">
        <v>1</v>
      </c>
      <c r="K441" s="49"/>
      <c r="L441" s="49" t="s">
        <v>4829</v>
      </c>
      <c r="M441" s="58">
        <v>45533</v>
      </c>
    </row>
    <row r="442" spans="1:13" ht="15">
      <c r="A442" s="52">
        <v>440</v>
      </c>
      <c r="B442" s="60" t="s">
        <v>579</v>
      </c>
      <c r="C442" s="126" t="s">
        <v>489</v>
      </c>
      <c r="D442" s="52">
        <v>8</v>
      </c>
      <c r="E442" s="52" t="s">
        <v>2391</v>
      </c>
      <c r="F442" s="126" t="s">
        <v>22</v>
      </c>
      <c r="G442" s="126" t="s">
        <v>1664</v>
      </c>
      <c r="H442" s="131">
        <v>64</v>
      </c>
      <c r="I442" s="49" t="s">
        <v>3563</v>
      </c>
      <c r="J442" s="52">
        <v>3</v>
      </c>
      <c r="K442" s="49"/>
      <c r="L442" s="49" t="s">
        <v>4830</v>
      </c>
      <c r="M442" s="58"/>
    </row>
    <row r="443" spans="1:13" ht="15">
      <c r="A443" s="52">
        <v>441</v>
      </c>
      <c r="B443" s="60" t="s">
        <v>583</v>
      </c>
      <c r="C443" s="126" t="s">
        <v>584</v>
      </c>
      <c r="D443" s="52">
        <v>8</v>
      </c>
      <c r="E443" s="52" t="s">
        <v>2391</v>
      </c>
      <c r="F443" s="126" t="s">
        <v>22</v>
      </c>
      <c r="G443" s="126" t="s">
        <v>1664</v>
      </c>
      <c r="H443" s="131">
        <v>176</v>
      </c>
      <c r="I443" s="49" t="s">
        <v>3570</v>
      </c>
      <c r="J443" s="52">
        <v>3</v>
      </c>
      <c r="K443" s="49"/>
      <c r="L443" s="49" t="s">
        <v>4831</v>
      </c>
      <c r="M443" s="58"/>
    </row>
    <row r="444" spans="1:13" ht="15">
      <c r="A444" s="52">
        <v>442</v>
      </c>
      <c r="B444" s="59" t="s">
        <v>1175</v>
      </c>
      <c r="C444" s="126" t="s">
        <v>587</v>
      </c>
      <c r="D444" s="55">
        <v>2</v>
      </c>
      <c r="E444" s="52" t="s">
        <v>2391</v>
      </c>
      <c r="F444" s="126" t="s">
        <v>22</v>
      </c>
      <c r="G444" s="126" t="s">
        <v>1664</v>
      </c>
      <c r="H444" s="131">
        <v>16</v>
      </c>
      <c r="I444" s="49" t="s">
        <v>3559</v>
      </c>
      <c r="J444" s="52">
        <v>3</v>
      </c>
      <c r="K444" s="49"/>
      <c r="L444" s="49" t="s">
        <v>4832</v>
      </c>
      <c r="M444" s="58"/>
    </row>
    <row r="445" spans="1:13" ht="14.25" customHeight="1">
      <c r="A445" s="52">
        <v>443</v>
      </c>
      <c r="B445" s="60" t="s">
        <v>590</v>
      </c>
      <c r="C445" s="126" t="s">
        <v>591</v>
      </c>
      <c r="D445" s="52">
        <v>8</v>
      </c>
      <c r="E445" s="52" t="s">
        <v>2391</v>
      </c>
      <c r="F445" s="126" t="s">
        <v>22</v>
      </c>
      <c r="G445" s="126" t="s">
        <v>1664</v>
      </c>
      <c r="H445" s="131">
        <v>80</v>
      </c>
      <c r="I445" s="49" t="s">
        <v>3570</v>
      </c>
      <c r="J445" s="52">
        <v>2</v>
      </c>
      <c r="K445" s="49"/>
      <c r="L445" s="49" t="s">
        <v>4833</v>
      </c>
      <c r="M445" s="58"/>
    </row>
    <row r="446" spans="1:13" ht="15">
      <c r="A446" s="52">
        <v>444</v>
      </c>
      <c r="B446" s="60" t="s">
        <v>1181</v>
      </c>
      <c r="C446" s="126" t="s">
        <v>587</v>
      </c>
      <c r="D446" s="52">
        <v>6</v>
      </c>
      <c r="E446" s="52" t="s">
        <v>2391</v>
      </c>
      <c r="F446" s="126" t="s">
        <v>22</v>
      </c>
      <c r="G446" s="126" t="s">
        <v>1664</v>
      </c>
      <c r="H446" s="131">
        <v>48</v>
      </c>
      <c r="I446" s="49" t="s">
        <v>3570</v>
      </c>
      <c r="J446" s="52">
        <v>3</v>
      </c>
      <c r="K446" s="49"/>
      <c r="L446" s="49" t="s">
        <v>4834</v>
      </c>
      <c r="M446" s="58"/>
    </row>
    <row r="447" spans="1:13" ht="15">
      <c r="A447" s="52">
        <v>445</v>
      </c>
      <c r="B447" s="59" t="s">
        <v>592</v>
      </c>
      <c r="C447" s="126" t="s">
        <v>593</v>
      </c>
      <c r="D447" s="55">
        <v>28</v>
      </c>
      <c r="E447" s="52" t="s">
        <v>2391</v>
      </c>
      <c r="F447" s="126" t="s">
        <v>22</v>
      </c>
      <c r="G447" s="126" t="s">
        <v>1664</v>
      </c>
      <c r="H447" s="131">
        <v>312</v>
      </c>
      <c r="I447" s="49" t="s">
        <v>3570</v>
      </c>
      <c r="J447" s="52">
        <v>3</v>
      </c>
      <c r="K447" s="49"/>
      <c r="L447" s="49" t="s">
        <v>4835</v>
      </c>
      <c r="M447" s="58"/>
    </row>
    <row r="448" spans="1:13" ht="15">
      <c r="A448" s="52">
        <v>446</v>
      </c>
      <c r="B448" s="59" t="s">
        <v>1182</v>
      </c>
      <c r="C448" s="126" t="s">
        <v>587</v>
      </c>
      <c r="D448" s="55">
        <v>4</v>
      </c>
      <c r="E448" s="52" t="s">
        <v>2391</v>
      </c>
      <c r="F448" s="126" t="s">
        <v>22</v>
      </c>
      <c r="G448" s="126" t="s">
        <v>1664</v>
      </c>
      <c r="H448" s="131">
        <v>96</v>
      </c>
      <c r="I448" s="49" t="s">
        <v>3570</v>
      </c>
      <c r="J448" s="52">
        <v>5</v>
      </c>
      <c r="K448" s="49"/>
      <c r="L448" s="49" t="s">
        <v>4836</v>
      </c>
      <c r="M448" s="58">
        <v>45533</v>
      </c>
    </row>
    <row r="449" spans="1:13" ht="15">
      <c r="A449" s="52">
        <v>447</v>
      </c>
      <c r="B449" s="53" t="s">
        <v>608</v>
      </c>
      <c r="C449" s="126" t="s">
        <v>609</v>
      </c>
      <c r="D449" s="55">
        <v>1</v>
      </c>
      <c r="E449" s="52" t="s">
        <v>2391</v>
      </c>
      <c r="F449" s="126" t="s">
        <v>22</v>
      </c>
      <c r="G449" s="126" t="s">
        <v>1664</v>
      </c>
      <c r="H449" s="131">
        <v>32</v>
      </c>
      <c r="I449" s="49" t="s">
        <v>3563</v>
      </c>
      <c r="J449" s="52">
        <v>2</v>
      </c>
      <c r="K449" s="49"/>
      <c r="L449" s="49" t="s">
        <v>4837</v>
      </c>
      <c r="M449" s="58"/>
    </row>
    <row r="450" spans="1:13" ht="15">
      <c r="A450" s="52">
        <v>448</v>
      </c>
      <c r="B450" s="60" t="s">
        <v>1187</v>
      </c>
      <c r="C450" s="126" t="s">
        <v>1188</v>
      </c>
      <c r="D450" s="52">
        <v>3</v>
      </c>
      <c r="E450" s="52" t="s">
        <v>2391</v>
      </c>
      <c r="F450" s="126" t="s">
        <v>22</v>
      </c>
      <c r="G450" s="126" t="s">
        <v>1664</v>
      </c>
      <c r="H450" s="131">
        <v>88</v>
      </c>
      <c r="I450" s="49" t="s">
        <v>3563</v>
      </c>
      <c r="J450" s="52">
        <v>2</v>
      </c>
      <c r="K450" s="49"/>
      <c r="L450" s="49" t="s">
        <v>4838</v>
      </c>
      <c r="M450" s="58"/>
    </row>
    <row r="451" spans="1:13" ht="15">
      <c r="A451" s="52">
        <v>449</v>
      </c>
      <c r="B451" s="60" t="s">
        <v>629</v>
      </c>
      <c r="C451" s="126" t="s">
        <v>630</v>
      </c>
      <c r="D451" s="52">
        <v>14</v>
      </c>
      <c r="E451" s="52" t="s">
        <v>2391</v>
      </c>
      <c r="F451" s="126" t="s">
        <v>22</v>
      </c>
      <c r="G451" s="126" t="s">
        <v>1664</v>
      </c>
      <c r="H451" s="131">
        <v>112</v>
      </c>
      <c r="I451" s="49" t="s">
        <v>3570</v>
      </c>
      <c r="J451" s="52">
        <v>2</v>
      </c>
      <c r="K451" s="49"/>
      <c r="L451" s="49" t="s">
        <v>4839</v>
      </c>
      <c r="M451" s="58"/>
    </row>
    <row r="452" spans="1:13" ht="15">
      <c r="A452" s="52">
        <v>450</v>
      </c>
      <c r="B452" s="60" t="s">
        <v>637</v>
      </c>
      <c r="C452" s="126" t="s">
        <v>638</v>
      </c>
      <c r="D452" s="52">
        <v>4</v>
      </c>
      <c r="E452" s="56" t="s">
        <v>2391</v>
      </c>
      <c r="F452" s="126" t="s">
        <v>22</v>
      </c>
      <c r="G452" s="126" t="s">
        <v>1664</v>
      </c>
      <c r="H452" s="131">
        <v>240</v>
      </c>
      <c r="I452" s="49" t="s">
        <v>3563</v>
      </c>
      <c r="J452" s="52">
        <v>5</v>
      </c>
      <c r="K452" s="49"/>
      <c r="L452" s="49" t="s">
        <v>4840</v>
      </c>
      <c r="M452" s="58"/>
    </row>
    <row r="453" spans="1:13" ht="15">
      <c r="A453" s="52">
        <v>451</v>
      </c>
      <c r="B453" s="60" t="s">
        <v>1205</v>
      </c>
      <c r="C453" s="126" t="s">
        <v>587</v>
      </c>
      <c r="D453" s="52">
        <v>16</v>
      </c>
      <c r="E453" s="52" t="s">
        <v>2391</v>
      </c>
      <c r="F453" s="126" t="s">
        <v>22</v>
      </c>
      <c r="G453" s="126" t="s">
        <v>1664</v>
      </c>
      <c r="H453" s="131">
        <v>40</v>
      </c>
      <c r="I453" s="49" t="s">
        <v>3570</v>
      </c>
      <c r="J453" s="52">
        <v>4</v>
      </c>
      <c r="K453" s="49"/>
      <c r="L453" s="49" t="s">
        <v>4841</v>
      </c>
      <c r="M453" s="58"/>
    </row>
    <row r="454" spans="1:13" ht="15">
      <c r="A454" s="52">
        <v>452</v>
      </c>
      <c r="B454" s="59" t="s">
        <v>692</v>
      </c>
      <c r="C454" s="126" t="s">
        <v>693</v>
      </c>
      <c r="D454" s="55">
        <v>8</v>
      </c>
      <c r="E454" s="52" t="s">
        <v>2391</v>
      </c>
      <c r="F454" s="126" t="s">
        <v>22</v>
      </c>
      <c r="G454" s="126" t="s">
        <v>1664</v>
      </c>
      <c r="H454" s="131">
        <v>160</v>
      </c>
      <c r="I454" s="49" t="s">
        <v>3570</v>
      </c>
      <c r="J454" s="52">
        <v>3</v>
      </c>
      <c r="K454" s="49"/>
      <c r="L454" s="49" t="s">
        <v>4842</v>
      </c>
      <c r="M454" s="58"/>
    </row>
    <row r="455" spans="1:13" ht="15">
      <c r="A455" s="52">
        <v>453</v>
      </c>
      <c r="B455" s="53" t="s">
        <v>1206</v>
      </c>
      <c r="C455" s="126" t="s">
        <v>627</v>
      </c>
      <c r="D455" s="55">
        <v>4</v>
      </c>
      <c r="E455" s="56" t="s">
        <v>2391</v>
      </c>
      <c r="F455" s="126" t="s">
        <v>22</v>
      </c>
      <c r="G455" s="126" t="s">
        <v>1664</v>
      </c>
      <c r="H455" s="131">
        <v>32</v>
      </c>
      <c r="I455" s="49" t="s">
        <v>3570</v>
      </c>
      <c r="J455" s="52">
        <v>1</v>
      </c>
      <c r="K455" s="49"/>
      <c r="L455" s="49" t="s">
        <v>4843</v>
      </c>
      <c r="M455" s="58"/>
    </row>
    <row r="456" spans="1:13" ht="15">
      <c r="A456" s="52">
        <v>454</v>
      </c>
      <c r="B456" s="60" t="s">
        <v>1209</v>
      </c>
      <c r="C456" s="126" t="s">
        <v>492</v>
      </c>
      <c r="D456" s="52">
        <v>16</v>
      </c>
      <c r="E456" s="52">
        <v>6</v>
      </c>
      <c r="F456" s="126" t="s">
        <v>22</v>
      </c>
      <c r="G456" s="126" t="s">
        <v>1664</v>
      </c>
      <c r="H456" s="131">
        <v>128</v>
      </c>
      <c r="I456" s="49" t="s">
        <v>3570</v>
      </c>
      <c r="J456" s="52">
        <v>1</v>
      </c>
      <c r="K456" s="49"/>
      <c r="L456" s="49" t="s">
        <v>4844</v>
      </c>
      <c r="M456" s="58"/>
    </row>
    <row r="457" spans="1:13" ht="15">
      <c r="A457" s="52">
        <v>455</v>
      </c>
      <c r="B457" s="60" t="s">
        <v>1210</v>
      </c>
      <c r="C457" s="126" t="s">
        <v>611</v>
      </c>
      <c r="D457" s="52">
        <v>5</v>
      </c>
      <c r="E457" s="52" t="s">
        <v>2391</v>
      </c>
      <c r="F457" s="126" t="s">
        <v>22</v>
      </c>
      <c r="G457" s="126" t="s">
        <v>1664</v>
      </c>
      <c r="H457" s="131">
        <v>24</v>
      </c>
      <c r="I457" s="49" t="s">
        <v>3570</v>
      </c>
      <c r="J457" s="52">
        <v>2</v>
      </c>
      <c r="K457" s="49"/>
      <c r="L457" s="49" t="s">
        <v>4845</v>
      </c>
      <c r="M457" s="58"/>
    </row>
    <row r="458" spans="1:13" ht="15">
      <c r="A458" s="52">
        <v>456</v>
      </c>
      <c r="B458" s="60" t="s">
        <v>1235</v>
      </c>
      <c r="C458" s="126" t="s">
        <v>1236</v>
      </c>
      <c r="D458" s="52">
        <v>4</v>
      </c>
      <c r="E458" s="52" t="s">
        <v>2391</v>
      </c>
      <c r="F458" s="126" t="s">
        <v>22</v>
      </c>
      <c r="G458" s="126" t="s">
        <v>1664</v>
      </c>
      <c r="H458" s="131">
        <v>32</v>
      </c>
      <c r="I458" s="49" t="s">
        <v>3594</v>
      </c>
      <c r="J458" s="52">
        <v>1</v>
      </c>
      <c r="K458" s="49"/>
      <c r="L458" s="49" t="s">
        <v>4846</v>
      </c>
      <c r="M458" s="58"/>
    </row>
    <row r="459" spans="1:13" ht="15">
      <c r="A459" s="52">
        <v>457</v>
      </c>
      <c r="B459" s="60" t="s">
        <v>1259</v>
      </c>
      <c r="C459" s="126" t="s">
        <v>1260</v>
      </c>
      <c r="D459" s="52">
        <v>2</v>
      </c>
      <c r="E459" s="52" t="s">
        <v>2391</v>
      </c>
      <c r="F459" s="126" t="s">
        <v>22</v>
      </c>
      <c r="G459" s="126" t="s">
        <v>1664</v>
      </c>
      <c r="H459" s="131">
        <v>16</v>
      </c>
      <c r="I459" s="49" t="s">
        <v>3594</v>
      </c>
      <c r="J459" s="52">
        <v>1</v>
      </c>
      <c r="K459" s="49"/>
      <c r="L459" s="49" t="s">
        <v>4847</v>
      </c>
      <c r="M459" s="58"/>
    </row>
    <row r="460" spans="1:13" ht="15">
      <c r="A460" s="52">
        <v>458</v>
      </c>
      <c r="B460" s="59" t="s">
        <v>752</v>
      </c>
      <c r="C460" s="126" t="s">
        <v>489</v>
      </c>
      <c r="D460" s="55">
        <v>4</v>
      </c>
      <c r="E460" s="52" t="s">
        <v>2391</v>
      </c>
      <c r="F460" s="126" t="s">
        <v>22</v>
      </c>
      <c r="G460" s="126" t="s">
        <v>1664</v>
      </c>
      <c r="H460" s="131">
        <v>112</v>
      </c>
      <c r="I460" s="49" t="s">
        <v>3559</v>
      </c>
      <c r="J460" s="52">
        <v>3</v>
      </c>
      <c r="K460" s="49"/>
      <c r="L460" s="49" t="s">
        <v>4848</v>
      </c>
      <c r="M460" s="58"/>
    </row>
    <row r="461" spans="1:13" ht="15">
      <c r="A461" s="52">
        <v>459</v>
      </c>
      <c r="B461" s="60" t="s">
        <v>754</v>
      </c>
      <c r="C461" s="126" t="s">
        <v>492</v>
      </c>
      <c r="D461" s="52">
        <v>2</v>
      </c>
      <c r="E461" s="52" t="s">
        <v>2391</v>
      </c>
      <c r="F461" s="126" t="s">
        <v>22</v>
      </c>
      <c r="G461" s="126" t="s">
        <v>1664</v>
      </c>
      <c r="H461" s="131">
        <v>16</v>
      </c>
      <c r="I461" s="49" t="s">
        <v>3570</v>
      </c>
      <c r="J461" s="52">
        <v>4</v>
      </c>
      <c r="K461" s="49"/>
      <c r="L461" s="188" t="s">
        <v>4849</v>
      </c>
      <c r="M461" s="58"/>
    </row>
    <row r="462" spans="1:13" ht="15">
      <c r="A462" s="52">
        <v>460</v>
      </c>
      <c r="B462" s="53" t="s">
        <v>1276</v>
      </c>
      <c r="C462" s="126" t="s">
        <v>492</v>
      </c>
      <c r="D462" s="55">
        <v>4</v>
      </c>
      <c r="E462" s="134" t="s">
        <v>2391</v>
      </c>
      <c r="F462" s="126" t="s">
        <v>22</v>
      </c>
      <c r="G462" s="126" t="s">
        <v>1664</v>
      </c>
      <c r="H462" s="131">
        <v>32</v>
      </c>
      <c r="I462" s="49" t="s">
        <v>3559</v>
      </c>
      <c r="J462" s="52">
        <v>3</v>
      </c>
      <c r="K462" s="49"/>
      <c r="L462" s="49" t="s">
        <v>4850</v>
      </c>
      <c r="M462" s="58"/>
    </row>
    <row r="463" spans="1:13" ht="15">
      <c r="A463" s="52">
        <v>461</v>
      </c>
      <c r="B463" s="60" t="s">
        <v>1290</v>
      </c>
      <c r="C463" s="126" t="s">
        <v>489</v>
      </c>
      <c r="D463" s="52">
        <v>2</v>
      </c>
      <c r="E463" s="52" t="s">
        <v>2391</v>
      </c>
      <c r="F463" s="126" t="s">
        <v>22</v>
      </c>
      <c r="G463" s="126" t="s">
        <v>1664</v>
      </c>
      <c r="H463" s="131">
        <v>16</v>
      </c>
      <c r="I463" s="49" t="s">
        <v>3742</v>
      </c>
      <c r="J463" s="52">
        <v>3</v>
      </c>
      <c r="K463" s="49"/>
      <c r="L463" s="49" t="s">
        <v>4851</v>
      </c>
      <c r="M463" s="58"/>
    </row>
    <row r="464" spans="1:13" ht="15">
      <c r="A464" s="52">
        <v>462</v>
      </c>
      <c r="B464" s="60" t="s">
        <v>1295</v>
      </c>
      <c r="C464" s="126" t="s">
        <v>1297</v>
      </c>
      <c r="D464" s="52">
        <v>4</v>
      </c>
      <c r="E464" s="52" t="s">
        <v>2391</v>
      </c>
      <c r="F464" s="126" t="s">
        <v>22</v>
      </c>
      <c r="G464" s="126" t="s">
        <v>1664</v>
      </c>
      <c r="H464" s="131">
        <v>32</v>
      </c>
      <c r="I464" s="49" t="s">
        <v>3563</v>
      </c>
      <c r="J464" s="52">
        <v>3</v>
      </c>
      <c r="K464" s="49"/>
      <c r="L464" s="49" t="s">
        <v>4852</v>
      </c>
      <c r="M464" s="58"/>
    </row>
    <row r="465" spans="1:13" ht="15">
      <c r="A465" s="52">
        <v>463</v>
      </c>
      <c r="B465" s="60" t="s">
        <v>1298</v>
      </c>
      <c r="C465" s="126" t="s">
        <v>1134</v>
      </c>
      <c r="D465" s="52">
        <v>4</v>
      </c>
      <c r="E465" s="52" t="s">
        <v>2391</v>
      </c>
      <c r="F465" s="126" t="s">
        <v>22</v>
      </c>
      <c r="G465" s="126" t="s">
        <v>1664</v>
      </c>
      <c r="H465" s="131">
        <v>32</v>
      </c>
      <c r="I465" s="49" t="s">
        <v>3570</v>
      </c>
      <c r="J465" s="52">
        <v>3</v>
      </c>
      <c r="K465" s="49"/>
      <c r="L465" s="49" t="s">
        <v>4853</v>
      </c>
      <c r="M465" s="58"/>
    </row>
    <row r="466" spans="1:13" ht="15">
      <c r="A466" s="52">
        <v>464</v>
      </c>
      <c r="B466" s="53" t="s">
        <v>493</v>
      </c>
      <c r="C466" s="126" t="s">
        <v>495</v>
      </c>
      <c r="D466" s="55">
        <v>2</v>
      </c>
      <c r="E466" s="52" t="s">
        <v>3689</v>
      </c>
      <c r="F466" s="126" t="s">
        <v>22</v>
      </c>
      <c r="G466" s="126" t="s">
        <v>1664</v>
      </c>
      <c r="H466" s="131">
        <v>16</v>
      </c>
      <c r="I466" s="49" t="s">
        <v>3559</v>
      </c>
      <c r="J466" s="52">
        <v>3</v>
      </c>
      <c r="K466" s="49"/>
      <c r="L466" s="188" t="s">
        <v>4854</v>
      </c>
      <c r="M466" s="58"/>
    </row>
    <row r="467" spans="1:13" ht="15">
      <c r="A467" s="52">
        <v>465</v>
      </c>
      <c r="B467" s="60" t="s">
        <v>2334</v>
      </c>
      <c r="C467" s="126" t="s">
        <v>232</v>
      </c>
      <c r="D467" s="52">
        <v>3</v>
      </c>
      <c r="E467" s="52" t="s">
        <v>3689</v>
      </c>
      <c r="F467" s="126" t="s">
        <v>22</v>
      </c>
      <c r="G467" s="126" t="s">
        <v>1664</v>
      </c>
      <c r="H467" s="131">
        <v>24</v>
      </c>
      <c r="I467" s="49" t="s">
        <v>3570</v>
      </c>
      <c r="J467" s="52">
        <v>2</v>
      </c>
      <c r="K467" s="49"/>
      <c r="L467" s="49" t="s">
        <v>4855</v>
      </c>
      <c r="M467" s="58"/>
    </row>
    <row r="468" spans="1:13" ht="15">
      <c r="A468" s="52">
        <v>466</v>
      </c>
      <c r="B468" s="60" t="s">
        <v>1857</v>
      </c>
      <c r="C468" s="126" t="s">
        <v>1858</v>
      </c>
      <c r="D468" s="52">
        <v>1</v>
      </c>
      <c r="E468" s="56" t="s">
        <v>3751</v>
      </c>
      <c r="F468" s="126" t="s">
        <v>22</v>
      </c>
      <c r="G468" s="126" t="s">
        <v>1664</v>
      </c>
      <c r="H468" s="131">
        <v>8</v>
      </c>
      <c r="I468" s="49" t="s">
        <v>3559</v>
      </c>
      <c r="J468" s="52">
        <v>3</v>
      </c>
      <c r="K468" s="49"/>
      <c r="L468" s="49" t="s">
        <v>4856</v>
      </c>
      <c r="M468" s="58"/>
    </row>
    <row r="469" spans="1:13" ht="15">
      <c r="A469" s="52">
        <v>467</v>
      </c>
      <c r="B469" s="60" t="s">
        <v>2361</v>
      </c>
      <c r="C469" s="126" t="s">
        <v>2362</v>
      </c>
      <c r="D469" s="52">
        <v>1</v>
      </c>
      <c r="E469" s="52" t="s">
        <v>2385</v>
      </c>
      <c r="F469" s="126" t="s">
        <v>22</v>
      </c>
      <c r="G469" s="126" t="s">
        <v>1667</v>
      </c>
      <c r="H469" s="131">
        <v>1</v>
      </c>
      <c r="I469" s="49" t="s">
        <v>3594</v>
      </c>
      <c r="J469" s="52"/>
      <c r="K469" s="49" t="s">
        <v>4857</v>
      </c>
      <c r="L469" s="49" t="s">
        <v>4858</v>
      </c>
      <c r="M469" s="58"/>
    </row>
    <row r="470" spans="1:13" ht="15">
      <c r="A470" s="52">
        <v>468</v>
      </c>
      <c r="B470" s="60" t="s">
        <v>523</v>
      </c>
      <c r="C470" s="126" t="s">
        <v>21</v>
      </c>
      <c r="D470" s="52">
        <v>1</v>
      </c>
      <c r="E470" s="52" t="s">
        <v>2437</v>
      </c>
      <c r="F470" s="126" t="s">
        <v>22</v>
      </c>
      <c r="G470" s="126" t="s">
        <v>1664</v>
      </c>
      <c r="H470" s="131">
        <v>48</v>
      </c>
      <c r="I470" s="49" t="s">
        <v>3559</v>
      </c>
      <c r="J470" s="52"/>
      <c r="K470" s="49"/>
      <c r="L470" s="49" t="s">
        <v>4859</v>
      </c>
      <c r="M470" s="58"/>
    </row>
    <row r="471" spans="1:13" ht="15">
      <c r="A471" s="52">
        <v>469</v>
      </c>
      <c r="B471" s="60" t="s">
        <v>240</v>
      </c>
      <c r="C471" s="126" t="s">
        <v>242</v>
      </c>
      <c r="D471" s="52">
        <v>2</v>
      </c>
      <c r="E471" s="52" t="s">
        <v>2391</v>
      </c>
      <c r="F471" s="126" t="s">
        <v>22</v>
      </c>
      <c r="G471" s="126" t="s">
        <v>1664</v>
      </c>
      <c r="H471" s="131">
        <v>128</v>
      </c>
      <c r="I471" s="49" t="s">
        <v>3594</v>
      </c>
      <c r="J471" s="52"/>
      <c r="K471" s="49"/>
      <c r="L471" s="49" t="s">
        <v>4860</v>
      </c>
      <c r="M471" s="58"/>
    </row>
    <row r="472" spans="1:13" ht="15">
      <c r="A472" s="52">
        <v>470</v>
      </c>
      <c r="B472" s="60" t="s">
        <v>1849</v>
      </c>
      <c r="C472" s="126" t="s">
        <v>1851</v>
      </c>
      <c r="D472" s="52">
        <v>2</v>
      </c>
      <c r="E472" s="52" t="s">
        <v>2417</v>
      </c>
      <c r="F472" s="126" t="s">
        <v>1733</v>
      </c>
      <c r="G472" s="126" t="s">
        <v>1664</v>
      </c>
      <c r="H472" s="131">
        <v>16</v>
      </c>
      <c r="I472" s="49" t="s">
        <v>3559</v>
      </c>
      <c r="J472" s="52">
        <v>1</v>
      </c>
      <c r="K472" s="49"/>
      <c r="L472" s="49" t="s">
        <v>4861</v>
      </c>
      <c r="M472" s="58"/>
    </row>
    <row r="473" spans="1:13" ht="15">
      <c r="A473" s="52">
        <v>471</v>
      </c>
      <c r="B473" s="60" t="s">
        <v>2263</v>
      </c>
      <c r="C473" s="126" t="s">
        <v>2265</v>
      </c>
      <c r="D473" s="52">
        <v>2</v>
      </c>
      <c r="E473" s="52" t="s">
        <v>2417</v>
      </c>
      <c r="F473" s="126" t="s">
        <v>1733</v>
      </c>
      <c r="G473" s="126" t="s">
        <v>1664</v>
      </c>
      <c r="H473" s="131">
        <v>16</v>
      </c>
      <c r="I473" s="49" t="s">
        <v>3559</v>
      </c>
      <c r="J473" s="52">
        <v>2</v>
      </c>
      <c r="K473" s="49"/>
      <c r="L473" s="49" t="s">
        <v>4862</v>
      </c>
      <c r="M473" s="58"/>
    </row>
    <row r="474" spans="1:13" ht="15">
      <c r="A474" s="52">
        <v>472</v>
      </c>
      <c r="B474" s="60" t="s">
        <v>1454</v>
      </c>
      <c r="C474" s="126" t="s">
        <v>2062</v>
      </c>
      <c r="D474" s="52">
        <v>2</v>
      </c>
      <c r="E474" s="56" t="s">
        <v>2437</v>
      </c>
      <c r="F474" s="126" t="s">
        <v>1733</v>
      </c>
      <c r="G474" s="126" t="s">
        <v>1664</v>
      </c>
      <c r="H474" s="131">
        <v>16</v>
      </c>
      <c r="I474" s="49" t="s">
        <v>3570</v>
      </c>
      <c r="J474" s="52">
        <v>1</v>
      </c>
      <c r="K474" s="49"/>
      <c r="L474" s="49" t="s">
        <v>4863</v>
      </c>
      <c r="M474" s="58"/>
    </row>
    <row r="475" spans="1:13" ht="15">
      <c r="A475" s="52">
        <v>473</v>
      </c>
      <c r="B475" s="60" t="s">
        <v>1886</v>
      </c>
      <c r="C475" s="126" t="s">
        <v>1888</v>
      </c>
      <c r="D475" s="52">
        <v>1</v>
      </c>
      <c r="E475" s="52" t="s">
        <v>2443</v>
      </c>
      <c r="F475" s="126" t="s">
        <v>1733</v>
      </c>
      <c r="G475" s="126" t="s">
        <v>1664</v>
      </c>
      <c r="H475" s="131">
        <v>8</v>
      </c>
      <c r="I475" s="49" t="s">
        <v>3570</v>
      </c>
      <c r="J475" s="52">
        <v>2</v>
      </c>
      <c r="K475" s="49"/>
      <c r="L475" s="10" t="s">
        <v>4864</v>
      </c>
      <c r="M475" s="118"/>
    </row>
    <row r="476" spans="1:13" ht="15">
      <c r="A476" s="52">
        <v>474</v>
      </c>
      <c r="B476" s="53" t="s">
        <v>2348</v>
      </c>
      <c r="C476" s="126" t="s">
        <v>2148</v>
      </c>
      <c r="D476" s="55">
        <v>2</v>
      </c>
      <c r="E476" s="52" t="s">
        <v>2391</v>
      </c>
      <c r="F476" s="126" t="s">
        <v>1733</v>
      </c>
      <c r="G476" s="126" t="s">
        <v>1664</v>
      </c>
      <c r="H476" s="131">
        <v>16</v>
      </c>
      <c r="I476" s="49" t="s">
        <v>3570</v>
      </c>
      <c r="J476" s="52">
        <v>3</v>
      </c>
      <c r="K476" s="49"/>
      <c r="L476" s="189" t="s">
        <v>4865</v>
      </c>
      <c r="M476" s="118"/>
    </row>
    <row r="477" spans="1:13" ht="15">
      <c r="A477" s="52">
        <v>475</v>
      </c>
      <c r="B477" s="60" t="s">
        <v>849</v>
      </c>
      <c r="C477" s="126" t="s">
        <v>852</v>
      </c>
      <c r="D477" s="52">
        <v>9.4</v>
      </c>
      <c r="E477" s="52" t="s">
        <v>2417</v>
      </c>
      <c r="F477" s="126" t="s">
        <v>853</v>
      </c>
      <c r="G477" s="126" t="s">
        <v>1664</v>
      </c>
      <c r="H477" s="131">
        <v>92192</v>
      </c>
      <c r="I477" s="49" t="s">
        <v>3594</v>
      </c>
      <c r="J477" s="52">
        <v>1</v>
      </c>
      <c r="K477" s="49"/>
      <c r="L477" s="10" t="s">
        <v>4866</v>
      </c>
      <c r="M477" s="118"/>
    </row>
    <row r="478" spans="1:13" ht="15">
      <c r="A478" s="52">
        <v>476</v>
      </c>
      <c r="B478" s="53" t="s">
        <v>854</v>
      </c>
      <c r="C478" s="126" t="s">
        <v>1852</v>
      </c>
      <c r="D478" s="55">
        <v>1.5</v>
      </c>
      <c r="E478" s="52" t="s">
        <v>2417</v>
      </c>
      <c r="F478" s="126" t="s">
        <v>853</v>
      </c>
      <c r="G478" s="126" t="s">
        <v>1664</v>
      </c>
      <c r="H478" s="137">
        <v>10800</v>
      </c>
      <c r="I478" s="49" t="s">
        <v>3594</v>
      </c>
      <c r="J478" s="52">
        <v>1</v>
      </c>
      <c r="K478" s="49"/>
      <c r="L478" s="10" t="s">
        <v>4867</v>
      </c>
      <c r="M478" s="118"/>
    </row>
    <row r="479" spans="1:13" ht="15">
      <c r="A479" s="52">
        <v>477</v>
      </c>
      <c r="B479" s="59" t="s">
        <v>871</v>
      </c>
      <c r="C479" s="126" t="s">
        <v>1852</v>
      </c>
      <c r="D479" s="55">
        <v>2</v>
      </c>
      <c r="E479" s="52" t="s">
        <v>2417</v>
      </c>
      <c r="F479" s="126" t="s">
        <v>853</v>
      </c>
      <c r="G479" s="126" t="s">
        <v>1664</v>
      </c>
      <c r="H479" s="131">
        <v>1440</v>
      </c>
      <c r="I479" s="49" t="s">
        <v>3559</v>
      </c>
      <c r="J479" s="52">
        <v>4</v>
      </c>
      <c r="K479" s="49"/>
      <c r="L479" s="10" t="s">
        <v>4868</v>
      </c>
      <c r="M479" s="118"/>
    </row>
    <row r="480" spans="1:13" ht="15">
      <c r="A480" s="52">
        <v>478</v>
      </c>
      <c r="B480" s="53" t="s">
        <v>858</v>
      </c>
      <c r="C480" s="126" t="s">
        <v>859</v>
      </c>
      <c r="D480" s="55">
        <v>13</v>
      </c>
      <c r="E480" s="52" t="s">
        <v>2385</v>
      </c>
      <c r="F480" s="126" t="s">
        <v>853</v>
      </c>
      <c r="G480" s="126" t="s">
        <v>1664</v>
      </c>
      <c r="H480" s="131">
        <v>87880</v>
      </c>
      <c r="I480" s="49" t="s">
        <v>3594</v>
      </c>
      <c r="J480" s="52">
        <v>1</v>
      </c>
      <c r="K480" s="49"/>
      <c r="L480" s="10" t="s">
        <v>4869</v>
      </c>
      <c r="M480" s="118"/>
    </row>
    <row r="481" spans="1:13" ht="15">
      <c r="A481" s="52">
        <v>479</v>
      </c>
      <c r="B481" s="60" t="s">
        <v>849</v>
      </c>
      <c r="C481" s="126" t="s">
        <v>852</v>
      </c>
      <c r="D481" s="52">
        <v>1.8</v>
      </c>
      <c r="E481" s="52" t="s">
        <v>2391</v>
      </c>
      <c r="F481" s="126" t="s">
        <v>853</v>
      </c>
      <c r="G481" s="126" t="s">
        <v>1664</v>
      </c>
      <c r="H481" s="131">
        <v>92192</v>
      </c>
      <c r="I481" s="49" t="s">
        <v>3594</v>
      </c>
      <c r="J481" s="52">
        <v>1</v>
      </c>
      <c r="K481" s="49"/>
      <c r="L481" s="10" t="s">
        <v>4870</v>
      </c>
      <c r="M481" s="118"/>
    </row>
    <row r="482" spans="1:13" ht="15">
      <c r="A482" s="52">
        <v>480</v>
      </c>
      <c r="B482" s="60">
        <v>357971939</v>
      </c>
      <c r="C482" s="126" t="e">
        <v>#N/A</v>
      </c>
      <c r="D482" s="52">
        <v>3</v>
      </c>
      <c r="E482" s="52" t="s">
        <v>2443</v>
      </c>
      <c r="F482" s="126" t="e">
        <v>#N/A</v>
      </c>
      <c r="G482" s="126" t="e">
        <v>#N/A</v>
      </c>
      <c r="H482" s="131">
        <v>92192</v>
      </c>
      <c r="I482" s="49" t="s">
        <v>3563</v>
      </c>
      <c r="J482" s="52">
        <v>1</v>
      </c>
      <c r="K482" s="49"/>
      <c r="L482" s="10" t="s">
        <v>4871</v>
      </c>
      <c r="M482" s="118"/>
    </row>
    <row r="483" spans="1:13" ht="15">
      <c r="A483" s="52"/>
      <c r="B483" s="60"/>
      <c r="C483" s="126"/>
      <c r="D483" s="52"/>
      <c r="E483" s="52"/>
      <c r="F483" s="126"/>
      <c r="G483" s="126"/>
      <c r="H483" s="131"/>
      <c r="I483" s="49"/>
      <c r="J483" s="52"/>
      <c r="K483" s="49"/>
      <c r="L483" s="10" t="s">
        <v>4872</v>
      </c>
      <c r="M483" s="118"/>
    </row>
    <row r="484" spans="1:13" ht="15">
      <c r="A484" s="52"/>
      <c r="B484" s="53"/>
      <c r="C484" s="126"/>
      <c r="D484" s="55"/>
      <c r="E484" s="52"/>
      <c r="F484" s="126"/>
      <c r="G484" s="126"/>
      <c r="H484" s="131"/>
      <c r="I484" s="49"/>
      <c r="J484" s="52"/>
      <c r="K484" s="49"/>
      <c r="L484" s="10" t="s">
        <v>4873</v>
      </c>
      <c r="M484" s="118"/>
    </row>
    <row r="485" spans="1:13" ht="15">
      <c r="A485" s="52"/>
      <c r="B485" s="60"/>
      <c r="C485" s="126"/>
      <c r="D485" s="52"/>
      <c r="E485" s="52"/>
      <c r="F485" s="126"/>
      <c r="G485" s="126"/>
      <c r="H485" s="131"/>
      <c r="I485" s="49"/>
      <c r="J485" s="52"/>
      <c r="K485" s="49"/>
      <c r="L485" s="10" t="s">
        <v>4874</v>
      </c>
      <c r="M485" s="118"/>
    </row>
    <row r="486" spans="1:13" ht="15">
      <c r="A486" s="52"/>
      <c r="B486" s="63"/>
      <c r="C486" s="126"/>
      <c r="D486" s="52"/>
      <c r="E486" s="52"/>
      <c r="F486" s="126"/>
      <c r="G486" s="126"/>
      <c r="H486" s="127"/>
      <c r="I486" s="49"/>
      <c r="J486" s="52"/>
      <c r="K486" s="49"/>
      <c r="L486" s="10" t="s">
        <v>4875</v>
      </c>
    </row>
    <row r="487" spans="1:13" ht="15">
      <c r="A487" s="52"/>
      <c r="B487" s="60"/>
      <c r="C487" s="126"/>
      <c r="D487" s="52"/>
      <c r="E487" s="56"/>
      <c r="F487" s="126"/>
      <c r="G487" s="126"/>
      <c r="H487" s="127"/>
      <c r="I487" s="49"/>
      <c r="J487" s="52"/>
      <c r="L487" s="10" t="s">
        <v>4876</v>
      </c>
    </row>
    <row r="488" spans="1:13" ht="15">
      <c r="A488" s="52"/>
      <c r="B488" s="60"/>
      <c r="C488" s="218"/>
      <c r="D488" s="52"/>
      <c r="E488" s="52"/>
      <c r="F488" s="218"/>
      <c r="G488" s="218"/>
      <c r="H488" s="222"/>
      <c r="I488" s="49"/>
      <c r="J488" s="52"/>
      <c r="K488" s="49"/>
    </row>
    <row r="489" spans="1:13" ht="15">
      <c r="A489" s="52"/>
      <c r="B489" s="60"/>
      <c r="C489" s="218"/>
      <c r="D489" s="52"/>
      <c r="E489" s="52"/>
      <c r="F489" s="218"/>
      <c r="G489" s="218"/>
      <c r="H489" s="222"/>
      <c r="I489" s="49"/>
      <c r="J489" s="52"/>
      <c r="K489" s="49"/>
    </row>
    <row r="490" spans="1:13" ht="15">
      <c r="A490" s="52"/>
      <c r="B490" s="60"/>
      <c r="C490" s="218"/>
      <c r="D490" s="52"/>
      <c r="E490" s="52"/>
      <c r="F490" s="218"/>
      <c r="G490" s="218"/>
      <c r="H490" s="222"/>
      <c r="I490" s="49"/>
      <c r="J490" s="52"/>
      <c r="K490" s="49"/>
    </row>
    <row r="491" spans="1:13" ht="15">
      <c r="A491" s="52"/>
      <c r="B491" s="60"/>
      <c r="C491" s="218"/>
      <c r="D491" s="52"/>
      <c r="E491" s="52"/>
      <c r="F491" s="218"/>
      <c r="G491" s="218"/>
      <c r="H491" s="222"/>
      <c r="I491" s="49"/>
      <c r="J491" s="52"/>
      <c r="K491" s="49"/>
    </row>
    <row r="492" spans="1:13" ht="15">
      <c r="A492" s="52"/>
      <c r="B492" s="60"/>
      <c r="C492" s="218"/>
      <c r="D492" s="52"/>
      <c r="E492" s="52"/>
      <c r="F492" s="218"/>
      <c r="G492" s="218"/>
      <c r="H492" s="222"/>
      <c r="I492" s="49"/>
      <c r="J492" s="52"/>
      <c r="K492" s="49"/>
    </row>
    <row r="493" spans="1:13" ht="15">
      <c r="A493" s="52"/>
      <c r="B493" s="60"/>
      <c r="C493" s="218"/>
      <c r="D493" s="52"/>
      <c r="E493" s="52"/>
      <c r="F493" s="218"/>
      <c r="G493" s="218"/>
      <c r="H493" s="222"/>
      <c r="I493" s="49"/>
      <c r="J493" s="52"/>
      <c r="K493" s="49"/>
    </row>
    <row r="494" spans="1:13" ht="15">
      <c r="A494" s="52"/>
      <c r="B494" s="60"/>
      <c r="C494" s="218"/>
      <c r="D494" s="52"/>
      <c r="E494" s="52"/>
      <c r="F494" s="218"/>
      <c r="G494" s="218"/>
      <c r="H494" s="222"/>
      <c r="I494" s="49"/>
      <c r="J494" s="52"/>
      <c r="K494" s="49"/>
    </row>
    <row r="495" spans="1:13" ht="15">
      <c r="A495" s="52"/>
      <c r="B495" s="60"/>
      <c r="C495" s="218"/>
      <c r="D495" s="52"/>
      <c r="E495" s="52"/>
      <c r="F495" s="218"/>
      <c r="G495" s="218"/>
      <c r="H495" s="222"/>
      <c r="I495" s="49"/>
      <c r="J495" s="52"/>
      <c r="K495" s="49"/>
    </row>
    <row r="496" spans="1:13" ht="15">
      <c r="A496" s="52"/>
      <c r="B496" s="60"/>
      <c r="C496" s="218"/>
      <c r="D496" s="52"/>
      <c r="E496" s="52"/>
      <c r="F496" s="218"/>
      <c r="G496" s="218"/>
      <c r="H496" s="222"/>
      <c r="I496" s="49"/>
      <c r="J496" s="52"/>
      <c r="K496" s="49"/>
    </row>
    <row r="497" spans="1:11" ht="15">
      <c r="A497" s="52"/>
      <c r="B497" s="60"/>
      <c r="C497" s="218"/>
      <c r="D497" s="52"/>
      <c r="E497" s="52"/>
      <c r="F497" s="218"/>
      <c r="G497" s="218"/>
      <c r="H497" s="222"/>
      <c r="I497" s="49"/>
      <c r="J497" s="52"/>
      <c r="K497" s="49"/>
    </row>
    <row r="498" spans="1:11" ht="15">
      <c r="A498" s="52"/>
      <c r="B498" s="60"/>
      <c r="C498" s="218"/>
      <c r="D498" s="52"/>
      <c r="E498" s="52"/>
      <c r="F498" s="218"/>
      <c r="G498" s="218"/>
      <c r="H498" s="222"/>
      <c r="I498" s="49"/>
      <c r="J498" s="52"/>
      <c r="K498" s="49"/>
    </row>
    <row r="499" spans="1:11" ht="15">
      <c r="A499" s="52"/>
      <c r="B499" s="60"/>
      <c r="C499" s="218"/>
      <c r="D499" s="52"/>
      <c r="E499" s="52"/>
      <c r="F499" s="218"/>
      <c r="G499" s="218"/>
      <c r="H499" s="222"/>
      <c r="I499" s="49"/>
      <c r="J499" s="52"/>
      <c r="K499" s="49"/>
    </row>
    <row r="500" spans="1:11" ht="15">
      <c r="A500" s="52"/>
      <c r="B500" s="199"/>
      <c r="C500" s="220"/>
      <c r="D500" s="164"/>
      <c r="E500" s="164"/>
      <c r="F500" s="220"/>
      <c r="G500" s="220"/>
      <c r="H500" s="223"/>
      <c r="I500" s="167"/>
      <c r="J500" s="164"/>
      <c r="K500" s="167"/>
    </row>
    <row r="501" spans="1:11" ht="15">
      <c r="A501" s="52"/>
      <c r="B501" s="60"/>
      <c r="C501" s="218"/>
      <c r="D501" s="52"/>
      <c r="E501" s="52"/>
      <c r="F501" s="218"/>
      <c r="G501" s="218"/>
      <c r="H501" s="222"/>
      <c r="I501" s="49"/>
      <c r="J501" s="52"/>
      <c r="K501" s="49"/>
    </row>
    <row r="502" spans="1:11" ht="15">
      <c r="A502" s="52"/>
      <c r="B502" s="60"/>
      <c r="C502" s="218"/>
      <c r="D502" s="52"/>
      <c r="E502" s="52"/>
      <c r="F502" s="218"/>
      <c r="G502" s="218"/>
      <c r="H502" s="222"/>
      <c r="I502" s="49"/>
      <c r="J502" s="52"/>
      <c r="K502" s="49"/>
    </row>
    <row r="503" spans="1:11" ht="15">
      <c r="A503" s="52"/>
      <c r="B503" s="60"/>
      <c r="C503" s="218"/>
      <c r="D503" s="52"/>
      <c r="E503" s="52"/>
      <c r="F503" s="218"/>
      <c r="G503" s="218"/>
      <c r="H503" s="222"/>
      <c r="I503" s="49"/>
      <c r="J503" s="52"/>
      <c r="K503" s="49"/>
    </row>
    <row r="504" spans="1:11" ht="15">
      <c r="A504" s="52"/>
      <c r="B504" s="60"/>
      <c r="C504" s="218"/>
      <c r="D504" s="52"/>
      <c r="E504" s="52"/>
      <c r="F504" s="218"/>
      <c r="G504" s="218"/>
      <c r="H504" s="222"/>
      <c r="I504" s="49"/>
      <c r="J504" s="52"/>
      <c r="K504" s="49"/>
    </row>
    <row r="505" spans="1:11" ht="15">
      <c r="A505" s="52"/>
      <c r="B505" s="60"/>
      <c r="C505" s="218"/>
      <c r="D505" s="52"/>
      <c r="E505" s="52"/>
      <c r="F505" s="218"/>
      <c r="G505" s="218"/>
      <c r="H505" s="222"/>
      <c r="I505" s="49"/>
      <c r="J505" s="52"/>
      <c r="K505" s="49"/>
    </row>
    <row r="506" spans="1:11" ht="15">
      <c r="A506" s="52"/>
      <c r="B506" s="60"/>
      <c r="C506" s="218"/>
      <c r="D506" s="52"/>
      <c r="E506" s="52"/>
      <c r="F506" s="218"/>
      <c r="G506" s="218"/>
      <c r="H506" s="222"/>
      <c r="I506" s="49"/>
      <c r="J506" s="52"/>
      <c r="K506" s="49"/>
    </row>
    <row r="507" spans="1:11" ht="15">
      <c r="A507" s="52"/>
      <c r="B507" s="60"/>
      <c r="C507" s="218"/>
      <c r="D507" s="52"/>
      <c r="E507" s="52"/>
      <c r="F507" s="218"/>
      <c r="G507" s="218"/>
      <c r="H507" s="222"/>
      <c r="I507" s="49"/>
      <c r="J507" s="52"/>
      <c r="K507" s="49"/>
    </row>
    <row r="508" spans="1:11" ht="15">
      <c r="A508" s="52"/>
      <c r="B508" s="60"/>
      <c r="C508" s="218"/>
      <c r="D508" s="52"/>
      <c r="E508" s="52"/>
      <c r="F508" s="218"/>
      <c r="G508" s="218"/>
      <c r="H508" s="222"/>
      <c r="I508" s="49"/>
      <c r="J508" s="52"/>
      <c r="K508" s="49"/>
    </row>
    <row r="509" spans="1:11" ht="15">
      <c r="A509" s="52"/>
      <c r="B509" s="60"/>
      <c r="C509" s="218"/>
      <c r="D509" s="52"/>
      <c r="E509" s="52"/>
      <c r="F509" s="218"/>
      <c r="G509" s="218"/>
      <c r="H509" s="222"/>
      <c r="I509" s="49"/>
      <c r="J509" s="52"/>
      <c r="K509" s="49"/>
    </row>
    <row r="510" spans="1:11" ht="15">
      <c r="A510" s="52"/>
      <c r="B510" s="60"/>
      <c r="C510" s="218"/>
      <c r="D510" s="52"/>
      <c r="E510" s="52"/>
      <c r="F510" s="218"/>
      <c r="G510" s="218"/>
      <c r="H510" s="222"/>
      <c r="I510" s="49"/>
      <c r="J510" s="52"/>
      <c r="K510" s="49"/>
    </row>
    <row r="511" spans="1:11" ht="15">
      <c r="A511" s="52"/>
      <c r="B511" s="60"/>
      <c r="C511" s="218"/>
      <c r="D511" s="52"/>
      <c r="E511" s="52"/>
      <c r="F511" s="218"/>
      <c r="G511" s="218"/>
      <c r="H511" s="222"/>
      <c r="I511" s="49"/>
      <c r="J511" s="52"/>
      <c r="K511" s="49"/>
    </row>
    <row r="512" spans="1:11" ht="15">
      <c r="A512" s="52"/>
      <c r="B512" s="199"/>
      <c r="C512" s="220"/>
      <c r="D512" s="164"/>
      <c r="E512" s="164"/>
      <c r="F512" s="220"/>
      <c r="G512" s="220"/>
      <c r="H512" s="223"/>
      <c r="I512" s="167"/>
      <c r="J512" s="164"/>
      <c r="K512" s="167"/>
    </row>
  </sheetData>
  <conditionalFormatting sqref="B4">
    <cfRule type="cellIs" dxfId="395" priority="103" operator="equal">
      <formula>$B$3</formula>
    </cfRule>
  </conditionalFormatting>
  <conditionalFormatting sqref="B19">
    <cfRule type="duplicateValues" dxfId="394" priority="102"/>
  </conditionalFormatting>
  <conditionalFormatting sqref="B40">
    <cfRule type="duplicateValues" dxfId="393" priority="106"/>
  </conditionalFormatting>
  <conditionalFormatting sqref="B44">
    <cfRule type="duplicateValues" dxfId="392" priority="45"/>
    <cfRule type="duplicateValues" dxfId="391" priority="46"/>
  </conditionalFormatting>
  <conditionalFormatting sqref="B49">
    <cfRule type="duplicateValues" dxfId="390" priority="11"/>
    <cfRule type="duplicateValues" dxfId="389" priority="12"/>
  </conditionalFormatting>
  <conditionalFormatting sqref="B50">
    <cfRule type="duplicateValues" dxfId="388" priority="107"/>
  </conditionalFormatting>
  <conditionalFormatting sqref="B58">
    <cfRule type="duplicateValues" dxfId="387" priority="43"/>
    <cfRule type="duplicateValues" dxfId="386" priority="44"/>
  </conditionalFormatting>
  <conditionalFormatting sqref="B66">
    <cfRule type="duplicateValues" dxfId="385" priority="35"/>
    <cfRule type="duplicateValues" dxfId="384" priority="36"/>
  </conditionalFormatting>
  <conditionalFormatting sqref="B69:B70">
    <cfRule type="duplicateValues" dxfId="383" priority="153"/>
  </conditionalFormatting>
  <conditionalFormatting sqref="B94">
    <cfRule type="duplicateValues" dxfId="382" priority="41"/>
    <cfRule type="duplicateValues" dxfId="381" priority="42"/>
  </conditionalFormatting>
  <conditionalFormatting sqref="B113">
    <cfRule type="duplicateValues" dxfId="380" priority="96"/>
    <cfRule type="duplicateValues" dxfId="379" priority="97"/>
  </conditionalFormatting>
  <conditionalFormatting sqref="B116">
    <cfRule type="duplicateValues" dxfId="378" priority="33"/>
    <cfRule type="duplicateValues" dxfId="377" priority="34"/>
  </conditionalFormatting>
  <conditionalFormatting sqref="B119">
    <cfRule type="duplicateValues" dxfId="376" priority="37"/>
    <cfRule type="duplicateValues" dxfId="375" priority="38"/>
  </conditionalFormatting>
  <conditionalFormatting sqref="B126">
    <cfRule type="duplicateValues" dxfId="374" priority="105"/>
  </conditionalFormatting>
  <conditionalFormatting sqref="B130">
    <cfRule type="duplicateValues" dxfId="373" priority="109"/>
  </conditionalFormatting>
  <conditionalFormatting sqref="B206">
    <cfRule type="duplicateValues" dxfId="372" priority="9"/>
    <cfRule type="duplicateValues" dxfId="371" priority="10"/>
  </conditionalFormatting>
  <conditionalFormatting sqref="B219">
    <cfRule type="duplicateValues" dxfId="370" priority="85"/>
    <cfRule type="duplicateValues" dxfId="369" priority="86"/>
  </conditionalFormatting>
  <conditionalFormatting sqref="B220">
    <cfRule type="duplicateValues" dxfId="368" priority="87"/>
    <cfRule type="duplicateValues" dxfId="367" priority="88"/>
  </conditionalFormatting>
  <conditionalFormatting sqref="B221">
    <cfRule type="duplicateValues" dxfId="366" priority="89"/>
    <cfRule type="duplicateValues" dxfId="365" priority="90"/>
  </conditionalFormatting>
  <conditionalFormatting sqref="B308">
    <cfRule type="duplicateValues" dxfId="364" priority="7"/>
    <cfRule type="duplicateValues" dxfId="363" priority="8"/>
  </conditionalFormatting>
  <conditionalFormatting sqref="B326">
    <cfRule type="duplicateValues" dxfId="362" priority="39"/>
    <cfRule type="duplicateValues" dxfId="361" priority="40"/>
  </conditionalFormatting>
  <conditionalFormatting sqref="B332">
    <cfRule type="duplicateValues" dxfId="360" priority="100"/>
    <cfRule type="duplicateValues" dxfId="359" priority="101"/>
  </conditionalFormatting>
  <conditionalFormatting sqref="B333">
    <cfRule type="duplicateValues" dxfId="358" priority="98"/>
    <cfRule type="duplicateValues" dxfId="357" priority="99"/>
  </conditionalFormatting>
  <conditionalFormatting sqref="B381">
    <cfRule type="duplicateValues" dxfId="356" priority="83"/>
    <cfRule type="duplicateValues" dxfId="355" priority="84"/>
  </conditionalFormatting>
  <conditionalFormatting sqref="B382">
    <cfRule type="duplicateValues" dxfId="354" priority="91"/>
  </conditionalFormatting>
  <conditionalFormatting sqref="B431">
    <cfRule type="duplicateValues" dxfId="353" priority="94"/>
    <cfRule type="duplicateValues" dxfId="352" priority="95"/>
  </conditionalFormatting>
  <conditionalFormatting sqref="B432">
    <cfRule type="duplicateValues" dxfId="351" priority="92"/>
    <cfRule type="duplicateValues" dxfId="350" priority="93"/>
  </conditionalFormatting>
  <conditionalFormatting sqref="B433:B445 B20:B43 B1:B18 B334:B380 B383:B430 B114:B115 B222:B307 B45:B48 B59:B65 B95:B112 B327:B331 B118 B50:B57 B207:B218 B309:B325 B475:B485 B67:B93 B120:B205 B488:B1048576">
    <cfRule type="duplicateValues" dxfId="349" priority="104"/>
  </conditionalFormatting>
  <conditionalFormatting sqref="B433:B445 B51:B57 B41:B43 B20:B39 B114:B115 B2:B18 B334:B380 B383:B430 B131:B205 B222:B307 B45:B48 B59:B65 B95:B112 B327:B331 B120:B125 B67:B68 B118 B207:B218 B309:B325 B475:B485 B71:B93 B127:B129 B488:B1048576">
    <cfRule type="duplicateValues" dxfId="348" priority="110"/>
  </conditionalFormatting>
  <conditionalFormatting sqref="B446">
    <cfRule type="duplicateValues" dxfId="347" priority="81"/>
    <cfRule type="duplicateValues" dxfId="346" priority="82"/>
  </conditionalFormatting>
  <conditionalFormatting sqref="B447">
    <cfRule type="duplicateValues" dxfId="345" priority="79"/>
    <cfRule type="duplicateValues" dxfId="344" priority="80"/>
  </conditionalFormatting>
  <conditionalFormatting sqref="B448">
    <cfRule type="duplicateValues" dxfId="343" priority="77"/>
    <cfRule type="duplicateValues" dxfId="342" priority="78"/>
  </conditionalFormatting>
  <conditionalFormatting sqref="B449">
    <cfRule type="duplicateValues" dxfId="341" priority="75"/>
    <cfRule type="duplicateValues" dxfId="340" priority="76"/>
  </conditionalFormatting>
  <conditionalFormatting sqref="B450">
    <cfRule type="duplicateValues" dxfId="339" priority="73"/>
    <cfRule type="duplicateValues" dxfId="338" priority="74"/>
  </conditionalFormatting>
  <conditionalFormatting sqref="B451">
    <cfRule type="duplicateValues" dxfId="337" priority="71"/>
    <cfRule type="duplicateValues" dxfId="336" priority="72"/>
  </conditionalFormatting>
  <conditionalFormatting sqref="B452">
    <cfRule type="duplicateValues" dxfId="335" priority="69"/>
    <cfRule type="duplicateValues" dxfId="334" priority="70"/>
  </conditionalFormatting>
  <conditionalFormatting sqref="B453">
    <cfRule type="duplicateValues" dxfId="333" priority="67"/>
    <cfRule type="duplicateValues" dxfId="332" priority="68"/>
  </conditionalFormatting>
  <conditionalFormatting sqref="B454">
    <cfRule type="duplicateValues" dxfId="331" priority="65"/>
    <cfRule type="duplicateValues" dxfId="330" priority="66"/>
  </conditionalFormatting>
  <conditionalFormatting sqref="B455">
    <cfRule type="duplicateValues" dxfId="329" priority="63"/>
    <cfRule type="duplicateValues" dxfId="328" priority="64"/>
  </conditionalFormatting>
  <conditionalFormatting sqref="B456">
    <cfRule type="duplicateValues" dxfId="327" priority="61"/>
    <cfRule type="duplicateValues" dxfId="326" priority="62"/>
  </conditionalFormatting>
  <conditionalFormatting sqref="B457">
    <cfRule type="duplicateValues" dxfId="325" priority="59"/>
    <cfRule type="duplicateValues" dxfId="324" priority="60"/>
  </conditionalFormatting>
  <conditionalFormatting sqref="B458">
    <cfRule type="duplicateValues" dxfId="323" priority="57"/>
    <cfRule type="duplicateValues" dxfId="322" priority="58"/>
  </conditionalFormatting>
  <conditionalFormatting sqref="B459">
    <cfRule type="duplicateValues" dxfId="321" priority="55"/>
    <cfRule type="duplicateValues" dxfId="320" priority="56"/>
  </conditionalFormatting>
  <conditionalFormatting sqref="B460">
    <cfRule type="duplicateValues" dxfId="319" priority="53"/>
    <cfRule type="duplicateValues" dxfId="318" priority="54"/>
  </conditionalFormatting>
  <conditionalFormatting sqref="B461">
    <cfRule type="duplicateValues" dxfId="317" priority="51"/>
    <cfRule type="duplicateValues" dxfId="316" priority="52"/>
  </conditionalFormatting>
  <conditionalFormatting sqref="B462">
    <cfRule type="duplicateValues" dxfId="315" priority="49"/>
    <cfRule type="duplicateValues" dxfId="314" priority="50"/>
  </conditionalFormatting>
  <conditionalFormatting sqref="B463">
    <cfRule type="duplicateValues" dxfId="313" priority="47"/>
    <cfRule type="duplicateValues" dxfId="312" priority="48"/>
  </conditionalFormatting>
  <conditionalFormatting sqref="B464">
    <cfRule type="duplicateValues" dxfId="311" priority="31"/>
    <cfRule type="duplicateValues" dxfId="310" priority="32"/>
  </conditionalFormatting>
  <conditionalFormatting sqref="B465">
    <cfRule type="duplicateValues" dxfId="309" priority="29"/>
    <cfRule type="duplicateValues" dxfId="308" priority="30"/>
  </conditionalFormatting>
  <conditionalFormatting sqref="B466">
    <cfRule type="duplicateValues" dxfId="307" priority="27"/>
    <cfRule type="duplicateValues" dxfId="306" priority="28"/>
  </conditionalFormatting>
  <conditionalFormatting sqref="B467">
    <cfRule type="duplicateValues" dxfId="305" priority="25"/>
    <cfRule type="duplicateValues" dxfId="304" priority="26"/>
  </conditionalFormatting>
  <conditionalFormatting sqref="B468">
    <cfRule type="duplicateValues" dxfId="303" priority="23"/>
    <cfRule type="duplicateValues" dxfId="302" priority="24"/>
  </conditionalFormatting>
  <conditionalFormatting sqref="B469">
    <cfRule type="duplicateValues" dxfId="301" priority="21"/>
    <cfRule type="duplicateValues" dxfId="300" priority="22"/>
  </conditionalFormatting>
  <conditionalFormatting sqref="B470">
    <cfRule type="duplicateValues" dxfId="299" priority="19"/>
    <cfRule type="duplicateValues" dxfId="298" priority="20"/>
  </conditionalFormatting>
  <conditionalFormatting sqref="B471">
    <cfRule type="duplicateValues" dxfId="297" priority="17"/>
    <cfRule type="duplicateValues" dxfId="296" priority="18"/>
  </conditionalFormatting>
  <conditionalFormatting sqref="B472">
    <cfRule type="duplicateValues" dxfId="295" priority="15"/>
    <cfRule type="duplicateValues" dxfId="294" priority="16"/>
  </conditionalFormatting>
  <conditionalFormatting sqref="B473">
    <cfRule type="duplicateValues" dxfId="293" priority="13"/>
    <cfRule type="duplicateValues" dxfId="292" priority="14"/>
  </conditionalFormatting>
  <conditionalFormatting sqref="B474">
    <cfRule type="duplicateValues" dxfId="291" priority="5"/>
    <cfRule type="duplicateValues" dxfId="290" priority="6"/>
  </conditionalFormatting>
  <conditionalFormatting sqref="D488">
    <cfRule type="duplicateValues" dxfId="289" priority="3"/>
    <cfRule type="duplicateValues" dxfId="288" priority="4"/>
  </conditionalFormatting>
  <conditionalFormatting sqref="B487">
    <cfRule type="duplicateValues" dxfId="287" priority="1"/>
  </conditionalFormatting>
  <conditionalFormatting sqref="B487">
    <cfRule type="duplicateValues" dxfId="286" priority="2"/>
  </conditionalFormatting>
  <pageMargins left="0.70866141732283472" right="0.70866141732283472" top="0.74803149606299213" bottom="0.74803149606299213" header="0.31496062992125984" footer="0.31496062992125984"/>
  <pageSetup scale="69" fitToHeight="26" orientation="landscape" r:id="rId1"/>
  <headerFooter>
    <oddHeader>&amp;L&amp;"Arial"&amp;8&amp;K000000INTERNAL&amp;1#</oddHeader>
    <oddFooter>&amp;CFecha rev – Planeamiento – CC:8760 – KSU: 4.2- Interno
&amp;R&amp;N</oddFooter>
  </headerFooter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7">
    <pageSetUpPr fitToPage="1"/>
  </sheetPr>
  <dimension ref="A1:R526"/>
  <sheetViews>
    <sheetView zoomScale="99" zoomScaleNormal="99" workbookViewId="0">
      <pane ySplit="2" topLeftCell="C148" activePane="bottomLeft" state="frozen"/>
      <selection pane="bottomLeft" activeCell="I164" sqref="I164"/>
      <selection activeCell="B23" sqref="A1:M486"/>
    </sheetView>
  </sheetViews>
  <sheetFormatPr defaultColWidth="9.140625" defaultRowHeight="14.45"/>
  <cols>
    <col min="1" max="1" width="6.5703125" style="65" customWidth="1"/>
    <col min="2" max="2" width="16.5703125" style="66" bestFit="1" customWidth="1"/>
    <col min="3" max="3" width="45.85546875" style="10" customWidth="1"/>
    <col min="4" max="4" width="14.28515625" style="65" customWidth="1"/>
    <col min="5" max="5" width="15.140625" style="10" customWidth="1"/>
    <col min="6" max="6" width="16" style="10" customWidth="1"/>
    <col min="7" max="7" width="22" style="10" customWidth="1"/>
    <col min="8" max="8" width="21.7109375" style="65" customWidth="1"/>
    <col min="9" max="9" width="41.42578125" style="10" customWidth="1"/>
    <col min="10" max="10" width="8.5703125" style="65" customWidth="1"/>
    <col min="11" max="11" width="18.28515625" style="10" customWidth="1"/>
    <col min="12" max="12" width="19.85546875" style="10" hidden="1" customWidth="1"/>
    <col min="13" max="13" width="9.140625" style="10" hidden="1" customWidth="1"/>
    <col min="14" max="15" width="9.140625" style="10"/>
    <col min="16" max="16" width="11.140625" style="10" bestFit="1" customWidth="1"/>
    <col min="17" max="16384" width="9.140625" style="10"/>
  </cols>
  <sheetData>
    <row r="1" spans="1:13">
      <c r="A1" s="46" t="s">
        <v>3331</v>
      </c>
      <c r="B1" s="46"/>
      <c r="C1" s="46"/>
      <c r="D1" s="47"/>
      <c r="E1" s="46"/>
      <c r="F1" s="46" t="s">
        <v>3332</v>
      </c>
      <c r="G1" s="46" t="s">
        <v>4877</v>
      </c>
      <c r="H1" s="47"/>
      <c r="I1" s="46"/>
      <c r="J1" s="47" t="s">
        <v>2371</v>
      </c>
      <c r="K1" s="48">
        <f>+BOM!D2</f>
        <v>45953</v>
      </c>
      <c r="L1" s="49"/>
    </row>
    <row r="2" spans="1:13" ht="30" customHeight="1">
      <c r="A2" s="152" t="s">
        <v>2372</v>
      </c>
      <c r="B2" s="154" t="s">
        <v>2373</v>
      </c>
      <c r="C2" s="155" t="s">
        <v>2374</v>
      </c>
      <c r="D2" s="156" t="s">
        <v>2375</v>
      </c>
      <c r="E2" s="160" t="s">
        <v>3334</v>
      </c>
      <c r="F2" s="158" t="s">
        <v>2377</v>
      </c>
      <c r="G2" s="159" t="s">
        <v>2378</v>
      </c>
      <c r="H2" s="168" t="s">
        <v>2379</v>
      </c>
      <c r="I2" s="159" t="s">
        <v>2380</v>
      </c>
      <c r="J2" s="159" t="s">
        <v>2381</v>
      </c>
      <c r="K2" s="171" t="s">
        <v>2382</v>
      </c>
      <c r="L2" s="185" t="s">
        <v>2383</v>
      </c>
      <c r="M2" s="51" t="s">
        <v>2384</v>
      </c>
    </row>
    <row r="3" spans="1:13" ht="15">
      <c r="A3" s="153">
        <v>1</v>
      </c>
      <c r="B3" s="60" t="s">
        <v>2028</v>
      </c>
      <c r="C3" s="126" t="s">
        <v>2029</v>
      </c>
      <c r="D3" s="52">
        <v>1</v>
      </c>
      <c r="E3" s="52" t="s">
        <v>2385</v>
      </c>
      <c r="F3" s="126" t="s">
        <v>289</v>
      </c>
      <c r="G3" s="126" t="s">
        <v>1667</v>
      </c>
      <c r="H3" s="127">
        <v>1</v>
      </c>
      <c r="I3" s="49" t="s">
        <v>4878</v>
      </c>
      <c r="J3" s="49"/>
      <c r="K3" s="169"/>
      <c r="L3" s="169" t="s">
        <v>4879</v>
      </c>
      <c r="M3" s="49"/>
    </row>
    <row r="4" spans="1:13" ht="15">
      <c r="A4" s="153">
        <v>2</v>
      </c>
      <c r="B4" s="53" t="s">
        <v>1045</v>
      </c>
      <c r="C4" s="126" t="s">
        <v>59</v>
      </c>
      <c r="D4" s="55">
        <v>1</v>
      </c>
      <c r="E4" s="52" t="s">
        <v>2388</v>
      </c>
      <c r="F4" s="126" t="s">
        <v>1047</v>
      </c>
      <c r="G4" s="126" t="s">
        <v>1667</v>
      </c>
      <c r="H4" s="127">
        <v>1</v>
      </c>
      <c r="I4" s="49" t="s">
        <v>3336</v>
      </c>
      <c r="J4" s="52"/>
      <c r="K4" s="169"/>
      <c r="L4" s="169" t="s">
        <v>4880</v>
      </c>
      <c r="M4" s="58"/>
    </row>
    <row r="5" spans="1:13" ht="15">
      <c r="A5" s="153">
        <v>3</v>
      </c>
      <c r="B5" s="53" t="s">
        <v>2004</v>
      </c>
      <c r="C5" s="126" t="s">
        <v>2001</v>
      </c>
      <c r="D5" s="55">
        <v>1</v>
      </c>
      <c r="E5" s="52" t="s">
        <v>2388</v>
      </c>
      <c r="F5" s="126" t="s">
        <v>195</v>
      </c>
      <c r="G5" s="126" t="s">
        <v>1667</v>
      </c>
      <c r="H5" s="127">
        <v>1</v>
      </c>
      <c r="I5" s="49" t="s">
        <v>3336</v>
      </c>
      <c r="J5" s="52"/>
      <c r="K5" s="169"/>
      <c r="L5" s="169" t="s">
        <v>4881</v>
      </c>
      <c r="M5" s="58"/>
    </row>
    <row r="6" spans="1:13" ht="15">
      <c r="A6" s="153">
        <v>4</v>
      </c>
      <c r="B6" s="59" t="s">
        <v>1984</v>
      </c>
      <c r="C6" s="126" t="s">
        <v>1986</v>
      </c>
      <c r="D6" s="55">
        <v>1</v>
      </c>
      <c r="E6" s="52" t="s">
        <v>2437</v>
      </c>
      <c r="F6" s="126" t="s">
        <v>70</v>
      </c>
      <c r="G6" s="126" t="s">
        <v>1667</v>
      </c>
      <c r="H6" s="127">
        <v>1</v>
      </c>
      <c r="I6" s="49" t="s">
        <v>2438</v>
      </c>
      <c r="J6" s="52"/>
      <c r="K6" s="169"/>
      <c r="L6" s="169" t="s">
        <v>4882</v>
      </c>
      <c r="M6" s="58"/>
    </row>
    <row r="7" spans="1:13" ht="15">
      <c r="A7" s="153">
        <v>5</v>
      </c>
      <c r="B7" s="53" t="s">
        <v>2016</v>
      </c>
      <c r="C7" s="126" t="s">
        <v>1913</v>
      </c>
      <c r="D7" s="55">
        <v>3</v>
      </c>
      <c r="E7" s="52" t="s">
        <v>2394</v>
      </c>
      <c r="F7" s="126" t="s">
        <v>230</v>
      </c>
      <c r="G7" s="126" t="s">
        <v>1667</v>
      </c>
      <c r="H7" s="127">
        <v>3</v>
      </c>
      <c r="I7" s="49" t="s">
        <v>2425</v>
      </c>
      <c r="J7" s="52"/>
      <c r="K7" s="169"/>
      <c r="L7" s="169" t="s">
        <v>4883</v>
      </c>
      <c r="M7" s="58"/>
    </row>
    <row r="8" spans="1:13" ht="15">
      <c r="A8" s="153">
        <v>6</v>
      </c>
      <c r="B8" s="53" t="s">
        <v>2017</v>
      </c>
      <c r="C8" s="126" t="s">
        <v>1913</v>
      </c>
      <c r="D8" s="55">
        <v>4</v>
      </c>
      <c r="E8" s="52" t="s">
        <v>2394</v>
      </c>
      <c r="F8" s="126" t="s">
        <v>230</v>
      </c>
      <c r="G8" s="126" t="s">
        <v>1667</v>
      </c>
      <c r="H8" s="127">
        <v>4</v>
      </c>
      <c r="I8" s="49" t="s">
        <v>2425</v>
      </c>
      <c r="J8" s="52"/>
      <c r="K8" s="169"/>
      <c r="L8" s="169" t="s">
        <v>4884</v>
      </c>
      <c r="M8" s="58"/>
    </row>
    <row r="9" spans="1:13" ht="15">
      <c r="A9" s="153">
        <v>7</v>
      </c>
      <c r="B9" s="53" t="s">
        <v>1109</v>
      </c>
      <c r="C9" s="126" t="s">
        <v>179</v>
      </c>
      <c r="D9" s="55">
        <v>1</v>
      </c>
      <c r="E9" s="52" t="s">
        <v>2385</v>
      </c>
      <c r="F9" s="126" t="s">
        <v>18</v>
      </c>
      <c r="G9" s="126" t="s">
        <v>1667</v>
      </c>
      <c r="H9" s="127">
        <v>1</v>
      </c>
      <c r="I9" s="49" t="s">
        <v>2386</v>
      </c>
      <c r="J9" s="52">
        <v>1</v>
      </c>
      <c r="K9" s="169"/>
      <c r="L9" s="169" t="s">
        <v>4885</v>
      </c>
      <c r="M9" s="58"/>
    </row>
    <row r="10" spans="1:13" ht="15">
      <c r="A10" s="153">
        <v>8</v>
      </c>
      <c r="B10" s="53" t="s">
        <v>1132</v>
      </c>
      <c r="C10" s="126" t="s">
        <v>179</v>
      </c>
      <c r="D10" s="55">
        <v>1</v>
      </c>
      <c r="E10" s="52" t="s">
        <v>2385</v>
      </c>
      <c r="F10" s="126" t="s">
        <v>18</v>
      </c>
      <c r="G10" s="126" t="s">
        <v>1667</v>
      </c>
      <c r="H10" s="127">
        <v>1</v>
      </c>
      <c r="I10" s="49" t="s">
        <v>2386</v>
      </c>
      <c r="J10" s="52">
        <v>1</v>
      </c>
      <c r="K10" s="169"/>
      <c r="L10" s="169" t="s">
        <v>4886</v>
      </c>
      <c r="M10" s="58"/>
    </row>
    <row r="11" spans="1:13" ht="15">
      <c r="A11" s="153">
        <v>9</v>
      </c>
      <c r="B11" s="53" t="s">
        <v>889</v>
      </c>
      <c r="C11" s="126" t="s">
        <v>890</v>
      </c>
      <c r="D11" s="55">
        <v>1</v>
      </c>
      <c r="E11" s="52" t="s">
        <v>2385</v>
      </c>
      <c r="F11" s="126" t="s">
        <v>18</v>
      </c>
      <c r="G11" s="126" t="s">
        <v>1667</v>
      </c>
      <c r="H11" s="127">
        <v>1</v>
      </c>
      <c r="I11" s="49" t="s">
        <v>2386</v>
      </c>
      <c r="J11" s="57">
        <v>2</v>
      </c>
      <c r="K11" s="170"/>
      <c r="L11" s="170" t="s">
        <v>4887</v>
      </c>
      <c r="M11" s="58"/>
    </row>
    <row r="12" spans="1:13" ht="15">
      <c r="A12" s="153">
        <v>10</v>
      </c>
      <c r="B12" s="53" t="s">
        <v>899</v>
      </c>
      <c r="C12" s="126" t="s">
        <v>900</v>
      </c>
      <c r="D12" s="55">
        <v>1</v>
      </c>
      <c r="E12" s="52" t="s">
        <v>2385</v>
      </c>
      <c r="F12" s="126" t="s">
        <v>18</v>
      </c>
      <c r="G12" s="126" t="s">
        <v>1667</v>
      </c>
      <c r="H12" s="127">
        <v>1</v>
      </c>
      <c r="I12" s="49" t="s">
        <v>2386</v>
      </c>
      <c r="J12" s="52">
        <v>2</v>
      </c>
      <c r="K12" s="169"/>
      <c r="L12" s="169" t="s">
        <v>4888</v>
      </c>
      <c r="M12" s="58"/>
    </row>
    <row r="13" spans="1:13" ht="15">
      <c r="A13" s="153">
        <v>11</v>
      </c>
      <c r="B13" s="53" t="s">
        <v>1038</v>
      </c>
      <c r="C13" s="126" t="s">
        <v>41</v>
      </c>
      <c r="D13" s="55">
        <v>1</v>
      </c>
      <c r="E13" s="52" t="s">
        <v>2385</v>
      </c>
      <c r="F13" s="126" t="s">
        <v>18</v>
      </c>
      <c r="G13" s="126" t="s">
        <v>1667</v>
      </c>
      <c r="H13" s="127">
        <v>1</v>
      </c>
      <c r="I13" s="49" t="s">
        <v>2386</v>
      </c>
      <c r="J13" s="52">
        <v>2</v>
      </c>
      <c r="K13" s="169"/>
      <c r="L13" s="169" t="s">
        <v>4889</v>
      </c>
      <c r="M13" s="58"/>
    </row>
    <row r="14" spans="1:13" ht="15">
      <c r="A14" s="153">
        <v>12</v>
      </c>
      <c r="B14" s="53" t="s">
        <v>1080</v>
      </c>
      <c r="C14" s="126" t="s">
        <v>41</v>
      </c>
      <c r="D14" s="55">
        <v>1</v>
      </c>
      <c r="E14" s="52" t="s">
        <v>2385</v>
      </c>
      <c r="F14" s="126" t="s">
        <v>18</v>
      </c>
      <c r="G14" s="126" t="s">
        <v>1667</v>
      </c>
      <c r="H14" s="127">
        <v>1</v>
      </c>
      <c r="I14" s="49" t="s">
        <v>2386</v>
      </c>
      <c r="J14" s="52">
        <v>2</v>
      </c>
      <c r="K14" s="169"/>
      <c r="L14" s="169" t="s">
        <v>4890</v>
      </c>
      <c r="M14" s="58"/>
    </row>
    <row r="15" spans="1:13" ht="15">
      <c r="A15" s="153">
        <v>13</v>
      </c>
      <c r="B15" s="67" t="s">
        <v>1083</v>
      </c>
      <c r="C15" s="126" t="s">
        <v>41</v>
      </c>
      <c r="D15" s="55">
        <v>1</v>
      </c>
      <c r="E15" s="52" t="s">
        <v>2385</v>
      </c>
      <c r="F15" s="126" t="s">
        <v>18</v>
      </c>
      <c r="G15" s="126" t="s">
        <v>1667</v>
      </c>
      <c r="H15" s="127">
        <v>1</v>
      </c>
      <c r="I15" s="49" t="s">
        <v>2386</v>
      </c>
      <c r="J15" s="52">
        <v>2</v>
      </c>
      <c r="K15" s="169"/>
      <c r="L15" s="169" t="s">
        <v>4891</v>
      </c>
      <c r="M15" s="58"/>
    </row>
    <row r="16" spans="1:13" ht="15">
      <c r="A16" s="153">
        <v>14</v>
      </c>
      <c r="B16" s="53" t="s">
        <v>1084</v>
      </c>
      <c r="C16" s="126" t="s">
        <v>41</v>
      </c>
      <c r="D16" s="55">
        <v>1</v>
      </c>
      <c r="E16" s="52" t="s">
        <v>2385</v>
      </c>
      <c r="F16" s="126" t="s">
        <v>18</v>
      </c>
      <c r="G16" s="126" t="s">
        <v>1667</v>
      </c>
      <c r="H16" s="127">
        <v>1</v>
      </c>
      <c r="I16" s="49" t="s">
        <v>2386</v>
      </c>
      <c r="J16" s="57">
        <v>2</v>
      </c>
      <c r="K16" s="170"/>
      <c r="L16" s="170" t="s">
        <v>4892</v>
      </c>
      <c r="M16" s="58"/>
    </row>
    <row r="17" spans="1:13" ht="15">
      <c r="A17" s="153">
        <v>15</v>
      </c>
      <c r="B17" s="53" t="s">
        <v>1100</v>
      </c>
      <c r="C17" s="126" t="s">
        <v>1101</v>
      </c>
      <c r="D17" s="55">
        <v>1</v>
      </c>
      <c r="E17" s="52" t="s">
        <v>2385</v>
      </c>
      <c r="F17" s="126" t="s">
        <v>18</v>
      </c>
      <c r="G17" s="126" t="s">
        <v>1667</v>
      </c>
      <c r="H17" s="127">
        <v>1</v>
      </c>
      <c r="I17" s="49" t="s">
        <v>2386</v>
      </c>
      <c r="J17" s="52">
        <v>2</v>
      </c>
      <c r="K17" s="169"/>
      <c r="L17" s="169" t="s">
        <v>4893</v>
      </c>
      <c r="M17" s="58"/>
    </row>
    <row r="18" spans="1:13" ht="15">
      <c r="A18" s="153">
        <v>16</v>
      </c>
      <c r="B18" s="53" t="s">
        <v>1161</v>
      </c>
      <c r="C18" s="126" t="s">
        <v>1162</v>
      </c>
      <c r="D18" s="55">
        <v>1</v>
      </c>
      <c r="E18" s="52" t="s">
        <v>2385</v>
      </c>
      <c r="F18" s="126" t="s">
        <v>18</v>
      </c>
      <c r="G18" s="126" t="s">
        <v>1667</v>
      </c>
      <c r="H18" s="127">
        <v>1</v>
      </c>
      <c r="I18" s="49" t="s">
        <v>2386</v>
      </c>
      <c r="J18" s="52">
        <v>2</v>
      </c>
      <c r="K18" s="169"/>
      <c r="L18" s="169" t="s">
        <v>4894</v>
      </c>
      <c r="M18" s="58"/>
    </row>
    <row r="19" spans="1:13" ht="15">
      <c r="A19" s="153">
        <v>17</v>
      </c>
      <c r="B19" s="53" t="s">
        <v>1059</v>
      </c>
      <c r="C19" s="126" t="s">
        <v>1031</v>
      </c>
      <c r="D19" s="55">
        <v>1</v>
      </c>
      <c r="E19" s="52" t="s">
        <v>2385</v>
      </c>
      <c r="F19" s="126" t="s">
        <v>18</v>
      </c>
      <c r="G19" s="126" t="s">
        <v>1667</v>
      </c>
      <c r="H19" s="127">
        <v>1</v>
      </c>
      <c r="I19" s="49" t="s">
        <v>2386</v>
      </c>
      <c r="J19" s="52">
        <v>3</v>
      </c>
      <c r="K19" s="169"/>
      <c r="L19" s="169" t="s">
        <v>4895</v>
      </c>
      <c r="M19" s="58"/>
    </row>
    <row r="20" spans="1:13" ht="15">
      <c r="A20" s="153">
        <v>18</v>
      </c>
      <c r="B20" s="53" t="s">
        <v>1060</v>
      </c>
      <c r="C20" s="126" t="s">
        <v>181</v>
      </c>
      <c r="D20" s="55">
        <v>1</v>
      </c>
      <c r="E20" s="52" t="s">
        <v>2385</v>
      </c>
      <c r="F20" s="126" t="s">
        <v>18</v>
      </c>
      <c r="G20" s="126" t="s">
        <v>1667</v>
      </c>
      <c r="H20" s="127">
        <v>1</v>
      </c>
      <c r="I20" s="49" t="s">
        <v>2386</v>
      </c>
      <c r="J20" s="52">
        <v>4</v>
      </c>
      <c r="K20" s="169"/>
      <c r="L20" s="169" t="s">
        <v>4896</v>
      </c>
      <c r="M20" s="58"/>
    </row>
    <row r="21" spans="1:13" ht="15">
      <c r="A21" s="153">
        <v>19</v>
      </c>
      <c r="B21" s="53" t="s">
        <v>1304</v>
      </c>
      <c r="C21" s="126" t="s">
        <v>1306</v>
      </c>
      <c r="D21" s="55">
        <v>1</v>
      </c>
      <c r="E21" s="52" t="s">
        <v>2385</v>
      </c>
      <c r="F21" s="126" t="s">
        <v>18</v>
      </c>
      <c r="G21" s="126" t="s">
        <v>1667</v>
      </c>
      <c r="H21" s="127">
        <v>1</v>
      </c>
      <c r="I21" s="49" t="s">
        <v>2386</v>
      </c>
      <c r="J21" s="52"/>
      <c r="K21" s="169"/>
      <c r="L21" s="169" t="s">
        <v>4897</v>
      </c>
      <c r="M21" s="58"/>
    </row>
    <row r="22" spans="1:13" ht="15">
      <c r="A22" s="153">
        <v>20</v>
      </c>
      <c r="B22" s="59" t="s">
        <v>994</v>
      </c>
      <c r="C22" s="126" t="s">
        <v>996</v>
      </c>
      <c r="D22" s="55">
        <v>1</v>
      </c>
      <c r="E22" s="52" t="s">
        <v>2385</v>
      </c>
      <c r="F22" s="126" t="s">
        <v>18</v>
      </c>
      <c r="G22" s="126" t="s">
        <v>1667</v>
      </c>
      <c r="H22" s="127">
        <v>1</v>
      </c>
      <c r="I22" s="49" t="s">
        <v>2386</v>
      </c>
      <c r="J22" s="52"/>
      <c r="K22" s="169"/>
      <c r="L22" s="186" t="s">
        <v>4898</v>
      </c>
      <c r="M22" s="58"/>
    </row>
    <row r="23" spans="1:13" ht="15">
      <c r="A23" s="153">
        <v>21</v>
      </c>
      <c r="B23" s="53" t="s">
        <v>2044</v>
      </c>
      <c r="C23" s="126" t="s">
        <v>2046</v>
      </c>
      <c r="D23" s="55">
        <v>1</v>
      </c>
      <c r="E23" s="52" t="s">
        <v>2385</v>
      </c>
      <c r="F23" s="126" t="s">
        <v>18</v>
      </c>
      <c r="G23" s="126" t="s">
        <v>1667</v>
      </c>
      <c r="H23" s="127">
        <v>1</v>
      </c>
      <c r="I23" s="49" t="s">
        <v>2386</v>
      </c>
      <c r="J23" s="52"/>
      <c r="K23" s="169"/>
      <c r="L23" s="169" t="s">
        <v>4899</v>
      </c>
      <c r="M23" s="58"/>
    </row>
    <row r="24" spans="1:13" ht="15">
      <c r="A24" s="153">
        <v>22</v>
      </c>
      <c r="B24" s="59" t="s">
        <v>1127</v>
      </c>
      <c r="C24" s="126" t="s">
        <v>41</v>
      </c>
      <c r="D24" s="55">
        <v>1</v>
      </c>
      <c r="E24" s="52" t="s">
        <v>2385</v>
      </c>
      <c r="F24" s="126" t="s">
        <v>18</v>
      </c>
      <c r="G24" s="126" t="s">
        <v>1667</v>
      </c>
      <c r="H24" s="127">
        <v>1</v>
      </c>
      <c r="I24" s="49" t="s">
        <v>2386</v>
      </c>
      <c r="J24" s="52"/>
      <c r="K24" s="169"/>
      <c r="L24" s="169" t="s">
        <v>4900</v>
      </c>
      <c r="M24" s="58"/>
    </row>
    <row r="25" spans="1:13" ht="15">
      <c r="A25" s="153">
        <v>23</v>
      </c>
      <c r="B25" s="53" t="s">
        <v>2078</v>
      </c>
      <c r="C25" s="126" t="s">
        <v>1896</v>
      </c>
      <c r="D25" s="55">
        <v>1</v>
      </c>
      <c r="E25" s="52" t="s">
        <v>2385</v>
      </c>
      <c r="F25" s="126" t="s">
        <v>18</v>
      </c>
      <c r="G25" s="126" t="s">
        <v>1667</v>
      </c>
      <c r="H25" s="127">
        <v>1</v>
      </c>
      <c r="I25" s="49" t="s">
        <v>2386</v>
      </c>
      <c r="J25" s="52"/>
      <c r="K25" s="169"/>
      <c r="L25" s="169" t="s">
        <v>4901</v>
      </c>
      <c r="M25" s="58"/>
    </row>
    <row r="26" spans="1:13" ht="15">
      <c r="A26" s="153">
        <v>24</v>
      </c>
      <c r="B26" s="53" t="s">
        <v>2092</v>
      </c>
      <c r="C26" s="126" t="s">
        <v>1896</v>
      </c>
      <c r="D26" s="55">
        <v>1</v>
      </c>
      <c r="E26" s="52" t="s">
        <v>2385</v>
      </c>
      <c r="F26" s="126" t="s">
        <v>18</v>
      </c>
      <c r="G26" s="126" t="s">
        <v>1667</v>
      </c>
      <c r="H26" s="127">
        <v>1</v>
      </c>
      <c r="I26" s="49" t="s">
        <v>2386</v>
      </c>
      <c r="J26" s="52"/>
      <c r="K26" s="169"/>
      <c r="L26" s="169" t="s">
        <v>4902</v>
      </c>
      <c r="M26" s="58"/>
    </row>
    <row r="27" spans="1:13" ht="15">
      <c r="A27" s="153">
        <v>25</v>
      </c>
      <c r="B27" s="60" t="s">
        <v>2094</v>
      </c>
      <c r="C27" s="126" t="s">
        <v>1896</v>
      </c>
      <c r="D27" s="52">
        <v>1</v>
      </c>
      <c r="E27" s="52" t="s">
        <v>2385</v>
      </c>
      <c r="F27" s="126" t="s">
        <v>18</v>
      </c>
      <c r="G27" s="126" t="s">
        <v>1667</v>
      </c>
      <c r="H27" s="127">
        <v>1</v>
      </c>
      <c r="I27" s="49" t="s">
        <v>2386</v>
      </c>
      <c r="J27" s="52"/>
      <c r="K27" s="169"/>
      <c r="L27" s="169" t="s">
        <v>4903</v>
      </c>
      <c r="M27" s="58"/>
    </row>
    <row r="28" spans="1:13" ht="15">
      <c r="A28" s="153">
        <v>26</v>
      </c>
      <c r="B28" s="60" t="s">
        <v>2124</v>
      </c>
      <c r="C28" s="126" t="s">
        <v>2126</v>
      </c>
      <c r="D28" s="52">
        <v>1</v>
      </c>
      <c r="E28" s="52" t="s">
        <v>2385</v>
      </c>
      <c r="F28" s="126" t="s">
        <v>18</v>
      </c>
      <c r="G28" s="126" t="s">
        <v>1667</v>
      </c>
      <c r="H28" s="127">
        <v>1</v>
      </c>
      <c r="I28" s="49" t="s">
        <v>3384</v>
      </c>
      <c r="J28" s="52"/>
      <c r="K28" s="169"/>
      <c r="L28" s="169" t="s">
        <v>4904</v>
      </c>
      <c r="M28" s="58"/>
    </row>
    <row r="29" spans="1:13" ht="15">
      <c r="A29" s="153">
        <v>27</v>
      </c>
      <c r="B29" s="53" t="s">
        <v>2127</v>
      </c>
      <c r="C29" s="126" t="s">
        <v>2126</v>
      </c>
      <c r="D29" s="55">
        <v>1</v>
      </c>
      <c r="E29" s="52" t="s">
        <v>2385</v>
      </c>
      <c r="F29" s="126" t="s">
        <v>18</v>
      </c>
      <c r="G29" s="126" t="s">
        <v>1667</v>
      </c>
      <c r="H29" s="127">
        <v>1</v>
      </c>
      <c r="I29" s="49" t="s">
        <v>3384</v>
      </c>
      <c r="J29" s="52"/>
      <c r="K29" s="169"/>
      <c r="L29" s="169" t="s">
        <v>4905</v>
      </c>
      <c r="M29" s="58"/>
    </row>
    <row r="30" spans="1:13" ht="15">
      <c r="A30" s="153">
        <v>28</v>
      </c>
      <c r="B30" s="60" t="s">
        <v>1030</v>
      </c>
      <c r="C30" s="126" t="s">
        <v>1032</v>
      </c>
      <c r="D30" s="52">
        <v>1</v>
      </c>
      <c r="E30" s="52" t="s">
        <v>2417</v>
      </c>
      <c r="F30" s="126" t="s">
        <v>18</v>
      </c>
      <c r="G30" s="126" t="s">
        <v>1667</v>
      </c>
      <c r="H30" s="127">
        <v>1</v>
      </c>
      <c r="I30" s="49" t="s">
        <v>2418</v>
      </c>
      <c r="J30" s="52"/>
      <c r="K30" s="169"/>
      <c r="L30" s="169" t="s">
        <v>4906</v>
      </c>
      <c r="M30" s="58"/>
    </row>
    <row r="31" spans="1:13" ht="15">
      <c r="A31" s="153">
        <v>29</v>
      </c>
      <c r="B31" s="59" t="s">
        <v>1034</v>
      </c>
      <c r="C31" s="126" t="s">
        <v>1035</v>
      </c>
      <c r="D31" s="55">
        <v>1</v>
      </c>
      <c r="E31" s="52" t="s">
        <v>2417</v>
      </c>
      <c r="F31" s="126" t="s">
        <v>18</v>
      </c>
      <c r="G31" s="126" t="s">
        <v>1667</v>
      </c>
      <c r="H31" s="127">
        <v>1</v>
      </c>
      <c r="I31" s="49" t="s">
        <v>2418</v>
      </c>
      <c r="J31" s="52"/>
      <c r="K31" s="169"/>
      <c r="L31" s="169" t="s">
        <v>4907</v>
      </c>
      <c r="M31" s="58"/>
    </row>
    <row r="32" spans="1:13" ht="15">
      <c r="A32" s="153">
        <v>30</v>
      </c>
      <c r="B32" s="53" t="s">
        <v>1036</v>
      </c>
      <c r="C32" s="126" t="s">
        <v>1035</v>
      </c>
      <c r="D32" s="55">
        <v>1</v>
      </c>
      <c r="E32" s="52" t="s">
        <v>2417</v>
      </c>
      <c r="F32" s="126" t="s">
        <v>18</v>
      </c>
      <c r="G32" s="126" t="s">
        <v>1667</v>
      </c>
      <c r="H32" s="127">
        <v>1</v>
      </c>
      <c r="I32" s="49" t="s">
        <v>2418</v>
      </c>
      <c r="J32" s="52"/>
      <c r="K32" s="169"/>
      <c r="L32" s="169" t="s">
        <v>4908</v>
      </c>
      <c r="M32" s="58"/>
    </row>
    <row r="33" spans="1:13" ht="15">
      <c r="A33" s="153">
        <v>31</v>
      </c>
      <c r="B33" s="60" t="s">
        <v>2024</v>
      </c>
      <c r="C33" s="126" t="s">
        <v>1918</v>
      </c>
      <c r="D33" s="52">
        <v>1</v>
      </c>
      <c r="E33" s="52" t="s">
        <v>2417</v>
      </c>
      <c r="F33" s="126" t="s">
        <v>18</v>
      </c>
      <c r="G33" s="126" t="s">
        <v>1667</v>
      </c>
      <c r="H33" s="127">
        <v>1</v>
      </c>
      <c r="I33" s="49" t="s">
        <v>2418</v>
      </c>
      <c r="J33" s="49"/>
      <c r="K33" s="169"/>
      <c r="L33" s="169" t="s">
        <v>4909</v>
      </c>
      <c r="M33" s="49"/>
    </row>
    <row r="34" spans="1:13" ht="15">
      <c r="A34" s="153">
        <v>32</v>
      </c>
      <c r="B34" s="60" t="s">
        <v>1086</v>
      </c>
      <c r="C34" s="126" t="s">
        <v>1087</v>
      </c>
      <c r="D34" s="52">
        <v>1</v>
      </c>
      <c r="E34" s="52" t="s">
        <v>2417</v>
      </c>
      <c r="F34" s="126" t="s">
        <v>18</v>
      </c>
      <c r="G34" s="126" t="s">
        <v>1667</v>
      </c>
      <c r="H34" s="127">
        <v>1</v>
      </c>
      <c r="I34" s="49" t="s">
        <v>2418</v>
      </c>
      <c r="J34" s="49"/>
      <c r="K34" s="169"/>
      <c r="L34" s="169" t="s">
        <v>4910</v>
      </c>
      <c r="M34" s="49"/>
    </row>
    <row r="35" spans="1:13" ht="15">
      <c r="A35" s="153">
        <v>33</v>
      </c>
      <c r="B35" s="53" t="s">
        <v>2132</v>
      </c>
      <c r="C35" s="126" t="s">
        <v>2048</v>
      </c>
      <c r="D35" s="55">
        <v>1</v>
      </c>
      <c r="E35" s="56" t="s">
        <v>2417</v>
      </c>
      <c r="F35" s="126" t="s">
        <v>18</v>
      </c>
      <c r="G35" s="126" t="s">
        <v>1667</v>
      </c>
      <c r="H35" s="127">
        <v>1</v>
      </c>
      <c r="I35" s="49" t="s">
        <v>2418</v>
      </c>
      <c r="J35" s="52"/>
      <c r="K35" s="169"/>
      <c r="L35" s="169" t="s">
        <v>4911</v>
      </c>
      <c r="M35" s="58"/>
    </row>
    <row r="36" spans="1:13" ht="15">
      <c r="A36" s="153">
        <v>34</v>
      </c>
      <c r="B36" s="53" t="s">
        <v>2133</v>
      </c>
      <c r="C36" s="126" t="s">
        <v>2135</v>
      </c>
      <c r="D36" s="55">
        <v>1</v>
      </c>
      <c r="E36" s="56" t="s">
        <v>2417</v>
      </c>
      <c r="F36" s="126" t="s">
        <v>18</v>
      </c>
      <c r="G36" s="126" t="s">
        <v>1667</v>
      </c>
      <c r="H36" s="127">
        <v>1</v>
      </c>
      <c r="I36" s="49" t="s">
        <v>2418</v>
      </c>
      <c r="J36" s="52"/>
      <c r="K36" s="169"/>
      <c r="L36" s="169" t="s">
        <v>4912</v>
      </c>
      <c r="M36" s="58"/>
    </row>
    <row r="37" spans="1:13" ht="15">
      <c r="A37" s="153">
        <v>35</v>
      </c>
      <c r="B37" s="53" t="s">
        <v>2136</v>
      </c>
      <c r="C37" s="126" t="s">
        <v>2052</v>
      </c>
      <c r="D37" s="55">
        <v>1</v>
      </c>
      <c r="E37" s="56" t="s">
        <v>2417</v>
      </c>
      <c r="F37" s="126" t="s">
        <v>18</v>
      </c>
      <c r="G37" s="126" t="s">
        <v>1667</v>
      </c>
      <c r="H37" s="127">
        <v>1</v>
      </c>
      <c r="I37" s="49" t="s">
        <v>2418</v>
      </c>
      <c r="J37" s="52"/>
      <c r="K37" s="169"/>
      <c r="L37" s="169" t="s">
        <v>4913</v>
      </c>
      <c r="M37" s="58"/>
    </row>
    <row r="38" spans="1:13" ht="15">
      <c r="A38" s="153">
        <v>36</v>
      </c>
      <c r="B38" s="59" t="s">
        <v>887</v>
      </c>
      <c r="C38" s="126" t="s">
        <v>888</v>
      </c>
      <c r="D38" s="55">
        <v>1</v>
      </c>
      <c r="E38" s="56" t="s">
        <v>2394</v>
      </c>
      <c r="F38" s="126" t="s">
        <v>18</v>
      </c>
      <c r="G38" s="126" t="s">
        <v>1667</v>
      </c>
      <c r="H38" s="127">
        <v>1</v>
      </c>
      <c r="I38" s="49" t="s">
        <v>2425</v>
      </c>
      <c r="J38" s="52">
        <v>2</v>
      </c>
      <c r="K38" s="169"/>
      <c r="L38" s="169" t="s">
        <v>4914</v>
      </c>
      <c r="M38" s="58"/>
    </row>
    <row r="39" spans="1:13" ht="15">
      <c r="A39" s="153">
        <v>37</v>
      </c>
      <c r="B39" s="60" t="s">
        <v>1252</v>
      </c>
      <c r="C39" s="126" t="s">
        <v>506</v>
      </c>
      <c r="D39" s="52">
        <v>2</v>
      </c>
      <c r="E39" s="52" t="s">
        <v>2394</v>
      </c>
      <c r="F39" s="126" t="s">
        <v>18</v>
      </c>
      <c r="G39" s="126" t="s">
        <v>1667</v>
      </c>
      <c r="H39" s="127">
        <v>2</v>
      </c>
      <c r="I39" s="49" t="s">
        <v>2425</v>
      </c>
      <c r="J39" s="49">
        <v>2</v>
      </c>
      <c r="K39" s="169"/>
      <c r="L39" s="169" t="s">
        <v>4915</v>
      </c>
      <c r="M39" s="49"/>
    </row>
    <row r="40" spans="1:13" ht="15">
      <c r="A40" s="153">
        <v>38</v>
      </c>
      <c r="B40" s="60" t="s">
        <v>1987</v>
      </c>
      <c r="C40" s="126" t="s">
        <v>1988</v>
      </c>
      <c r="D40" s="52">
        <v>2</v>
      </c>
      <c r="E40" s="52" t="s">
        <v>2394</v>
      </c>
      <c r="F40" s="126" t="s">
        <v>18</v>
      </c>
      <c r="G40" s="126" t="s">
        <v>1667</v>
      </c>
      <c r="H40" s="127">
        <v>2</v>
      </c>
      <c r="I40" s="49" t="s">
        <v>2425</v>
      </c>
      <c r="J40" s="49"/>
      <c r="K40" s="169"/>
      <c r="L40" s="169" t="s">
        <v>4916</v>
      </c>
      <c r="M40" s="49"/>
    </row>
    <row r="41" spans="1:13" ht="15">
      <c r="A41" s="153">
        <v>39</v>
      </c>
      <c r="B41" s="60" t="s">
        <v>741</v>
      </c>
      <c r="C41" s="126" t="s">
        <v>41</v>
      </c>
      <c r="D41" s="52">
        <v>1</v>
      </c>
      <c r="E41" s="52" t="s">
        <v>2427</v>
      </c>
      <c r="F41" s="126" t="s">
        <v>18</v>
      </c>
      <c r="G41" s="126" t="s">
        <v>1667</v>
      </c>
      <c r="H41" s="127">
        <v>1</v>
      </c>
      <c r="I41" s="49" t="s">
        <v>2428</v>
      </c>
      <c r="J41" s="49">
        <v>2</v>
      </c>
      <c r="K41" s="169"/>
      <c r="L41" s="169" t="s">
        <v>4917</v>
      </c>
      <c r="M41" s="49"/>
    </row>
    <row r="42" spans="1:13" ht="15">
      <c r="A42" s="153">
        <v>40</v>
      </c>
      <c r="B42" s="60" t="s">
        <v>1067</v>
      </c>
      <c r="C42" s="126" t="s">
        <v>1069</v>
      </c>
      <c r="D42" s="52">
        <v>1</v>
      </c>
      <c r="E42" s="52" t="s">
        <v>2427</v>
      </c>
      <c r="F42" s="126" t="s">
        <v>18</v>
      </c>
      <c r="G42" s="126" t="s">
        <v>1667</v>
      </c>
      <c r="H42" s="127">
        <v>1</v>
      </c>
      <c r="I42" s="49" t="s">
        <v>2428</v>
      </c>
      <c r="J42" s="49"/>
      <c r="K42" s="169"/>
      <c r="L42" s="169" t="s">
        <v>4918</v>
      </c>
      <c r="M42" s="49"/>
    </row>
    <row r="43" spans="1:13" ht="15">
      <c r="A43" s="153">
        <v>41</v>
      </c>
      <c r="B43" s="53" t="s">
        <v>1075</v>
      </c>
      <c r="C43" s="126" t="s">
        <v>1076</v>
      </c>
      <c r="D43" s="55">
        <v>1</v>
      </c>
      <c r="E43" s="52" t="s">
        <v>2427</v>
      </c>
      <c r="F43" s="126" t="s">
        <v>18</v>
      </c>
      <c r="G43" s="126" t="s">
        <v>1667</v>
      </c>
      <c r="H43" s="127">
        <v>1</v>
      </c>
      <c r="I43" s="49" t="s">
        <v>2428</v>
      </c>
      <c r="J43" s="52"/>
      <c r="K43" s="169"/>
      <c r="L43" s="169" t="s">
        <v>4919</v>
      </c>
      <c r="M43" s="58"/>
    </row>
    <row r="44" spans="1:13" ht="15">
      <c r="A44" s="153">
        <v>42</v>
      </c>
      <c r="B44" s="60" t="s">
        <v>2098</v>
      </c>
      <c r="C44" s="126" t="s">
        <v>2100</v>
      </c>
      <c r="D44" s="52">
        <v>1</v>
      </c>
      <c r="E44" s="52" t="s">
        <v>2427</v>
      </c>
      <c r="F44" s="126" t="s">
        <v>18</v>
      </c>
      <c r="G44" s="126" t="s">
        <v>1667</v>
      </c>
      <c r="H44" s="127">
        <v>1</v>
      </c>
      <c r="I44" s="49" t="s">
        <v>2428</v>
      </c>
      <c r="J44" s="49"/>
      <c r="K44" s="169"/>
      <c r="L44" s="169" t="s">
        <v>4920</v>
      </c>
      <c r="M44" s="49"/>
    </row>
    <row r="45" spans="1:13" ht="15">
      <c r="A45" s="153">
        <v>43</v>
      </c>
      <c r="B45" s="60" t="s">
        <v>1082</v>
      </c>
      <c r="C45" s="126" t="s">
        <v>41</v>
      </c>
      <c r="D45" s="52">
        <v>1</v>
      </c>
      <c r="E45" s="52" t="s">
        <v>2437</v>
      </c>
      <c r="F45" s="126" t="s">
        <v>18</v>
      </c>
      <c r="G45" s="126" t="s">
        <v>1667</v>
      </c>
      <c r="H45" s="127">
        <v>1</v>
      </c>
      <c r="I45" s="49" t="s">
        <v>2438</v>
      </c>
      <c r="J45" s="49">
        <v>1</v>
      </c>
      <c r="K45" s="169"/>
      <c r="L45" s="169" t="s">
        <v>4921</v>
      </c>
      <c r="M45" s="49"/>
    </row>
    <row r="46" spans="1:13" ht="15">
      <c r="A46" s="153">
        <v>44</v>
      </c>
      <c r="B46" s="53" t="s">
        <v>1017</v>
      </c>
      <c r="C46" s="126" t="s">
        <v>1019</v>
      </c>
      <c r="D46" s="55">
        <v>2</v>
      </c>
      <c r="E46" s="52" t="s">
        <v>2437</v>
      </c>
      <c r="F46" s="126" t="s">
        <v>18</v>
      </c>
      <c r="G46" s="126" t="s">
        <v>1667</v>
      </c>
      <c r="H46" s="127">
        <v>2</v>
      </c>
      <c r="I46" s="49" t="s">
        <v>2438</v>
      </c>
      <c r="J46" s="57">
        <v>2</v>
      </c>
      <c r="K46" s="169"/>
      <c r="L46" s="169" t="s">
        <v>4922</v>
      </c>
      <c r="M46" s="58"/>
    </row>
    <row r="47" spans="1:13" ht="15">
      <c r="A47" s="153">
        <v>45</v>
      </c>
      <c r="B47" s="60" t="s">
        <v>1085</v>
      </c>
      <c r="C47" s="126" t="s">
        <v>41</v>
      </c>
      <c r="D47" s="52">
        <v>1</v>
      </c>
      <c r="E47" s="52" t="s">
        <v>2437</v>
      </c>
      <c r="F47" s="126" t="s">
        <v>18</v>
      </c>
      <c r="G47" s="126" t="s">
        <v>1667</v>
      </c>
      <c r="H47" s="127">
        <v>1</v>
      </c>
      <c r="I47" s="49" t="s">
        <v>2438</v>
      </c>
      <c r="J47" s="49">
        <v>2</v>
      </c>
      <c r="K47" s="169"/>
      <c r="L47" s="169" t="s">
        <v>4923</v>
      </c>
      <c r="M47" s="49"/>
    </row>
    <row r="48" spans="1:13" ht="15">
      <c r="A48" s="153">
        <v>46</v>
      </c>
      <c r="B48" s="60" t="s">
        <v>530</v>
      </c>
      <c r="C48" s="126" t="s">
        <v>532</v>
      </c>
      <c r="D48" s="52">
        <v>1</v>
      </c>
      <c r="E48" s="52" t="s">
        <v>2437</v>
      </c>
      <c r="F48" s="126" t="s">
        <v>18</v>
      </c>
      <c r="G48" s="126" t="s">
        <v>1667</v>
      </c>
      <c r="H48" s="127">
        <v>1</v>
      </c>
      <c r="I48" s="49" t="s">
        <v>2438</v>
      </c>
      <c r="J48" s="49">
        <v>3</v>
      </c>
      <c r="K48" s="169"/>
      <c r="L48" s="169" t="s">
        <v>4924</v>
      </c>
      <c r="M48" s="49"/>
    </row>
    <row r="49" spans="1:13" ht="15">
      <c r="A49" s="153">
        <v>47</v>
      </c>
      <c r="B49" s="53" t="s">
        <v>843</v>
      </c>
      <c r="C49" s="126" t="s">
        <v>845</v>
      </c>
      <c r="D49" s="55">
        <v>1</v>
      </c>
      <c r="E49" s="56" t="s">
        <v>2443</v>
      </c>
      <c r="F49" s="126" t="s">
        <v>18</v>
      </c>
      <c r="G49" s="126" t="s">
        <v>1667</v>
      </c>
      <c r="H49" s="127">
        <v>1</v>
      </c>
      <c r="I49" s="49" t="s">
        <v>2444</v>
      </c>
      <c r="J49" s="52">
        <v>3</v>
      </c>
      <c r="K49" s="169"/>
      <c r="L49" s="169" t="s">
        <v>4925</v>
      </c>
      <c r="M49" s="58"/>
    </row>
    <row r="50" spans="1:13" ht="15">
      <c r="A50" s="153">
        <v>48</v>
      </c>
      <c r="B50" s="53" t="s">
        <v>846</v>
      </c>
      <c r="C50" s="126" t="s">
        <v>845</v>
      </c>
      <c r="D50" s="55">
        <v>1</v>
      </c>
      <c r="E50" s="56" t="s">
        <v>2443</v>
      </c>
      <c r="F50" s="126" t="s">
        <v>18</v>
      </c>
      <c r="G50" s="126" t="s">
        <v>1667</v>
      </c>
      <c r="H50" s="127">
        <v>1</v>
      </c>
      <c r="I50" s="49" t="s">
        <v>2444</v>
      </c>
      <c r="J50" s="52">
        <v>3</v>
      </c>
      <c r="K50" s="169"/>
      <c r="L50" s="169" t="s">
        <v>4926</v>
      </c>
      <c r="M50" s="58"/>
    </row>
    <row r="51" spans="1:13" ht="15">
      <c r="A51" s="153">
        <v>49</v>
      </c>
      <c r="B51" s="59" t="s">
        <v>1247</v>
      </c>
      <c r="C51" s="126" t="s">
        <v>1248</v>
      </c>
      <c r="D51" s="55">
        <v>2</v>
      </c>
      <c r="E51" s="56" t="s">
        <v>2388</v>
      </c>
      <c r="F51" s="126" t="s">
        <v>18</v>
      </c>
      <c r="G51" s="126" t="s">
        <v>1667</v>
      </c>
      <c r="H51" s="127">
        <v>2</v>
      </c>
      <c r="I51" s="49" t="s">
        <v>2492</v>
      </c>
      <c r="J51" s="52"/>
      <c r="K51" s="169"/>
      <c r="L51" s="169" t="s">
        <v>4927</v>
      </c>
      <c r="M51" s="58"/>
    </row>
    <row r="52" spans="1:13" ht="15">
      <c r="A52" s="153">
        <v>50</v>
      </c>
      <c r="B52" s="59" t="s">
        <v>836</v>
      </c>
      <c r="C52" s="126" t="s">
        <v>837</v>
      </c>
      <c r="D52" s="55">
        <v>1</v>
      </c>
      <c r="E52" s="56" t="s">
        <v>2391</v>
      </c>
      <c r="F52" s="126" t="s">
        <v>18</v>
      </c>
      <c r="G52" s="126" t="s">
        <v>1667</v>
      </c>
      <c r="H52" s="127">
        <v>1</v>
      </c>
      <c r="I52" s="49" t="s">
        <v>2511</v>
      </c>
      <c r="J52" s="52">
        <v>2</v>
      </c>
      <c r="K52" s="169"/>
      <c r="L52" s="169" t="s">
        <v>4928</v>
      </c>
      <c r="M52" s="58"/>
    </row>
    <row r="53" spans="1:13" ht="15">
      <c r="A53" s="153">
        <v>51</v>
      </c>
      <c r="B53" s="53" t="s">
        <v>838</v>
      </c>
      <c r="C53" s="126" t="s">
        <v>839</v>
      </c>
      <c r="D53" s="55">
        <v>1</v>
      </c>
      <c r="E53" s="52" t="s">
        <v>2391</v>
      </c>
      <c r="F53" s="126" t="s">
        <v>18</v>
      </c>
      <c r="G53" s="126" t="s">
        <v>1667</v>
      </c>
      <c r="H53" s="127">
        <v>1</v>
      </c>
      <c r="I53" s="49" t="s">
        <v>2511</v>
      </c>
      <c r="J53" s="52">
        <v>2</v>
      </c>
      <c r="K53" s="169"/>
      <c r="L53" s="169" t="s">
        <v>4929</v>
      </c>
      <c r="M53" s="58"/>
    </row>
    <row r="54" spans="1:13" ht="15">
      <c r="A54" s="153">
        <v>52</v>
      </c>
      <c r="B54" s="53" t="s">
        <v>1872</v>
      </c>
      <c r="C54" s="126" t="s">
        <v>1874</v>
      </c>
      <c r="D54" s="55">
        <v>2</v>
      </c>
      <c r="E54" s="56" t="s">
        <v>2391</v>
      </c>
      <c r="F54" s="126" t="s">
        <v>18</v>
      </c>
      <c r="G54" s="126" t="s">
        <v>1667</v>
      </c>
      <c r="H54" s="127">
        <v>2</v>
      </c>
      <c r="I54" s="49" t="s">
        <v>2511</v>
      </c>
      <c r="J54" s="52"/>
      <c r="K54" s="169"/>
      <c r="L54" s="169" t="s">
        <v>4930</v>
      </c>
      <c r="M54" s="58"/>
    </row>
    <row r="55" spans="1:13" ht="15">
      <c r="A55" s="153">
        <v>53</v>
      </c>
      <c r="B55" s="53" t="s">
        <v>1942</v>
      </c>
      <c r="C55" s="126" t="s">
        <v>1944</v>
      </c>
      <c r="D55" s="55">
        <v>2</v>
      </c>
      <c r="E55" s="56" t="s">
        <v>2391</v>
      </c>
      <c r="F55" s="126" t="s">
        <v>18</v>
      </c>
      <c r="G55" s="126" t="s">
        <v>1667</v>
      </c>
      <c r="H55" s="127">
        <v>2</v>
      </c>
      <c r="I55" s="49" t="s">
        <v>2511</v>
      </c>
      <c r="J55" s="52"/>
      <c r="K55" s="169"/>
      <c r="L55" s="169" t="s">
        <v>4931</v>
      </c>
      <c r="M55" s="58"/>
    </row>
    <row r="56" spans="1:13" ht="15">
      <c r="A56" s="153">
        <v>54</v>
      </c>
      <c r="B56" s="64" t="s">
        <v>1307</v>
      </c>
      <c r="C56" s="126" t="s">
        <v>403</v>
      </c>
      <c r="D56" s="55">
        <v>1</v>
      </c>
      <c r="E56" s="56" t="s">
        <v>2391</v>
      </c>
      <c r="F56" s="126" t="s">
        <v>18</v>
      </c>
      <c r="G56" s="126" t="s">
        <v>1667</v>
      </c>
      <c r="H56" s="127">
        <v>1</v>
      </c>
      <c r="I56" s="49" t="s">
        <v>2449</v>
      </c>
      <c r="J56" s="52">
        <v>2</v>
      </c>
      <c r="K56" s="169" t="s">
        <v>3365</v>
      </c>
      <c r="L56" s="169" t="s">
        <v>4932</v>
      </c>
      <c r="M56" s="58"/>
    </row>
    <row r="57" spans="1:13" ht="15">
      <c r="A57" s="153">
        <v>55</v>
      </c>
      <c r="B57" s="53" t="s">
        <v>1078</v>
      </c>
      <c r="C57" s="126" t="s">
        <v>1079</v>
      </c>
      <c r="D57" s="55">
        <v>1</v>
      </c>
      <c r="E57" s="52" t="s">
        <v>2391</v>
      </c>
      <c r="F57" s="126" t="s">
        <v>18</v>
      </c>
      <c r="G57" s="126" t="s">
        <v>1667</v>
      </c>
      <c r="H57" s="127">
        <v>1</v>
      </c>
      <c r="I57" s="49" t="s">
        <v>2449</v>
      </c>
      <c r="J57" s="52">
        <v>2</v>
      </c>
      <c r="K57" s="169" t="s">
        <v>3365</v>
      </c>
      <c r="L57" s="169" t="s">
        <v>4933</v>
      </c>
      <c r="M57" s="58"/>
    </row>
    <row r="58" spans="1:13" ht="15">
      <c r="A58" s="153">
        <v>56</v>
      </c>
      <c r="B58" s="53" t="s">
        <v>1353</v>
      </c>
      <c r="C58" s="126" t="s">
        <v>41</v>
      </c>
      <c r="D58" s="55">
        <v>1</v>
      </c>
      <c r="E58" s="52" t="s">
        <v>2391</v>
      </c>
      <c r="F58" s="126" t="s">
        <v>18</v>
      </c>
      <c r="G58" s="126" t="s">
        <v>1667</v>
      </c>
      <c r="H58" s="127">
        <v>1</v>
      </c>
      <c r="I58" s="49" t="s">
        <v>2449</v>
      </c>
      <c r="J58" s="52">
        <v>2</v>
      </c>
      <c r="K58" s="169" t="s">
        <v>3365</v>
      </c>
      <c r="L58" s="169" t="s">
        <v>4934</v>
      </c>
      <c r="M58" s="58"/>
    </row>
    <row r="59" spans="1:13" ht="15">
      <c r="A59" s="153">
        <v>57</v>
      </c>
      <c r="B59" s="53" t="s">
        <v>1368</v>
      </c>
      <c r="C59" s="126" t="s">
        <v>984</v>
      </c>
      <c r="D59" s="55">
        <v>1</v>
      </c>
      <c r="E59" s="52" t="s">
        <v>2391</v>
      </c>
      <c r="F59" s="126" t="s">
        <v>18</v>
      </c>
      <c r="G59" s="126" t="s">
        <v>1667</v>
      </c>
      <c r="H59" s="127">
        <v>1</v>
      </c>
      <c r="I59" s="49" t="s">
        <v>2449</v>
      </c>
      <c r="J59" s="52">
        <v>2</v>
      </c>
      <c r="K59" s="169" t="s">
        <v>3365</v>
      </c>
      <c r="L59" s="169" t="s">
        <v>4935</v>
      </c>
      <c r="M59" s="58"/>
    </row>
    <row r="60" spans="1:13" ht="15">
      <c r="A60" s="153">
        <v>58</v>
      </c>
      <c r="B60" s="53" t="s">
        <v>565</v>
      </c>
      <c r="C60" s="126" t="s">
        <v>17</v>
      </c>
      <c r="D60" s="55">
        <v>2</v>
      </c>
      <c r="E60" s="52" t="s">
        <v>2391</v>
      </c>
      <c r="F60" s="126" t="s">
        <v>18</v>
      </c>
      <c r="G60" s="126" t="s">
        <v>1667</v>
      </c>
      <c r="H60" s="127">
        <v>2</v>
      </c>
      <c r="I60" s="49" t="s">
        <v>2449</v>
      </c>
      <c r="J60" s="52">
        <v>2</v>
      </c>
      <c r="K60" s="169" t="s">
        <v>3365</v>
      </c>
      <c r="L60" s="169" t="s">
        <v>4936</v>
      </c>
      <c r="M60" s="58"/>
    </row>
    <row r="61" spans="1:13" ht="15">
      <c r="A61" s="153">
        <v>59</v>
      </c>
      <c r="B61" s="59" t="s">
        <v>2358</v>
      </c>
      <c r="C61" s="126" t="s">
        <v>2360</v>
      </c>
      <c r="D61" s="55">
        <v>1</v>
      </c>
      <c r="E61" s="52" t="s">
        <v>2391</v>
      </c>
      <c r="F61" s="126" t="s">
        <v>18</v>
      </c>
      <c r="G61" s="126" t="s">
        <v>1667</v>
      </c>
      <c r="H61" s="127">
        <v>1</v>
      </c>
      <c r="I61" s="49" t="s">
        <v>2449</v>
      </c>
      <c r="J61" s="52">
        <v>2</v>
      </c>
      <c r="K61" s="169"/>
      <c r="L61" s="169" t="s">
        <v>4937</v>
      </c>
      <c r="M61" s="58"/>
    </row>
    <row r="62" spans="1:13" ht="15">
      <c r="A62" s="153">
        <v>60</v>
      </c>
      <c r="B62" s="53" t="s">
        <v>1077</v>
      </c>
      <c r="C62" s="126" t="s">
        <v>41</v>
      </c>
      <c r="D62" s="55">
        <v>1</v>
      </c>
      <c r="E62" s="52" t="s">
        <v>2391</v>
      </c>
      <c r="F62" s="126" t="s">
        <v>18</v>
      </c>
      <c r="G62" s="126" t="s">
        <v>1667</v>
      </c>
      <c r="H62" s="127">
        <v>1</v>
      </c>
      <c r="I62" s="49" t="s">
        <v>2449</v>
      </c>
      <c r="J62" s="52">
        <v>3</v>
      </c>
      <c r="K62" s="169" t="s">
        <v>3365</v>
      </c>
      <c r="L62" s="169" t="s">
        <v>4938</v>
      </c>
      <c r="M62" s="58"/>
    </row>
    <row r="63" spans="1:13" ht="15">
      <c r="A63" s="153">
        <v>61</v>
      </c>
      <c r="B63" s="53" t="s">
        <v>1745</v>
      </c>
      <c r="C63" s="126" t="s">
        <v>1747</v>
      </c>
      <c r="D63" s="55">
        <v>1</v>
      </c>
      <c r="E63" s="52" t="s">
        <v>2391</v>
      </c>
      <c r="F63" s="126" t="s">
        <v>18</v>
      </c>
      <c r="G63" s="126" t="s">
        <v>1667</v>
      </c>
      <c r="H63" s="127">
        <v>1</v>
      </c>
      <c r="I63" s="49" t="s">
        <v>2449</v>
      </c>
      <c r="J63" s="52"/>
      <c r="K63" s="169" t="s">
        <v>3365</v>
      </c>
      <c r="L63" s="169" t="s">
        <v>4939</v>
      </c>
      <c r="M63" s="58"/>
    </row>
    <row r="64" spans="1:13" ht="15">
      <c r="A64" s="153">
        <v>62</v>
      </c>
      <c r="B64" s="59" t="s">
        <v>2129</v>
      </c>
      <c r="C64" s="126" t="s">
        <v>2131</v>
      </c>
      <c r="D64" s="55">
        <v>1</v>
      </c>
      <c r="E64" s="52" t="s">
        <v>2391</v>
      </c>
      <c r="F64" s="126" t="s">
        <v>18</v>
      </c>
      <c r="G64" s="126" t="s">
        <v>1667</v>
      </c>
      <c r="H64" s="127">
        <v>1</v>
      </c>
      <c r="I64" s="49" t="s">
        <v>2449</v>
      </c>
      <c r="J64" s="52"/>
      <c r="K64" s="169" t="s">
        <v>3365</v>
      </c>
      <c r="L64" s="169" t="s">
        <v>4940</v>
      </c>
      <c r="M64" s="58"/>
    </row>
    <row r="65" spans="1:13" ht="15">
      <c r="A65" s="153">
        <v>63</v>
      </c>
      <c r="B65" s="59" t="s">
        <v>2149</v>
      </c>
      <c r="C65" s="126" t="s">
        <v>2151</v>
      </c>
      <c r="D65" s="55">
        <v>1</v>
      </c>
      <c r="E65" s="52" t="s">
        <v>2391</v>
      </c>
      <c r="F65" s="126" t="s">
        <v>18</v>
      </c>
      <c r="G65" s="126" t="s">
        <v>1667</v>
      </c>
      <c r="H65" s="127">
        <v>1</v>
      </c>
      <c r="I65" s="49" t="s">
        <v>2449</v>
      </c>
      <c r="J65" s="52"/>
      <c r="K65" s="169" t="s">
        <v>3365</v>
      </c>
      <c r="L65" s="169" t="s">
        <v>4941</v>
      </c>
      <c r="M65" s="58"/>
    </row>
    <row r="66" spans="1:13" ht="15">
      <c r="A66" s="153">
        <v>64</v>
      </c>
      <c r="B66" s="63" t="s">
        <v>2152</v>
      </c>
      <c r="C66" s="126" t="s">
        <v>2151</v>
      </c>
      <c r="D66" s="55">
        <v>1</v>
      </c>
      <c r="E66" s="52" t="s">
        <v>2391</v>
      </c>
      <c r="F66" s="126" t="s">
        <v>18</v>
      </c>
      <c r="G66" s="126" t="s">
        <v>1667</v>
      </c>
      <c r="H66" s="127">
        <v>1</v>
      </c>
      <c r="I66" s="49" t="s">
        <v>2449</v>
      </c>
      <c r="J66" s="52"/>
      <c r="K66" s="169" t="s">
        <v>3365</v>
      </c>
      <c r="L66" s="169" t="s">
        <v>4942</v>
      </c>
      <c r="M66" s="58"/>
    </row>
    <row r="67" spans="1:13" ht="15">
      <c r="A67" s="153">
        <v>65</v>
      </c>
      <c r="B67" s="60" t="s">
        <v>2153</v>
      </c>
      <c r="C67" s="126" t="s">
        <v>2151</v>
      </c>
      <c r="D67" s="52">
        <v>1</v>
      </c>
      <c r="E67" s="52" t="s">
        <v>2391</v>
      </c>
      <c r="F67" s="126" t="s">
        <v>18</v>
      </c>
      <c r="G67" s="126" t="s">
        <v>1667</v>
      </c>
      <c r="H67" s="127">
        <v>1</v>
      </c>
      <c r="I67" s="49" t="s">
        <v>2449</v>
      </c>
      <c r="J67" s="52"/>
      <c r="K67" s="169" t="s">
        <v>3365</v>
      </c>
      <c r="L67" s="169" t="s">
        <v>4943</v>
      </c>
      <c r="M67" s="58"/>
    </row>
    <row r="68" spans="1:13" ht="15">
      <c r="A68" s="153">
        <v>66</v>
      </c>
      <c r="B68" s="53" t="s">
        <v>2018</v>
      </c>
      <c r="C68" s="126" t="s">
        <v>1938</v>
      </c>
      <c r="D68" s="55">
        <v>1</v>
      </c>
      <c r="E68" s="52" t="s">
        <v>2391</v>
      </c>
      <c r="F68" s="126" t="s">
        <v>18</v>
      </c>
      <c r="G68" s="126" t="s">
        <v>1667</v>
      </c>
      <c r="H68" s="127">
        <v>1</v>
      </c>
      <c r="I68" s="49" t="s">
        <v>2447</v>
      </c>
      <c r="J68" s="52"/>
      <c r="K68" s="169"/>
      <c r="L68" s="186" t="s">
        <v>4944</v>
      </c>
      <c r="M68" s="58"/>
    </row>
    <row r="69" spans="1:13" ht="15">
      <c r="A69" s="153">
        <v>67</v>
      </c>
      <c r="B69" s="53" t="s">
        <v>1070</v>
      </c>
      <c r="C69" s="126" t="s">
        <v>1072</v>
      </c>
      <c r="D69" s="55">
        <v>1</v>
      </c>
      <c r="E69" s="52" t="s">
        <v>2391</v>
      </c>
      <c r="F69" s="126" t="s">
        <v>18</v>
      </c>
      <c r="G69" s="126" t="s">
        <v>1667</v>
      </c>
      <c r="H69" s="127">
        <v>1</v>
      </c>
      <c r="I69" s="49" t="s">
        <v>2447</v>
      </c>
      <c r="J69" s="52"/>
      <c r="K69" s="169"/>
      <c r="L69" s="169" t="s">
        <v>4945</v>
      </c>
      <c r="M69" s="58"/>
    </row>
    <row r="70" spans="1:13" ht="15">
      <c r="A70" s="153">
        <v>68</v>
      </c>
      <c r="B70" s="53" t="s">
        <v>1073</v>
      </c>
      <c r="C70" s="126" t="s">
        <v>1074</v>
      </c>
      <c r="D70" s="55">
        <v>1</v>
      </c>
      <c r="E70" s="52" t="s">
        <v>2391</v>
      </c>
      <c r="F70" s="126" t="s">
        <v>18</v>
      </c>
      <c r="G70" s="126" t="s">
        <v>1667</v>
      </c>
      <c r="H70" s="127">
        <v>1</v>
      </c>
      <c r="I70" s="49" t="s">
        <v>2447</v>
      </c>
      <c r="J70" s="52"/>
      <c r="K70" s="169"/>
      <c r="L70" s="169" t="s">
        <v>4946</v>
      </c>
      <c r="M70" s="58"/>
    </row>
    <row r="71" spans="1:13" ht="15">
      <c r="A71" s="153">
        <v>69</v>
      </c>
      <c r="B71" s="53" t="s">
        <v>1091</v>
      </c>
      <c r="C71" s="126" t="s">
        <v>913</v>
      </c>
      <c r="D71" s="55">
        <v>1</v>
      </c>
      <c r="E71" s="52" t="s">
        <v>2391</v>
      </c>
      <c r="F71" s="126" t="s">
        <v>18</v>
      </c>
      <c r="G71" s="126" t="s">
        <v>1667</v>
      </c>
      <c r="H71" s="127">
        <v>1</v>
      </c>
      <c r="I71" s="49" t="s">
        <v>2447</v>
      </c>
      <c r="J71" s="52"/>
      <c r="K71" s="169"/>
      <c r="L71" s="186" t="s">
        <v>4947</v>
      </c>
      <c r="M71" s="58"/>
    </row>
    <row r="72" spans="1:13" ht="15">
      <c r="A72" s="153">
        <v>70</v>
      </c>
      <c r="B72" s="53" t="s">
        <v>1898</v>
      </c>
      <c r="C72" s="126" t="s">
        <v>1900</v>
      </c>
      <c r="D72" s="55">
        <v>1</v>
      </c>
      <c r="E72" s="52" t="s">
        <v>2391</v>
      </c>
      <c r="F72" s="126" t="s">
        <v>18</v>
      </c>
      <c r="G72" s="126" t="s">
        <v>1667</v>
      </c>
      <c r="H72" s="127">
        <v>1</v>
      </c>
      <c r="I72" s="49" t="s">
        <v>2511</v>
      </c>
      <c r="J72" s="52"/>
      <c r="K72" s="169"/>
      <c r="L72" s="169" t="s">
        <v>4948</v>
      </c>
      <c r="M72" s="58"/>
    </row>
    <row r="73" spans="1:13" ht="15">
      <c r="A73" s="153">
        <v>71</v>
      </c>
      <c r="B73" s="53" t="s">
        <v>1843</v>
      </c>
      <c r="C73" s="126" t="s">
        <v>1845</v>
      </c>
      <c r="D73" s="55">
        <v>1</v>
      </c>
      <c r="E73" s="52" t="s">
        <v>2385</v>
      </c>
      <c r="F73" s="126" t="s">
        <v>39</v>
      </c>
      <c r="G73" s="126" t="s">
        <v>1667</v>
      </c>
      <c r="H73" s="127">
        <v>1</v>
      </c>
      <c r="I73" s="49" t="s">
        <v>2386</v>
      </c>
      <c r="J73" s="52">
        <v>1</v>
      </c>
      <c r="K73" s="169"/>
      <c r="L73" s="169" t="s">
        <v>4949</v>
      </c>
      <c r="M73" s="58"/>
    </row>
    <row r="74" spans="1:13" ht="15">
      <c r="A74" s="153">
        <v>72</v>
      </c>
      <c r="B74" s="53" t="s">
        <v>1895</v>
      </c>
      <c r="C74" s="126" t="s">
        <v>1896</v>
      </c>
      <c r="D74" s="55">
        <v>1</v>
      </c>
      <c r="E74" s="56" t="s">
        <v>2385</v>
      </c>
      <c r="F74" s="126" t="s">
        <v>39</v>
      </c>
      <c r="G74" s="126" t="s">
        <v>1667</v>
      </c>
      <c r="H74" s="127">
        <v>1</v>
      </c>
      <c r="I74" s="49" t="s">
        <v>2386</v>
      </c>
      <c r="J74" s="52">
        <v>1</v>
      </c>
      <c r="K74" s="169"/>
      <c r="L74" s="169" t="s">
        <v>4950</v>
      </c>
      <c r="M74" s="58"/>
    </row>
    <row r="75" spans="1:13" ht="15">
      <c r="A75" s="153">
        <v>73</v>
      </c>
      <c r="B75" s="53" t="s">
        <v>911</v>
      </c>
      <c r="C75" s="126" t="s">
        <v>913</v>
      </c>
      <c r="D75" s="55">
        <v>1</v>
      </c>
      <c r="E75" s="52" t="s">
        <v>2385</v>
      </c>
      <c r="F75" s="126" t="s">
        <v>39</v>
      </c>
      <c r="G75" s="126" t="s">
        <v>1667</v>
      </c>
      <c r="H75" s="127">
        <v>1</v>
      </c>
      <c r="I75" s="49" t="s">
        <v>2386</v>
      </c>
      <c r="J75" s="52">
        <v>2</v>
      </c>
      <c r="K75" s="169"/>
      <c r="L75" s="169" t="s">
        <v>4951</v>
      </c>
      <c r="M75" s="58"/>
    </row>
    <row r="76" spans="1:13" ht="15">
      <c r="A76" s="153">
        <v>74</v>
      </c>
      <c r="B76" s="53" t="s">
        <v>914</v>
      </c>
      <c r="C76" s="126" t="s">
        <v>913</v>
      </c>
      <c r="D76" s="55">
        <v>1</v>
      </c>
      <c r="E76" s="52" t="s">
        <v>2385</v>
      </c>
      <c r="F76" s="126" t="s">
        <v>39</v>
      </c>
      <c r="G76" s="126" t="s">
        <v>1667</v>
      </c>
      <c r="H76" s="127">
        <v>1</v>
      </c>
      <c r="I76" s="49" t="s">
        <v>2386</v>
      </c>
      <c r="J76" s="57">
        <v>2</v>
      </c>
      <c r="K76" s="170"/>
      <c r="L76" s="170" t="s">
        <v>4952</v>
      </c>
      <c r="M76" s="58"/>
    </row>
    <row r="77" spans="1:13" ht="15">
      <c r="A77" s="153">
        <v>75</v>
      </c>
      <c r="B77" s="59" t="s">
        <v>967</v>
      </c>
      <c r="C77" s="126" t="s">
        <v>41</v>
      </c>
      <c r="D77" s="55">
        <v>1</v>
      </c>
      <c r="E77" s="52" t="s">
        <v>2385</v>
      </c>
      <c r="F77" s="126" t="s">
        <v>39</v>
      </c>
      <c r="G77" s="126" t="s">
        <v>1667</v>
      </c>
      <c r="H77" s="127">
        <v>1</v>
      </c>
      <c r="I77" s="49" t="s">
        <v>2386</v>
      </c>
      <c r="J77" s="52">
        <v>2</v>
      </c>
      <c r="K77" s="169"/>
      <c r="L77" s="169" t="s">
        <v>4953</v>
      </c>
      <c r="M77" s="58"/>
    </row>
    <row r="78" spans="1:13" ht="15">
      <c r="A78" s="153">
        <v>76</v>
      </c>
      <c r="B78" s="59" t="s">
        <v>1044</v>
      </c>
      <c r="C78" s="126" t="s">
        <v>41</v>
      </c>
      <c r="D78" s="55">
        <v>1</v>
      </c>
      <c r="E78" s="52" t="s">
        <v>2385</v>
      </c>
      <c r="F78" s="126" t="s">
        <v>39</v>
      </c>
      <c r="G78" s="126" t="s">
        <v>1667</v>
      </c>
      <c r="H78" s="127">
        <v>1</v>
      </c>
      <c r="I78" s="49" t="s">
        <v>2386</v>
      </c>
      <c r="J78" s="52">
        <v>2</v>
      </c>
      <c r="K78" s="169"/>
      <c r="L78" s="169" t="s">
        <v>4954</v>
      </c>
      <c r="M78" s="58"/>
    </row>
    <row r="79" spans="1:13" ht="15">
      <c r="A79" s="153">
        <v>77</v>
      </c>
      <c r="B79" s="53" t="s">
        <v>1011</v>
      </c>
      <c r="C79" s="126" t="s">
        <v>41</v>
      </c>
      <c r="D79" s="55">
        <v>1</v>
      </c>
      <c r="E79" s="52" t="s">
        <v>2385</v>
      </c>
      <c r="F79" s="126" t="s">
        <v>39</v>
      </c>
      <c r="G79" s="126" t="s">
        <v>1667</v>
      </c>
      <c r="H79" s="127">
        <v>1</v>
      </c>
      <c r="I79" s="49" t="s">
        <v>2386</v>
      </c>
      <c r="J79" s="52">
        <v>3</v>
      </c>
      <c r="K79" s="169"/>
      <c r="L79" s="169" t="s">
        <v>4955</v>
      </c>
      <c r="M79" s="58"/>
    </row>
    <row r="80" spans="1:13" ht="15">
      <c r="A80" s="153">
        <v>78</v>
      </c>
      <c r="B80" s="53" t="s">
        <v>2091</v>
      </c>
      <c r="C80" s="126" t="s">
        <v>1896</v>
      </c>
      <c r="D80" s="55">
        <v>1</v>
      </c>
      <c r="E80" s="52" t="s">
        <v>2385</v>
      </c>
      <c r="F80" s="126" t="s">
        <v>39</v>
      </c>
      <c r="G80" s="126" t="s">
        <v>1667</v>
      </c>
      <c r="H80" s="127">
        <v>1</v>
      </c>
      <c r="I80" s="49" t="s">
        <v>2386</v>
      </c>
      <c r="J80" s="52">
        <v>3</v>
      </c>
      <c r="K80" s="169"/>
      <c r="L80" s="169" t="s">
        <v>4956</v>
      </c>
      <c r="M80" s="58"/>
    </row>
    <row r="81" spans="1:13" ht="15">
      <c r="A81" s="153">
        <v>79</v>
      </c>
      <c r="B81" s="60" t="s">
        <v>1131</v>
      </c>
      <c r="C81" s="126" t="s">
        <v>41</v>
      </c>
      <c r="D81" s="52">
        <v>3</v>
      </c>
      <c r="E81" s="56" t="s">
        <v>2385</v>
      </c>
      <c r="F81" s="126" t="s">
        <v>39</v>
      </c>
      <c r="G81" s="126" t="s">
        <v>1667</v>
      </c>
      <c r="H81" s="127">
        <v>3</v>
      </c>
      <c r="I81" s="49" t="s">
        <v>2386</v>
      </c>
      <c r="J81" s="52">
        <v>4</v>
      </c>
      <c r="K81" s="169"/>
      <c r="L81" s="169" t="s">
        <v>4957</v>
      </c>
      <c r="M81" s="58"/>
    </row>
    <row r="82" spans="1:13" ht="15">
      <c r="A82" s="153">
        <v>80</v>
      </c>
      <c r="B82" s="53" t="s">
        <v>1945</v>
      </c>
      <c r="C82" s="126" t="s">
        <v>1947</v>
      </c>
      <c r="D82" s="55">
        <v>1</v>
      </c>
      <c r="E82" s="52" t="s">
        <v>2385</v>
      </c>
      <c r="F82" s="126" t="s">
        <v>39</v>
      </c>
      <c r="G82" s="126" t="s">
        <v>1667</v>
      </c>
      <c r="H82" s="127">
        <v>1</v>
      </c>
      <c r="I82" s="49" t="s">
        <v>2386</v>
      </c>
      <c r="J82" s="52"/>
      <c r="K82" s="169"/>
      <c r="L82" s="169" t="s">
        <v>4958</v>
      </c>
      <c r="M82" s="58"/>
    </row>
    <row r="83" spans="1:13" ht="15">
      <c r="A83" s="153">
        <v>81</v>
      </c>
      <c r="B83" s="53" t="s">
        <v>1948</v>
      </c>
      <c r="C83" s="126" t="s">
        <v>1947</v>
      </c>
      <c r="D83" s="55">
        <v>1</v>
      </c>
      <c r="E83" s="52" t="s">
        <v>2385</v>
      </c>
      <c r="F83" s="126" t="s">
        <v>39</v>
      </c>
      <c r="G83" s="126" t="s">
        <v>1667</v>
      </c>
      <c r="H83" s="127">
        <v>1</v>
      </c>
      <c r="I83" s="49" t="s">
        <v>2386</v>
      </c>
      <c r="J83" s="52"/>
      <c r="K83" s="169"/>
      <c r="L83" s="169" t="s">
        <v>4959</v>
      </c>
      <c r="M83" s="58"/>
    </row>
    <row r="84" spans="1:13" ht="15">
      <c r="A84" s="153">
        <v>82</v>
      </c>
      <c r="B84" s="53" t="s">
        <v>1027</v>
      </c>
      <c r="C84" s="126" t="s">
        <v>1029</v>
      </c>
      <c r="D84" s="55">
        <v>1</v>
      </c>
      <c r="E84" s="52" t="s">
        <v>2385</v>
      </c>
      <c r="F84" s="126" t="s">
        <v>39</v>
      </c>
      <c r="G84" s="126" t="s">
        <v>1667</v>
      </c>
      <c r="H84" s="127">
        <v>1</v>
      </c>
      <c r="I84" s="49" t="s">
        <v>2386</v>
      </c>
      <c r="J84" s="52"/>
      <c r="K84" s="169"/>
      <c r="L84" s="169" t="s">
        <v>4960</v>
      </c>
      <c r="M84" s="58"/>
    </row>
    <row r="85" spans="1:13" ht="15">
      <c r="A85" s="153">
        <v>83</v>
      </c>
      <c r="B85" s="53" t="s">
        <v>4961</v>
      </c>
      <c r="C85" s="126" t="s">
        <v>1848</v>
      </c>
      <c r="D85" s="55">
        <v>1</v>
      </c>
      <c r="E85" s="52" t="s">
        <v>2385</v>
      </c>
      <c r="F85" s="126" t="s">
        <v>39</v>
      </c>
      <c r="G85" s="126" t="s">
        <v>1667</v>
      </c>
      <c r="H85" s="127">
        <v>1</v>
      </c>
      <c r="I85" s="49" t="s">
        <v>2386</v>
      </c>
      <c r="J85" s="52"/>
      <c r="K85" s="169"/>
      <c r="L85" s="169" t="s">
        <v>4962</v>
      </c>
      <c r="M85" s="58"/>
    </row>
    <row r="86" spans="1:13" ht="15">
      <c r="A86" s="153">
        <v>84</v>
      </c>
      <c r="B86" s="53" t="s">
        <v>1313</v>
      </c>
      <c r="C86" s="126" t="s">
        <v>1315</v>
      </c>
      <c r="D86" s="55">
        <v>1</v>
      </c>
      <c r="E86" s="52" t="s">
        <v>2385</v>
      </c>
      <c r="F86" s="126" t="s">
        <v>39</v>
      </c>
      <c r="G86" s="126" t="s">
        <v>1667</v>
      </c>
      <c r="H86" s="127">
        <v>1</v>
      </c>
      <c r="I86" s="49" t="s">
        <v>3382</v>
      </c>
      <c r="J86" s="52"/>
      <c r="K86" s="169"/>
      <c r="L86" s="169" t="s">
        <v>4963</v>
      </c>
      <c r="M86" s="58"/>
    </row>
    <row r="87" spans="1:13" ht="15">
      <c r="A87" s="153">
        <v>85</v>
      </c>
      <c r="B87" s="53" t="s">
        <v>2033</v>
      </c>
      <c r="C87" s="126" t="s">
        <v>2034</v>
      </c>
      <c r="D87" s="55">
        <v>1</v>
      </c>
      <c r="E87" s="52" t="s">
        <v>2385</v>
      </c>
      <c r="F87" s="126" t="s">
        <v>39</v>
      </c>
      <c r="G87" s="126" t="s">
        <v>1667</v>
      </c>
      <c r="H87" s="127">
        <v>1</v>
      </c>
      <c r="I87" s="49" t="s">
        <v>3382</v>
      </c>
      <c r="J87" s="52"/>
      <c r="K87" s="169"/>
      <c r="L87" s="169" t="s">
        <v>4964</v>
      </c>
      <c r="M87" s="58"/>
    </row>
    <row r="88" spans="1:13" ht="15">
      <c r="A88" s="153">
        <v>86</v>
      </c>
      <c r="B88" s="59" t="s">
        <v>2118</v>
      </c>
      <c r="C88" s="126" t="s">
        <v>2034</v>
      </c>
      <c r="D88" s="55">
        <v>1</v>
      </c>
      <c r="E88" s="52" t="s">
        <v>2385</v>
      </c>
      <c r="F88" s="126" t="s">
        <v>39</v>
      </c>
      <c r="G88" s="126" t="s">
        <v>1667</v>
      </c>
      <c r="H88" s="127">
        <v>1</v>
      </c>
      <c r="I88" s="49" t="s">
        <v>3382</v>
      </c>
      <c r="J88" s="52"/>
      <c r="K88" s="169"/>
      <c r="L88" s="169" t="s">
        <v>4965</v>
      </c>
      <c r="M88" s="58"/>
    </row>
    <row r="89" spans="1:13" ht="15">
      <c r="A89" s="153">
        <v>87</v>
      </c>
      <c r="B89" s="53" t="s">
        <v>1033</v>
      </c>
      <c r="C89" s="126" t="s">
        <v>41</v>
      </c>
      <c r="D89" s="55">
        <v>4</v>
      </c>
      <c r="E89" s="52" t="s">
        <v>2385</v>
      </c>
      <c r="F89" s="126" t="s">
        <v>39</v>
      </c>
      <c r="G89" s="126" t="s">
        <v>1667</v>
      </c>
      <c r="H89" s="127">
        <v>4</v>
      </c>
      <c r="I89" s="49" t="s">
        <v>3384</v>
      </c>
      <c r="J89" s="52"/>
      <c r="K89" s="169"/>
      <c r="L89" s="169" t="s">
        <v>4966</v>
      </c>
      <c r="M89" s="58"/>
    </row>
    <row r="90" spans="1:13" ht="15">
      <c r="A90" s="153">
        <v>88</v>
      </c>
      <c r="B90" s="59" t="s">
        <v>1829</v>
      </c>
      <c r="C90" s="126" t="s">
        <v>1831</v>
      </c>
      <c r="D90" s="55">
        <v>1</v>
      </c>
      <c r="E90" s="52" t="s">
        <v>2417</v>
      </c>
      <c r="F90" s="126" t="s">
        <v>39</v>
      </c>
      <c r="G90" s="126" t="s">
        <v>1667</v>
      </c>
      <c r="H90" s="127">
        <v>1</v>
      </c>
      <c r="I90" s="49" t="s">
        <v>2418</v>
      </c>
      <c r="J90" s="52"/>
      <c r="K90" s="169"/>
      <c r="L90" s="169" t="s">
        <v>4967</v>
      </c>
      <c r="M90" s="58"/>
    </row>
    <row r="91" spans="1:13" ht="15">
      <c r="A91" s="153">
        <v>89</v>
      </c>
      <c r="B91" s="53" t="s">
        <v>1253</v>
      </c>
      <c r="C91" s="126" t="s">
        <v>1255</v>
      </c>
      <c r="D91" s="55">
        <v>2</v>
      </c>
      <c r="E91" s="52" t="s">
        <v>2394</v>
      </c>
      <c r="F91" s="126" t="s">
        <v>39</v>
      </c>
      <c r="G91" s="126" t="s">
        <v>1667</v>
      </c>
      <c r="H91" s="127">
        <v>2</v>
      </c>
      <c r="I91" s="49" t="s">
        <v>2425</v>
      </c>
      <c r="J91" s="52">
        <v>2</v>
      </c>
      <c r="K91" s="169"/>
      <c r="L91" s="169" t="s">
        <v>4968</v>
      </c>
      <c r="M91" s="58"/>
    </row>
    <row r="92" spans="1:13" ht="15">
      <c r="A92" s="153">
        <v>90</v>
      </c>
      <c r="B92" s="53" t="s">
        <v>1041</v>
      </c>
      <c r="C92" s="126" t="s">
        <v>1043</v>
      </c>
      <c r="D92" s="55">
        <v>1</v>
      </c>
      <c r="E92" s="52" t="s">
        <v>2394</v>
      </c>
      <c r="F92" s="126" t="s">
        <v>39</v>
      </c>
      <c r="G92" s="126" t="s">
        <v>1667</v>
      </c>
      <c r="H92" s="127">
        <v>1</v>
      </c>
      <c r="I92" s="49" t="s">
        <v>2425</v>
      </c>
      <c r="J92" s="52">
        <v>3</v>
      </c>
      <c r="K92" s="169"/>
      <c r="L92" s="169" t="s">
        <v>4969</v>
      </c>
      <c r="M92" s="58"/>
    </row>
    <row r="93" spans="1:13" ht="15">
      <c r="A93" s="153">
        <v>91</v>
      </c>
      <c r="B93" s="53" t="s">
        <v>976</v>
      </c>
      <c r="C93" s="126" t="s">
        <v>162</v>
      </c>
      <c r="D93" s="55">
        <v>2</v>
      </c>
      <c r="E93" s="52" t="s">
        <v>2394</v>
      </c>
      <c r="F93" s="126" t="s">
        <v>39</v>
      </c>
      <c r="G93" s="126" t="s">
        <v>1667</v>
      </c>
      <c r="H93" s="127">
        <v>2</v>
      </c>
      <c r="I93" s="49" t="s">
        <v>2425</v>
      </c>
      <c r="J93" s="52"/>
      <c r="K93" s="169"/>
      <c r="L93" s="169" t="s">
        <v>4970</v>
      </c>
      <c r="M93" s="58"/>
    </row>
    <row r="94" spans="1:13" ht="15">
      <c r="A94" s="153">
        <v>92</v>
      </c>
      <c r="B94" s="53" t="s">
        <v>2005</v>
      </c>
      <c r="C94" s="126" t="s">
        <v>2007</v>
      </c>
      <c r="D94" s="55">
        <v>1</v>
      </c>
      <c r="E94" s="52" t="s">
        <v>2394</v>
      </c>
      <c r="F94" s="126" t="s">
        <v>39</v>
      </c>
      <c r="G94" s="126" t="s">
        <v>1667</v>
      </c>
      <c r="H94" s="127">
        <v>1</v>
      </c>
      <c r="I94" s="49" t="s">
        <v>2425</v>
      </c>
      <c r="J94" s="52"/>
      <c r="K94" s="169"/>
      <c r="L94" s="169" t="s">
        <v>4971</v>
      </c>
      <c r="M94" s="58"/>
    </row>
    <row r="95" spans="1:13" ht="15">
      <c r="A95" s="153">
        <v>93</v>
      </c>
      <c r="B95" s="53" t="s">
        <v>2079</v>
      </c>
      <c r="C95" s="126" t="s">
        <v>2081</v>
      </c>
      <c r="D95" s="55">
        <v>2</v>
      </c>
      <c r="E95" s="52" t="s">
        <v>2394</v>
      </c>
      <c r="F95" s="126" t="s">
        <v>39</v>
      </c>
      <c r="G95" s="126" t="s">
        <v>1667</v>
      </c>
      <c r="H95" s="127">
        <v>2</v>
      </c>
      <c r="I95" s="49" t="s">
        <v>2425</v>
      </c>
      <c r="J95" s="52"/>
      <c r="K95" s="169"/>
      <c r="L95" s="169" t="s">
        <v>4972</v>
      </c>
      <c r="M95" s="58"/>
    </row>
    <row r="96" spans="1:13" ht="15">
      <c r="A96" s="153">
        <v>94</v>
      </c>
      <c r="B96" s="60" t="s">
        <v>1214</v>
      </c>
      <c r="C96" s="126" t="s">
        <v>1216</v>
      </c>
      <c r="D96" s="52">
        <v>2</v>
      </c>
      <c r="E96" s="52" t="s">
        <v>2394</v>
      </c>
      <c r="F96" s="126" t="s">
        <v>39</v>
      </c>
      <c r="G96" s="126" t="s">
        <v>1667</v>
      </c>
      <c r="H96" s="127">
        <v>2</v>
      </c>
      <c r="I96" s="49" t="s">
        <v>2425</v>
      </c>
      <c r="J96" s="52"/>
      <c r="K96" s="169"/>
      <c r="L96" s="169" t="s">
        <v>4973</v>
      </c>
      <c r="M96" s="58"/>
    </row>
    <row r="97" spans="1:16" ht="15">
      <c r="A97" s="153">
        <v>95</v>
      </c>
      <c r="B97" s="60" t="s">
        <v>2101</v>
      </c>
      <c r="C97" s="126" t="s">
        <v>2103</v>
      </c>
      <c r="D97" s="52">
        <v>1</v>
      </c>
      <c r="E97" s="52" t="s">
        <v>2427</v>
      </c>
      <c r="F97" s="126" t="s">
        <v>39</v>
      </c>
      <c r="G97" s="126" t="s">
        <v>1667</v>
      </c>
      <c r="H97" s="127">
        <v>1</v>
      </c>
      <c r="I97" s="49" t="s">
        <v>2428</v>
      </c>
      <c r="J97" s="52"/>
      <c r="K97" s="169"/>
      <c r="L97" s="169" t="s">
        <v>4974</v>
      </c>
      <c r="M97" s="58"/>
    </row>
    <row r="98" spans="1:16" ht="15">
      <c r="A98" s="153">
        <v>96</v>
      </c>
      <c r="B98" s="60" t="s">
        <v>1010</v>
      </c>
      <c r="C98" s="126" t="s">
        <v>41</v>
      </c>
      <c r="D98" s="52">
        <v>1</v>
      </c>
      <c r="E98" s="52" t="s">
        <v>2437</v>
      </c>
      <c r="F98" s="126" t="s">
        <v>39</v>
      </c>
      <c r="G98" s="126" t="s">
        <v>1667</v>
      </c>
      <c r="H98" s="127">
        <v>1</v>
      </c>
      <c r="I98" s="49" t="s">
        <v>2438</v>
      </c>
      <c r="J98" s="52">
        <v>1</v>
      </c>
      <c r="K98" s="169"/>
      <c r="L98" s="169" t="s">
        <v>4975</v>
      </c>
      <c r="M98" s="49"/>
    </row>
    <row r="99" spans="1:16" ht="15">
      <c r="A99" s="153">
        <v>97</v>
      </c>
      <c r="B99" s="66" t="s">
        <v>1024</v>
      </c>
      <c r="C99" s="126" t="s">
        <v>1026</v>
      </c>
      <c r="D99" s="52">
        <v>1</v>
      </c>
      <c r="E99" s="52" t="s">
        <v>2437</v>
      </c>
      <c r="F99" s="126" t="s">
        <v>39</v>
      </c>
      <c r="G99" s="126" t="s">
        <v>1667</v>
      </c>
      <c r="H99" s="127">
        <v>1</v>
      </c>
      <c r="I99" s="49" t="s">
        <v>2438</v>
      </c>
      <c r="J99" s="52">
        <v>2</v>
      </c>
      <c r="K99" s="169"/>
      <c r="L99" s="169" t="s">
        <v>4976</v>
      </c>
      <c r="M99" s="49"/>
    </row>
    <row r="100" spans="1:16" ht="15">
      <c r="A100" s="153">
        <v>98</v>
      </c>
      <c r="B100" s="60" t="s">
        <v>1805</v>
      </c>
      <c r="C100" s="126" t="s">
        <v>1808</v>
      </c>
      <c r="D100" s="52">
        <v>1</v>
      </c>
      <c r="E100" s="52" t="s">
        <v>2437</v>
      </c>
      <c r="F100" s="126" t="s">
        <v>39</v>
      </c>
      <c r="G100" s="126" t="s">
        <v>1667</v>
      </c>
      <c r="H100" s="127">
        <v>1</v>
      </c>
      <c r="I100" s="49" t="s">
        <v>2438</v>
      </c>
      <c r="J100" s="52">
        <v>3</v>
      </c>
      <c r="K100" s="169" t="s">
        <v>3430</v>
      </c>
      <c r="L100" s="169" t="s">
        <v>4977</v>
      </c>
      <c r="M100" s="49"/>
    </row>
    <row r="101" spans="1:16" ht="15">
      <c r="A101" s="153">
        <v>99</v>
      </c>
      <c r="B101" s="60" t="s">
        <v>1003</v>
      </c>
      <c r="C101" s="126" t="s">
        <v>1005</v>
      </c>
      <c r="D101" s="52">
        <v>1</v>
      </c>
      <c r="E101" s="56" t="s">
        <v>2437</v>
      </c>
      <c r="F101" s="126" t="s">
        <v>39</v>
      </c>
      <c r="G101" s="126" t="s">
        <v>1667</v>
      </c>
      <c r="H101" s="127">
        <v>1</v>
      </c>
      <c r="I101" s="49" t="s">
        <v>2438</v>
      </c>
      <c r="J101" s="49">
        <v>4</v>
      </c>
      <c r="K101" s="169" t="s">
        <v>3435</v>
      </c>
      <c r="L101" s="169" t="s">
        <v>4978</v>
      </c>
      <c r="M101" s="49"/>
    </row>
    <row r="102" spans="1:16" ht="15">
      <c r="A102" s="153">
        <v>100</v>
      </c>
      <c r="B102" s="60" t="s">
        <v>884</v>
      </c>
      <c r="C102" s="126" t="s">
        <v>885</v>
      </c>
      <c r="D102" s="52">
        <v>1</v>
      </c>
      <c r="E102" s="52" t="s">
        <v>2437</v>
      </c>
      <c r="F102" s="126" t="s">
        <v>39</v>
      </c>
      <c r="G102" s="126" t="s">
        <v>1667</v>
      </c>
      <c r="H102" s="127">
        <v>1</v>
      </c>
      <c r="I102" s="49" t="s">
        <v>2438</v>
      </c>
      <c r="J102" s="49"/>
      <c r="K102" s="169"/>
      <c r="L102" s="169" t="s">
        <v>4979</v>
      </c>
      <c r="M102" s="49"/>
    </row>
    <row r="103" spans="1:16" ht="15">
      <c r="A103" s="153">
        <v>101</v>
      </c>
      <c r="B103" s="60" t="s">
        <v>481</v>
      </c>
      <c r="C103" s="126" t="s">
        <v>483</v>
      </c>
      <c r="D103" s="52">
        <v>1</v>
      </c>
      <c r="E103" s="52" t="s">
        <v>2443</v>
      </c>
      <c r="F103" s="126" t="s">
        <v>39</v>
      </c>
      <c r="G103" s="126" t="s">
        <v>1667</v>
      </c>
      <c r="H103" s="127">
        <v>1</v>
      </c>
      <c r="I103" s="49" t="s">
        <v>2444</v>
      </c>
      <c r="J103" s="49">
        <v>3</v>
      </c>
      <c r="K103" s="169"/>
      <c r="L103" s="169" t="s">
        <v>4980</v>
      </c>
      <c r="M103" s="49"/>
    </row>
    <row r="104" spans="1:16" ht="15">
      <c r="A104" s="153">
        <v>102</v>
      </c>
      <c r="B104" s="60" t="s">
        <v>815</v>
      </c>
      <c r="C104" s="126" t="s">
        <v>817</v>
      </c>
      <c r="D104" s="52">
        <v>2</v>
      </c>
      <c r="E104" s="52" t="s">
        <v>2443</v>
      </c>
      <c r="F104" s="126" t="s">
        <v>39</v>
      </c>
      <c r="G104" s="126" t="s">
        <v>1667</v>
      </c>
      <c r="H104" s="127">
        <v>2</v>
      </c>
      <c r="I104" s="49" t="s">
        <v>2444</v>
      </c>
      <c r="J104" s="52">
        <v>4</v>
      </c>
      <c r="K104" s="169"/>
      <c r="L104" s="169" t="s">
        <v>4981</v>
      </c>
      <c r="M104" s="49"/>
    </row>
    <row r="105" spans="1:16" ht="15">
      <c r="A105" s="153">
        <v>103</v>
      </c>
      <c r="B105" s="60" t="s">
        <v>1435</v>
      </c>
      <c r="C105" s="126" t="s">
        <v>512</v>
      </c>
      <c r="D105" s="52">
        <v>1</v>
      </c>
      <c r="E105" s="52" t="s">
        <v>2443</v>
      </c>
      <c r="F105" s="126" t="s">
        <v>39</v>
      </c>
      <c r="G105" s="126" t="s">
        <v>1667</v>
      </c>
      <c r="H105" s="127">
        <v>1</v>
      </c>
      <c r="I105" s="49" t="s">
        <v>2444</v>
      </c>
      <c r="J105" s="52">
        <v>1</v>
      </c>
      <c r="K105" s="169"/>
      <c r="L105" s="169" t="s">
        <v>4982</v>
      </c>
      <c r="M105" s="49"/>
      <c r="O105" s="62"/>
      <c r="P105" s="62"/>
    </row>
    <row r="106" spans="1:16" ht="15">
      <c r="A106" s="153">
        <v>104</v>
      </c>
      <c r="B106" s="60" t="s">
        <v>1244</v>
      </c>
      <c r="C106" s="126" t="s">
        <v>1220</v>
      </c>
      <c r="D106" s="52">
        <v>2</v>
      </c>
      <c r="E106" s="52" t="s">
        <v>2388</v>
      </c>
      <c r="F106" s="126" t="s">
        <v>39</v>
      </c>
      <c r="G106" s="126" t="s">
        <v>1667</v>
      </c>
      <c r="H106" s="127">
        <v>2</v>
      </c>
      <c r="I106" s="49" t="s">
        <v>2492</v>
      </c>
      <c r="J106" s="135">
        <v>2</v>
      </c>
      <c r="K106" s="169"/>
      <c r="L106" s="169" t="s">
        <v>4983</v>
      </c>
      <c r="M106" s="49"/>
    </row>
    <row r="107" spans="1:16" ht="15">
      <c r="A107" s="153">
        <v>105</v>
      </c>
      <c r="B107" s="60" t="s">
        <v>1050</v>
      </c>
      <c r="C107" s="126" t="s">
        <v>1051</v>
      </c>
      <c r="D107" s="52">
        <v>1</v>
      </c>
      <c r="E107" s="52" t="s">
        <v>2388</v>
      </c>
      <c r="F107" s="126" t="s">
        <v>39</v>
      </c>
      <c r="G107" s="126" t="s">
        <v>1667</v>
      </c>
      <c r="H107" s="127">
        <v>1</v>
      </c>
      <c r="I107" s="49" t="s">
        <v>2492</v>
      </c>
      <c r="J107" s="52"/>
      <c r="K107" s="169"/>
      <c r="L107" s="169" t="s">
        <v>4984</v>
      </c>
      <c r="M107" s="49"/>
    </row>
    <row r="108" spans="1:16" ht="15">
      <c r="A108" s="153">
        <v>106</v>
      </c>
      <c r="B108" s="60" t="s">
        <v>1052</v>
      </c>
      <c r="C108" s="126" t="s">
        <v>41</v>
      </c>
      <c r="D108" s="52">
        <v>2</v>
      </c>
      <c r="E108" s="52" t="s">
        <v>2388</v>
      </c>
      <c r="F108" s="126" t="s">
        <v>39</v>
      </c>
      <c r="G108" s="126" t="s">
        <v>1667</v>
      </c>
      <c r="H108" s="127">
        <v>2</v>
      </c>
      <c r="I108" s="49" t="s">
        <v>2492</v>
      </c>
      <c r="J108" s="52"/>
      <c r="K108" s="169"/>
      <c r="L108" s="169" t="s">
        <v>4985</v>
      </c>
      <c r="M108" s="49"/>
    </row>
    <row r="109" spans="1:16" ht="15">
      <c r="A109" s="153">
        <v>107</v>
      </c>
      <c r="B109" s="60" t="s">
        <v>1995</v>
      </c>
      <c r="C109" s="126" t="s">
        <v>1997</v>
      </c>
      <c r="D109" s="52">
        <v>1</v>
      </c>
      <c r="E109" s="52" t="s">
        <v>2388</v>
      </c>
      <c r="F109" s="126" t="s">
        <v>39</v>
      </c>
      <c r="G109" s="126" t="s">
        <v>1667</v>
      </c>
      <c r="H109" s="127">
        <v>1</v>
      </c>
      <c r="I109" s="49" t="s">
        <v>2492</v>
      </c>
      <c r="J109" s="52"/>
      <c r="K109" s="169"/>
      <c r="L109" s="169" t="s">
        <v>4986</v>
      </c>
      <c r="M109" s="49"/>
      <c r="O109" s="62"/>
      <c r="P109" s="62"/>
    </row>
    <row r="110" spans="1:16" ht="15">
      <c r="A110" s="153">
        <v>108</v>
      </c>
      <c r="B110" s="60" t="s">
        <v>1998</v>
      </c>
      <c r="C110" s="126" t="s">
        <v>1997</v>
      </c>
      <c r="D110" s="52">
        <v>1</v>
      </c>
      <c r="E110" s="52" t="s">
        <v>2388</v>
      </c>
      <c r="F110" s="126" t="s">
        <v>39</v>
      </c>
      <c r="G110" s="126" t="s">
        <v>1667</v>
      </c>
      <c r="H110" s="127">
        <v>1</v>
      </c>
      <c r="I110" s="49" t="s">
        <v>2492</v>
      </c>
      <c r="J110" s="52"/>
      <c r="K110" s="169"/>
      <c r="L110" s="169" t="s">
        <v>4987</v>
      </c>
      <c r="M110" s="49"/>
    </row>
    <row r="111" spans="1:16" ht="15">
      <c r="A111" s="153">
        <v>109</v>
      </c>
      <c r="B111" s="60" t="s">
        <v>1143</v>
      </c>
      <c r="C111" s="126" t="s">
        <v>1144</v>
      </c>
      <c r="D111" s="52">
        <v>4</v>
      </c>
      <c r="E111" s="52" t="s">
        <v>2388</v>
      </c>
      <c r="F111" s="126" t="s">
        <v>39</v>
      </c>
      <c r="G111" s="126" t="s">
        <v>1667</v>
      </c>
      <c r="H111" s="127">
        <v>4</v>
      </c>
      <c r="I111" s="49" t="s">
        <v>2492</v>
      </c>
      <c r="J111" s="52"/>
      <c r="K111" s="169"/>
      <c r="L111" s="169" t="s">
        <v>4988</v>
      </c>
      <c r="M111" s="49"/>
    </row>
    <row r="112" spans="1:16" ht="15">
      <c r="A112" s="153">
        <v>110</v>
      </c>
      <c r="B112" s="60" t="s">
        <v>1249</v>
      </c>
      <c r="C112" s="126" t="s">
        <v>1250</v>
      </c>
      <c r="D112" s="52">
        <v>1</v>
      </c>
      <c r="E112" s="52" t="s">
        <v>2388</v>
      </c>
      <c r="F112" s="126" t="s">
        <v>39</v>
      </c>
      <c r="G112" s="126" t="s">
        <v>1667</v>
      </c>
      <c r="H112" s="127">
        <v>1</v>
      </c>
      <c r="I112" s="49" t="s">
        <v>2492</v>
      </c>
      <c r="J112" s="52"/>
      <c r="K112" s="169"/>
      <c r="L112" s="169" t="s">
        <v>4989</v>
      </c>
      <c r="M112" s="49"/>
    </row>
    <row r="113" spans="1:13" ht="15">
      <c r="A113" s="153">
        <v>111</v>
      </c>
      <c r="B113" s="60" t="s">
        <v>1251</v>
      </c>
      <c r="C113" s="126" t="s">
        <v>1250</v>
      </c>
      <c r="D113" s="52">
        <v>1</v>
      </c>
      <c r="E113" s="52" t="s">
        <v>2388</v>
      </c>
      <c r="F113" s="126" t="s">
        <v>39</v>
      </c>
      <c r="G113" s="126" t="s">
        <v>1667</v>
      </c>
      <c r="H113" s="127">
        <v>1</v>
      </c>
      <c r="I113" s="49" t="s">
        <v>2492</v>
      </c>
      <c r="J113" s="49"/>
      <c r="K113" s="169"/>
      <c r="L113" s="169" t="s">
        <v>4990</v>
      </c>
      <c r="M113" s="49"/>
    </row>
    <row r="114" spans="1:13" ht="15">
      <c r="A114" s="153">
        <v>112</v>
      </c>
      <c r="B114" s="60" t="s">
        <v>1269</v>
      </c>
      <c r="C114" s="126" t="s">
        <v>558</v>
      </c>
      <c r="D114" s="52">
        <v>2</v>
      </c>
      <c r="E114" s="52" t="s">
        <v>2388</v>
      </c>
      <c r="F114" s="126" t="s">
        <v>39</v>
      </c>
      <c r="G114" s="126" t="s">
        <v>1667</v>
      </c>
      <c r="H114" s="127">
        <v>2</v>
      </c>
      <c r="I114" s="49" t="s">
        <v>2492</v>
      </c>
      <c r="J114" s="52"/>
      <c r="K114" s="169"/>
      <c r="L114" s="169" t="s">
        <v>4991</v>
      </c>
      <c r="M114" s="49"/>
    </row>
    <row r="115" spans="1:13" ht="15">
      <c r="A115" s="153">
        <v>113</v>
      </c>
      <c r="B115" s="60" t="s">
        <v>1935</v>
      </c>
      <c r="C115" s="126" t="s">
        <v>1937</v>
      </c>
      <c r="D115" s="52">
        <v>2</v>
      </c>
      <c r="E115" s="52" t="s">
        <v>2388</v>
      </c>
      <c r="F115" s="126" t="s">
        <v>39</v>
      </c>
      <c r="G115" s="126" t="s">
        <v>1667</v>
      </c>
      <c r="H115" s="127">
        <v>2</v>
      </c>
      <c r="I115" s="49" t="s">
        <v>2389</v>
      </c>
      <c r="J115" s="52"/>
      <c r="K115" s="169"/>
      <c r="L115" s="169" t="s">
        <v>4992</v>
      </c>
      <c r="M115" s="49"/>
    </row>
    <row r="116" spans="1:13" ht="15">
      <c r="A116" s="153">
        <v>114</v>
      </c>
      <c r="B116" s="60" t="s">
        <v>1211</v>
      </c>
      <c r="C116" s="126" t="s">
        <v>1144</v>
      </c>
      <c r="D116" s="52">
        <v>4</v>
      </c>
      <c r="E116" s="52" t="s">
        <v>2388</v>
      </c>
      <c r="F116" s="126" t="s">
        <v>39</v>
      </c>
      <c r="G116" s="126" t="s">
        <v>1667</v>
      </c>
      <c r="H116" s="127">
        <v>4</v>
      </c>
      <c r="I116" s="49" t="s">
        <v>2389</v>
      </c>
      <c r="J116" s="52"/>
      <c r="K116" s="169"/>
      <c r="L116" s="169" t="s">
        <v>4993</v>
      </c>
      <c r="M116" s="49"/>
    </row>
    <row r="117" spans="1:13" ht="15">
      <c r="A117" s="153">
        <v>115</v>
      </c>
      <c r="B117" s="53" t="s">
        <v>2316</v>
      </c>
      <c r="C117" s="126" t="s">
        <v>2318</v>
      </c>
      <c r="D117" s="55">
        <v>2</v>
      </c>
      <c r="E117" s="52" t="s">
        <v>2388</v>
      </c>
      <c r="F117" s="126" t="s">
        <v>39</v>
      </c>
      <c r="G117" s="126" t="s">
        <v>1667</v>
      </c>
      <c r="H117" s="127">
        <v>2</v>
      </c>
      <c r="I117" s="49" t="s">
        <v>2389</v>
      </c>
      <c r="J117" s="52"/>
      <c r="K117" s="169"/>
      <c r="L117" s="169" t="s">
        <v>4994</v>
      </c>
      <c r="M117" s="58"/>
    </row>
    <row r="118" spans="1:13" ht="15">
      <c r="A118" s="153">
        <v>116</v>
      </c>
      <c r="B118" s="60" t="s">
        <v>1219</v>
      </c>
      <c r="C118" s="126" t="s">
        <v>1220</v>
      </c>
      <c r="D118" s="52">
        <v>2</v>
      </c>
      <c r="E118" s="52" t="s">
        <v>2388</v>
      </c>
      <c r="F118" s="126" t="s">
        <v>39</v>
      </c>
      <c r="G118" s="126" t="s">
        <v>1667</v>
      </c>
      <c r="H118" s="127">
        <v>2</v>
      </c>
      <c r="I118" s="49" t="s">
        <v>2389</v>
      </c>
      <c r="J118" s="49"/>
      <c r="K118" s="169"/>
      <c r="L118" s="169" t="s">
        <v>4995</v>
      </c>
      <c r="M118" s="49"/>
    </row>
    <row r="119" spans="1:13" ht="15">
      <c r="A119" s="153">
        <v>117</v>
      </c>
      <c r="B119" s="53" t="s">
        <v>1258</v>
      </c>
      <c r="C119" s="126" t="s">
        <v>1248</v>
      </c>
      <c r="D119" s="55">
        <v>2</v>
      </c>
      <c r="E119" s="56" t="s">
        <v>2388</v>
      </c>
      <c r="F119" s="126" t="s">
        <v>39</v>
      </c>
      <c r="G119" s="126" t="s">
        <v>1667</v>
      </c>
      <c r="H119" s="127">
        <v>2</v>
      </c>
      <c r="I119" s="49" t="s">
        <v>2389</v>
      </c>
      <c r="J119" s="52"/>
      <c r="K119" s="169"/>
      <c r="L119" s="169" t="s">
        <v>4996</v>
      </c>
      <c r="M119" s="58"/>
    </row>
    <row r="120" spans="1:13" ht="15">
      <c r="A120" s="153">
        <v>118</v>
      </c>
      <c r="B120" s="53" t="s">
        <v>872</v>
      </c>
      <c r="C120" s="126" t="s">
        <v>874</v>
      </c>
      <c r="D120" s="55">
        <v>4</v>
      </c>
      <c r="E120" s="56" t="s">
        <v>2391</v>
      </c>
      <c r="F120" s="126" t="s">
        <v>39</v>
      </c>
      <c r="G120" s="126" t="s">
        <v>1667</v>
      </c>
      <c r="H120" s="127">
        <v>4</v>
      </c>
      <c r="I120" s="49" t="s">
        <v>2511</v>
      </c>
      <c r="J120" s="52">
        <v>2</v>
      </c>
      <c r="K120" s="169"/>
      <c r="L120" s="169" t="s">
        <v>4997</v>
      </c>
      <c r="M120" s="58"/>
    </row>
    <row r="121" spans="1:13" ht="15">
      <c r="A121" s="153">
        <v>119</v>
      </c>
      <c r="B121" s="53" t="s">
        <v>971</v>
      </c>
      <c r="C121" s="126" t="s">
        <v>972</v>
      </c>
      <c r="D121" s="55">
        <v>1</v>
      </c>
      <c r="E121" s="56" t="s">
        <v>2391</v>
      </c>
      <c r="F121" s="126" t="s">
        <v>39</v>
      </c>
      <c r="G121" s="126" t="s">
        <v>1667</v>
      </c>
      <c r="H121" s="127">
        <v>1</v>
      </c>
      <c r="I121" s="49" t="s">
        <v>2511</v>
      </c>
      <c r="J121" s="52">
        <v>2</v>
      </c>
      <c r="K121" s="169"/>
      <c r="L121" s="169" t="s">
        <v>4998</v>
      </c>
      <c r="M121" s="58"/>
    </row>
    <row r="122" spans="1:13" ht="15">
      <c r="A122" s="153">
        <v>120</v>
      </c>
      <c r="B122" s="53" t="s">
        <v>2037</v>
      </c>
      <c r="C122" s="126" t="s">
        <v>2039</v>
      </c>
      <c r="D122" s="55">
        <v>1</v>
      </c>
      <c r="E122" s="56" t="s">
        <v>2391</v>
      </c>
      <c r="F122" s="126" t="s">
        <v>39</v>
      </c>
      <c r="G122" s="126" t="s">
        <v>1667</v>
      </c>
      <c r="H122" s="127">
        <v>1</v>
      </c>
      <c r="I122" s="49" t="s">
        <v>2511</v>
      </c>
      <c r="J122" s="52"/>
      <c r="K122" s="170"/>
      <c r="L122" s="170" t="s">
        <v>4999</v>
      </c>
      <c r="M122" s="58"/>
    </row>
    <row r="123" spans="1:13" ht="15">
      <c r="A123" s="153">
        <v>121</v>
      </c>
      <c r="B123" s="60" t="s">
        <v>2108</v>
      </c>
      <c r="C123" s="126" t="s">
        <v>2110</v>
      </c>
      <c r="D123" s="52">
        <v>1</v>
      </c>
      <c r="E123" s="52" t="s">
        <v>2391</v>
      </c>
      <c r="F123" s="126" t="s">
        <v>39</v>
      </c>
      <c r="G123" s="126" t="s">
        <v>1667</v>
      </c>
      <c r="H123" s="127">
        <v>1</v>
      </c>
      <c r="I123" s="49" t="s">
        <v>2511</v>
      </c>
      <c r="J123" s="49"/>
      <c r="K123" s="169"/>
      <c r="L123" s="169" t="s">
        <v>5000</v>
      </c>
      <c r="M123" s="49"/>
    </row>
    <row r="124" spans="1:13" ht="15">
      <c r="A124" s="153">
        <v>122</v>
      </c>
      <c r="B124" s="53" t="s">
        <v>2088</v>
      </c>
      <c r="C124" s="126" t="s">
        <v>1896</v>
      </c>
      <c r="D124" s="55">
        <v>1</v>
      </c>
      <c r="E124" s="56" t="s">
        <v>2391</v>
      </c>
      <c r="F124" s="126" t="s">
        <v>39</v>
      </c>
      <c r="G124" s="126" t="s">
        <v>1667</v>
      </c>
      <c r="H124" s="127">
        <v>1</v>
      </c>
      <c r="I124" s="49" t="s">
        <v>2449</v>
      </c>
      <c r="J124" s="52"/>
      <c r="K124" s="169" t="s">
        <v>3365</v>
      </c>
      <c r="L124" s="169" t="s">
        <v>5001</v>
      </c>
      <c r="M124" s="58"/>
    </row>
    <row r="125" spans="1:13" ht="15">
      <c r="A125" s="153">
        <v>123</v>
      </c>
      <c r="B125" s="54" t="s">
        <v>2089</v>
      </c>
      <c r="C125" s="126" t="s">
        <v>1896</v>
      </c>
      <c r="D125" s="52">
        <v>1</v>
      </c>
      <c r="E125" s="52" t="s">
        <v>2391</v>
      </c>
      <c r="F125" s="126" t="s">
        <v>39</v>
      </c>
      <c r="G125" s="126" t="s">
        <v>1667</v>
      </c>
      <c r="H125" s="127">
        <v>1</v>
      </c>
      <c r="I125" s="49" t="s">
        <v>2449</v>
      </c>
      <c r="J125" s="49"/>
      <c r="K125" s="169" t="s">
        <v>3365</v>
      </c>
      <c r="L125" s="169" t="s">
        <v>5002</v>
      </c>
      <c r="M125" s="49"/>
    </row>
    <row r="126" spans="1:13" ht="15">
      <c r="A126" s="153">
        <v>124</v>
      </c>
      <c r="B126" s="60" t="s">
        <v>2090</v>
      </c>
      <c r="C126" s="126" t="s">
        <v>1896</v>
      </c>
      <c r="D126" s="52">
        <v>1</v>
      </c>
      <c r="E126" s="56" t="s">
        <v>2391</v>
      </c>
      <c r="F126" s="126" t="s">
        <v>39</v>
      </c>
      <c r="G126" s="126" t="s">
        <v>1667</v>
      </c>
      <c r="H126" s="127">
        <v>1</v>
      </c>
      <c r="I126" s="49" t="s">
        <v>2449</v>
      </c>
      <c r="J126" s="49"/>
      <c r="K126" s="169" t="s">
        <v>3365</v>
      </c>
      <c r="L126" s="169" t="s">
        <v>5003</v>
      </c>
      <c r="M126" s="49"/>
    </row>
    <row r="127" spans="1:13" ht="15">
      <c r="A127" s="153">
        <v>125</v>
      </c>
      <c r="B127" s="60" t="s">
        <v>3471</v>
      </c>
      <c r="C127" s="126" t="s">
        <v>775</v>
      </c>
      <c r="D127" s="52">
        <v>1</v>
      </c>
      <c r="E127" s="52" t="s">
        <v>2443</v>
      </c>
      <c r="F127" s="126" t="s">
        <v>39</v>
      </c>
      <c r="G127" s="126" t="s">
        <v>1667</v>
      </c>
      <c r="H127" s="127">
        <v>1</v>
      </c>
      <c r="I127" s="49" t="s">
        <v>2444</v>
      </c>
      <c r="J127" s="49"/>
      <c r="K127" s="169"/>
      <c r="L127" s="169" t="s">
        <v>5004</v>
      </c>
      <c r="M127" s="49"/>
    </row>
    <row r="128" spans="1:13" ht="15">
      <c r="A128" s="153">
        <v>126</v>
      </c>
      <c r="B128" s="59" t="s">
        <v>813</v>
      </c>
      <c r="C128" s="126" t="s">
        <v>814</v>
      </c>
      <c r="D128" s="55">
        <v>1</v>
      </c>
      <c r="E128" s="56" t="s">
        <v>2385</v>
      </c>
      <c r="F128" s="126" t="s">
        <v>12</v>
      </c>
      <c r="G128" s="126" t="s">
        <v>1667</v>
      </c>
      <c r="H128" s="127">
        <v>1</v>
      </c>
      <c r="I128" s="49" t="s">
        <v>2386</v>
      </c>
      <c r="J128" s="52">
        <v>2</v>
      </c>
      <c r="K128" s="169"/>
      <c r="L128" s="169" t="s">
        <v>5005</v>
      </c>
      <c r="M128" s="58"/>
    </row>
    <row r="129" spans="1:16" ht="15">
      <c r="A129" s="153">
        <v>127</v>
      </c>
      <c r="B129" s="53" t="s">
        <v>831</v>
      </c>
      <c r="C129" s="126" t="s">
        <v>833</v>
      </c>
      <c r="D129" s="55">
        <v>1</v>
      </c>
      <c r="E129" s="56" t="s">
        <v>2385</v>
      </c>
      <c r="F129" s="126" t="s">
        <v>12</v>
      </c>
      <c r="G129" s="126" t="s">
        <v>1667</v>
      </c>
      <c r="H129" s="127">
        <v>1</v>
      </c>
      <c r="I129" s="49" t="s">
        <v>2386</v>
      </c>
      <c r="J129" s="52">
        <v>2</v>
      </c>
      <c r="K129" s="169"/>
      <c r="L129" s="169" t="s">
        <v>5006</v>
      </c>
      <c r="M129" s="58"/>
      <c r="O129" s="62"/>
      <c r="P129" s="62"/>
    </row>
    <row r="130" spans="1:16" ht="15">
      <c r="A130" s="153">
        <v>128</v>
      </c>
      <c r="B130" s="59" t="s">
        <v>896</v>
      </c>
      <c r="C130" s="126" t="s">
        <v>898</v>
      </c>
      <c r="D130" s="55">
        <v>1</v>
      </c>
      <c r="E130" s="56" t="s">
        <v>2385</v>
      </c>
      <c r="F130" s="126" t="s">
        <v>12</v>
      </c>
      <c r="G130" s="126" t="s">
        <v>1667</v>
      </c>
      <c r="H130" s="127">
        <v>1</v>
      </c>
      <c r="I130" s="49" t="s">
        <v>2386</v>
      </c>
      <c r="J130" s="52">
        <v>2</v>
      </c>
      <c r="K130" s="169"/>
      <c r="L130" s="169" t="s">
        <v>5007</v>
      </c>
      <c r="M130" s="58"/>
    </row>
    <row r="131" spans="1:16" ht="15">
      <c r="A131" s="153">
        <v>129</v>
      </c>
      <c r="B131" s="53" t="s">
        <v>907</v>
      </c>
      <c r="C131" s="126" t="s">
        <v>41</v>
      </c>
      <c r="D131" s="55">
        <v>1</v>
      </c>
      <c r="E131" s="56" t="s">
        <v>2385</v>
      </c>
      <c r="F131" s="126" t="s">
        <v>12</v>
      </c>
      <c r="G131" s="126" t="s">
        <v>1667</v>
      </c>
      <c r="H131" s="127">
        <v>1</v>
      </c>
      <c r="I131" s="49" t="s">
        <v>2386</v>
      </c>
      <c r="J131" s="52">
        <v>2</v>
      </c>
      <c r="K131" s="169"/>
      <c r="L131" s="169" t="s">
        <v>5008</v>
      </c>
      <c r="M131" s="58"/>
    </row>
    <row r="132" spans="1:16" ht="15">
      <c r="A132" s="153">
        <v>130</v>
      </c>
      <c r="B132" s="53" t="s">
        <v>1065</v>
      </c>
      <c r="C132" s="126" t="s">
        <v>1066</v>
      </c>
      <c r="D132" s="55">
        <v>2</v>
      </c>
      <c r="E132" s="56" t="s">
        <v>2417</v>
      </c>
      <c r="F132" s="126" t="s">
        <v>12</v>
      </c>
      <c r="G132" s="126" t="s">
        <v>1667</v>
      </c>
      <c r="H132" s="127">
        <v>2</v>
      </c>
      <c r="I132" s="49" t="s">
        <v>2418</v>
      </c>
      <c r="J132" s="52"/>
      <c r="K132" s="169"/>
      <c r="L132" s="169" t="s">
        <v>5009</v>
      </c>
      <c r="M132" s="58"/>
    </row>
    <row r="133" spans="1:16" ht="15">
      <c r="A133" s="153">
        <v>131</v>
      </c>
      <c r="B133" s="53" t="s">
        <v>1261</v>
      </c>
      <c r="C133" s="126" t="s">
        <v>1262</v>
      </c>
      <c r="D133" s="55">
        <v>1</v>
      </c>
      <c r="E133" s="56" t="s">
        <v>2394</v>
      </c>
      <c r="F133" s="126" t="s">
        <v>12</v>
      </c>
      <c r="G133" s="126" t="s">
        <v>1667</v>
      </c>
      <c r="H133" s="127">
        <v>1</v>
      </c>
      <c r="I133" s="49" t="s">
        <v>2425</v>
      </c>
      <c r="J133" s="52">
        <v>1</v>
      </c>
      <c r="K133" s="169"/>
      <c r="L133" s="169" t="s">
        <v>5010</v>
      </c>
      <c r="M133" s="58"/>
    </row>
    <row r="134" spans="1:16" ht="15">
      <c r="A134" s="153">
        <v>132</v>
      </c>
      <c r="B134" s="60" t="s">
        <v>891</v>
      </c>
      <c r="C134" s="126" t="s">
        <v>893</v>
      </c>
      <c r="D134" s="52">
        <v>1</v>
      </c>
      <c r="E134" s="56" t="s">
        <v>2394</v>
      </c>
      <c r="F134" s="126" t="s">
        <v>12</v>
      </c>
      <c r="G134" s="126" t="s">
        <v>1667</v>
      </c>
      <c r="H134" s="127">
        <v>1</v>
      </c>
      <c r="I134" s="49" t="s">
        <v>2425</v>
      </c>
      <c r="J134" s="52">
        <v>3</v>
      </c>
      <c r="K134" s="169"/>
      <c r="L134" s="169" t="s">
        <v>5011</v>
      </c>
      <c r="M134" s="58"/>
    </row>
    <row r="135" spans="1:16" ht="15">
      <c r="A135" s="153">
        <v>133</v>
      </c>
      <c r="B135" s="53" t="s">
        <v>1907</v>
      </c>
      <c r="C135" s="126" t="s">
        <v>1909</v>
      </c>
      <c r="D135" s="55">
        <v>1</v>
      </c>
      <c r="E135" s="56" t="s">
        <v>2394</v>
      </c>
      <c r="F135" s="126" t="s">
        <v>12</v>
      </c>
      <c r="G135" s="126" t="s">
        <v>1667</v>
      </c>
      <c r="H135" s="127">
        <v>1</v>
      </c>
      <c r="I135" s="49" t="s">
        <v>2425</v>
      </c>
      <c r="J135" s="52"/>
      <c r="K135" s="169"/>
      <c r="L135" s="169" t="s">
        <v>5012</v>
      </c>
      <c r="M135" s="58"/>
    </row>
    <row r="136" spans="1:16" ht="15">
      <c r="A136" s="153">
        <v>134</v>
      </c>
      <c r="B136" s="53" t="s">
        <v>2114</v>
      </c>
      <c r="C136" s="126" t="s">
        <v>2116</v>
      </c>
      <c r="D136" s="55">
        <v>2</v>
      </c>
      <c r="E136" s="56" t="s">
        <v>2427</v>
      </c>
      <c r="F136" s="126" t="s">
        <v>12</v>
      </c>
      <c r="G136" s="126" t="s">
        <v>1667</v>
      </c>
      <c r="H136" s="127">
        <v>2</v>
      </c>
      <c r="I136" s="49" t="s">
        <v>2428</v>
      </c>
      <c r="J136" s="52"/>
      <c r="K136" s="169"/>
      <c r="L136" s="169" t="s">
        <v>5013</v>
      </c>
      <c r="M136" s="58"/>
    </row>
    <row r="137" spans="1:16" ht="15">
      <c r="A137" s="153">
        <v>135</v>
      </c>
      <c r="B137" s="53" t="s">
        <v>1002</v>
      </c>
      <c r="C137" s="126" t="s">
        <v>745</v>
      </c>
      <c r="D137" s="55">
        <v>2</v>
      </c>
      <c r="E137" s="56" t="s">
        <v>2437</v>
      </c>
      <c r="F137" s="126" t="s">
        <v>12</v>
      </c>
      <c r="G137" s="126" t="s">
        <v>1667</v>
      </c>
      <c r="H137" s="127">
        <v>2</v>
      </c>
      <c r="I137" s="49" t="s">
        <v>2438</v>
      </c>
      <c r="J137" s="52">
        <v>1</v>
      </c>
      <c r="K137" s="169"/>
      <c r="L137" s="169" t="s">
        <v>5014</v>
      </c>
      <c r="M137" s="58"/>
    </row>
    <row r="138" spans="1:16" ht="15">
      <c r="A138" s="153">
        <v>136</v>
      </c>
      <c r="B138" s="59" t="s">
        <v>1137</v>
      </c>
      <c r="C138" s="126" t="s">
        <v>1139</v>
      </c>
      <c r="D138" s="55">
        <v>1</v>
      </c>
      <c r="E138" s="56" t="s">
        <v>2437</v>
      </c>
      <c r="F138" s="126" t="s">
        <v>12</v>
      </c>
      <c r="G138" s="126" t="s">
        <v>1667</v>
      </c>
      <c r="H138" s="127">
        <v>1</v>
      </c>
      <c r="I138" s="49" t="s">
        <v>2438</v>
      </c>
      <c r="J138" s="52">
        <v>2</v>
      </c>
      <c r="K138" s="169"/>
      <c r="L138" s="169" t="s">
        <v>5015</v>
      </c>
      <c r="M138" s="58"/>
    </row>
    <row r="139" spans="1:16" ht="15">
      <c r="A139" s="153">
        <v>137</v>
      </c>
      <c r="B139" s="53" t="s">
        <v>1159</v>
      </c>
      <c r="C139" s="126" t="s">
        <v>21</v>
      </c>
      <c r="D139" s="55">
        <v>1</v>
      </c>
      <c r="E139" s="56" t="s">
        <v>2437</v>
      </c>
      <c r="F139" s="126" t="s">
        <v>12</v>
      </c>
      <c r="G139" s="126" t="s">
        <v>1667</v>
      </c>
      <c r="H139" s="127">
        <v>1</v>
      </c>
      <c r="I139" s="49" t="s">
        <v>2438</v>
      </c>
      <c r="J139" s="52">
        <v>2</v>
      </c>
      <c r="K139" s="169"/>
      <c r="L139" s="169" t="s">
        <v>5016</v>
      </c>
      <c r="M139" s="58"/>
    </row>
    <row r="140" spans="1:16" ht="15">
      <c r="A140" s="153">
        <v>138</v>
      </c>
      <c r="B140" s="53" t="s">
        <v>894</v>
      </c>
      <c r="C140" s="126" t="s">
        <v>895</v>
      </c>
      <c r="D140" s="55">
        <v>1</v>
      </c>
      <c r="E140" s="56" t="s">
        <v>2437</v>
      </c>
      <c r="F140" s="126" t="s">
        <v>12</v>
      </c>
      <c r="G140" s="126" t="s">
        <v>1667</v>
      </c>
      <c r="H140" s="127">
        <v>1</v>
      </c>
      <c r="I140" s="49" t="s">
        <v>2438</v>
      </c>
      <c r="J140" s="52">
        <v>3</v>
      </c>
      <c r="K140" s="169"/>
      <c r="L140" s="169" t="s">
        <v>5017</v>
      </c>
      <c r="M140" s="58"/>
    </row>
    <row r="141" spans="1:16" ht="15">
      <c r="A141" s="153">
        <v>139</v>
      </c>
      <c r="B141" s="53" t="s">
        <v>1443</v>
      </c>
      <c r="C141" s="126" t="s">
        <v>1967</v>
      </c>
      <c r="D141" s="55">
        <v>1</v>
      </c>
      <c r="E141" s="56" t="s">
        <v>2437</v>
      </c>
      <c r="F141" s="126" t="s">
        <v>12</v>
      </c>
      <c r="G141" s="126" t="s">
        <v>1667</v>
      </c>
      <c r="H141" s="127">
        <v>1</v>
      </c>
      <c r="I141" s="49" t="s">
        <v>2438</v>
      </c>
      <c r="J141" s="52"/>
      <c r="K141" s="169"/>
      <c r="L141" s="186" t="s">
        <v>5018</v>
      </c>
      <c r="M141" s="58"/>
    </row>
    <row r="142" spans="1:16" ht="15">
      <c r="A142" s="153">
        <v>140</v>
      </c>
      <c r="B142" s="59" t="s">
        <v>2104</v>
      </c>
      <c r="C142" s="126" t="s">
        <v>2106</v>
      </c>
      <c r="D142" s="55">
        <v>2</v>
      </c>
      <c r="E142" s="56" t="s">
        <v>2437</v>
      </c>
      <c r="F142" s="126" t="s">
        <v>12</v>
      </c>
      <c r="G142" s="126" t="s">
        <v>1667</v>
      </c>
      <c r="H142" s="127">
        <v>2</v>
      </c>
      <c r="I142" s="49" t="s">
        <v>2438</v>
      </c>
      <c r="J142" s="52"/>
      <c r="K142" s="169" t="s">
        <v>5019</v>
      </c>
      <c r="L142" s="169" t="s">
        <v>5020</v>
      </c>
      <c r="M142" s="58"/>
    </row>
    <row r="143" spans="1:16" ht="15">
      <c r="A143" s="153">
        <v>141</v>
      </c>
      <c r="B143" s="60" t="s">
        <v>2111</v>
      </c>
      <c r="C143" s="126" t="s">
        <v>2113</v>
      </c>
      <c r="D143" s="52">
        <v>1</v>
      </c>
      <c r="E143" s="56" t="s">
        <v>2437</v>
      </c>
      <c r="F143" s="126" t="s">
        <v>12</v>
      </c>
      <c r="G143" s="126" t="s">
        <v>1667</v>
      </c>
      <c r="H143" s="127">
        <v>1</v>
      </c>
      <c r="I143" s="49" t="s">
        <v>2438</v>
      </c>
      <c r="J143" s="52"/>
      <c r="K143" s="169"/>
      <c r="L143" s="169" t="s">
        <v>5021</v>
      </c>
      <c r="M143" s="58"/>
    </row>
    <row r="144" spans="1:16" ht="15">
      <c r="A144" s="153">
        <v>142</v>
      </c>
      <c r="B144" s="60" t="s">
        <v>2137</v>
      </c>
      <c r="C144" s="126" t="s">
        <v>2139</v>
      </c>
      <c r="D144" s="52">
        <v>1</v>
      </c>
      <c r="E144" s="56" t="s">
        <v>2437</v>
      </c>
      <c r="F144" s="126" t="s">
        <v>12</v>
      </c>
      <c r="G144" s="126" t="s">
        <v>1667</v>
      </c>
      <c r="H144" s="127">
        <v>1</v>
      </c>
      <c r="I144" s="49" t="s">
        <v>2438</v>
      </c>
      <c r="J144" s="52"/>
      <c r="K144" s="169"/>
      <c r="L144" s="169" t="s">
        <v>5022</v>
      </c>
      <c r="M144" s="58"/>
    </row>
    <row r="145" spans="1:13" ht="15">
      <c r="A145" s="153">
        <v>143</v>
      </c>
      <c r="B145" s="53" t="s">
        <v>8</v>
      </c>
      <c r="C145" s="126" t="s">
        <v>11</v>
      </c>
      <c r="D145" s="55">
        <v>1</v>
      </c>
      <c r="E145" s="56" t="s">
        <v>2443</v>
      </c>
      <c r="F145" s="126" t="s">
        <v>12</v>
      </c>
      <c r="G145" s="126" t="s">
        <v>1667</v>
      </c>
      <c r="H145" s="127">
        <v>1</v>
      </c>
      <c r="I145" s="49" t="s">
        <v>2444</v>
      </c>
      <c r="J145" s="52">
        <v>3</v>
      </c>
      <c r="K145" s="169"/>
      <c r="L145" s="169" t="s">
        <v>5023</v>
      </c>
      <c r="M145" s="58"/>
    </row>
    <row r="146" spans="1:13" ht="15">
      <c r="A146" s="153">
        <v>144</v>
      </c>
      <c r="B146" s="60" t="s">
        <v>773</v>
      </c>
      <c r="C146" s="126" t="s">
        <v>775</v>
      </c>
      <c r="D146" s="52">
        <v>1</v>
      </c>
      <c r="E146" s="56" t="s">
        <v>2443</v>
      </c>
      <c r="F146" s="126" t="s">
        <v>12</v>
      </c>
      <c r="G146" s="126" t="s">
        <v>1667</v>
      </c>
      <c r="H146" s="127">
        <v>1</v>
      </c>
      <c r="I146" s="49" t="s">
        <v>2444</v>
      </c>
      <c r="J146" s="52">
        <v>3</v>
      </c>
      <c r="K146" s="169"/>
      <c r="L146" s="169" t="s">
        <v>5024</v>
      </c>
      <c r="M146" s="58"/>
    </row>
    <row r="147" spans="1:13" ht="15">
      <c r="A147" s="153">
        <v>145</v>
      </c>
      <c r="B147" s="53" t="s">
        <v>924</v>
      </c>
      <c r="C147" s="126" t="s">
        <v>925</v>
      </c>
      <c r="D147" s="55">
        <v>1</v>
      </c>
      <c r="E147" s="56" t="s">
        <v>2443</v>
      </c>
      <c r="F147" s="126" t="s">
        <v>12</v>
      </c>
      <c r="G147" s="126" t="s">
        <v>1667</v>
      </c>
      <c r="H147" s="127">
        <v>1</v>
      </c>
      <c r="I147" s="49" t="s">
        <v>2444</v>
      </c>
      <c r="J147" s="52">
        <v>3</v>
      </c>
      <c r="K147" s="169"/>
      <c r="L147" s="169" t="s">
        <v>5025</v>
      </c>
      <c r="M147" s="58"/>
    </row>
    <row r="148" spans="1:13" ht="15">
      <c r="A148" s="153">
        <v>146</v>
      </c>
      <c r="B148" s="59" t="s">
        <v>1299</v>
      </c>
      <c r="C148" s="126" t="s">
        <v>1301</v>
      </c>
      <c r="D148" s="55">
        <v>2</v>
      </c>
      <c r="E148" s="56" t="s">
        <v>2443</v>
      </c>
      <c r="F148" s="126" t="s">
        <v>12</v>
      </c>
      <c r="G148" s="126" t="s">
        <v>1667</v>
      </c>
      <c r="H148" s="127">
        <v>2</v>
      </c>
      <c r="I148" s="49" t="s">
        <v>3475</v>
      </c>
      <c r="J148" s="52">
        <v>1</v>
      </c>
      <c r="K148" s="169"/>
      <c r="L148" s="169" t="s">
        <v>5026</v>
      </c>
      <c r="M148" s="58"/>
    </row>
    <row r="149" spans="1:13" ht="15">
      <c r="A149" s="153">
        <v>147</v>
      </c>
      <c r="B149" s="60" t="s">
        <v>992</v>
      </c>
      <c r="C149" s="126" t="s">
        <v>24</v>
      </c>
      <c r="D149" s="52">
        <v>1</v>
      </c>
      <c r="E149" s="56" t="s">
        <v>2443</v>
      </c>
      <c r="F149" s="126" t="s">
        <v>12</v>
      </c>
      <c r="G149" s="126" t="s">
        <v>1667</v>
      </c>
      <c r="H149" s="127">
        <v>1</v>
      </c>
      <c r="I149" s="49" t="s">
        <v>2548</v>
      </c>
      <c r="J149" s="52">
        <v>3</v>
      </c>
      <c r="K149" s="169"/>
      <c r="L149" s="169" t="s">
        <v>5027</v>
      </c>
      <c r="M149" s="58"/>
    </row>
    <row r="150" spans="1:13" ht="15">
      <c r="A150" s="153">
        <v>148</v>
      </c>
      <c r="B150" s="60" t="s">
        <v>544</v>
      </c>
      <c r="C150" s="126" t="s">
        <v>116</v>
      </c>
      <c r="D150" s="52">
        <v>1</v>
      </c>
      <c r="E150" s="56" t="s">
        <v>2388</v>
      </c>
      <c r="F150" s="126" t="s">
        <v>12</v>
      </c>
      <c r="G150" s="126" t="s">
        <v>1667</v>
      </c>
      <c r="H150" s="127">
        <v>1</v>
      </c>
      <c r="I150" s="49" t="s">
        <v>2389</v>
      </c>
      <c r="J150" s="52"/>
      <c r="K150" s="169"/>
      <c r="L150" s="169" t="s">
        <v>5028</v>
      </c>
      <c r="M150" s="58"/>
    </row>
    <row r="151" spans="1:13" ht="15">
      <c r="A151" s="153">
        <v>149</v>
      </c>
      <c r="B151" s="60" t="s">
        <v>879</v>
      </c>
      <c r="C151" s="126" t="s">
        <v>881</v>
      </c>
      <c r="D151" s="52">
        <v>2</v>
      </c>
      <c r="E151" s="52" t="s">
        <v>2391</v>
      </c>
      <c r="F151" s="126" t="s">
        <v>12</v>
      </c>
      <c r="G151" s="126" t="s">
        <v>1667</v>
      </c>
      <c r="H151" s="127">
        <v>2</v>
      </c>
      <c r="I151" s="49" t="s">
        <v>2511</v>
      </c>
      <c r="J151" s="49">
        <v>2</v>
      </c>
      <c r="K151" s="169"/>
      <c r="L151" s="169" t="s">
        <v>5029</v>
      </c>
      <c r="M151" s="49"/>
    </row>
    <row r="152" spans="1:13" ht="15">
      <c r="A152" s="153">
        <v>150</v>
      </c>
      <c r="B152" s="60" t="s">
        <v>1095</v>
      </c>
      <c r="C152" s="126" t="s">
        <v>316</v>
      </c>
      <c r="D152" s="52">
        <v>1</v>
      </c>
      <c r="E152" s="56" t="s">
        <v>2391</v>
      </c>
      <c r="F152" s="126" t="s">
        <v>12</v>
      </c>
      <c r="G152" s="126" t="s">
        <v>1667</v>
      </c>
      <c r="H152" s="127">
        <v>1</v>
      </c>
      <c r="I152" s="49" t="s">
        <v>2511</v>
      </c>
      <c r="J152" s="52">
        <v>2</v>
      </c>
      <c r="K152" s="169"/>
      <c r="L152" s="169" t="s">
        <v>5030</v>
      </c>
      <c r="M152" s="58"/>
    </row>
    <row r="153" spans="1:13" ht="15">
      <c r="A153" s="153">
        <v>151</v>
      </c>
      <c r="B153" s="60" t="s">
        <v>1232</v>
      </c>
      <c r="C153" s="126" t="s">
        <v>560</v>
      </c>
      <c r="D153" s="52">
        <v>4</v>
      </c>
      <c r="E153" s="52" t="s">
        <v>2391</v>
      </c>
      <c r="F153" s="126" t="s">
        <v>12</v>
      </c>
      <c r="G153" s="126" t="s">
        <v>1667</v>
      </c>
      <c r="H153" s="127">
        <v>4</v>
      </c>
      <c r="I153" s="49" t="s">
        <v>2511</v>
      </c>
      <c r="J153" s="49">
        <v>2</v>
      </c>
      <c r="K153" s="169"/>
      <c r="L153" s="169" t="s">
        <v>5031</v>
      </c>
      <c r="M153" s="49"/>
    </row>
    <row r="154" spans="1:13" ht="15">
      <c r="A154" s="153">
        <v>152</v>
      </c>
      <c r="B154" s="60" t="s">
        <v>1270</v>
      </c>
      <c r="C154" s="126" t="s">
        <v>116</v>
      </c>
      <c r="D154" s="52">
        <v>1</v>
      </c>
      <c r="E154" s="52" t="s">
        <v>2391</v>
      </c>
      <c r="F154" s="126" t="s">
        <v>12</v>
      </c>
      <c r="G154" s="126" t="s">
        <v>1667</v>
      </c>
      <c r="H154" s="127">
        <v>1</v>
      </c>
      <c r="I154" s="49" t="s">
        <v>2511</v>
      </c>
      <c r="J154" s="49">
        <v>2</v>
      </c>
      <c r="K154" s="169"/>
      <c r="L154" s="169" t="s">
        <v>5032</v>
      </c>
      <c r="M154" s="49"/>
    </row>
    <row r="155" spans="1:13" ht="15">
      <c r="A155" s="153">
        <v>153</v>
      </c>
      <c r="B155" s="60" t="s">
        <v>1092</v>
      </c>
      <c r="C155" s="126" t="s">
        <v>1094</v>
      </c>
      <c r="D155" s="52">
        <v>1</v>
      </c>
      <c r="E155" s="52" t="s">
        <v>2391</v>
      </c>
      <c r="F155" s="126" t="s">
        <v>12</v>
      </c>
      <c r="G155" s="126" t="s">
        <v>1667</v>
      </c>
      <c r="H155" s="127">
        <v>1</v>
      </c>
      <c r="I155" s="49" t="s">
        <v>2511</v>
      </c>
      <c r="J155" s="49">
        <v>3</v>
      </c>
      <c r="K155" s="169"/>
      <c r="L155" s="169" t="s">
        <v>5033</v>
      </c>
      <c r="M155" s="49"/>
    </row>
    <row r="156" spans="1:13" ht="15">
      <c r="A156" s="153">
        <v>154</v>
      </c>
      <c r="B156" s="60" t="s">
        <v>746</v>
      </c>
      <c r="C156" s="126" t="s">
        <v>41</v>
      </c>
      <c r="D156" s="52">
        <v>1</v>
      </c>
      <c r="E156" s="52" t="s">
        <v>2391</v>
      </c>
      <c r="F156" s="126" t="s">
        <v>12</v>
      </c>
      <c r="G156" s="126" t="s">
        <v>1667</v>
      </c>
      <c r="H156" s="127">
        <v>1</v>
      </c>
      <c r="I156" s="49" t="s">
        <v>2511</v>
      </c>
      <c r="J156" s="49">
        <v>3</v>
      </c>
      <c r="K156" s="169"/>
      <c r="L156" s="169" t="s">
        <v>5034</v>
      </c>
      <c r="M156" s="49"/>
    </row>
    <row r="157" spans="1:13" ht="15">
      <c r="A157" s="153">
        <v>155</v>
      </c>
      <c r="B157" s="60" t="s">
        <v>1330</v>
      </c>
      <c r="C157" s="126" t="s">
        <v>564</v>
      </c>
      <c r="D157" s="52">
        <v>1</v>
      </c>
      <c r="E157" s="52" t="s">
        <v>2391</v>
      </c>
      <c r="F157" s="126" t="s">
        <v>12</v>
      </c>
      <c r="G157" s="126" t="s">
        <v>1667</v>
      </c>
      <c r="H157" s="127">
        <v>1</v>
      </c>
      <c r="I157" s="49" t="s">
        <v>2511</v>
      </c>
      <c r="J157" s="49"/>
      <c r="K157" s="169"/>
      <c r="L157" s="169" t="s">
        <v>5035</v>
      </c>
      <c r="M157" s="49"/>
    </row>
    <row r="158" spans="1:13" ht="15">
      <c r="A158" s="153">
        <v>156</v>
      </c>
      <c r="B158" s="60" t="s">
        <v>2117</v>
      </c>
      <c r="C158" s="126" t="s">
        <v>2116</v>
      </c>
      <c r="D158" s="52">
        <v>2</v>
      </c>
      <c r="E158" s="52" t="s">
        <v>2391</v>
      </c>
      <c r="F158" s="126" t="s">
        <v>12</v>
      </c>
      <c r="G158" s="126" t="s">
        <v>1667</v>
      </c>
      <c r="H158" s="127">
        <v>2</v>
      </c>
      <c r="I158" s="49" t="s">
        <v>2511</v>
      </c>
      <c r="J158" s="49"/>
      <c r="K158" s="169"/>
      <c r="L158" s="169" t="s">
        <v>5036</v>
      </c>
      <c r="M158" s="49"/>
    </row>
    <row r="159" spans="1:13" ht="15">
      <c r="A159" s="153">
        <v>157</v>
      </c>
      <c r="B159" s="59" t="s">
        <v>1239</v>
      </c>
      <c r="C159" s="126" t="s">
        <v>116</v>
      </c>
      <c r="D159" s="55">
        <v>1</v>
      </c>
      <c r="E159" s="56" t="s">
        <v>2391</v>
      </c>
      <c r="F159" s="126" t="s">
        <v>12</v>
      </c>
      <c r="G159" s="126" t="s">
        <v>1667</v>
      </c>
      <c r="H159" s="127">
        <v>1</v>
      </c>
      <c r="I159" s="49" t="s">
        <v>2511</v>
      </c>
      <c r="J159" s="52"/>
      <c r="K159" s="169"/>
      <c r="L159" s="169" t="s">
        <v>5037</v>
      </c>
      <c r="M159" s="58"/>
    </row>
    <row r="160" spans="1:13" ht="15">
      <c r="A160" s="153">
        <v>158</v>
      </c>
      <c r="B160" s="53" t="s">
        <v>1122</v>
      </c>
      <c r="C160" s="126" t="s">
        <v>1124</v>
      </c>
      <c r="D160" s="55">
        <v>1</v>
      </c>
      <c r="E160" s="56" t="s">
        <v>2391</v>
      </c>
      <c r="F160" s="126" t="s">
        <v>12</v>
      </c>
      <c r="G160" s="126" t="s">
        <v>1667</v>
      </c>
      <c r="H160" s="127">
        <v>1</v>
      </c>
      <c r="I160" s="49" t="s">
        <v>2449</v>
      </c>
      <c r="J160" s="52">
        <v>2</v>
      </c>
      <c r="K160" s="169" t="s">
        <v>3365</v>
      </c>
      <c r="L160" s="169" t="s">
        <v>5038</v>
      </c>
      <c r="M160" s="58"/>
    </row>
    <row r="161" spans="1:13" ht="15">
      <c r="A161" s="153">
        <v>159</v>
      </c>
      <c r="B161" s="53" t="s">
        <v>1125</v>
      </c>
      <c r="C161" s="126" t="s">
        <v>1126</v>
      </c>
      <c r="D161" s="55">
        <v>1</v>
      </c>
      <c r="E161" s="56" t="s">
        <v>2391</v>
      </c>
      <c r="F161" s="126" t="s">
        <v>12</v>
      </c>
      <c r="G161" s="126" t="s">
        <v>1667</v>
      </c>
      <c r="H161" s="127">
        <v>1</v>
      </c>
      <c r="I161" s="49" t="s">
        <v>2449</v>
      </c>
      <c r="J161" s="52">
        <v>2</v>
      </c>
      <c r="K161" s="169" t="s">
        <v>3365</v>
      </c>
      <c r="L161" s="169" t="s">
        <v>5039</v>
      </c>
      <c r="M161" s="58"/>
    </row>
    <row r="162" spans="1:13" ht="15">
      <c r="A162" s="153">
        <v>160</v>
      </c>
      <c r="B162" s="53" t="s">
        <v>1088</v>
      </c>
      <c r="C162" s="126" t="s">
        <v>1090</v>
      </c>
      <c r="D162" s="55">
        <v>1</v>
      </c>
      <c r="E162" s="56" t="s">
        <v>2391</v>
      </c>
      <c r="F162" s="126" t="s">
        <v>12</v>
      </c>
      <c r="G162" s="126" t="s">
        <v>1667</v>
      </c>
      <c r="H162" s="127">
        <v>1</v>
      </c>
      <c r="I162" s="49" t="s">
        <v>2447</v>
      </c>
      <c r="J162" s="52"/>
      <c r="K162" s="169"/>
      <c r="L162" s="169" t="s">
        <v>5040</v>
      </c>
      <c r="M162" s="58"/>
    </row>
    <row r="163" spans="1:13" ht="15">
      <c r="A163" s="153">
        <v>161</v>
      </c>
      <c r="B163" s="60" t="s">
        <v>5041</v>
      </c>
      <c r="C163" s="126" t="s">
        <v>5042</v>
      </c>
      <c r="D163" s="52">
        <v>1</v>
      </c>
      <c r="E163" s="56" t="s">
        <v>2443</v>
      </c>
      <c r="F163" s="126" t="s">
        <v>12</v>
      </c>
      <c r="G163" s="126" t="s">
        <v>1667</v>
      </c>
      <c r="H163" s="127">
        <v>1</v>
      </c>
      <c r="I163" s="49" t="s">
        <v>2444</v>
      </c>
      <c r="J163" s="52"/>
      <c r="K163" s="169"/>
      <c r="L163" s="169" t="s">
        <v>5043</v>
      </c>
      <c r="M163" s="58"/>
    </row>
    <row r="164" spans="1:13" ht="15">
      <c r="A164" s="153">
        <v>162</v>
      </c>
      <c r="B164" s="59" t="s">
        <v>515</v>
      </c>
      <c r="C164" s="126" t="s">
        <v>517</v>
      </c>
      <c r="D164" s="55">
        <v>1</v>
      </c>
      <c r="E164" s="56" t="s">
        <v>2385</v>
      </c>
      <c r="F164" s="126" t="s">
        <v>308</v>
      </c>
      <c r="G164" s="126" t="s">
        <v>1667</v>
      </c>
      <c r="H164" s="127">
        <v>1</v>
      </c>
      <c r="I164" s="49" t="s">
        <v>2386</v>
      </c>
      <c r="J164" s="52">
        <v>1</v>
      </c>
      <c r="K164" s="169"/>
      <c r="L164" s="169" t="s">
        <v>5044</v>
      </c>
      <c r="M164" s="58"/>
    </row>
    <row r="165" spans="1:13" ht="15">
      <c r="A165" s="153">
        <v>163</v>
      </c>
      <c r="B165" s="53" t="s">
        <v>954</v>
      </c>
      <c r="C165" s="126" t="s">
        <v>956</v>
      </c>
      <c r="D165" s="55">
        <v>1</v>
      </c>
      <c r="E165" s="56" t="s">
        <v>2385</v>
      </c>
      <c r="F165" s="126" t="s">
        <v>308</v>
      </c>
      <c r="G165" s="126" t="s">
        <v>1667</v>
      </c>
      <c r="H165" s="127">
        <v>1</v>
      </c>
      <c r="I165" s="49" t="s">
        <v>2386</v>
      </c>
      <c r="J165" s="52">
        <v>2</v>
      </c>
      <c r="K165" s="169"/>
      <c r="L165" s="169" t="s">
        <v>5045</v>
      </c>
      <c r="M165" s="58"/>
    </row>
    <row r="166" spans="1:13" ht="15">
      <c r="A166" s="153">
        <v>164</v>
      </c>
      <c r="B166" s="60" t="s">
        <v>518</v>
      </c>
      <c r="C166" s="126" t="s">
        <v>519</v>
      </c>
      <c r="D166" s="55">
        <v>1</v>
      </c>
      <c r="E166" s="56" t="s">
        <v>2385</v>
      </c>
      <c r="F166" s="126" t="s">
        <v>308</v>
      </c>
      <c r="G166" s="126" t="s">
        <v>1667</v>
      </c>
      <c r="H166" s="127">
        <v>1</v>
      </c>
      <c r="I166" s="49" t="s">
        <v>2386</v>
      </c>
      <c r="J166" s="52">
        <v>3</v>
      </c>
      <c r="K166" s="169"/>
      <c r="L166" s="169" t="s">
        <v>5046</v>
      </c>
      <c r="M166" s="58"/>
    </row>
    <row r="167" spans="1:13" ht="15">
      <c r="A167" s="153">
        <v>165</v>
      </c>
      <c r="B167" s="60" t="s">
        <v>821</v>
      </c>
      <c r="C167" s="126" t="s">
        <v>820</v>
      </c>
      <c r="D167" s="52">
        <v>1</v>
      </c>
      <c r="E167" s="56" t="s">
        <v>2427</v>
      </c>
      <c r="F167" s="126" t="s">
        <v>308</v>
      </c>
      <c r="G167" s="126" t="s">
        <v>1667</v>
      </c>
      <c r="H167" s="127">
        <v>1</v>
      </c>
      <c r="I167" s="49" t="s">
        <v>2428</v>
      </c>
      <c r="J167" s="52">
        <v>1</v>
      </c>
      <c r="K167" s="169"/>
      <c r="L167" s="169" t="s">
        <v>5047</v>
      </c>
      <c r="M167" s="58"/>
    </row>
    <row r="168" spans="1:13" ht="15">
      <c r="A168" s="153">
        <v>166</v>
      </c>
      <c r="B168" s="60" t="s">
        <v>1102</v>
      </c>
      <c r="C168" s="126" t="s">
        <v>1103</v>
      </c>
      <c r="D168" s="52">
        <v>1</v>
      </c>
      <c r="E168" s="56" t="s">
        <v>2427</v>
      </c>
      <c r="F168" s="126" t="s">
        <v>308</v>
      </c>
      <c r="G168" s="126" t="s">
        <v>1667</v>
      </c>
      <c r="H168" s="127">
        <v>1</v>
      </c>
      <c r="I168" s="49" t="s">
        <v>2428</v>
      </c>
      <c r="J168" s="52">
        <v>1</v>
      </c>
      <c r="K168" s="169"/>
      <c r="L168" s="169" t="s">
        <v>5048</v>
      </c>
      <c r="M168" s="58"/>
    </row>
    <row r="169" spans="1:13" ht="15">
      <c r="A169" s="153">
        <v>167</v>
      </c>
      <c r="B169" s="60" t="s">
        <v>1104</v>
      </c>
      <c r="C169" s="126" t="s">
        <v>1103</v>
      </c>
      <c r="D169" s="52">
        <v>1</v>
      </c>
      <c r="E169" s="56" t="s">
        <v>2427</v>
      </c>
      <c r="F169" s="126" t="s">
        <v>308</v>
      </c>
      <c r="G169" s="126" t="s">
        <v>1667</v>
      </c>
      <c r="H169" s="127">
        <v>1</v>
      </c>
      <c r="I169" s="49" t="s">
        <v>2428</v>
      </c>
      <c r="J169" s="52">
        <v>1</v>
      </c>
      <c r="K169" s="169"/>
      <c r="L169" s="169" t="s">
        <v>5049</v>
      </c>
      <c r="M169" s="58"/>
    </row>
    <row r="170" spans="1:13" ht="15">
      <c r="A170" s="153">
        <v>168</v>
      </c>
      <c r="B170" s="59" t="s">
        <v>818</v>
      </c>
      <c r="C170" s="126" t="s">
        <v>820</v>
      </c>
      <c r="D170" s="55">
        <v>1</v>
      </c>
      <c r="E170" s="56" t="s">
        <v>2427</v>
      </c>
      <c r="F170" s="126" t="s">
        <v>308</v>
      </c>
      <c r="G170" s="126" t="s">
        <v>1667</v>
      </c>
      <c r="H170" s="127">
        <v>1</v>
      </c>
      <c r="I170" s="49" t="s">
        <v>2428</v>
      </c>
      <c r="J170" s="52">
        <v>4</v>
      </c>
      <c r="K170" s="169"/>
      <c r="L170" s="169" t="s">
        <v>5050</v>
      </c>
      <c r="M170" s="58"/>
    </row>
    <row r="171" spans="1:13" ht="15">
      <c r="A171" s="153">
        <v>169</v>
      </c>
      <c r="B171" s="53" t="s">
        <v>2122</v>
      </c>
      <c r="C171" s="126" t="s">
        <v>1816</v>
      </c>
      <c r="D171" s="55">
        <v>2</v>
      </c>
      <c r="E171" s="56" t="s">
        <v>2427</v>
      </c>
      <c r="F171" s="126" t="s">
        <v>308</v>
      </c>
      <c r="G171" s="126" t="s">
        <v>1667</v>
      </c>
      <c r="H171" s="127">
        <v>2</v>
      </c>
      <c r="I171" s="49" t="s">
        <v>2428</v>
      </c>
      <c r="J171" s="52"/>
      <c r="K171" s="169"/>
      <c r="L171" s="169" t="s">
        <v>5051</v>
      </c>
      <c r="M171" s="58"/>
    </row>
    <row r="172" spans="1:13" ht="15">
      <c r="A172" s="153">
        <v>170</v>
      </c>
      <c r="B172" s="59" t="s">
        <v>1105</v>
      </c>
      <c r="C172" s="126" t="s">
        <v>1107</v>
      </c>
      <c r="D172" s="55">
        <v>1</v>
      </c>
      <c r="E172" s="56" t="s">
        <v>2437</v>
      </c>
      <c r="F172" s="126" t="s">
        <v>308</v>
      </c>
      <c r="G172" s="126" t="s">
        <v>1667</v>
      </c>
      <c r="H172" s="127">
        <v>1</v>
      </c>
      <c r="I172" s="49" t="s">
        <v>2438</v>
      </c>
      <c r="J172" s="52">
        <v>4</v>
      </c>
      <c r="K172" s="169"/>
      <c r="L172" s="169" t="s">
        <v>5052</v>
      </c>
      <c r="M172" s="58"/>
    </row>
    <row r="173" spans="1:13" ht="15">
      <c r="A173" s="153">
        <v>171</v>
      </c>
      <c r="B173" s="59" t="s">
        <v>2041</v>
      </c>
      <c r="C173" s="126" t="s">
        <v>2043</v>
      </c>
      <c r="D173" s="55">
        <v>1</v>
      </c>
      <c r="E173" s="56" t="s">
        <v>2443</v>
      </c>
      <c r="F173" s="126" t="s">
        <v>308</v>
      </c>
      <c r="G173" s="126" t="s">
        <v>1667</v>
      </c>
      <c r="H173" s="127">
        <v>1</v>
      </c>
      <c r="I173" s="49" t="s">
        <v>2548</v>
      </c>
      <c r="J173" s="52">
        <v>1</v>
      </c>
      <c r="K173" s="169"/>
      <c r="L173" s="169" t="s">
        <v>5053</v>
      </c>
      <c r="M173" s="58"/>
    </row>
    <row r="174" spans="1:13" ht="15">
      <c r="A174" s="153">
        <v>172</v>
      </c>
      <c r="B174" s="53" t="s">
        <v>1924</v>
      </c>
      <c r="C174" s="126" t="s">
        <v>1923</v>
      </c>
      <c r="D174" s="55">
        <v>1</v>
      </c>
      <c r="E174" s="56" t="s">
        <v>2443</v>
      </c>
      <c r="F174" s="126" t="s">
        <v>308</v>
      </c>
      <c r="G174" s="126" t="s">
        <v>1667</v>
      </c>
      <c r="H174" s="127">
        <v>1</v>
      </c>
      <c r="I174" s="49" t="s">
        <v>2444</v>
      </c>
      <c r="J174" s="52">
        <v>2</v>
      </c>
      <c r="K174" s="169"/>
      <c r="L174" s="169" t="s">
        <v>5054</v>
      </c>
      <c r="M174" s="58"/>
    </row>
    <row r="175" spans="1:13" ht="15">
      <c r="A175" s="153">
        <v>173</v>
      </c>
      <c r="B175" s="59" t="s">
        <v>1925</v>
      </c>
      <c r="C175" s="126" t="s">
        <v>1926</v>
      </c>
      <c r="D175" s="55">
        <v>1</v>
      </c>
      <c r="E175" s="56" t="s">
        <v>2443</v>
      </c>
      <c r="F175" s="126" t="s">
        <v>308</v>
      </c>
      <c r="G175" s="126" t="s">
        <v>1667</v>
      </c>
      <c r="H175" s="127">
        <v>1</v>
      </c>
      <c r="I175" s="49" t="s">
        <v>2444</v>
      </c>
      <c r="J175" s="52">
        <v>2</v>
      </c>
      <c r="K175" s="169"/>
      <c r="L175" s="169" t="s">
        <v>5055</v>
      </c>
      <c r="M175" s="58"/>
    </row>
    <row r="176" spans="1:13" ht="15">
      <c r="A176" s="153">
        <v>174</v>
      </c>
      <c r="B176" s="59" t="s">
        <v>2040</v>
      </c>
      <c r="C176" s="126" t="s">
        <v>1926</v>
      </c>
      <c r="D176" s="123">
        <v>1</v>
      </c>
      <c r="E176" s="56" t="s">
        <v>2443</v>
      </c>
      <c r="F176" s="126" t="s">
        <v>308</v>
      </c>
      <c r="G176" s="126" t="s">
        <v>1667</v>
      </c>
      <c r="H176" s="127">
        <v>1</v>
      </c>
      <c r="I176" s="49" t="s">
        <v>2444</v>
      </c>
      <c r="J176" s="52">
        <v>2</v>
      </c>
      <c r="K176" s="169"/>
      <c r="L176" s="169" t="s">
        <v>5056</v>
      </c>
      <c r="M176" s="58"/>
    </row>
    <row r="177" spans="1:13" ht="15">
      <c r="A177" s="153">
        <v>175</v>
      </c>
      <c r="B177" s="53" t="s">
        <v>847</v>
      </c>
      <c r="C177" s="126" t="s">
        <v>848</v>
      </c>
      <c r="D177" s="55">
        <v>2</v>
      </c>
      <c r="E177" s="56" t="s">
        <v>2443</v>
      </c>
      <c r="F177" s="126" t="s">
        <v>308</v>
      </c>
      <c r="G177" s="126" t="s">
        <v>1667</v>
      </c>
      <c r="H177" s="127">
        <v>2</v>
      </c>
      <c r="I177" s="49" t="s">
        <v>2444</v>
      </c>
      <c r="J177" s="52">
        <v>3</v>
      </c>
      <c r="K177" s="169"/>
      <c r="L177" s="169" t="s">
        <v>5057</v>
      </c>
      <c r="M177" s="58"/>
    </row>
    <row r="178" spans="1:13" ht="15">
      <c r="A178" s="153">
        <v>176</v>
      </c>
      <c r="B178" s="59" t="s">
        <v>2084</v>
      </c>
      <c r="C178" s="126" t="s">
        <v>2085</v>
      </c>
      <c r="D178" s="55">
        <v>1</v>
      </c>
      <c r="E178" s="56" t="s">
        <v>2443</v>
      </c>
      <c r="F178" s="126" t="s">
        <v>308</v>
      </c>
      <c r="G178" s="126" t="s">
        <v>1667</v>
      </c>
      <c r="H178" s="127">
        <v>1</v>
      </c>
      <c r="I178" s="49" t="s">
        <v>2444</v>
      </c>
      <c r="J178" s="52">
        <v>3</v>
      </c>
      <c r="K178" s="169"/>
      <c r="L178" s="169" t="s">
        <v>5058</v>
      </c>
      <c r="M178" s="58"/>
    </row>
    <row r="179" spans="1:13" ht="15">
      <c r="A179" s="153">
        <v>177</v>
      </c>
      <c r="B179" s="60" t="s">
        <v>834</v>
      </c>
      <c r="C179" s="126" t="s">
        <v>835</v>
      </c>
      <c r="D179" s="52">
        <v>1</v>
      </c>
      <c r="E179" s="56" t="s">
        <v>2443</v>
      </c>
      <c r="F179" s="126" t="s">
        <v>308</v>
      </c>
      <c r="G179" s="126" t="s">
        <v>1667</v>
      </c>
      <c r="H179" s="127">
        <v>1</v>
      </c>
      <c r="I179" s="49" t="s">
        <v>2444</v>
      </c>
      <c r="J179" s="52">
        <v>4</v>
      </c>
      <c r="K179" s="169"/>
      <c r="L179" s="169" t="s">
        <v>5059</v>
      </c>
      <c r="M179" s="58"/>
    </row>
    <row r="180" spans="1:13" ht="15">
      <c r="A180" s="153">
        <v>178</v>
      </c>
      <c r="B180" s="60" t="s">
        <v>953</v>
      </c>
      <c r="C180" s="126" t="s">
        <v>952</v>
      </c>
      <c r="D180" s="52">
        <v>1</v>
      </c>
      <c r="E180" s="56" t="s">
        <v>2443</v>
      </c>
      <c r="F180" s="126" t="s">
        <v>308</v>
      </c>
      <c r="G180" s="126" t="s">
        <v>1667</v>
      </c>
      <c r="H180" s="127">
        <v>1</v>
      </c>
      <c r="I180" s="49" t="s">
        <v>2444</v>
      </c>
      <c r="J180" s="52">
        <v>4</v>
      </c>
      <c r="K180" s="169"/>
      <c r="L180" s="169" t="s">
        <v>5060</v>
      </c>
      <c r="M180" s="58"/>
    </row>
    <row r="181" spans="1:13" ht="15">
      <c r="A181" s="153">
        <v>179</v>
      </c>
      <c r="B181" s="60" t="s">
        <v>1921</v>
      </c>
      <c r="C181" s="126" t="s">
        <v>1923</v>
      </c>
      <c r="D181" s="52">
        <v>1</v>
      </c>
      <c r="E181" s="56" t="s">
        <v>2443</v>
      </c>
      <c r="F181" s="126" t="s">
        <v>308</v>
      </c>
      <c r="G181" s="126" t="s">
        <v>1667</v>
      </c>
      <c r="H181" s="127">
        <v>1</v>
      </c>
      <c r="I181" s="49" t="s">
        <v>2548</v>
      </c>
      <c r="J181" s="52">
        <v>1</v>
      </c>
      <c r="K181" s="169"/>
      <c r="L181" s="169" t="s">
        <v>5061</v>
      </c>
      <c r="M181" s="58"/>
    </row>
    <row r="182" spans="1:13" ht="15">
      <c r="A182" s="153">
        <v>180</v>
      </c>
      <c r="B182" s="60" t="s">
        <v>968</v>
      </c>
      <c r="C182" s="126" t="s">
        <v>970</v>
      </c>
      <c r="D182" s="52">
        <v>1</v>
      </c>
      <c r="E182" s="56" t="s">
        <v>2443</v>
      </c>
      <c r="F182" s="126" t="s">
        <v>308</v>
      </c>
      <c r="G182" s="126" t="s">
        <v>1667</v>
      </c>
      <c r="H182" s="127">
        <v>1</v>
      </c>
      <c r="I182" s="49" t="s">
        <v>2548</v>
      </c>
      <c r="J182" s="52">
        <v>2</v>
      </c>
      <c r="K182" s="169"/>
      <c r="L182" s="169" t="s">
        <v>5062</v>
      </c>
      <c r="M182" s="58"/>
    </row>
    <row r="183" spans="1:13" ht="15">
      <c r="A183" s="153">
        <v>181</v>
      </c>
      <c r="B183" s="60" t="s">
        <v>951</v>
      </c>
      <c r="C183" s="126" t="s">
        <v>952</v>
      </c>
      <c r="D183" s="52">
        <v>1</v>
      </c>
      <c r="E183" s="56" t="s">
        <v>2443</v>
      </c>
      <c r="F183" s="126" t="s">
        <v>308</v>
      </c>
      <c r="G183" s="126" t="s">
        <v>1667</v>
      </c>
      <c r="H183" s="127">
        <v>1</v>
      </c>
      <c r="I183" s="49" t="s">
        <v>2548</v>
      </c>
      <c r="J183" s="52">
        <v>3</v>
      </c>
      <c r="K183" s="169"/>
      <c r="L183" s="169" t="s">
        <v>5063</v>
      </c>
      <c r="M183" s="58"/>
    </row>
    <row r="184" spans="1:13" ht="15">
      <c r="A184" s="153">
        <v>182</v>
      </c>
      <c r="B184" s="60" t="s">
        <v>1140</v>
      </c>
      <c r="C184" s="126" t="s">
        <v>1141</v>
      </c>
      <c r="D184" s="52">
        <v>1</v>
      </c>
      <c r="E184" s="56" t="s">
        <v>2443</v>
      </c>
      <c r="F184" s="126" t="s">
        <v>308</v>
      </c>
      <c r="G184" s="126" t="s">
        <v>1667</v>
      </c>
      <c r="H184" s="127">
        <v>1</v>
      </c>
      <c r="I184" s="49" t="s">
        <v>2548</v>
      </c>
      <c r="J184" s="52">
        <v>3</v>
      </c>
      <c r="K184" s="169"/>
      <c r="L184" s="169" t="s">
        <v>5064</v>
      </c>
      <c r="M184" s="58"/>
    </row>
    <row r="185" spans="1:13" ht="15">
      <c r="A185" s="153">
        <v>183</v>
      </c>
      <c r="B185" s="60" t="s">
        <v>957</v>
      </c>
      <c r="C185" s="126" t="s">
        <v>366</v>
      </c>
      <c r="D185" s="52">
        <v>1</v>
      </c>
      <c r="E185" s="56" t="s">
        <v>2443</v>
      </c>
      <c r="F185" s="126" t="s">
        <v>308</v>
      </c>
      <c r="G185" s="126" t="s">
        <v>1667</v>
      </c>
      <c r="H185" s="127">
        <v>1</v>
      </c>
      <c r="I185" s="49" t="s">
        <v>2548</v>
      </c>
      <c r="J185" s="52">
        <v>4</v>
      </c>
      <c r="K185" s="169"/>
      <c r="L185" s="169" t="s">
        <v>5065</v>
      </c>
      <c r="M185" s="58"/>
    </row>
    <row r="186" spans="1:13" ht="15">
      <c r="A186" s="153">
        <v>184</v>
      </c>
      <c r="B186" s="53" t="s">
        <v>1120</v>
      </c>
      <c r="C186" s="126" t="s">
        <v>1121</v>
      </c>
      <c r="D186" s="55">
        <v>2</v>
      </c>
      <c r="E186" s="56" t="s">
        <v>2391</v>
      </c>
      <c r="F186" s="126" t="s">
        <v>308</v>
      </c>
      <c r="G186" s="126" t="s">
        <v>1667</v>
      </c>
      <c r="H186" s="127">
        <v>2</v>
      </c>
      <c r="I186" s="49" t="s">
        <v>2511</v>
      </c>
      <c r="J186" s="52">
        <v>2</v>
      </c>
      <c r="K186" s="169"/>
      <c r="L186" s="169" t="s">
        <v>5066</v>
      </c>
      <c r="M186" s="58"/>
    </row>
    <row r="187" spans="1:13" ht="15">
      <c r="A187" s="153">
        <v>185</v>
      </c>
      <c r="B187" s="53" t="s">
        <v>1381</v>
      </c>
      <c r="C187" s="126" t="s">
        <v>41</v>
      </c>
      <c r="D187" s="55">
        <v>2</v>
      </c>
      <c r="E187" s="56" t="s">
        <v>2391</v>
      </c>
      <c r="F187" s="126" t="s">
        <v>308</v>
      </c>
      <c r="G187" s="126" t="s">
        <v>1667</v>
      </c>
      <c r="H187" s="127">
        <v>2</v>
      </c>
      <c r="I187" s="49" t="s">
        <v>2511</v>
      </c>
      <c r="J187" s="52">
        <v>2</v>
      </c>
      <c r="K187" s="169" t="s">
        <v>3518</v>
      </c>
      <c r="L187" s="169" t="s">
        <v>5067</v>
      </c>
      <c r="M187" s="58"/>
    </row>
    <row r="188" spans="1:13" ht="15">
      <c r="A188" s="153">
        <v>186</v>
      </c>
      <c r="B188" s="60" t="s">
        <v>1388</v>
      </c>
      <c r="C188" s="126" t="s">
        <v>1389</v>
      </c>
      <c r="D188" s="52">
        <v>1</v>
      </c>
      <c r="E188" s="56" t="s">
        <v>2391</v>
      </c>
      <c r="F188" s="126" t="s">
        <v>308</v>
      </c>
      <c r="G188" s="126" t="s">
        <v>1667</v>
      </c>
      <c r="H188" s="127">
        <v>1</v>
      </c>
      <c r="I188" s="49" t="s">
        <v>2511</v>
      </c>
      <c r="J188" s="52">
        <v>3</v>
      </c>
      <c r="K188" s="169"/>
      <c r="L188" s="169" t="s">
        <v>5068</v>
      </c>
      <c r="M188" s="58"/>
    </row>
    <row r="189" spans="1:13" ht="15">
      <c r="A189" s="153">
        <v>187</v>
      </c>
      <c r="B189" s="60" t="s">
        <v>1981</v>
      </c>
      <c r="C189" s="126" t="s">
        <v>1983</v>
      </c>
      <c r="D189" s="52">
        <v>1</v>
      </c>
      <c r="E189" s="56" t="s">
        <v>2391</v>
      </c>
      <c r="F189" s="126" t="s">
        <v>308</v>
      </c>
      <c r="G189" s="126" t="s">
        <v>1667</v>
      </c>
      <c r="H189" s="127">
        <v>1</v>
      </c>
      <c r="I189" s="49" t="s">
        <v>2511</v>
      </c>
      <c r="J189" s="52"/>
      <c r="K189" s="169"/>
      <c r="L189" s="169" t="s">
        <v>5069</v>
      </c>
      <c r="M189" s="58"/>
    </row>
    <row r="190" spans="1:13" ht="15">
      <c r="A190" s="153">
        <v>188</v>
      </c>
      <c r="B190" s="53" t="s">
        <v>1020</v>
      </c>
      <c r="C190" s="126" t="s">
        <v>1022</v>
      </c>
      <c r="D190" s="55">
        <v>1</v>
      </c>
      <c r="E190" s="56" t="s">
        <v>2437</v>
      </c>
      <c r="F190" s="126" t="s">
        <v>790</v>
      </c>
      <c r="G190" s="126" t="s">
        <v>1667</v>
      </c>
      <c r="H190" s="127">
        <v>1</v>
      </c>
      <c r="I190" s="49" t="s">
        <v>2438</v>
      </c>
      <c r="J190" s="52">
        <v>2</v>
      </c>
      <c r="K190" s="169"/>
      <c r="L190" s="169" t="s">
        <v>5070</v>
      </c>
      <c r="M190" s="58"/>
    </row>
    <row r="191" spans="1:13" ht="15">
      <c r="A191" s="153">
        <v>189</v>
      </c>
      <c r="B191" s="53" t="s">
        <v>2070</v>
      </c>
      <c r="C191" s="126" t="s">
        <v>1988</v>
      </c>
      <c r="D191" s="55">
        <v>1</v>
      </c>
      <c r="E191" s="56" t="s">
        <v>2437</v>
      </c>
      <c r="F191" s="126" t="s">
        <v>790</v>
      </c>
      <c r="G191" s="126" t="s">
        <v>1667</v>
      </c>
      <c r="H191" s="127">
        <v>1</v>
      </c>
      <c r="I191" s="49" t="s">
        <v>2438</v>
      </c>
      <c r="J191" s="52"/>
      <c r="K191" s="169"/>
      <c r="L191" s="169" t="s">
        <v>5071</v>
      </c>
      <c r="M191" s="58"/>
    </row>
    <row r="192" spans="1:13" ht="15">
      <c r="A192" s="153">
        <v>190</v>
      </c>
      <c r="B192" s="53" t="s">
        <v>806</v>
      </c>
      <c r="C192" s="126" t="s">
        <v>808</v>
      </c>
      <c r="D192" s="55">
        <v>1</v>
      </c>
      <c r="E192" s="56" t="s">
        <v>2443</v>
      </c>
      <c r="F192" s="126" t="s">
        <v>790</v>
      </c>
      <c r="G192" s="126" t="s">
        <v>1667</v>
      </c>
      <c r="H192" s="127">
        <v>1</v>
      </c>
      <c r="I192" s="49" t="s">
        <v>2444</v>
      </c>
      <c r="J192" s="52">
        <v>2</v>
      </c>
      <c r="K192" s="169"/>
      <c r="L192" s="169" t="s">
        <v>5072</v>
      </c>
      <c r="M192" s="58"/>
    </row>
    <row r="193" spans="1:16" ht="15">
      <c r="A193" s="153">
        <v>191</v>
      </c>
      <c r="B193" s="53" t="s">
        <v>946</v>
      </c>
      <c r="C193" s="126" t="s">
        <v>947</v>
      </c>
      <c r="D193" s="55">
        <v>1</v>
      </c>
      <c r="E193" s="56" t="s">
        <v>2443</v>
      </c>
      <c r="F193" s="126" t="s">
        <v>790</v>
      </c>
      <c r="G193" s="126" t="s">
        <v>1667</v>
      </c>
      <c r="H193" s="127">
        <v>1</v>
      </c>
      <c r="I193" s="49" t="s">
        <v>2444</v>
      </c>
      <c r="J193" s="52">
        <v>3</v>
      </c>
      <c r="K193" s="169"/>
      <c r="L193" s="169" t="s">
        <v>5073</v>
      </c>
      <c r="M193" s="58"/>
    </row>
    <row r="194" spans="1:16" ht="15">
      <c r="A194" s="153">
        <v>192</v>
      </c>
      <c r="B194" s="60" t="s">
        <v>950</v>
      </c>
      <c r="C194" s="126" t="s">
        <v>945</v>
      </c>
      <c r="D194" s="52">
        <v>1</v>
      </c>
      <c r="E194" s="52" t="s">
        <v>2443</v>
      </c>
      <c r="F194" s="126" t="s">
        <v>790</v>
      </c>
      <c r="G194" s="126" t="s">
        <v>1667</v>
      </c>
      <c r="H194" s="127">
        <v>1</v>
      </c>
      <c r="I194" s="49" t="s">
        <v>2444</v>
      </c>
      <c r="J194" s="49">
        <v>3</v>
      </c>
      <c r="K194" s="169"/>
      <c r="L194" s="169" t="s">
        <v>5074</v>
      </c>
      <c r="M194" s="49"/>
    </row>
    <row r="195" spans="1:16" ht="15">
      <c r="A195" s="153">
        <v>193</v>
      </c>
      <c r="B195" s="60" t="s">
        <v>787</v>
      </c>
      <c r="C195" s="126" t="s">
        <v>789</v>
      </c>
      <c r="D195" s="52">
        <v>1</v>
      </c>
      <c r="E195" s="52" t="s">
        <v>2443</v>
      </c>
      <c r="F195" s="126" t="s">
        <v>790</v>
      </c>
      <c r="G195" s="126" t="s">
        <v>1667</v>
      </c>
      <c r="H195" s="127">
        <v>1</v>
      </c>
      <c r="I195" s="49" t="s">
        <v>2444</v>
      </c>
      <c r="J195" s="49"/>
      <c r="K195" s="169"/>
      <c r="L195" s="169" t="s">
        <v>5075</v>
      </c>
      <c r="M195" s="49"/>
    </row>
    <row r="196" spans="1:16" ht="15">
      <c r="A196" s="153">
        <v>194</v>
      </c>
      <c r="B196" s="60" t="s">
        <v>943</v>
      </c>
      <c r="C196" s="126" t="s">
        <v>945</v>
      </c>
      <c r="D196" s="52">
        <v>1</v>
      </c>
      <c r="E196" s="52" t="s">
        <v>2443</v>
      </c>
      <c r="F196" s="126" t="s">
        <v>790</v>
      </c>
      <c r="G196" s="126" t="s">
        <v>1667</v>
      </c>
      <c r="H196" s="127">
        <v>1</v>
      </c>
      <c r="I196" s="49" t="s">
        <v>2548</v>
      </c>
      <c r="J196" s="49">
        <v>3</v>
      </c>
      <c r="K196" s="169"/>
      <c r="L196" s="169" t="s">
        <v>5076</v>
      </c>
      <c r="M196" s="49"/>
    </row>
    <row r="197" spans="1:16" ht="15">
      <c r="A197" s="153">
        <v>195</v>
      </c>
      <c r="B197" s="60" t="s">
        <v>948</v>
      </c>
      <c r="C197" s="126" t="s">
        <v>949</v>
      </c>
      <c r="D197" s="52">
        <v>1</v>
      </c>
      <c r="E197" s="52" t="s">
        <v>2443</v>
      </c>
      <c r="F197" s="126" t="s">
        <v>790</v>
      </c>
      <c r="G197" s="126" t="s">
        <v>1667</v>
      </c>
      <c r="H197" s="127">
        <v>1</v>
      </c>
      <c r="I197" s="49" t="s">
        <v>2548</v>
      </c>
      <c r="J197" s="49">
        <v>3</v>
      </c>
      <c r="K197" s="169"/>
      <c r="L197" s="169" t="s">
        <v>5077</v>
      </c>
      <c r="M197" s="49"/>
      <c r="O197" s="62"/>
      <c r="P197" s="62"/>
    </row>
    <row r="198" spans="1:16" ht="15">
      <c r="A198" s="153">
        <v>196</v>
      </c>
      <c r="B198" s="59" t="s">
        <v>908</v>
      </c>
      <c r="C198" s="126" t="s">
        <v>910</v>
      </c>
      <c r="D198" s="55">
        <v>1</v>
      </c>
      <c r="E198" s="56" t="s">
        <v>2443</v>
      </c>
      <c r="F198" s="126" t="s">
        <v>790</v>
      </c>
      <c r="G198" s="126" t="s">
        <v>1667</v>
      </c>
      <c r="H198" s="127">
        <v>1</v>
      </c>
      <c r="I198" s="49" t="s">
        <v>2548</v>
      </c>
      <c r="J198" s="52"/>
      <c r="K198" s="169"/>
      <c r="L198" s="169" t="s">
        <v>5078</v>
      </c>
      <c r="M198" s="58"/>
    </row>
    <row r="199" spans="1:16" ht="15">
      <c r="A199" s="153">
        <v>197</v>
      </c>
      <c r="B199" s="53" t="s">
        <v>915</v>
      </c>
      <c r="C199" s="126" t="s">
        <v>917</v>
      </c>
      <c r="D199" s="55">
        <v>1</v>
      </c>
      <c r="E199" s="56" t="s">
        <v>2391</v>
      </c>
      <c r="F199" s="126" t="s">
        <v>790</v>
      </c>
      <c r="G199" s="126" t="s">
        <v>1667</v>
      </c>
      <c r="H199" s="127">
        <v>1</v>
      </c>
      <c r="I199" s="49" t="s">
        <v>2511</v>
      </c>
      <c r="J199" s="52">
        <v>1</v>
      </c>
      <c r="K199" s="169"/>
      <c r="L199" s="186" t="s">
        <v>5079</v>
      </c>
      <c r="M199" s="58"/>
    </row>
    <row r="200" spans="1:16" ht="15">
      <c r="A200" s="153">
        <v>198</v>
      </c>
      <c r="B200" s="53" t="s">
        <v>928</v>
      </c>
      <c r="C200" s="126" t="s">
        <v>930</v>
      </c>
      <c r="D200" s="55">
        <v>2</v>
      </c>
      <c r="E200" s="56" t="s">
        <v>2391</v>
      </c>
      <c r="F200" s="126" t="s">
        <v>790</v>
      </c>
      <c r="G200" s="126" t="s">
        <v>1667</v>
      </c>
      <c r="H200" s="127">
        <v>2</v>
      </c>
      <c r="I200" s="49" t="s">
        <v>2511</v>
      </c>
      <c r="J200" s="52">
        <v>3</v>
      </c>
      <c r="K200" s="169"/>
      <c r="L200" s="169" t="s">
        <v>5080</v>
      </c>
      <c r="M200" s="58"/>
    </row>
    <row r="201" spans="1:16" ht="15">
      <c r="A201" s="153">
        <v>199</v>
      </c>
      <c r="B201" s="53" t="s">
        <v>940</v>
      </c>
      <c r="C201" s="126" t="s">
        <v>941</v>
      </c>
      <c r="D201" s="55">
        <v>1</v>
      </c>
      <c r="E201" s="56" t="s">
        <v>2391</v>
      </c>
      <c r="F201" s="126" t="s">
        <v>790</v>
      </c>
      <c r="G201" s="126" t="s">
        <v>1667</v>
      </c>
      <c r="H201" s="127">
        <v>1</v>
      </c>
      <c r="I201" s="49" t="s">
        <v>2511</v>
      </c>
      <c r="J201" s="52">
        <v>4</v>
      </c>
      <c r="K201" s="169"/>
      <c r="L201" s="169" t="s">
        <v>5081</v>
      </c>
      <c r="M201" s="58"/>
    </row>
    <row r="202" spans="1:16" ht="15">
      <c r="A202" s="153">
        <v>200</v>
      </c>
      <c r="B202" s="59" t="s">
        <v>942</v>
      </c>
      <c r="C202" s="126" t="s">
        <v>941</v>
      </c>
      <c r="D202" s="55">
        <v>1</v>
      </c>
      <c r="E202" s="56" t="s">
        <v>2391</v>
      </c>
      <c r="F202" s="126" t="s">
        <v>790</v>
      </c>
      <c r="G202" s="126" t="s">
        <v>1667</v>
      </c>
      <c r="H202" s="127">
        <v>1</v>
      </c>
      <c r="I202" s="49" t="s">
        <v>2511</v>
      </c>
      <c r="J202" s="52">
        <v>4</v>
      </c>
      <c r="K202" s="169"/>
      <c r="L202" s="169" t="s">
        <v>5082</v>
      </c>
      <c r="M202" s="58"/>
    </row>
    <row r="203" spans="1:16" ht="15">
      <c r="A203" s="153">
        <v>201</v>
      </c>
      <c r="B203" s="53" t="s">
        <v>918</v>
      </c>
      <c r="C203" s="126" t="s">
        <v>321</v>
      </c>
      <c r="D203" s="55">
        <v>1</v>
      </c>
      <c r="E203" s="56" t="s">
        <v>2391</v>
      </c>
      <c r="F203" s="126" t="s">
        <v>790</v>
      </c>
      <c r="G203" s="126" t="s">
        <v>1667</v>
      </c>
      <c r="H203" s="127">
        <v>1</v>
      </c>
      <c r="I203" s="49" t="s">
        <v>2511</v>
      </c>
      <c r="J203" s="52"/>
      <c r="K203" s="169"/>
      <c r="L203" s="169" t="s">
        <v>5083</v>
      </c>
      <c r="M203" s="58"/>
    </row>
    <row r="204" spans="1:16" ht="15">
      <c r="A204" s="153">
        <v>202</v>
      </c>
      <c r="B204" s="53" t="s">
        <v>2035</v>
      </c>
      <c r="C204" s="126" t="s">
        <v>1923</v>
      </c>
      <c r="D204" s="55">
        <v>2</v>
      </c>
      <c r="E204" s="56" t="s">
        <v>2391</v>
      </c>
      <c r="F204" s="126" t="s">
        <v>790</v>
      </c>
      <c r="G204" s="126" t="s">
        <v>1667</v>
      </c>
      <c r="H204" s="127">
        <v>2</v>
      </c>
      <c r="I204" s="49" t="s">
        <v>2511</v>
      </c>
      <c r="J204" s="52"/>
      <c r="K204" s="169" t="s">
        <v>5084</v>
      </c>
      <c r="L204" s="169" t="s">
        <v>5085</v>
      </c>
      <c r="M204" s="58"/>
    </row>
    <row r="205" spans="1:16" ht="15">
      <c r="A205" s="153">
        <v>203</v>
      </c>
      <c r="B205" s="60" t="s">
        <v>2036</v>
      </c>
      <c r="C205" s="126" t="s">
        <v>1923</v>
      </c>
      <c r="D205" s="52">
        <v>2</v>
      </c>
      <c r="E205" s="56" t="s">
        <v>2391</v>
      </c>
      <c r="F205" s="126" t="s">
        <v>790</v>
      </c>
      <c r="G205" s="126" t="s">
        <v>1667</v>
      </c>
      <c r="H205" s="127">
        <v>2</v>
      </c>
      <c r="I205" s="49" t="s">
        <v>2511</v>
      </c>
      <c r="J205" s="49"/>
      <c r="K205" s="169" t="s">
        <v>5084</v>
      </c>
      <c r="L205" s="169" t="s">
        <v>5086</v>
      </c>
      <c r="M205" s="49"/>
    </row>
    <row r="206" spans="1:16" ht="15">
      <c r="A206" s="153">
        <v>204</v>
      </c>
      <c r="B206" s="60" t="s">
        <v>2074</v>
      </c>
      <c r="C206" s="126" t="s">
        <v>2076</v>
      </c>
      <c r="D206" s="52">
        <v>1</v>
      </c>
      <c r="E206" s="56" t="s">
        <v>2391</v>
      </c>
      <c r="F206" s="126" t="s">
        <v>790</v>
      </c>
      <c r="G206" s="126" t="s">
        <v>1667</v>
      </c>
      <c r="H206" s="127">
        <v>1</v>
      </c>
      <c r="I206" s="49" t="s">
        <v>2511</v>
      </c>
      <c r="J206" s="49"/>
      <c r="K206" s="169"/>
      <c r="L206" s="169" t="s">
        <v>5087</v>
      </c>
      <c r="M206" s="49"/>
    </row>
    <row r="207" spans="1:16" ht="15">
      <c r="A207" s="153">
        <v>205</v>
      </c>
      <c r="B207" s="60" t="s">
        <v>2077</v>
      </c>
      <c r="C207" s="126" t="s">
        <v>2076</v>
      </c>
      <c r="D207" s="52">
        <v>1</v>
      </c>
      <c r="E207" s="56" t="s">
        <v>2391</v>
      </c>
      <c r="F207" s="126" t="s">
        <v>790</v>
      </c>
      <c r="G207" s="126" t="s">
        <v>1667</v>
      </c>
      <c r="H207" s="127">
        <v>1</v>
      </c>
      <c r="I207" s="49" t="s">
        <v>2511</v>
      </c>
      <c r="J207" s="49"/>
      <c r="K207" s="169"/>
      <c r="L207" s="169" t="s">
        <v>5088</v>
      </c>
      <c r="M207" s="49"/>
    </row>
    <row r="208" spans="1:16" ht="15">
      <c r="A208" s="153">
        <v>206</v>
      </c>
      <c r="B208" s="60" t="s">
        <v>2119</v>
      </c>
      <c r="C208" s="126" t="s">
        <v>2121</v>
      </c>
      <c r="D208" s="52">
        <v>2</v>
      </c>
      <c r="E208" s="52" t="s">
        <v>2391</v>
      </c>
      <c r="F208" s="126" t="s">
        <v>790</v>
      </c>
      <c r="G208" s="126" t="s">
        <v>1667</v>
      </c>
      <c r="H208" s="127">
        <v>2</v>
      </c>
      <c r="I208" s="49" t="s">
        <v>2511</v>
      </c>
      <c r="J208" s="49"/>
      <c r="K208" s="169"/>
      <c r="L208" s="169" t="s">
        <v>5089</v>
      </c>
      <c r="M208" s="49"/>
    </row>
    <row r="209" spans="1:13" ht="15">
      <c r="A209" s="153">
        <v>207</v>
      </c>
      <c r="B209" s="53" t="s">
        <v>919</v>
      </c>
      <c r="C209" s="126" t="s">
        <v>321</v>
      </c>
      <c r="D209" s="55">
        <v>1</v>
      </c>
      <c r="E209" s="56" t="s">
        <v>2391</v>
      </c>
      <c r="F209" s="126" t="s">
        <v>790</v>
      </c>
      <c r="G209" s="126" t="s">
        <v>1667</v>
      </c>
      <c r="H209" s="127">
        <v>1</v>
      </c>
      <c r="I209" s="49" t="s">
        <v>2511</v>
      </c>
      <c r="J209" s="52"/>
      <c r="K209" s="169"/>
      <c r="L209" s="169" t="s">
        <v>5090</v>
      </c>
      <c r="M209" s="58"/>
    </row>
    <row r="210" spans="1:13" ht="15">
      <c r="A210" s="153">
        <v>208</v>
      </c>
      <c r="B210" s="53" t="s">
        <v>1128</v>
      </c>
      <c r="C210" s="126" t="s">
        <v>1130</v>
      </c>
      <c r="D210" s="55">
        <v>1</v>
      </c>
      <c r="E210" s="56" t="s">
        <v>3468</v>
      </c>
      <c r="F210" s="126" t="s">
        <v>790</v>
      </c>
      <c r="G210" s="126" t="s">
        <v>1667</v>
      </c>
      <c r="H210" s="127">
        <v>1</v>
      </c>
      <c r="I210" s="49" t="s">
        <v>2447</v>
      </c>
      <c r="J210" s="52"/>
      <c r="K210" s="169"/>
      <c r="L210" s="169" t="s">
        <v>5091</v>
      </c>
      <c r="M210" s="58"/>
    </row>
    <row r="211" spans="1:13" ht="15">
      <c r="A211" s="153">
        <v>209</v>
      </c>
      <c r="B211" s="53" t="s">
        <v>1949</v>
      </c>
      <c r="C211" s="126" t="s">
        <v>1951</v>
      </c>
      <c r="D211" s="55">
        <v>1</v>
      </c>
      <c r="E211" s="56" t="s">
        <v>2394</v>
      </c>
      <c r="F211" s="126" t="s">
        <v>923</v>
      </c>
      <c r="G211" s="126" t="s">
        <v>1667</v>
      </c>
      <c r="H211" s="127">
        <v>1</v>
      </c>
      <c r="I211" s="49" t="s">
        <v>2425</v>
      </c>
      <c r="J211" s="52"/>
      <c r="K211" s="169"/>
      <c r="L211" s="169" t="s">
        <v>5092</v>
      </c>
      <c r="M211" s="58"/>
    </row>
    <row r="212" spans="1:13" ht="15">
      <c r="A212" s="153">
        <v>210</v>
      </c>
      <c r="B212" s="53" t="s">
        <v>2071</v>
      </c>
      <c r="C212" s="126" t="s">
        <v>2073</v>
      </c>
      <c r="D212" s="55">
        <v>1</v>
      </c>
      <c r="E212" s="56" t="s">
        <v>2391</v>
      </c>
      <c r="F212" s="126" t="s">
        <v>923</v>
      </c>
      <c r="G212" s="126" t="s">
        <v>1667</v>
      </c>
      <c r="H212" s="127">
        <v>1</v>
      </c>
      <c r="I212" s="49" t="s">
        <v>2511</v>
      </c>
      <c r="J212" s="52"/>
      <c r="K212" s="169"/>
      <c r="L212" s="169" t="s">
        <v>5093</v>
      </c>
      <c r="M212" s="58"/>
    </row>
    <row r="213" spans="1:13" ht="15">
      <c r="A213" s="153">
        <v>211</v>
      </c>
      <c r="B213" s="59" t="s">
        <v>2095</v>
      </c>
      <c r="C213" s="126" t="s">
        <v>2097</v>
      </c>
      <c r="D213" s="55">
        <v>1</v>
      </c>
      <c r="E213" s="56" t="s">
        <v>2391</v>
      </c>
      <c r="F213" s="126" t="s">
        <v>923</v>
      </c>
      <c r="G213" s="126" t="s">
        <v>1667</v>
      </c>
      <c r="H213" s="127">
        <v>1</v>
      </c>
      <c r="I213" s="49" t="s">
        <v>2511</v>
      </c>
      <c r="J213" s="52"/>
      <c r="K213" s="169"/>
      <c r="L213" s="169" t="s">
        <v>5094</v>
      </c>
      <c r="M213" s="58"/>
    </row>
    <row r="214" spans="1:13" ht="15">
      <c r="A214" s="153">
        <v>212</v>
      </c>
      <c r="B214" s="60" t="s">
        <v>1327</v>
      </c>
      <c r="C214" s="126" t="s">
        <v>1329</v>
      </c>
      <c r="D214" s="55">
        <v>1</v>
      </c>
      <c r="E214" s="56" t="s">
        <v>2391</v>
      </c>
      <c r="F214" s="126" t="s">
        <v>1875</v>
      </c>
      <c r="G214" s="126" t="s">
        <v>1667</v>
      </c>
      <c r="H214" s="127">
        <v>1</v>
      </c>
      <c r="I214" s="49" t="s">
        <v>3009</v>
      </c>
      <c r="J214" s="52"/>
      <c r="K214" s="169" t="s">
        <v>5095</v>
      </c>
      <c r="L214" s="169" t="s">
        <v>5096</v>
      </c>
      <c r="M214" s="58"/>
    </row>
    <row r="215" spans="1:13" ht="15">
      <c r="A215" s="153">
        <v>213</v>
      </c>
      <c r="B215" s="53" t="s">
        <v>877</v>
      </c>
      <c r="C215" s="126" t="s">
        <v>878</v>
      </c>
      <c r="D215" s="55">
        <v>1</v>
      </c>
      <c r="E215" s="56" t="s">
        <v>2391</v>
      </c>
      <c r="F215" s="126" t="s">
        <v>1875</v>
      </c>
      <c r="G215" s="126" t="s">
        <v>1667</v>
      </c>
      <c r="H215" s="127">
        <v>1</v>
      </c>
      <c r="I215" s="49" t="s">
        <v>3009</v>
      </c>
      <c r="J215" s="52"/>
      <c r="K215" s="169"/>
      <c r="L215" s="169" t="s">
        <v>5097</v>
      </c>
      <c r="M215" s="58"/>
    </row>
    <row r="216" spans="1:13" ht="15">
      <c r="A216" s="153">
        <v>214</v>
      </c>
      <c r="B216" s="53" t="s">
        <v>1976</v>
      </c>
      <c r="C216" s="126" t="s">
        <v>1885</v>
      </c>
      <c r="D216" s="55">
        <v>1</v>
      </c>
      <c r="E216" s="56" t="s">
        <v>2443</v>
      </c>
      <c r="F216" s="126" t="s">
        <v>51</v>
      </c>
      <c r="G216" s="126" t="s">
        <v>1667</v>
      </c>
      <c r="H216" s="127">
        <v>1</v>
      </c>
      <c r="I216" s="49" t="s">
        <v>5098</v>
      </c>
      <c r="J216" s="52"/>
      <c r="K216" s="169"/>
      <c r="L216" s="169" t="s">
        <v>5099</v>
      </c>
      <c r="M216" s="58"/>
    </row>
    <row r="217" spans="1:13" ht="15">
      <c r="A217" s="153">
        <v>215</v>
      </c>
      <c r="B217" s="53" t="s">
        <v>1980</v>
      </c>
      <c r="C217" s="126" t="s">
        <v>1890</v>
      </c>
      <c r="D217" s="55">
        <v>1</v>
      </c>
      <c r="E217" s="56" t="s">
        <v>2437</v>
      </c>
      <c r="F217" s="126" t="s">
        <v>1340</v>
      </c>
      <c r="G217" s="126" t="s">
        <v>1667</v>
      </c>
      <c r="H217" s="127">
        <v>1</v>
      </c>
      <c r="I217" s="49" t="s">
        <v>5100</v>
      </c>
      <c r="J217" s="52"/>
      <c r="K217" s="169"/>
      <c r="L217" s="169" t="s">
        <v>5101</v>
      </c>
      <c r="M217" s="58"/>
    </row>
    <row r="218" spans="1:13" ht="15">
      <c r="A218" s="153">
        <v>216</v>
      </c>
      <c r="B218" s="53" t="s">
        <v>794</v>
      </c>
      <c r="C218" s="126" t="s">
        <v>485</v>
      </c>
      <c r="D218" s="55">
        <v>2</v>
      </c>
      <c r="E218" s="56" t="s">
        <v>2385</v>
      </c>
      <c r="F218" s="126" t="s">
        <v>22</v>
      </c>
      <c r="G218" s="126" t="s">
        <v>1664</v>
      </c>
      <c r="H218" s="127">
        <v>16</v>
      </c>
      <c r="I218" s="49" t="s">
        <v>3559</v>
      </c>
      <c r="J218" s="52">
        <v>1</v>
      </c>
      <c r="K218" s="169"/>
      <c r="L218" s="169" t="s">
        <v>5102</v>
      </c>
      <c r="M218" s="58"/>
    </row>
    <row r="219" spans="1:13" ht="15">
      <c r="A219" s="153">
        <v>217</v>
      </c>
      <c r="B219" s="49" t="s">
        <v>559</v>
      </c>
      <c r="C219" s="126" t="s">
        <v>560</v>
      </c>
      <c r="D219" s="52">
        <v>2</v>
      </c>
      <c r="E219" s="56" t="s">
        <v>2385</v>
      </c>
      <c r="F219" s="126" t="s">
        <v>22</v>
      </c>
      <c r="G219" s="126" t="s">
        <v>1686</v>
      </c>
      <c r="H219" s="127">
        <v>960</v>
      </c>
      <c r="I219" s="49" t="s">
        <v>3559</v>
      </c>
      <c r="J219" s="52">
        <v>1</v>
      </c>
      <c r="K219" s="169"/>
      <c r="L219" s="169" t="s">
        <v>5103</v>
      </c>
      <c r="M219" s="58"/>
    </row>
    <row r="220" spans="1:13" ht="15">
      <c r="A220" s="153">
        <v>218</v>
      </c>
      <c r="B220" s="53" t="s">
        <v>612</v>
      </c>
      <c r="C220" s="126" t="s">
        <v>614</v>
      </c>
      <c r="D220" s="55">
        <v>2</v>
      </c>
      <c r="E220" s="56" t="s">
        <v>2385</v>
      </c>
      <c r="F220" s="126" t="s">
        <v>22</v>
      </c>
      <c r="G220" s="126" t="s">
        <v>1686</v>
      </c>
      <c r="H220" s="127">
        <v>1072</v>
      </c>
      <c r="I220" s="49" t="s">
        <v>3559</v>
      </c>
      <c r="J220" s="52">
        <v>1</v>
      </c>
      <c r="K220" s="169"/>
      <c r="L220" s="169" t="s">
        <v>5104</v>
      </c>
      <c r="M220" s="58"/>
    </row>
    <row r="221" spans="1:13" ht="15">
      <c r="A221" s="153">
        <v>219</v>
      </c>
      <c r="B221" s="53" t="s">
        <v>1198</v>
      </c>
      <c r="C221" s="126" t="s">
        <v>627</v>
      </c>
      <c r="D221" s="55">
        <v>3</v>
      </c>
      <c r="E221" s="56" t="s">
        <v>2385</v>
      </c>
      <c r="F221" s="126" t="s">
        <v>22</v>
      </c>
      <c r="G221" s="126" t="s">
        <v>1664</v>
      </c>
      <c r="H221" s="127">
        <v>24</v>
      </c>
      <c r="I221" s="49" t="s">
        <v>3559</v>
      </c>
      <c r="J221" s="52">
        <v>1</v>
      </c>
      <c r="K221" s="169" t="s">
        <v>3560</v>
      </c>
      <c r="L221" s="169" t="s">
        <v>5105</v>
      </c>
      <c r="M221" s="58"/>
    </row>
    <row r="222" spans="1:13" ht="15">
      <c r="A222" s="153">
        <v>220</v>
      </c>
      <c r="B222" s="53" t="s">
        <v>1187</v>
      </c>
      <c r="C222" s="126" t="s">
        <v>1188</v>
      </c>
      <c r="D222" s="55">
        <v>8</v>
      </c>
      <c r="E222" s="56" t="s">
        <v>2385</v>
      </c>
      <c r="F222" s="126" t="s">
        <v>22</v>
      </c>
      <c r="G222" s="126" t="s">
        <v>1664</v>
      </c>
      <c r="H222" s="127">
        <v>88</v>
      </c>
      <c r="I222" s="49" t="s">
        <v>3559</v>
      </c>
      <c r="J222" s="52">
        <v>2</v>
      </c>
      <c r="K222" s="169"/>
      <c r="L222" s="169" t="s">
        <v>5106</v>
      </c>
      <c r="M222" s="58"/>
    </row>
    <row r="223" spans="1:13" ht="15">
      <c r="A223" s="153">
        <v>221</v>
      </c>
      <c r="B223" s="59" t="s">
        <v>780</v>
      </c>
      <c r="C223" s="126" t="s">
        <v>265</v>
      </c>
      <c r="D223" s="55">
        <v>2</v>
      </c>
      <c r="E223" s="56" t="s">
        <v>2385</v>
      </c>
      <c r="F223" s="126" t="s">
        <v>22</v>
      </c>
      <c r="G223" s="126" t="s">
        <v>1664</v>
      </c>
      <c r="H223" s="127">
        <v>16</v>
      </c>
      <c r="I223" s="49" t="s">
        <v>3559</v>
      </c>
      <c r="J223" s="52">
        <v>3</v>
      </c>
      <c r="K223" s="169"/>
      <c r="L223" s="169" t="s">
        <v>5107</v>
      </c>
      <c r="M223" s="58"/>
    </row>
    <row r="224" spans="1:13" ht="15">
      <c r="A224" s="153">
        <v>222</v>
      </c>
      <c r="B224" s="53" t="s">
        <v>738</v>
      </c>
      <c r="C224" s="126" t="s">
        <v>739</v>
      </c>
      <c r="D224" s="55">
        <v>4</v>
      </c>
      <c r="E224" s="56" t="s">
        <v>2385</v>
      </c>
      <c r="F224" s="126" t="s">
        <v>22</v>
      </c>
      <c r="G224" s="126" t="s">
        <v>1664</v>
      </c>
      <c r="H224" s="127">
        <v>32</v>
      </c>
      <c r="I224" s="49" t="s">
        <v>3563</v>
      </c>
      <c r="J224" s="52">
        <v>1</v>
      </c>
      <c r="K224" s="169"/>
      <c r="L224" s="169" t="s">
        <v>5108</v>
      </c>
      <c r="M224" s="58">
        <v>45533</v>
      </c>
    </row>
    <row r="225" spans="1:18" ht="15">
      <c r="A225" s="153">
        <v>223</v>
      </c>
      <c r="B225" s="60" t="s">
        <v>1272</v>
      </c>
      <c r="C225" s="126" t="s">
        <v>492</v>
      </c>
      <c r="D225" s="52">
        <v>2</v>
      </c>
      <c r="E225" s="56" t="s">
        <v>2385</v>
      </c>
      <c r="F225" s="126" t="s">
        <v>22</v>
      </c>
      <c r="G225" s="126" t="s">
        <v>1664</v>
      </c>
      <c r="H225" s="127">
        <v>16</v>
      </c>
      <c r="I225" s="49" t="s">
        <v>3563</v>
      </c>
      <c r="J225" s="52">
        <v>1</v>
      </c>
      <c r="K225" s="169"/>
      <c r="L225" s="169" t="s">
        <v>5109</v>
      </c>
      <c r="M225" s="58"/>
    </row>
    <row r="226" spans="1:18" ht="15">
      <c r="A226" s="153">
        <v>224</v>
      </c>
      <c r="B226" s="60" t="s">
        <v>1292</v>
      </c>
      <c r="C226" s="126" t="s">
        <v>492</v>
      </c>
      <c r="D226" s="52">
        <v>2</v>
      </c>
      <c r="E226" s="56" t="s">
        <v>2385</v>
      </c>
      <c r="F226" s="126" t="s">
        <v>22</v>
      </c>
      <c r="G226" s="126" t="s">
        <v>1664</v>
      </c>
      <c r="H226" s="127">
        <v>16</v>
      </c>
      <c r="I226" s="49" t="s">
        <v>3563</v>
      </c>
      <c r="J226" s="52">
        <v>1</v>
      </c>
      <c r="K226" s="169"/>
      <c r="L226" s="169" t="s">
        <v>5110</v>
      </c>
      <c r="M226" s="49"/>
    </row>
    <row r="227" spans="1:18" ht="15">
      <c r="A227" s="153">
        <v>225</v>
      </c>
      <c r="B227" s="60" t="s">
        <v>1293</v>
      </c>
      <c r="C227" s="126" t="s">
        <v>489</v>
      </c>
      <c r="D227" s="52">
        <v>3</v>
      </c>
      <c r="E227" s="56" t="s">
        <v>2385</v>
      </c>
      <c r="F227" s="126" t="s">
        <v>22</v>
      </c>
      <c r="G227" s="126" t="s">
        <v>1664</v>
      </c>
      <c r="H227" s="127">
        <v>24</v>
      </c>
      <c r="I227" s="49" t="s">
        <v>3563</v>
      </c>
      <c r="J227" s="52">
        <v>1</v>
      </c>
      <c r="K227" s="169"/>
      <c r="L227" s="169" t="s">
        <v>5111</v>
      </c>
      <c r="M227" s="49"/>
    </row>
    <row r="228" spans="1:18" ht="15">
      <c r="A228" s="153">
        <v>226</v>
      </c>
      <c r="B228" s="60" t="s">
        <v>1316</v>
      </c>
      <c r="C228" s="126" t="s">
        <v>1318</v>
      </c>
      <c r="D228" s="52">
        <v>1</v>
      </c>
      <c r="E228" s="56" t="s">
        <v>2385</v>
      </c>
      <c r="F228" s="126" t="s">
        <v>22</v>
      </c>
      <c r="G228" s="126" t="s">
        <v>1664</v>
      </c>
      <c r="H228" s="127">
        <v>8</v>
      </c>
      <c r="I228" s="49" t="s">
        <v>3563</v>
      </c>
      <c r="J228" s="52">
        <v>1</v>
      </c>
      <c r="K228" s="169"/>
      <c r="L228" s="169" t="s">
        <v>5112</v>
      </c>
      <c r="M228" s="49"/>
    </row>
    <row r="229" spans="1:18" ht="15">
      <c r="A229" s="153">
        <v>227</v>
      </c>
      <c r="B229" s="60" t="s">
        <v>795</v>
      </c>
      <c r="C229" s="126" t="s">
        <v>485</v>
      </c>
      <c r="D229" s="52">
        <v>19</v>
      </c>
      <c r="E229" s="56" t="s">
        <v>2385</v>
      </c>
      <c r="F229" s="126" t="s">
        <v>22</v>
      </c>
      <c r="G229" s="126" t="s">
        <v>1664</v>
      </c>
      <c r="H229" s="127">
        <v>192</v>
      </c>
      <c r="I229" s="49" t="s">
        <v>3563</v>
      </c>
      <c r="J229" s="52">
        <v>2</v>
      </c>
      <c r="K229" s="169"/>
      <c r="L229" s="169" t="s">
        <v>5113</v>
      </c>
      <c r="M229" s="58"/>
    </row>
    <row r="230" spans="1:18" ht="15">
      <c r="A230" s="153">
        <v>228</v>
      </c>
      <c r="B230" s="60" t="s">
        <v>797</v>
      </c>
      <c r="C230" s="126" t="s">
        <v>485</v>
      </c>
      <c r="D230" s="52">
        <v>2</v>
      </c>
      <c r="E230" s="56" t="s">
        <v>2385</v>
      </c>
      <c r="F230" s="126" t="s">
        <v>22</v>
      </c>
      <c r="G230" s="126" t="s">
        <v>1664</v>
      </c>
      <c r="H230" s="127">
        <v>16</v>
      </c>
      <c r="I230" s="49" t="s">
        <v>3563</v>
      </c>
      <c r="J230" s="52">
        <v>2</v>
      </c>
      <c r="K230" s="169"/>
      <c r="L230" s="169" t="s">
        <v>5114</v>
      </c>
      <c r="M230" s="58"/>
    </row>
    <row r="231" spans="1:18" ht="15">
      <c r="A231" s="153">
        <v>229</v>
      </c>
      <c r="B231" s="59" t="s">
        <v>800</v>
      </c>
      <c r="C231" s="126" t="s">
        <v>485</v>
      </c>
      <c r="D231" s="55">
        <v>2</v>
      </c>
      <c r="E231" s="56" t="s">
        <v>2385</v>
      </c>
      <c r="F231" s="126" t="s">
        <v>22</v>
      </c>
      <c r="G231" s="126" t="s">
        <v>1664</v>
      </c>
      <c r="H231" s="127">
        <v>16</v>
      </c>
      <c r="I231" s="49" t="s">
        <v>3563</v>
      </c>
      <c r="J231" s="52">
        <v>2</v>
      </c>
      <c r="K231" s="169"/>
      <c r="L231" s="169" t="s">
        <v>5115</v>
      </c>
      <c r="M231" s="58"/>
    </row>
    <row r="232" spans="1:18" ht="15">
      <c r="A232" s="153">
        <v>230</v>
      </c>
      <c r="B232" s="60" t="s">
        <v>1222</v>
      </c>
      <c r="C232" s="126" t="s">
        <v>739</v>
      </c>
      <c r="D232" s="52">
        <v>3</v>
      </c>
      <c r="E232" s="56" t="s">
        <v>2385</v>
      </c>
      <c r="F232" s="126" t="s">
        <v>22</v>
      </c>
      <c r="G232" s="126" t="s">
        <v>1664</v>
      </c>
      <c r="H232" s="127">
        <v>24</v>
      </c>
      <c r="I232" s="49" t="s">
        <v>3563</v>
      </c>
      <c r="J232" s="52">
        <v>2</v>
      </c>
      <c r="K232" s="169"/>
      <c r="L232" s="169" t="s">
        <v>5116</v>
      </c>
      <c r="M232" s="58"/>
    </row>
    <row r="233" spans="1:18" ht="15">
      <c r="A233" s="153">
        <v>231</v>
      </c>
      <c r="B233" s="60" t="s">
        <v>781</v>
      </c>
      <c r="C233" s="126" t="s">
        <v>739</v>
      </c>
      <c r="D233" s="52">
        <v>1</v>
      </c>
      <c r="E233" s="56" t="s">
        <v>2385</v>
      </c>
      <c r="F233" s="126" t="s">
        <v>22</v>
      </c>
      <c r="G233" s="126" t="s">
        <v>1664</v>
      </c>
      <c r="H233" s="127">
        <v>8</v>
      </c>
      <c r="I233" s="49" t="s">
        <v>3563</v>
      </c>
      <c r="J233" s="52">
        <v>3</v>
      </c>
      <c r="K233" s="169"/>
      <c r="L233" s="169" t="s">
        <v>5117</v>
      </c>
      <c r="M233" s="58"/>
    </row>
    <row r="234" spans="1:18" ht="15">
      <c r="A234" s="153">
        <v>232</v>
      </c>
      <c r="B234" s="60" t="s">
        <v>646</v>
      </c>
      <c r="C234" s="126" t="s">
        <v>647</v>
      </c>
      <c r="D234" s="52">
        <v>1</v>
      </c>
      <c r="E234" s="56" t="s">
        <v>2385</v>
      </c>
      <c r="F234" s="126" t="s">
        <v>22</v>
      </c>
      <c r="G234" s="126" t="s">
        <v>1664</v>
      </c>
      <c r="H234" s="127">
        <v>104</v>
      </c>
      <c r="I234" s="49" t="s">
        <v>3563</v>
      </c>
      <c r="J234" s="52">
        <v>3</v>
      </c>
      <c r="K234" s="169"/>
      <c r="L234" s="169" t="s">
        <v>5118</v>
      </c>
      <c r="M234" s="58"/>
    </row>
    <row r="235" spans="1:18" s="62" customFormat="1" ht="15">
      <c r="A235" s="153">
        <v>233</v>
      </c>
      <c r="B235" s="53" t="s">
        <v>782</v>
      </c>
      <c r="C235" s="126" t="s">
        <v>558</v>
      </c>
      <c r="D235" s="55">
        <v>2</v>
      </c>
      <c r="E235" s="56" t="s">
        <v>2385</v>
      </c>
      <c r="F235" s="126" t="s">
        <v>22</v>
      </c>
      <c r="G235" s="126" t="s">
        <v>1664</v>
      </c>
      <c r="H235" s="127">
        <v>16</v>
      </c>
      <c r="I235" s="49" t="s">
        <v>3563</v>
      </c>
      <c r="J235" s="52">
        <v>4</v>
      </c>
      <c r="K235" s="169"/>
      <c r="L235" s="169" t="s">
        <v>5119</v>
      </c>
      <c r="M235" s="58"/>
      <c r="N235" s="10"/>
      <c r="O235" s="10"/>
      <c r="P235" s="10"/>
      <c r="Q235" s="10"/>
      <c r="R235" s="10"/>
    </row>
    <row r="236" spans="1:18" ht="15">
      <c r="A236" s="153">
        <v>234</v>
      </c>
      <c r="B236" s="60" t="s">
        <v>1191</v>
      </c>
      <c r="C236" s="126" t="s">
        <v>1193</v>
      </c>
      <c r="D236" s="52">
        <v>4</v>
      </c>
      <c r="E236" s="56" t="s">
        <v>2385</v>
      </c>
      <c r="F236" s="126" t="s">
        <v>22</v>
      </c>
      <c r="G236" s="126" t="s">
        <v>1664</v>
      </c>
      <c r="H236" s="127">
        <v>32</v>
      </c>
      <c r="I236" s="49" t="s">
        <v>3563</v>
      </c>
      <c r="J236" s="52">
        <v>4</v>
      </c>
      <c r="K236" s="169"/>
      <c r="L236" s="169" t="s">
        <v>5120</v>
      </c>
      <c r="M236" s="58"/>
    </row>
    <row r="237" spans="1:18" ht="15">
      <c r="A237" s="153">
        <v>235</v>
      </c>
      <c r="B237" s="60" t="s">
        <v>637</v>
      </c>
      <c r="C237" s="126" t="s">
        <v>638</v>
      </c>
      <c r="D237" s="52">
        <v>11</v>
      </c>
      <c r="E237" s="56" t="s">
        <v>2385</v>
      </c>
      <c r="F237" s="126" t="s">
        <v>22</v>
      </c>
      <c r="G237" s="126" t="s">
        <v>1664</v>
      </c>
      <c r="H237" s="127">
        <v>240</v>
      </c>
      <c r="I237" s="49" t="s">
        <v>3563</v>
      </c>
      <c r="J237" s="52">
        <v>4</v>
      </c>
      <c r="K237" s="169"/>
      <c r="L237" s="169" t="s">
        <v>5121</v>
      </c>
      <c r="M237" s="58"/>
    </row>
    <row r="238" spans="1:18" ht="15">
      <c r="A238" s="153">
        <v>236</v>
      </c>
      <c r="B238" s="53" t="s">
        <v>696</v>
      </c>
      <c r="C238" s="126" t="s">
        <v>611</v>
      </c>
      <c r="D238" s="55">
        <v>2</v>
      </c>
      <c r="E238" s="56" t="s">
        <v>2385</v>
      </c>
      <c r="F238" s="126" t="s">
        <v>22</v>
      </c>
      <c r="G238" s="126" t="s">
        <v>1664</v>
      </c>
      <c r="H238" s="127">
        <v>16</v>
      </c>
      <c r="I238" s="49" t="s">
        <v>3563</v>
      </c>
      <c r="J238" s="52">
        <v>4</v>
      </c>
      <c r="K238" s="169"/>
      <c r="L238" s="169" t="s">
        <v>5122</v>
      </c>
      <c r="M238" s="58"/>
    </row>
    <row r="239" spans="1:18" ht="15">
      <c r="A239" s="153">
        <v>237</v>
      </c>
      <c r="B239" s="60" t="s">
        <v>706</v>
      </c>
      <c r="C239" s="126" t="s">
        <v>695</v>
      </c>
      <c r="D239" s="52">
        <v>2</v>
      </c>
      <c r="E239" s="56" t="s">
        <v>2385</v>
      </c>
      <c r="F239" s="126" t="s">
        <v>22</v>
      </c>
      <c r="G239" s="126" t="s">
        <v>1664</v>
      </c>
      <c r="H239" s="127">
        <v>40</v>
      </c>
      <c r="I239" s="49" t="s">
        <v>3563</v>
      </c>
      <c r="J239" s="52">
        <v>4</v>
      </c>
      <c r="K239" s="169"/>
      <c r="L239" s="169" t="s">
        <v>5123</v>
      </c>
      <c r="M239" s="58"/>
      <c r="N239" s="62"/>
    </row>
    <row r="240" spans="1:18" ht="15">
      <c r="A240" s="153">
        <v>238</v>
      </c>
      <c r="B240" s="60" t="s">
        <v>805</v>
      </c>
      <c r="C240" s="126" t="s">
        <v>485</v>
      </c>
      <c r="D240" s="52">
        <v>7</v>
      </c>
      <c r="E240" s="56" t="s">
        <v>2385</v>
      </c>
      <c r="F240" s="126" t="s">
        <v>22</v>
      </c>
      <c r="G240" s="126" t="s">
        <v>1664</v>
      </c>
      <c r="H240" s="127">
        <v>56</v>
      </c>
      <c r="I240" s="49" t="s">
        <v>3563</v>
      </c>
      <c r="J240" s="52">
        <v>5</v>
      </c>
      <c r="K240" s="169"/>
      <c r="L240" s="169" t="s">
        <v>5124</v>
      </c>
      <c r="M240" s="58"/>
    </row>
    <row r="241" spans="1:18" ht="15">
      <c r="A241" s="153">
        <v>239</v>
      </c>
      <c r="B241" s="60" t="s">
        <v>990</v>
      </c>
      <c r="C241" s="126" t="s">
        <v>489</v>
      </c>
      <c r="D241" s="52">
        <v>1</v>
      </c>
      <c r="E241" s="56" t="s">
        <v>2385</v>
      </c>
      <c r="F241" s="126" t="s">
        <v>22</v>
      </c>
      <c r="G241" s="126" t="s">
        <v>1664</v>
      </c>
      <c r="H241" s="127">
        <v>8</v>
      </c>
      <c r="I241" s="49" t="s">
        <v>3563</v>
      </c>
      <c r="J241" s="52">
        <v>5</v>
      </c>
      <c r="K241" s="169"/>
      <c r="L241" s="169" t="s">
        <v>5125</v>
      </c>
      <c r="M241" s="58"/>
    </row>
    <row r="242" spans="1:18" ht="15">
      <c r="A242" s="153">
        <v>240</v>
      </c>
      <c r="B242" s="60" t="s">
        <v>1150</v>
      </c>
      <c r="C242" s="126" t="s">
        <v>558</v>
      </c>
      <c r="D242" s="52">
        <v>5</v>
      </c>
      <c r="E242" s="56" t="s">
        <v>2385</v>
      </c>
      <c r="F242" s="126" t="s">
        <v>22</v>
      </c>
      <c r="G242" s="126" t="s">
        <v>1664</v>
      </c>
      <c r="H242" s="127">
        <v>40</v>
      </c>
      <c r="I242" s="49" t="s">
        <v>3563</v>
      </c>
      <c r="J242" s="52">
        <v>5</v>
      </c>
      <c r="K242" s="169"/>
      <c r="L242" s="169" t="s">
        <v>5126</v>
      </c>
      <c r="M242" s="58"/>
    </row>
    <row r="243" spans="1:18" ht="15">
      <c r="A243" s="153">
        <v>241</v>
      </c>
      <c r="B243" s="60" t="s">
        <v>1169</v>
      </c>
      <c r="C243" s="126" t="s">
        <v>630</v>
      </c>
      <c r="D243" s="52">
        <v>1</v>
      </c>
      <c r="E243" s="52" t="s">
        <v>2385</v>
      </c>
      <c r="F243" s="126" t="s">
        <v>22</v>
      </c>
      <c r="G243" s="126" t="s">
        <v>1664</v>
      </c>
      <c r="H243" s="127">
        <v>8</v>
      </c>
      <c r="I243" s="49" t="s">
        <v>3563</v>
      </c>
      <c r="J243" s="49">
        <v>5</v>
      </c>
      <c r="K243" s="169"/>
      <c r="L243" s="169" t="s">
        <v>5127</v>
      </c>
      <c r="M243" s="49"/>
    </row>
    <row r="244" spans="1:18" ht="15">
      <c r="A244" s="153">
        <v>242</v>
      </c>
      <c r="B244" s="60" t="s">
        <v>1201</v>
      </c>
      <c r="C244" s="126" t="s">
        <v>587</v>
      </c>
      <c r="D244" s="52">
        <v>1</v>
      </c>
      <c r="E244" s="52" t="s">
        <v>2385</v>
      </c>
      <c r="F244" s="126" t="s">
        <v>22</v>
      </c>
      <c r="G244" s="126" t="s">
        <v>1664</v>
      </c>
      <c r="H244" s="127">
        <v>8</v>
      </c>
      <c r="I244" s="49" t="s">
        <v>3563</v>
      </c>
      <c r="J244" s="49">
        <v>5</v>
      </c>
      <c r="K244" s="169"/>
      <c r="L244" s="169" t="s">
        <v>5128</v>
      </c>
      <c r="M244" s="49"/>
    </row>
    <row r="245" spans="1:18" ht="15">
      <c r="A245" s="153">
        <v>243</v>
      </c>
      <c r="B245" s="60" t="s">
        <v>718</v>
      </c>
      <c r="C245" s="126" t="s">
        <v>611</v>
      </c>
      <c r="D245" s="52">
        <v>4</v>
      </c>
      <c r="E245" s="52" t="s">
        <v>2385</v>
      </c>
      <c r="F245" s="126" t="s">
        <v>22</v>
      </c>
      <c r="G245" s="126" t="s">
        <v>1664</v>
      </c>
      <c r="H245" s="127">
        <v>32</v>
      </c>
      <c r="I245" s="49" t="s">
        <v>3563</v>
      </c>
      <c r="J245" s="49">
        <v>5</v>
      </c>
      <c r="K245" s="169"/>
      <c r="L245" s="169" t="s">
        <v>5129</v>
      </c>
      <c r="M245" s="49"/>
    </row>
    <row r="246" spans="1:18" ht="15">
      <c r="A246" s="153">
        <v>244</v>
      </c>
      <c r="B246" s="60" t="s">
        <v>573</v>
      </c>
      <c r="C246" s="126" t="s">
        <v>575</v>
      </c>
      <c r="D246" s="52">
        <v>1</v>
      </c>
      <c r="E246" s="52">
        <v>5</v>
      </c>
      <c r="F246" s="126" t="s">
        <v>22</v>
      </c>
      <c r="G246" s="126" t="s">
        <v>1664</v>
      </c>
      <c r="H246" s="127">
        <v>8</v>
      </c>
      <c r="I246" s="49" t="s">
        <v>3585</v>
      </c>
      <c r="J246" s="49">
        <v>5</v>
      </c>
      <c r="K246" s="169"/>
      <c r="L246" s="169" t="s">
        <v>5130</v>
      </c>
      <c r="M246" s="49"/>
    </row>
    <row r="247" spans="1:18" ht="15">
      <c r="A247" s="153">
        <v>245</v>
      </c>
      <c r="B247" s="60" t="s">
        <v>692</v>
      </c>
      <c r="C247" s="126" t="s">
        <v>693</v>
      </c>
      <c r="D247" s="52">
        <v>15</v>
      </c>
      <c r="E247" s="52" t="s">
        <v>2385</v>
      </c>
      <c r="F247" s="126" t="s">
        <v>22</v>
      </c>
      <c r="G247" s="126" t="s">
        <v>1664</v>
      </c>
      <c r="H247" s="127">
        <v>160</v>
      </c>
      <c r="I247" s="49" t="s">
        <v>3570</v>
      </c>
      <c r="J247" s="49">
        <v>1</v>
      </c>
      <c r="K247" s="169"/>
      <c r="L247" s="169" t="s">
        <v>5131</v>
      </c>
      <c r="M247" s="49"/>
    </row>
    <row r="248" spans="1:18" ht="15">
      <c r="A248" s="153">
        <v>246</v>
      </c>
      <c r="B248" s="60" t="s">
        <v>793</v>
      </c>
      <c r="C248" s="126" t="s">
        <v>485</v>
      </c>
      <c r="D248" s="52">
        <v>10</v>
      </c>
      <c r="E248" s="52" t="s">
        <v>2385</v>
      </c>
      <c r="F248" s="126" t="s">
        <v>22</v>
      </c>
      <c r="G248" s="126" t="s">
        <v>1664</v>
      </c>
      <c r="H248" s="127">
        <v>32</v>
      </c>
      <c r="I248" s="49" t="s">
        <v>3570</v>
      </c>
      <c r="J248" s="49">
        <v>2</v>
      </c>
      <c r="K248" s="169"/>
      <c r="L248" s="169" t="s">
        <v>5132</v>
      </c>
      <c r="M248" s="49"/>
    </row>
    <row r="249" spans="1:18" ht="15">
      <c r="A249" s="153">
        <v>247</v>
      </c>
      <c r="B249" s="60" t="s">
        <v>486</v>
      </c>
      <c r="C249" s="126" t="s">
        <v>485</v>
      </c>
      <c r="D249" s="52">
        <v>29</v>
      </c>
      <c r="E249" s="56" t="s">
        <v>2385</v>
      </c>
      <c r="F249" s="126" t="s">
        <v>22</v>
      </c>
      <c r="G249" s="126" t="s">
        <v>1664</v>
      </c>
      <c r="H249" s="127">
        <v>232</v>
      </c>
      <c r="I249" s="49" t="s">
        <v>3570</v>
      </c>
      <c r="J249" s="52">
        <v>2</v>
      </c>
      <c r="K249" s="169"/>
      <c r="L249" s="169" t="s">
        <v>5133</v>
      </c>
      <c r="M249" s="58"/>
      <c r="O249" s="62"/>
      <c r="P249" s="62"/>
    </row>
    <row r="250" spans="1:18" ht="15">
      <c r="A250" s="153">
        <v>248</v>
      </c>
      <c r="B250" s="60" t="s">
        <v>796</v>
      </c>
      <c r="C250" s="126" t="s">
        <v>485</v>
      </c>
      <c r="D250" s="52">
        <v>4</v>
      </c>
      <c r="E250" s="56" t="s">
        <v>2385</v>
      </c>
      <c r="F250" s="126" t="s">
        <v>22</v>
      </c>
      <c r="G250" s="126" t="s">
        <v>1664</v>
      </c>
      <c r="H250" s="127">
        <v>32</v>
      </c>
      <c r="I250" s="49" t="s">
        <v>3570</v>
      </c>
      <c r="J250" s="52">
        <v>2</v>
      </c>
      <c r="K250" s="169"/>
      <c r="L250" s="169" t="s">
        <v>5134</v>
      </c>
      <c r="M250" s="58"/>
    </row>
    <row r="251" spans="1:18" ht="15">
      <c r="A251" s="153">
        <v>249</v>
      </c>
      <c r="B251" s="60" t="s">
        <v>585</v>
      </c>
      <c r="C251" s="126" t="s">
        <v>587</v>
      </c>
      <c r="D251" s="52">
        <v>6</v>
      </c>
      <c r="E251" s="52" t="s">
        <v>2385</v>
      </c>
      <c r="F251" s="126" t="s">
        <v>22</v>
      </c>
      <c r="G251" s="126" t="s">
        <v>1664</v>
      </c>
      <c r="H251" s="127">
        <v>48</v>
      </c>
      <c r="I251" s="49" t="s">
        <v>3570</v>
      </c>
      <c r="J251" s="49">
        <v>2</v>
      </c>
      <c r="K251" s="169"/>
      <c r="L251" s="169" t="s">
        <v>5135</v>
      </c>
      <c r="M251" s="49"/>
    </row>
    <row r="252" spans="1:18" ht="15">
      <c r="A252" s="153">
        <v>250</v>
      </c>
      <c r="B252" s="60" t="s">
        <v>608</v>
      </c>
      <c r="C252" s="126" t="s">
        <v>609</v>
      </c>
      <c r="D252" s="52">
        <v>2</v>
      </c>
      <c r="E252" s="52" t="s">
        <v>2385</v>
      </c>
      <c r="F252" s="126" t="s">
        <v>22</v>
      </c>
      <c r="G252" s="126" t="s">
        <v>1664</v>
      </c>
      <c r="H252" s="127">
        <v>32</v>
      </c>
      <c r="I252" s="49" t="s">
        <v>3570</v>
      </c>
      <c r="J252" s="49">
        <v>2</v>
      </c>
      <c r="K252" s="169"/>
      <c r="L252" s="169" t="s">
        <v>5136</v>
      </c>
      <c r="M252" s="49"/>
    </row>
    <row r="253" spans="1:18" ht="15">
      <c r="A253" s="153">
        <v>251</v>
      </c>
      <c r="B253" s="59" t="s">
        <v>1187</v>
      </c>
      <c r="C253" s="126" t="s">
        <v>1188</v>
      </c>
      <c r="D253" s="55">
        <v>1</v>
      </c>
      <c r="E253" s="56">
        <v>2</v>
      </c>
      <c r="F253" s="126" t="s">
        <v>22</v>
      </c>
      <c r="G253" s="126" t="s">
        <v>1664</v>
      </c>
      <c r="H253" s="127">
        <v>88</v>
      </c>
      <c r="I253" s="49" t="s">
        <v>3570</v>
      </c>
      <c r="J253" s="52">
        <v>2</v>
      </c>
      <c r="K253" s="169"/>
      <c r="L253" s="169" t="s">
        <v>5137</v>
      </c>
      <c r="M253" s="58"/>
    </row>
    <row r="254" spans="1:18" s="62" customFormat="1" ht="15.75" customHeight="1">
      <c r="A254" s="153">
        <v>252</v>
      </c>
      <c r="B254" s="59" t="s">
        <v>579</v>
      </c>
      <c r="C254" s="126" t="s">
        <v>489</v>
      </c>
      <c r="D254" s="55">
        <v>6</v>
      </c>
      <c r="E254" s="56" t="s">
        <v>2385</v>
      </c>
      <c r="F254" s="126" t="s">
        <v>22</v>
      </c>
      <c r="G254" s="126" t="s">
        <v>1664</v>
      </c>
      <c r="H254" s="127">
        <v>64</v>
      </c>
      <c r="I254" s="49" t="s">
        <v>3570</v>
      </c>
      <c r="J254" s="52">
        <v>3</v>
      </c>
      <c r="K254" s="169"/>
      <c r="L254" s="169" t="s">
        <v>5138</v>
      </c>
      <c r="M254" s="58"/>
      <c r="N254" s="10"/>
      <c r="O254" s="10"/>
      <c r="P254" s="10"/>
      <c r="Q254" s="10"/>
      <c r="R254" s="10"/>
    </row>
    <row r="255" spans="1:18" ht="15">
      <c r="A255" s="153">
        <v>253</v>
      </c>
      <c r="B255" s="60" t="s">
        <v>1178</v>
      </c>
      <c r="C255" s="126" t="s">
        <v>587</v>
      </c>
      <c r="D255" s="52">
        <v>1</v>
      </c>
      <c r="E255" s="56" t="s">
        <v>2385</v>
      </c>
      <c r="F255" s="126" t="s">
        <v>22</v>
      </c>
      <c r="G255" s="126" t="s">
        <v>1664</v>
      </c>
      <c r="H255" s="127">
        <v>32</v>
      </c>
      <c r="I255" s="49" t="s">
        <v>3570</v>
      </c>
      <c r="J255" s="52">
        <v>3</v>
      </c>
      <c r="K255" s="169"/>
      <c r="L255" s="169" t="s">
        <v>5139</v>
      </c>
      <c r="M255" s="58"/>
    </row>
    <row r="256" spans="1:18" ht="15">
      <c r="A256" s="153">
        <v>254</v>
      </c>
      <c r="B256" s="60" t="s">
        <v>1179</v>
      </c>
      <c r="C256" s="126" t="s">
        <v>587</v>
      </c>
      <c r="D256" s="52">
        <v>5</v>
      </c>
      <c r="E256" s="56" t="s">
        <v>2385</v>
      </c>
      <c r="F256" s="126" t="s">
        <v>22</v>
      </c>
      <c r="G256" s="126" t="s">
        <v>1664</v>
      </c>
      <c r="H256" s="127">
        <v>64</v>
      </c>
      <c r="I256" s="49" t="s">
        <v>3570</v>
      </c>
      <c r="J256" s="52">
        <v>3</v>
      </c>
      <c r="K256" s="169"/>
      <c r="L256" s="169" t="s">
        <v>5140</v>
      </c>
      <c r="M256" s="58"/>
    </row>
    <row r="257" spans="1:14" ht="15">
      <c r="A257" s="153">
        <v>255</v>
      </c>
      <c r="B257" s="60" t="s">
        <v>624</v>
      </c>
      <c r="C257" s="126" t="s">
        <v>625</v>
      </c>
      <c r="D257" s="52">
        <v>4</v>
      </c>
      <c r="E257" s="56" t="s">
        <v>2385</v>
      </c>
      <c r="F257" s="126" t="s">
        <v>22</v>
      </c>
      <c r="G257" s="126" t="s">
        <v>1664</v>
      </c>
      <c r="H257" s="127">
        <v>88</v>
      </c>
      <c r="I257" s="49" t="s">
        <v>3570</v>
      </c>
      <c r="J257" s="52">
        <v>3</v>
      </c>
      <c r="K257" s="169"/>
      <c r="L257" s="169" t="s">
        <v>5141</v>
      </c>
      <c r="M257" s="58"/>
    </row>
    <row r="258" spans="1:14" ht="15">
      <c r="A258" s="153">
        <v>256</v>
      </c>
      <c r="B258" s="60" t="s">
        <v>1271</v>
      </c>
      <c r="C258" s="126" t="s">
        <v>630</v>
      </c>
      <c r="D258" s="52">
        <v>2</v>
      </c>
      <c r="E258" s="56" t="s">
        <v>2385</v>
      </c>
      <c r="F258" s="126" t="s">
        <v>22</v>
      </c>
      <c r="G258" s="126" t="s">
        <v>1664</v>
      </c>
      <c r="H258" s="127">
        <v>72</v>
      </c>
      <c r="I258" s="49" t="s">
        <v>3570</v>
      </c>
      <c r="J258" s="52">
        <v>3</v>
      </c>
      <c r="K258" s="169"/>
      <c r="L258" s="169" t="s">
        <v>5142</v>
      </c>
      <c r="M258" s="49"/>
    </row>
    <row r="259" spans="1:14" ht="15">
      <c r="A259" s="153">
        <v>257</v>
      </c>
      <c r="B259" s="60" t="s">
        <v>804</v>
      </c>
      <c r="C259" s="126" t="s">
        <v>485</v>
      </c>
      <c r="D259" s="55">
        <v>4</v>
      </c>
      <c r="E259" s="56" t="s">
        <v>2385</v>
      </c>
      <c r="F259" s="126" t="s">
        <v>22</v>
      </c>
      <c r="G259" s="126" t="s">
        <v>1664</v>
      </c>
      <c r="H259" s="127">
        <v>40</v>
      </c>
      <c r="I259" s="49" t="s">
        <v>3570</v>
      </c>
      <c r="J259" s="52">
        <v>4</v>
      </c>
      <c r="K259" s="169"/>
      <c r="L259" s="169" t="s">
        <v>5143</v>
      </c>
      <c r="M259" s="58"/>
    </row>
    <row r="260" spans="1:14" ht="15">
      <c r="A260" s="153">
        <v>258</v>
      </c>
      <c r="B260" s="60" t="s">
        <v>1081</v>
      </c>
      <c r="C260" s="126" t="s">
        <v>558</v>
      </c>
      <c r="D260" s="52">
        <v>2</v>
      </c>
      <c r="E260" s="56" t="s">
        <v>2385</v>
      </c>
      <c r="F260" s="126" t="s">
        <v>22</v>
      </c>
      <c r="G260" s="126" t="s">
        <v>1664</v>
      </c>
      <c r="H260" s="127">
        <v>16</v>
      </c>
      <c r="I260" s="49" t="s">
        <v>3570</v>
      </c>
      <c r="J260" s="52">
        <v>4</v>
      </c>
      <c r="K260" s="169"/>
      <c r="L260" s="169" t="s">
        <v>5144</v>
      </c>
      <c r="M260" s="58"/>
    </row>
    <row r="261" spans="1:14" ht="15">
      <c r="A261" s="153">
        <v>259</v>
      </c>
      <c r="B261" s="60" t="s">
        <v>1294</v>
      </c>
      <c r="C261" s="126" t="s">
        <v>492</v>
      </c>
      <c r="D261" s="52">
        <v>2</v>
      </c>
      <c r="E261" s="56" t="s">
        <v>2385</v>
      </c>
      <c r="F261" s="126" t="s">
        <v>22</v>
      </c>
      <c r="G261" s="126" t="s">
        <v>1664</v>
      </c>
      <c r="H261" s="127">
        <v>16</v>
      </c>
      <c r="I261" s="49" t="s">
        <v>3570</v>
      </c>
      <c r="J261" s="52">
        <v>4</v>
      </c>
      <c r="K261" s="169"/>
      <c r="L261" s="169" t="s">
        <v>5145</v>
      </c>
      <c r="M261" s="58"/>
    </row>
    <row r="262" spans="1:14" ht="15">
      <c r="A262" s="153">
        <v>260</v>
      </c>
      <c r="B262" s="60" t="s">
        <v>619</v>
      </c>
      <c r="C262" s="126" t="s">
        <v>620</v>
      </c>
      <c r="D262" s="52">
        <v>1</v>
      </c>
      <c r="E262" s="56" t="s">
        <v>2385</v>
      </c>
      <c r="F262" s="126" t="s">
        <v>22</v>
      </c>
      <c r="G262" s="126" t="s">
        <v>1664</v>
      </c>
      <c r="H262" s="127">
        <v>8</v>
      </c>
      <c r="I262" s="49" t="s">
        <v>3570</v>
      </c>
      <c r="J262" s="52"/>
      <c r="K262" s="169"/>
      <c r="L262" s="169" t="s">
        <v>5146</v>
      </c>
      <c r="M262" s="58"/>
      <c r="N262" s="62"/>
    </row>
    <row r="263" spans="1:14" ht="15">
      <c r="A263" s="153">
        <v>261</v>
      </c>
      <c r="B263" s="60" t="s">
        <v>559</v>
      </c>
      <c r="C263" s="126" t="s">
        <v>560</v>
      </c>
      <c r="D263" s="52">
        <v>6</v>
      </c>
      <c r="E263" s="56" t="s">
        <v>2417</v>
      </c>
      <c r="F263" s="126" t="s">
        <v>22</v>
      </c>
      <c r="G263" s="126" t="s">
        <v>1686</v>
      </c>
      <c r="H263" s="127">
        <v>960</v>
      </c>
      <c r="I263" s="49" t="s">
        <v>3559</v>
      </c>
      <c r="J263" s="52">
        <v>1</v>
      </c>
      <c r="K263" s="169"/>
      <c r="L263" s="169" t="s">
        <v>5147</v>
      </c>
      <c r="M263" s="58"/>
    </row>
    <row r="264" spans="1:14" ht="15">
      <c r="A264" s="153">
        <v>262</v>
      </c>
      <c r="B264" s="53" t="s">
        <v>1171</v>
      </c>
      <c r="C264" s="126" t="s">
        <v>630</v>
      </c>
      <c r="D264" s="55">
        <v>1</v>
      </c>
      <c r="E264" s="56" t="s">
        <v>2417</v>
      </c>
      <c r="F264" s="126" t="s">
        <v>22</v>
      </c>
      <c r="G264" s="126" t="s">
        <v>1664</v>
      </c>
      <c r="H264" s="127">
        <v>8</v>
      </c>
      <c r="I264" s="49" t="s">
        <v>3559</v>
      </c>
      <c r="J264" s="52">
        <v>1</v>
      </c>
      <c r="K264" s="169"/>
      <c r="L264" s="169" t="s">
        <v>5148</v>
      </c>
      <c r="M264" s="58"/>
    </row>
    <row r="265" spans="1:14" ht="15">
      <c r="A265" s="153">
        <v>263</v>
      </c>
      <c r="B265" s="60" t="s">
        <v>612</v>
      </c>
      <c r="C265" s="126" t="s">
        <v>614</v>
      </c>
      <c r="D265" s="52">
        <v>3</v>
      </c>
      <c r="E265" s="56" t="s">
        <v>2417</v>
      </c>
      <c r="F265" s="126" t="s">
        <v>22</v>
      </c>
      <c r="G265" s="126" t="s">
        <v>1686</v>
      </c>
      <c r="H265" s="127">
        <v>1072</v>
      </c>
      <c r="I265" s="49" t="s">
        <v>3559</v>
      </c>
      <c r="J265" s="52">
        <v>1</v>
      </c>
      <c r="K265" s="169"/>
      <c r="L265" s="169" t="s">
        <v>5149</v>
      </c>
      <c r="M265" s="58"/>
    </row>
    <row r="266" spans="1:14" ht="15">
      <c r="A266" s="153">
        <v>264</v>
      </c>
      <c r="B266" s="60" t="s">
        <v>776</v>
      </c>
      <c r="C266" s="126" t="s">
        <v>739</v>
      </c>
      <c r="D266" s="52">
        <v>1</v>
      </c>
      <c r="E266" s="56" t="s">
        <v>2417</v>
      </c>
      <c r="F266" s="126" t="s">
        <v>22</v>
      </c>
      <c r="G266" s="126" t="s">
        <v>1664</v>
      </c>
      <c r="H266" s="127">
        <v>8</v>
      </c>
      <c r="I266" s="49" t="s">
        <v>3559</v>
      </c>
      <c r="J266" s="52">
        <v>3</v>
      </c>
      <c r="K266" s="169"/>
      <c r="L266" s="169" t="s">
        <v>5150</v>
      </c>
      <c r="M266" s="58"/>
    </row>
    <row r="267" spans="1:14" ht="15">
      <c r="A267" s="153">
        <v>265</v>
      </c>
      <c r="B267" s="53" t="s">
        <v>777</v>
      </c>
      <c r="C267" s="126" t="s">
        <v>778</v>
      </c>
      <c r="D267" s="55">
        <v>3</v>
      </c>
      <c r="E267" s="56" t="s">
        <v>2417</v>
      </c>
      <c r="F267" s="126" t="s">
        <v>22</v>
      </c>
      <c r="G267" s="126" t="s">
        <v>1664</v>
      </c>
      <c r="H267" s="127">
        <v>24</v>
      </c>
      <c r="I267" s="49" t="s">
        <v>3559</v>
      </c>
      <c r="J267" s="52">
        <v>3</v>
      </c>
      <c r="K267" s="169"/>
      <c r="L267" s="169" t="s">
        <v>5151</v>
      </c>
      <c r="M267" s="58"/>
    </row>
    <row r="268" spans="1:14" ht="15">
      <c r="A268" s="153">
        <v>266</v>
      </c>
      <c r="B268" s="60" t="s">
        <v>1175</v>
      </c>
      <c r="C268" s="126" t="s">
        <v>587</v>
      </c>
      <c r="D268" s="52">
        <v>2</v>
      </c>
      <c r="E268" s="56" t="s">
        <v>2417</v>
      </c>
      <c r="F268" s="126" t="s">
        <v>22</v>
      </c>
      <c r="G268" s="126" t="s">
        <v>1664</v>
      </c>
      <c r="H268" s="127">
        <v>16</v>
      </c>
      <c r="I268" s="49" t="s">
        <v>3559</v>
      </c>
      <c r="J268" s="52">
        <v>3</v>
      </c>
      <c r="K268" s="169"/>
      <c r="L268" s="169" t="s">
        <v>5152</v>
      </c>
      <c r="M268" s="58"/>
    </row>
    <row r="269" spans="1:14" ht="15">
      <c r="A269" s="153">
        <v>267</v>
      </c>
      <c r="B269" s="60" t="s">
        <v>1241</v>
      </c>
      <c r="C269" s="126" t="s">
        <v>1243</v>
      </c>
      <c r="D269" s="52">
        <v>1</v>
      </c>
      <c r="E269" s="56" t="s">
        <v>2417</v>
      </c>
      <c r="F269" s="126" t="s">
        <v>22</v>
      </c>
      <c r="G269" s="126" t="s">
        <v>1664</v>
      </c>
      <c r="H269" s="127">
        <v>24</v>
      </c>
      <c r="I269" s="49" t="s">
        <v>3559</v>
      </c>
      <c r="J269" s="52">
        <v>4</v>
      </c>
      <c r="K269" s="169"/>
      <c r="L269" s="169" t="s">
        <v>5153</v>
      </c>
      <c r="M269" s="58"/>
    </row>
    <row r="270" spans="1:14" ht="15">
      <c r="A270" s="153">
        <v>268</v>
      </c>
      <c r="B270" s="60" t="s">
        <v>1160</v>
      </c>
      <c r="C270" s="126" t="s">
        <v>739</v>
      </c>
      <c r="D270" s="52">
        <v>2</v>
      </c>
      <c r="E270" s="56" t="s">
        <v>2417</v>
      </c>
      <c r="F270" s="126" t="s">
        <v>22</v>
      </c>
      <c r="G270" s="126" t="s">
        <v>1664</v>
      </c>
      <c r="H270" s="127">
        <v>16</v>
      </c>
      <c r="I270" s="49" t="s">
        <v>3563</v>
      </c>
      <c r="J270" s="52">
        <v>1</v>
      </c>
      <c r="K270" s="169"/>
      <c r="L270" s="169" t="s">
        <v>5154</v>
      </c>
      <c r="M270" s="58"/>
    </row>
    <row r="271" spans="1:14" ht="15">
      <c r="A271" s="153">
        <v>269</v>
      </c>
      <c r="B271" s="60" t="s">
        <v>624</v>
      </c>
      <c r="C271" s="126" t="s">
        <v>625</v>
      </c>
      <c r="D271" s="52">
        <v>2</v>
      </c>
      <c r="E271" s="56" t="s">
        <v>2417</v>
      </c>
      <c r="F271" s="126" t="s">
        <v>22</v>
      </c>
      <c r="G271" s="126" t="s">
        <v>1664</v>
      </c>
      <c r="H271" s="127">
        <v>88</v>
      </c>
      <c r="I271" s="49" t="s">
        <v>3563</v>
      </c>
      <c r="J271" s="52">
        <v>2</v>
      </c>
      <c r="K271" s="169"/>
      <c r="L271" s="169" t="s">
        <v>5155</v>
      </c>
      <c r="M271" s="58"/>
    </row>
    <row r="272" spans="1:14" ht="15">
      <c r="A272" s="153">
        <v>270</v>
      </c>
      <c r="B272" s="60" t="s">
        <v>706</v>
      </c>
      <c r="C272" s="126" t="s">
        <v>695</v>
      </c>
      <c r="D272" s="52">
        <v>4</v>
      </c>
      <c r="E272" s="56" t="s">
        <v>2417</v>
      </c>
      <c r="F272" s="126" t="s">
        <v>22</v>
      </c>
      <c r="G272" s="126" t="s">
        <v>1664</v>
      </c>
      <c r="H272" s="127">
        <v>40</v>
      </c>
      <c r="I272" s="49" t="s">
        <v>3563</v>
      </c>
      <c r="J272" s="52">
        <v>4</v>
      </c>
      <c r="K272" s="169"/>
      <c r="L272" s="169" t="s">
        <v>5156</v>
      </c>
      <c r="M272" s="58"/>
    </row>
    <row r="273" spans="1:18" s="62" customFormat="1" ht="15">
      <c r="A273" s="153">
        <v>271</v>
      </c>
      <c r="B273" s="60" t="s">
        <v>718</v>
      </c>
      <c r="C273" s="126" t="s">
        <v>611</v>
      </c>
      <c r="D273" s="52">
        <v>2</v>
      </c>
      <c r="E273" s="56" t="s">
        <v>2417</v>
      </c>
      <c r="F273" s="126" t="s">
        <v>22</v>
      </c>
      <c r="G273" s="126" t="s">
        <v>1664</v>
      </c>
      <c r="H273" s="127">
        <v>32</v>
      </c>
      <c r="I273" s="49" t="s">
        <v>3563</v>
      </c>
      <c r="J273" s="52">
        <v>5</v>
      </c>
      <c r="K273" s="169"/>
      <c r="L273" s="169" t="s">
        <v>5157</v>
      </c>
      <c r="M273" s="58"/>
      <c r="N273" s="10"/>
      <c r="O273" s="10"/>
      <c r="P273" s="10"/>
      <c r="Q273" s="10"/>
      <c r="R273" s="10"/>
    </row>
    <row r="274" spans="1:18" s="62" customFormat="1" ht="15">
      <c r="A274" s="153">
        <v>272</v>
      </c>
      <c r="B274" s="60" t="s">
        <v>608</v>
      </c>
      <c r="C274" s="126" t="s">
        <v>609</v>
      </c>
      <c r="D274" s="52">
        <v>1</v>
      </c>
      <c r="E274" s="56" t="s">
        <v>2417</v>
      </c>
      <c r="F274" s="126" t="s">
        <v>22</v>
      </c>
      <c r="G274" s="126" t="s">
        <v>1664</v>
      </c>
      <c r="H274" s="127">
        <v>32</v>
      </c>
      <c r="I274" s="49" t="s">
        <v>3570</v>
      </c>
      <c r="J274" s="52">
        <v>2</v>
      </c>
      <c r="K274" s="169"/>
      <c r="L274" s="169" t="s">
        <v>5158</v>
      </c>
      <c r="M274" s="58"/>
      <c r="N274" s="10"/>
      <c r="O274" s="10"/>
      <c r="P274" s="10"/>
      <c r="Q274" s="10"/>
      <c r="R274" s="10"/>
    </row>
    <row r="275" spans="1:18" ht="15">
      <c r="A275" s="153">
        <v>273</v>
      </c>
      <c r="B275" s="60" t="s">
        <v>1182</v>
      </c>
      <c r="C275" s="126" t="s">
        <v>587</v>
      </c>
      <c r="D275" s="52">
        <v>1</v>
      </c>
      <c r="E275" s="56" t="s">
        <v>2417</v>
      </c>
      <c r="F275" s="126" t="s">
        <v>22</v>
      </c>
      <c r="G275" s="126" t="s">
        <v>1664</v>
      </c>
      <c r="H275" s="127">
        <v>96</v>
      </c>
      <c r="I275" s="49" t="s">
        <v>3570</v>
      </c>
      <c r="J275" s="52">
        <v>5</v>
      </c>
      <c r="K275" s="169"/>
      <c r="L275" s="169" t="s">
        <v>5159</v>
      </c>
      <c r="M275" s="58"/>
    </row>
    <row r="276" spans="1:18" ht="15">
      <c r="A276" s="153">
        <v>274</v>
      </c>
      <c r="B276" s="60" t="s">
        <v>793</v>
      </c>
      <c r="C276" s="126" t="s">
        <v>485</v>
      </c>
      <c r="D276" s="52">
        <v>6</v>
      </c>
      <c r="E276" s="56" t="s">
        <v>2394</v>
      </c>
      <c r="F276" s="126" t="s">
        <v>22</v>
      </c>
      <c r="G276" s="126" t="s">
        <v>1664</v>
      </c>
      <c r="H276" s="127">
        <v>32</v>
      </c>
      <c r="I276" s="49" t="s">
        <v>3563</v>
      </c>
      <c r="J276" s="52">
        <v>1</v>
      </c>
      <c r="K276" s="169"/>
      <c r="L276" s="169" t="s">
        <v>5160</v>
      </c>
      <c r="M276" s="58"/>
    </row>
    <row r="277" spans="1:18" ht="15">
      <c r="A277" s="153">
        <v>275</v>
      </c>
      <c r="B277" s="60" t="s">
        <v>1189</v>
      </c>
      <c r="C277" s="126" t="s">
        <v>492</v>
      </c>
      <c r="D277" s="52">
        <v>6</v>
      </c>
      <c r="E277" s="56" t="s">
        <v>2394</v>
      </c>
      <c r="F277" s="126" t="s">
        <v>22</v>
      </c>
      <c r="G277" s="126" t="s">
        <v>1664</v>
      </c>
      <c r="H277" s="127">
        <v>48</v>
      </c>
      <c r="I277" s="49" t="s">
        <v>3563</v>
      </c>
      <c r="J277" s="52">
        <v>1</v>
      </c>
      <c r="K277" s="169"/>
      <c r="L277" s="169" t="s">
        <v>5161</v>
      </c>
      <c r="M277" s="58"/>
    </row>
    <row r="278" spans="1:18" ht="15">
      <c r="A278" s="153">
        <v>276</v>
      </c>
      <c r="B278" s="53" t="s">
        <v>1246</v>
      </c>
      <c r="C278" s="126" t="s">
        <v>506</v>
      </c>
      <c r="D278" s="55">
        <v>2</v>
      </c>
      <c r="E278" s="56" t="s">
        <v>2394</v>
      </c>
      <c r="F278" s="126" t="s">
        <v>22</v>
      </c>
      <c r="G278" s="126" t="s">
        <v>1664</v>
      </c>
      <c r="H278" s="127">
        <v>16</v>
      </c>
      <c r="I278" s="49" t="s">
        <v>3563</v>
      </c>
      <c r="J278" s="52">
        <v>1</v>
      </c>
      <c r="K278" s="169"/>
      <c r="L278" s="169" t="s">
        <v>5162</v>
      </c>
      <c r="M278" s="58"/>
    </row>
    <row r="279" spans="1:18" ht="15">
      <c r="A279" s="153">
        <v>277</v>
      </c>
      <c r="B279" s="53" t="s">
        <v>1259</v>
      </c>
      <c r="C279" s="126" t="s">
        <v>1260</v>
      </c>
      <c r="D279" s="55">
        <v>2</v>
      </c>
      <c r="E279" s="56" t="s">
        <v>2394</v>
      </c>
      <c r="F279" s="126" t="s">
        <v>22</v>
      </c>
      <c r="G279" s="126" t="s">
        <v>1664</v>
      </c>
      <c r="H279" s="127">
        <v>16</v>
      </c>
      <c r="I279" s="49" t="s">
        <v>3563</v>
      </c>
      <c r="J279" s="52">
        <v>1</v>
      </c>
      <c r="K279" s="169"/>
      <c r="L279" s="169" t="s">
        <v>5163</v>
      </c>
      <c r="M279" s="58"/>
    </row>
    <row r="280" spans="1:18" ht="15">
      <c r="A280" s="153">
        <v>278</v>
      </c>
      <c r="B280" s="60" t="s">
        <v>556</v>
      </c>
      <c r="C280" s="126" t="s">
        <v>558</v>
      </c>
      <c r="D280" s="52">
        <v>8</v>
      </c>
      <c r="E280" s="56" t="s">
        <v>2394</v>
      </c>
      <c r="F280" s="126" t="s">
        <v>22</v>
      </c>
      <c r="G280" s="126" t="s">
        <v>1664</v>
      </c>
      <c r="H280" s="127">
        <v>160</v>
      </c>
      <c r="I280" s="49" t="s">
        <v>3563</v>
      </c>
      <c r="J280" s="52">
        <v>2</v>
      </c>
      <c r="K280" s="169"/>
      <c r="L280" s="169" t="s">
        <v>5164</v>
      </c>
      <c r="M280" s="58"/>
    </row>
    <row r="281" spans="1:18" ht="14.25" customHeight="1">
      <c r="A281" s="153">
        <v>279</v>
      </c>
      <c r="B281" s="60" t="s">
        <v>641</v>
      </c>
      <c r="C281" s="126" t="s">
        <v>611</v>
      </c>
      <c r="D281" s="52">
        <v>6</v>
      </c>
      <c r="E281" s="56" t="s">
        <v>2394</v>
      </c>
      <c r="F281" s="126" t="s">
        <v>22</v>
      </c>
      <c r="G281" s="126" t="s">
        <v>1664</v>
      </c>
      <c r="H281" s="127">
        <v>48</v>
      </c>
      <c r="I281" s="49" t="s">
        <v>3563</v>
      </c>
      <c r="J281" s="52">
        <v>2</v>
      </c>
      <c r="K281" s="169"/>
      <c r="L281" s="169" t="s">
        <v>5165</v>
      </c>
      <c r="M281" s="58"/>
      <c r="N281" s="62"/>
    </row>
    <row r="282" spans="1:18" s="62" customFormat="1" ht="15">
      <c r="A282" s="153">
        <v>280</v>
      </c>
      <c r="B282" s="60" t="s">
        <v>1235</v>
      </c>
      <c r="C282" s="126" t="s">
        <v>1236</v>
      </c>
      <c r="D282" s="52">
        <v>4</v>
      </c>
      <c r="E282" s="56" t="s">
        <v>2394</v>
      </c>
      <c r="F282" s="126" t="s">
        <v>22</v>
      </c>
      <c r="G282" s="126" t="s">
        <v>1664</v>
      </c>
      <c r="H282" s="127">
        <v>32</v>
      </c>
      <c r="I282" s="49" t="s">
        <v>3563</v>
      </c>
      <c r="J282" s="52">
        <v>2</v>
      </c>
      <c r="K282" s="169"/>
      <c r="L282" s="169" t="s">
        <v>5166</v>
      </c>
      <c r="M282" s="58"/>
      <c r="O282" s="10"/>
      <c r="P282" s="10"/>
      <c r="Q282" s="10"/>
      <c r="R282" s="10"/>
    </row>
    <row r="283" spans="1:18" ht="15">
      <c r="A283" s="153">
        <v>281</v>
      </c>
      <c r="B283" s="60" t="s">
        <v>1277</v>
      </c>
      <c r="C283" s="126" t="s">
        <v>492</v>
      </c>
      <c r="D283" s="52">
        <v>4</v>
      </c>
      <c r="E283" s="56" t="s">
        <v>2394</v>
      </c>
      <c r="F283" s="126" t="s">
        <v>22</v>
      </c>
      <c r="G283" s="126" t="s">
        <v>1664</v>
      </c>
      <c r="H283" s="127">
        <v>32</v>
      </c>
      <c r="I283" s="49" t="s">
        <v>3563</v>
      </c>
      <c r="J283" s="52">
        <v>2</v>
      </c>
      <c r="K283" s="169"/>
      <c r="L283" s="169" t="s">
        <v>5167</v>
      </c>
      <c r="M283" s="58"/>
    </row>
    <row r="284" spans="1:18" ht="15">
      <c r="A284" s="153">
        <v>282</v>
      </c>
      <c r="B284" s="60" t="s">
        <v>1277</v>
      </c>
      <c r="C284" s="126" t="s">
        <v>492</v>
      </c>
      <c r="D284" s="52">
        <v>4</v>
      </c>
      <c r="E284" s="56" t="s">
        <v>2388</v>
      </c>
      <c r="F284" s="126" t="s">
        <v>22</v>
      </c>
      <c r="G284" s="126" t="s">
        <v>1664</v>
      </c>
      <c r="H284" s="127">
        <v>32</v>
      </c>
      <c r="I284" s="49" t="s">
        <v>3594</v>
      </c>
      <c r="J284" s="52">
        <v>2</v>
      </c>
      <c r="K284" s="169"/>
      <c r="L284" s="169" t="s">
        <v>5168</v>
      </c>
      <c r="M284" s="58"/>
    </row>
    <row r="285" spans="1:18" ht="15">
      <c r="A285" s="153">
        <v>283</v>
      </c>
      <c r="B285" s="60" t="s">
        <v>1287</v>
      </c>
      <c r="C285" s="126" t="s">
        <v>489</v>
      </c>
      <c r="D285" s="52">
        <v>2</v>
      </c>
      <c r="E285" s="56" t="s">
        <v>2394</v>
      </c>
      <c r="F285" s="126" t="s">
        <v>22</v>
      </c>
      <c r="G285" s="126" t="s">
        <v>1664</v>
      </c>
      <c r="H285" s="127">
        <v>32</v>
      </c>
      <c r="I285" s="49" t="s">
        <v>3563</v>
      </c>
      <c r="J285" s="52">
        <v>2</v>
      </c>
      <c r="K285" s="169"/>
      <c r="L285" s="169" t="s">
        <v>5169</v>
      </c>
      <c r="M285" s="58"/>
    </row>
    <row r="286" spans="1:18" ht="15">
      <c r="A286" s="153">
        <v>284</v>
      </c>
      <c r="B286" s="60" t="s">
        <v>799</v>
      </c>
      <c r="C286" s="126" t="s">
        <v>485</v>
      </c>
      <c r="D286" s="52">
        <v>2</v>
      </c>
      <c r="E286" s="56" t="s">
        <v>2394</v>
      </c>
      <c r="F286" s="126" t="s">
        <v>22</v>
      </c>
      <c r="G286" s="126" t="s">
        <v>1664</v>
      </c>
      <c r="H286" s="127">
        <v>16</v>
      </c>
      <c r="I286" s="49" t="s">
        <v>3563</v>
      </c>
      <c r="J286" s="52">
        <v>3</v>
      </c>
      <c r="K286" s="169"/>
      <c r="L286" s="186" t="s">
        <v>5170</v>
      </c>
      <c r="M286" s="58"/>
    </row>
    <row r="287" spans="1:18" ht="15">
      <c r="A287" s="153">
        <v>285</v>
      </c>
      <c r="B287" s="60" t="s">
        <v>1048</v>
      </c>
      <c r="C287" s="126" t="s">
        <v>1049</v>
      </c>
      <c r="D287" s="52">
        <v>3</v>
      </c>
      <c r="E287" s="56" t="s">
        <v>2394</v>
      </c>
      <c r="F287" s="126" t="s">
        <v>22</v>
      </c>
      <c r="G287" s="126" t="s">
        <v>1664</v>
      </c>
      <c r="H287" s="127">
        <v>56</v>
      </c>
      <c r="I287" s="49" t="s">
        <v>3563</v>
      </c>
      <c r="J287" s="52">
        <v>3</v>
      </c>
      <c r="K287" s="169"/>
      <c r="L287" s="169" t="s">
        <v>5171</v>
      </c>
      <c r="M287" s="58"/>
    </row>
    <row r="288" spans="1:18" ht="15">
      <c r="A288" s="153">
        <v>286</v>
      </c>
      <c r="B288" s="60" t="s">
        <v>1156</v>
      </c>
      <c r="C288" s="126" t="s">
        <v>558</v>
      </c>
      <c r="D288" s="52">
        <v>8</v>
      </c>
      <c r="E288" s="56" t="s">
        <v>2394</v>
      </c>
      <c r="F288" s="126" t="s">
        <v>22</v>
      </c>
      <c r="G288" s="126" t="s">
        <v>1664</v>
      </c>
      <c r="H288" s="127">
        <v>64</v>
      </c>
      <c r="I288" s="49" t="s">
        <v>3563</v>
      </c>
      <c r="J288" s="52">
        <v>3</v>
      </c>
      <c r="K288" s="169"/>
      <c r="L288" s="169" t="s">
        <v>5172</v>
      </c>
      <c r="M288" s="58"/>
    </row>
    <row r="289" spans="1:14" ht="15">
      <c r="A289" s="153">
        <v>287</v>
      </c>
      <c r="B289" s="60" t="s">
        <v>1221</v>
      </c>
      <c r="C289" s="126" t="s">
        <v>489</v>
      </c>
      <c r="D289" s="52">
        <v>32</v>
      </c>
      <c r="E289" s="56" t="s">
        <v>2394</v>
      </c>
      <c r="F289" s="126" t="s">
        <v>22</v>
      </c>
      <c r="G289" s="126" t="s">
        <v>1664</v>
      </c>
      <c r="H289" s="127">
        <v>256</v>
      </c>
      <c r="I289" s="49" t="s">
        <v>3563</v>
      </c>
      <c r="J289" s="52">
        <v>3</v>
      </c>
      <c r="K289" s="169"/>
      <c r="L289" s="169" t="s">
        <v>5173</v>
      </c>
      <c r="M289" s="58"/>
    </row>
    <row r="290" spans="1:14" ht="15">
      <c r="A290" s="153">
        <v>288</v>
      </c>
      <c r="B290" s="60" t="s">
        <v>1226</v>
      </c>
      <c r="C290" s="126" t="s">
        <v>1228</v>
      </c>
      <c r="D290" s="52">
        <v>8</v>
      </c>
      <c r="E290" s="56" t="s">
        <v>2394</v>
      </c>
      <c r="F290" s="126" t="s">
        <v>22</v>
      </c>
      <c r="G290" s="126" t="s">
        <v>1664</v>
      </c>
      <c r="H290" s="127">
        <v>64</v>
      </c>
      <c r="I290" s="49" t="s">
        <v>3563</v>
      </c>
      <c r="J290" s="52">
        <v>3</v>
      </c>
      <c r="K290" s="169"/>
      <c r="L290" s="169" t="s">
        <v>5174</v>
      </c>
      <c r="M290" s="58"/>
    </row>
    <row r="291" spans="1:14" ht="15">
      <c r="A291" s="153">
        <v>289</v>
      </c>
      <c r="B291" s="53" t="s">
        <v>802</v>
      </c>
      <c r="C291" s="126" t="s">
        <v>485</v>
      </c>
      <c r="D291" s="55">
        <v>2</v>
      </c>
      <c r="E291" s="56" t="s">
        <v>2394</v>
      </c>
      <c r="F291" s="126" t="s">
        <v>22</v>
      </c>
      <c r="G291" s="126" t="s">
        <v>1664</v>
      </c>
      <c r="H291" s="127">
        <v>16</v>
      </c>
      <c r="I291" s="49" t="s">
        <v>3563</v>
      </c>
      <c r="J291" s="52">
        <v>4</v>
      </c>
      <c r="K291" s="169"/>
      <c r="L291" s="169" t="s">
        <v>5175</v>
      </c>
      <c r="M291" s="58"/>
    </row>
    <row r="292" spans="1:14" ht="15">
      <c r="A292" s="153">
        <v>290</v>
      </c>
      <c r="B292" s="53" t="s">
        <v>802</v>
      </c>
      <c r="C292" s="126" t="s">
        <v>485</v>
      </c>
      <c r="D292" s="55">
        <v>4</v>
      </c>
      <c r="E292" s="56">
        <v>4</v>
      </c>
      <c r="F292" s="126" t="s">
        <v>22</v>
      </c>
      <c r="G292" s="126" t="s">
        <v>1664</v>
      </c>
      <c r="H292" s="127">
        <v>16</v>
      </c>
      <c r="I292" s="49" t="s">
        <v>3563</v>
      </c>
      <c r="J292" s="52">
        <v>4</v>
      </c>
      <c r="K292" s="169"/>
      <c r="L292" s="169" t="s">
        <v>5176</v>
      </c>
      <c r="M292" s="58"/>
    </row>
    <row r="293" spans="1:14" ht="15">
      <c r="A293" s="153">
        <v>291</v>
      </c>
      <c r="B293" s="53" t="s">
        <v>742</v>
      </c>
      <c r="C293" s="126" t="s">
        <v>587</v>
      </c>
      <c r="D293" s="55">
        <v>4</v>
      </c>
      <c r="E293" s="56" t="s">
        <v>2394</v>
      </c>
      <c r="F293" s="126" t="s">
        <v>22</v>
      </c>
      <c r="G293" s="126" t="s">
        <v>1664</v>
      </c>
      <c r="H293" s="127">
        <v>64</v>
      </c>
      <c r="I293" s="49" t="s">
        <v>3563</v>
      </c>
      <c r="J293" s="52">
        <v>4</v>
      </c>
      <c r="K293" s="169"/>
      <c r="L293" s="169" t="s">
        <v>5177</v>
      </c>
      <c r="M293" s="58"/>
    </row>
    <row r="294" spans="1:14" ht="15">
      <c r="A294" s="153">
        <v>292</v>
      </c>
      <c r="B294" s="60" t="s">
        <v>1229</v>
      </c>
      <c r="C294" s="126" t="s">
        <v>506</v>
      </c>
      <c r="D294" s="52">
        <v>4</v>
      </c>
      <c r="E294" s="56" t="s">
        <v>2394</v>
      </c>
      <c r="F294" s="126" t="s">
        <v>22</v>
      </c>
      <c r="G294" s="126" t="s">
        <v>1664</v>
      </c>
      <c r="H294" s="127">
        <v>32</v>
      </c>
      <c r="I294" s="49" t="s">
        <v>3563</v>
      </c>
      <c r="J294" s="52">
        <v>4</v>
      </c>
      <c r="K294" s="169"/>
      <c r="L294" s="169" t="s">
        <v>5178</v>
      </c>
      <c r="M294" s="58"/>
    </row>
    <row r="295" spans="1:14" ht="15">
      <c r="A295" s="153">
        <v>293</v>
      </c>
      <c r="B295" s="60" t="s">
        <v>1273</v>
      </c>
      <c r="C295" s="126" t="s">
        <v>489</v>
      </c>
      <c r="D295" s="52">
        <v>4</v>
      </c>
      <c r="E295" s="56" t="s">
        <v>2394</v>
      </c>
      <c r="F295" s="126" t="s">
        <v>22</v>
      </c>
      <c r="G295" s="126" t="s">
        <v>1664</v>
      </c>
      <c r="H295" s="127">
        <v>32</v>
      </c>
      <c r="I295" s="49" t="s">
        <v>3563</v>
      </c>
      <c r="J295" s="52">
        <v>4</v>
      </c>
      <c r="K295" s="169"/>
      <c r="L295" s="169" t="s">
        <v>5179</v>
      </c>
      <c r="M295" s="58">
        <v>45475</v>
      </c>
    </row>
    <row r="296" spans="1:14" ht="15">
      <c r="A296" s="153">
        <v>294</v>
      </c>
      <c r="B296" s="53" t="s">
        <v>1274</v>
      </c>
      <c r="C296" s="126" t="s">
        <v>489</v>
      </c>
      <c r="D296" s="55">
        <v>6</v>
      </c>
      <c r="E296" s="56" t="s">
        <v>2394</v>
      </c>
      <c r="F296" s="126" t="s">
        <v>22</v>
      </c>
      <c r="G296" s="126" t="s">
        <v>1664</v>
      </c>
      <c r="H296" s="127">
        <v>144</v>
      </c>
      <c r="I296" s="49" t="s">
        <v>3563</v>
      </c>
      <c r="J296" s="52">
        <v>4</v>
      </c>
      <c r="K296" s="169"/>
      <c r="L296" s="169" t="s">
        <v>5180</v>
      </c>
      <c r="M296" s="58"/>
      <c r="N296" s="62"/>
    </row>
    <row r="297" spans="1:14" ht="15">
      <c r="A297" s="153">
        <v>295</v>
      </c>
      <c r="B297" s="60" t="s">
        <v>1275</v>
      </c>
      <c r="C297" s="126" t="s">
        <v>489</v>
      </c>
      <c r="D297" s="52">
        <v>4</v>
      </c>
      <c r="E297" s="56" t="s">
        <v>2394</v>
      </c>
      <c r="F297" s="126" t="s">
        <v>22</v>
      </c>
      <c r="G297" s="126" t="s">
        <v>1664</v>
      </c>
      <c r="H297" s="127">
        <v>64</v>
      </c>
      <c r="I297" s="49" t="s">
        <v>3563</v>
      </c>
      <c r="J297" s="52">
        <v>4</v>
      </c>
      <c r="K297" s="169"/>
      <c r="L297" s="169" t="s">
        <v>5181</v>
      </c>
      <c r="M297" s="58"/>
    </row>
    <row r="298" spans="1:14" ht="15">
      <c r="A298" s="153">
        <v>296</v>
      </c>
      <c r="B298" s="60" t="s">
        <v>1278</v>
      </c>
      <c r="C298" s="126" t="s">
        <v>492</v>
      </c>
      <c r="D298" s="52">
        <v>4</v>
      </c>
      <c r="E298" s="56" t="s">
        <v>2394</v>
      </c>
      <c r="F298" s="126" t="s">
        <v>22</v>
      </c>
      <c r="G298" s="126" t="s">
        <v>1664</v>
      </c>
      <c r="H298" s="127">
        <v>32</v>
      </c>
      <c r="I298" s="49" t="s">
        <v>3563</v>
      </c>
      <c r="J298" s="52">
        <v>4</v>
      </c>
      <c r="K298" s="169"/>
      <c r="L298" s="169" t="s">
        <v>5182</v>
      </c>
      <c r="M298" s="58"/>
    </row>
    <row r="299" spans="1:14" ht="15">
      <c r="A299" s="153">
        <v>297</v>
      </c>
      <c r="B299" s="60" t="s">
        <v>1282</v>
      </c>
      <c r="C299" s="126" t="s">
        <v>492</v>
      </c>
      <c r="D299" s="52">
        <v>4</v>
      </c>
      <c r="E299" s="52" t="s">
        <v>2394</v>
      </c>
      <c r="F299" s="126" t="s">
        <v>22</v>
      </c>
      <c r="G299" s="126" t="s">
        <v>1664</v>
      </c>
      <c r="H299" s="127">
        <v>32</v>
      </c>
      <c r="I299" s="49" t="s">
        <v>3563</v>
      </c>
      <c r="J299" s="49">
        <v>4</v>
      </c>
      <c r="K299" s="169"/>
      <c r="L299" s="169" t="s">
        <v>5183</v>
      </c>
      <c r="M299" s="49"/>
    </row>
    <row r="300" spans="1:14" ht="15">
      <c r="A300" s="153">
        <v>298</v>
      </c>
      <c r="B300" s="60" t="s">
        <v>1283</v>
      </c>
      <c r="C300" s="126" t="s">
        <v>1285</v>
      </c>
      <c r="D300" s="52">
        <v>2</v>
      </c>
      <c r="E300" s="52" t="s">
        <v>2394</v>
      </c>
      <c r="F300" s="126" t="s">
        <v>22</v>
      </c>
      <c r="G300" s="126" t="s">
        <v>1664</v>
      </c>
      <c r="H300" s="127">
        <v>64</v>
      </c>
      <c r="I300" s="49" t="s">
        <v>3563</v>
      </c>
      <c r="J300" s="49">
        <v>4</v>
      </c>
      <c r="K300" s="169"/>
      <c r="L300" s="169" t="s">
        <v>5184</v>
      </c>
      <c r="M300" s="49"/>
    </row>
    <row r="301" spans="1:14" ht="15">
      <c r="A301" s="153">
        <v>299</v>
      </c>
      <c r="B301" s="60" t="s">
        <v>1286</v>
      </c>
      <c r="C301" s="126" t="s">
        <v>1285</v>
      </c>
      <c r="D301" s="52">
        <v>4</v>
      </c>
      <c r="E301" s="52" t="s">
        <v>2394</v>
      </c>
      <c r="F301" s="126" t="s">
        <v>22</v>
      </c>
      <c r="G301" s="126" t="s">
        <v>1664</v>
      </c>
      <c r="H301" s="127">
        <v>32</v>
      </c>
      <c r="I301" s="49" t="s">
        <v>3563</v>
      </c>
      <c r="J301" s="49">
        <v>4</v>
      </c>
      <c r="K301" s="169"/>
      <c r="L301" s="169" t="s">
        <v>5185</v>
      </c>
      <c r="M301" s="49"/>
    </row>
    <row r="302" spans="1:14" ht="15">
      <c r="A302" s="153">
        <v>300</v>
      </c>
      <c r="B302" s="60" t="s">
        <v>1245</v>
      </c>
      <c r="C302" s="126" t="s">
        <v>506</v>
      </c>
      <c r="D302" s="52">
        <v>2</v>
      </c>
      <c r="E302" s="56" t="s">
        <v>2394</v>
      </c>
      <c r="F302" s="126" t="s">
        <v>22</v>
      </c>
      <c r="G302" s="126" t="s">
        <v>1664</v>
      </c>
      <c r="H302" s="127">
        <v>16</v>
      </c>
      <c r="I302" s="49" t="s">
        <v>3585</v>
      </c>
      <c r="J302" s="52">
        <v>1</v>
      </c>
      <c r="K302" s="169"/>
      <c r="L302" s="169" t="s">
        <v>5186</v>
      </c>
      <c r="M302" s="58"/>
    </row>
    <row r="303" spans="1:14" ht="15">
      <c r="A303" s="153">
        <v>301</v>
      </c>
      <c r="B303" s="53" t="s">
        <v>1245</v>
      </c>
      <c r="C303" s="126" t="s">
        <v>506</v>
      </c>
      <c r="D303" s="55">
        <v>2</v>
      </c>
      <c r="E303" s="56" t="s">
        <v>2388</v>
      </c>
      <c r="F303" s="126" t="s">
        <v>22</v>
      </c>
      <c r="G303" s="126" t="s">
        <v>1664</v>
      </c>
      <c r="H303" s="127">
        <v>16</v>
      </c>
      <c r="I303" s="49" t="s">
        <v>3594</v>
      </c>
      <c r="J303" s="52">
        <v>1</v>
      </c>
      <c r="K303" s="169"/>
      <c r="L303" s="169" t="s">
        <v>5187</v>
      </c>
      <c r="M303" s="58"/>
    </row>
    <row r="304" spans="1:14" ht="15">
      <c r="A304" s="153">
        <v>302</v>
      </c>
      <c r="B304" s="53" t="s">
        <v>752</v>
      </c>
      <c r="C304" s="126" t="s">
        <v>489</v>
      </c>
      <c r="D304" s="55">
        <v>4</v>
      </c>
      <c r="E304" s="56" t="s">
        <v>2394</v>
      </c>
      <c r="F304" s="126" t="s">
        <v>22</v>
      </c>
      <c r="G304" s="126" t="s">
        <v>1664</v>
      </c>
      <c r="H304" s="127">
        <v>112</v>
      </c>
      <c r="I304" s="49" t="s">
        <v>3570</v>
      </c>
      <c r="J304" s="52">
        <v>1</v>
      </c>
      <c r="K304" s="169"/>
      <c r="L304" s="169" t="s">
        <v>5188</v>
      </c>
      <c r="M304" s="58"/>
    </row>
    <row r="305" spans="1:13" ht="15">
      <c r="A305" s="153">
        <v>303</v>
      </c>
      <c r="B305" s="53" t="s">
        <v>1039</v>
      </c>
      <c r="C305" s="126" t="s">
        <v>21</v>
      </c>
      <c r="D305" s="55">
        <v>1</v>
      </c>
      <c r="E305" s="56" t="s">
        <v>2394</v>
      </c>
      <c r="F305" s="126" t="s">
        <v>22</v>
      </c>
      <c r="G305" s="126" t="s">
        <v>1664</v>
      </c>
      <c r="H305" s="127">
        <v>8</v>
      </c>
      <c r="I305" s="49" t="s">
        <v>3570</v>
      </c>
      <c r="J305" s="52">
        <v>2</v>
      </c>
      <c r="K305" s="169" t="s">
        <v>3654</v>
      </c>
      <c r="L305" s="169" t="s">
        <v>5189</v>
      </c>
      <c r="M305" s="58"/>
    </row>
    <row r="306" spans="1:13" ht="15">
      <c r="A306" s="153">
        <v>304</v>
      </c>
      <c r="B306" s="60" t="s">
        <v>1040</v>
      </c>
      <c r="C306" s="126" t="s">
        <v>21</v>
      </c>
      <c r="D306" s="52">
        <v>1</v>
      </c>
      <c r="E306" s="56" t="s">
        <v>2394</v>
      </c>
      <c r="F306" s="126" t="s">
        <v>22</v>
      </c>
      <c r="G306" s="126" t="s">
        <v>1664</v>
      </c>
      <c r="H306" s="127">
        <v>8</v>
      </c>
      <c r="I306" s="49" t="s">
        <v>3570</v>
      </c>
      <c r="J306" s="52">
        <v>2</v>
      </c>
      <c r="K306" s="169" t="s">
        <v>3654</v>
      </c>
      <c r="L306" s="169" t="s">
        <v>5190</v>
      </c>
      <c r="M306" s="58"/>
    </row>
    <row r="307" spans="1:13" ht="15">
      <c r="A307" s="153">
        <v>305</v>
      </c>
      <c r="B307" s="60" t="s">
        <v>1142</v>
      </c>
      <c r="C307" s="126" t="s">
        <v>1049</v>
      </c>
      <c r="D307" s="52">
        <v>3</v>
      </c>
      <c r="E307" s="56" t="s">
        <v>2394</v>
      </c>
      <c r="F307" s="126" t="s">
        <v>22</v>
      </c>
      <c r="G307" s="126" t="s">
        <v>1664</v>
      </c>
      <c r="H307" s="127">
        <v>64</v>
      </c>
      <c r="I307" s="49" t="s">
        <v>3570</v>
      </c>
      <c r="J307" s="52">
        <v>3</v>
      </c>
      <c r="K307" s="169"/>
      <c r="L307" s="169" t="s">
        <v>5191</v>
      </c>
      <c r="M307" s="58"/>
    </row>
    <row r="308" spans="1:13" ht="15">
      <c r="A308" s="153">
        <v>306</v>
      </c>
      <c r="B308" s="60" t="s">
        <v>1280</v>
      </c>
      <c r="C308" s="126" t="s">
        <v>492</v>
      </c>
      <c r="D308" s="52">
        <v>2</v>
      </c>
      <c r="E308" s="56" t="s">
        <v>2394</v>
      </c>
      <c r="F308" s="126" t="s">
        <v>22</v>
      </c>
      <c r="G308" s="126" t="s">
        <v>1664</v>
      </c>
      <c r="H308" s="127">
        <v>96</v>
      </c>
      <c r="I308" s="49" t="s">
        <v>3570</v>
      </c>
      <c r="J308" s="52">
        <v>3</v>
      </c>
      <c r="K308" s="169"/>
      <c r="L308" s="169" t="s">
        <v>5192</v>
      </c>
      <c r="M308" s="58"/>
    </row>
    <row r="309" spans="1:13" ht="15">
      <c r="A309" s="153">
        <v>307</v>
      </c>
      <c r="B309" s="60" t="s">
        <v>804</v>
      </c>
      <c r="C309" s="126" t="s">
        <v>485</v>
      </c>
      <c r="D309" s="52">
        <v>2</v>
      </c>
      <c r="E309" s="56" t="s">
        <v>2394</v>
      </c>
      <c r="F309" s="126" t="s">
        <v>22</v>
      </c>
      <c r="G309" s="126" t="s">
        <v>1664</v>
      </c>
      <c r="H309" s="127">
        <v>40</v>
      </c>
      <c r="I309" s="49" t="s">
        <v>3570</v>
      </c>
      <c r="J309" s="52">
        <v>4</v>
      </c>
      <c r="K309" s="169"/>
      <c r="L309" s="169" t="s">
        <v>5193</v>
      </c>
      <c r="M309" s="58"/>
    </row>
    <row r="310" spans="1:13" ht="15">
      <c r="A310" s="153">
        <v>308</v>
      </c>
      <c r="B310" s="60" t="s">
        <v>768</v>
      </c>
      <c r="C310" s="126" t="s">
        <v>769</v>
      </c>
      <c r="D310" s="52">
        <v>2</v>
      </c>
      <c r="E310" s="56" t="s">
        <v>2427</v>
      </c>
      <c r="F310" s="126" t="s">
        <v>22</v>
      </c>
      <c r="G310" s="126" t="s">
        <v>1664</v>
      </c>
      <c r="H310" s="127">
        <v>16</v>
      </c>
      <c r="I310" s="49" t="s">
        <v>3559</v>
      </c>
      <c r="J310" s="52">
        <v>1</v>
      </c>
      <c r="K310" s="169"/>
      <c r="L310" s="169" t="s">
        <v>5194</v>
      </c>
      <c r="M310" s="58"/>
    </row>
    <row r="311" spans="1:13" ht="15">
      <c r="A311" s="153">
        <v>309</v>
      </c>
      <c r="B311" s="60" t="s">
        <v>770</v>
      </c>
      <c r="C311" s="126" t="s">
        <v>772</v>
      </c>
      <c r="D311" s="52">
        <v>1</v>
      </c>
      <c r="E311" s="56" t="s">
        <v>2427</v>
      </c>
      <c r="F311" s="126" t="s">
        <v>22</v>
      </c>
      <c r="G311" s="126" t="s">
        <v>1664</v>
      </c>
      <c r="H311" s="127">
        <v>8</v>
      </c>
      <c r="I311" s="49" t="s">
        <v>3559</v>
      </c>
      <c r="J311" s="52">
        <v>1</v>
      </c>
      <c r="K311" s="169"/>
      <c r="L311" s="169" t="s">
        <v>5195</v>
      </c>
      <c r="M311" s="58"/>
    </row>
    <row r="312" spans="1:13" ht="15">
      <c r="A312" s="153">
        <v>310</v>
      </c>
      <c r="B312" s="60" t="s">
        <v>520</v>
      </c>
      <c r="C312" s="126" t="s">
        <v>521</v>
      </c>
      <c r="D312" s="52">
        <v>1</v>
      </c>
      <c r="E312" s="56" t="s">
        <v>2427</v>
      </c>
      <c r="F312" s="126" t="s">
        <v>22</v>
      </c>
      <c r="G312" s="126" t="s">
        <v>1664</v>
      </c>
      <c r="H312" s="127">
        <v>8</v>
      </c>
      <c r="I312" s="49" t="s">
        <v>3559</v>
      </c>
      <c r="J312" s="52">
        <v>1</v>
      </c>
      <c r="K312" s="169"/>
      <c r="L312" s="169" t="s">
        <v>5196</v>
      </c>
      <c r="M312" s="58"/>
    </row>
    <row r="313" spans="1:13" ht="15">
      <c r="A313" s="153">
        <v>311</v>
      </c>
      <c r="B313" s="60" t="s">
        <v>522</v>
      </c>
      <c r="C313" s="126" t="s">
        <v>521</v>
      </c>
      <c r="D313" s="52">
        <v>1</v>
      </c>
      <c r="E313" s="56" t="s">
        <v>2427</v>
      </c>
      <c r="F313" s="126" t="s">
        <v>22</v>
      </c>
      <c r="G313" s="126" t="s">
        <v>1664</v>
      </c>
      <c r="H313" s="127">
        <v>8</v>
      </c>
      <c r="I313" s="49" t="s">
        <v>3559</v>
      </c>
      <c r="J313" s="52">
        <v>1</v>
      </c>
      <c r="K313" s="169"/>
      <c r="L313" s="169" t="s">
        <v>5197</v>
      </c>
      <c r="M313" s="58"/>
    </row>
    <row r="314" spans="1:13" ht="15">
      <c r="A314" s="153">
        <v>312</v>
      </c>
      <c r="B314" s="60" t="s">
        <v>561</v>
      </c>
      <c r="C314" s="126" t="s">
        <v>521</v>
      </c>
      <c r="D314" s="52">
        <v>1</v>
      </c>
      <c r="E314" s="56" t="s">
        <v>2427</v>
      </c>
      <c r="F314" s="126" t="s">
        <v>22</v>
      </c>
      <c r="G314" s="126" t="s">
        <v>1664</v>
      </c>
      <c r="H314" s="127">
        <v>8</v>
      </c>
      <c r="I314" s="49" t="s">
        <v>3559</v>
      </c>
      <c r="J314" s="52">
        <v>1</v>
      </c>
      <c r="K314" s="169"/>
      <c r="L314" s="169" t="s">
        <v>5198</v>
      </c>
      <c r="M314" s="58"/>
    </row>
    <row r="315" spans="1:13" ht="15">
      <c r="A315" s="153">
        <v>313</v>
      </c>
      <c r="B315" s="53" t="s">
        <v>490</v>
      </c>
      <c r="C315" s="126" t="s">
        <v>485</v>
      </c>
      <c r="D315" s="55">
        <v>2</v>
      </c>
      <c r="E315" s="56" t="s">
        <v>2427</v>
      </c>
      <c r="F315" s="126" t="s">
        <v>22</v>
      </c>
      <c r="G315" s="126" t="s">
        <v>1664</v>
      </c>
      <c r="H315" s="127">
        <v>48</v>
      </c>
      <c r="I315" s="49" t="s">
        <v>3559</v>
      </c>
      <c r="J315" s="52">
        <v>2</v>
      </c>
      <c r="K315" s="169"/>
      <c r="L315" s="169" t="s">
        <v>5199</v>
      </c>
      <c r="M315" s="58"/>
    </row>
    <row r="316" spans="1:13" ht="15">
      <c r="A316" s="153">
        <v>314</v>
      </c>
      <c r="B316" s="60" t="s">
        <v>1062</v>
      </c>
      <c r="C316" s="126" t="s">
        <v>1064</v>
      </c>
      <c r="D316" s="52">
        <v>20</v>
      </c>
      <c r="E316" s="56" t="s">
        <v>2427</v>
      </c>
      <c r="F316" s="126" t="s">
        <v>22</v>
      </c>
      <c r="G316" s="126" t="s">
        <v>1664</v>
      </c>
      <c r="H316" s="127">
        <v>160</v>
      </c>
      <c r="I316" s="49" t="s">
        <v>3559</v>
      </c>
      <c r="J316" s="52">
        <v>2</v>
      </c>
      <c r="K316" s="169"/>
      <c r="L316" s="169" t="s">
        <v>5200</v>
      </c>
      <c r="M316" s="58"/>
    </row>
    <row r="317" spans="1:13" ht="15">
      <c r="A317" s="153">
        <v>315</v>
      </c>
      <c r="B317" s="60" t="s">
        <v>752</v>
      </c>
      <c r="C317" s="126" t="s">
        <v>489</v>
      </c>
      <c r="D317" s="52">
        <v>1</v>
      </c>
      <c r="E317" s="56" t="s">
        <v>2427</v>
      </c>
      <c r="F317" s="126" t="s">
        <v>22</v>
      </c>
      <c r="G317" s="126" t="s">
        <v>1664</v>
      </c>
      <c r="H317" s="127">
        <v>112</v>
      </c>
      <c r="I317" s="49" t="s">
        <v>3559</v>
      </c>
      <c r="J317" s="52">
        <v>3</v>
      </c>
      <c r="K317" s="169"/>
      <c r="L317" s="169" t="s">
        <v>5201</v>
      </c>
      <c r="M317" s="58"/>
    </row>
    <row r="318" spans="1:13" ht="15">
      <c r="A318" s="153">
        <v>316</v>
      </c>
      <c r="B318" s="60" t="s">
        <v>1276</v>
      </c>
      <c r="C318" s="126" t="s">
        <v>492</v>
      </c>
      <c r="D318" s="52">
        <v>1</v>
      </c>
      <c r="E318" s="56" t="s">
        <v>2427</v>
      </c>
      <c r="F318" s="126" t="s">
        <v>22</v>
      </c>
      <c r="G318" s="126" t="s">
        <v>1664</v>
      </c>
      <c r="H318" s="127">
        <v>32</v>
      </c>
      <c r="I318" s="49" t="s">
        <v>3559</v>
      </c>
      <c r="J318" s="52">
        <v>3</v>
      </c>
      <c r="K318" s="169"/>
      <c r="L318" s="186" t="s">
        <v>5202</v>
      </c>
      <c r="M318" s="58"/>
    </row>
    <row r="319" spans="1:13" ht="15">
      <c r="A319" s="153">
        <v>317</v>
      </c>
      <c r="B319" s="64" t="s">
        <v>692</v>
      </c>
      <c r="C319" s="126" t="s">
        <v>693</v>
      </c>
      <c r="D319" s="52">
        <v>16</v>
      </c>
      <c r="E319" s="56" t="s">
        <v>2427</v>
      </c>
      <c r="F319" s="126" t="s">
        <v>22</v>
      </c>
      <c r="G319" s="126" t="s">
        <v>1664</v>
      </c>
      <c r="H319" s="127">
        <v>160</v>
      </c>
      <c r="I319" s="49" t="s">
        <v>3594</v>
      </c>
      <c r="J319" s="52">
        <v>2</v>
      </c>
      <c r="K319" s="169"/>
      <c r="L319" s="169" t="s">
        <v>5203</v>
      </c>
      <c r="M319" s="58"/>
    </row>
    <row r="320" spans="1:13" ht="15">
      <c r="A320" s="153">
        <v>318</v>
      </c>
      <c r="B320" s="53" t="s">
        <v>1271</v>
      </c>
      <c r="C320" s="126" t="s">
        <v>630</v>
      </c>
      <c r="D320" s="55">
        <v>7</v>
      </c>
      <c r="E320" s="56" t="s">
        <v>2427</v>
      </c>
      <c r="F320" s="126" t="s">
        <v>22</v>
      </c>
      <c r="G320" s="126" t="s">
        <v>1664</v>
      </c>
      <c r="H320" s="127">
        <v>72</v>
      </c>
      <c r="I320" s="49" t="s">
        <v>3563</v>
      </c>
      <c r="J320" s="52">
        <v>2</v>
      </c>
      <c r="K320" s="169"/>
      <c r="L320" s="169" t="s">
        <v>5204</v>
      </c>
      <c r="M320" s="58"/>
    </row>
    <row r="321" spans="1:13" ht="15">
      <c r="A321" s="153">
        <v>319</v>
      </c>
      <c r="B321" s="60" t="s">
        <v>524</v>
      </c>
      <c r="C321" s="126" t="s">
        <v>526</v>
      </c>
      <c r="D321" s="52">
        <v>2</v>
      </c>
      <c r="E321" s="56" t="s">
        <v>2427</v>
      </c>
      <c r="F321" s="126" t="s">
        <v>22</v>
      </c>
      <c r="G321" s="126" t="s">
        <v>1664</v>
      </c>
      <c r="H321" s="127">
        <v>16</v>
      </c>
      <c r="I321" s="49" t="s">
        <v>3563</v>
      </c>
      <c r="J321" s="52">
        <v>3</v>
      </c>
      <c r="K321" s="169"/>
      <c r="L321" s="169" t="s">
        <v>5205</v>
      </c>
      <c r="M321" s="58"/>
    </row>
    <row r="322" spans="1:13" ht="15">
      <c r="A322" s="153">
        <v>320</v>
      </c>
      <c r="B322" s="53" t="s">
        <v>1151</v>
      </c>
      <c r="C322" s="126" t="s">
        <v>558</v>
      </c>
      <c r="D322" s="55">
        <v>1</v>
      </c>
      <c r="E322" s="56" t="s">
        <v>2427</v>
      </c>
      <c r="F322" s="126" t="s">
        <v>22</v>
      </c>
      <c r="G322" s="126" t="s">
        <v>1664</v>
      </c>
      <c r="H322" s="127">
        <v>8</v>
      </c>
      <c r="I322" s="49" t="s">
        <v>3563</v>
      </c>
      <c r="J322" s="52">
        <v>3</v>
      </c>
      <c r="K322" s="169"/>
      <c r="L322" s="169" t="s">
        <v>5206</v>
      </c>
      <c r="M322" s="58"/>
    </row>
    <row r="323" spans="1:13" ht="15">
      <c r="A323" s="153">
        <v>321</v>
      </c>
      <c r="B323" s="53" t="s">
        <v>1153</v>
      </c>
      <c r="C323" s="126" t="s">
        <v>558</v>
      </c>
      <c r="D323" s="55">
        <v>12</v>
      </c>
      <c r="E323" s="56">
        <v>3</v>
      </c>
      <c r="F323" s="126" t="s">
        <v>22</v>
      </c>
      <c r="G323" s="126" t="s">
        <v>1664</v>
      </c>
      <c r="H323" s="127">
        <v>688</v>
      </c>
      <c r="I323" s="49" t="s">
        <v>3563</v>
      </c>
      <c r="J323" s="52">
        <v>3</v>
      </c>
      <c r="K323" s="169"/>
      <c r="L323" s="169" t="s">
        <v>5207</v>
      </c>
      <c r="M323" s="58"/>
    </row>
    <row r="324" spans="1:13" ht="15">
      <c r="A324" s="153">
        <v>322</v>
      </c>
      <c r="B324" s="60" t="s">
        <v>711</v>
      </c>
      <c r="C324" s="126" t="s">
        <v>712</v>
      </c>
      <c r="D324" s="52">
        <v>2</v>
      </c>
      <c r="E324" s="56" t="s">
        <v>2427</v>
      </c>
      <c r="F324" s="126" t="s">
        <v>22</v>
      </c>
      <c r="G324" s="126" t="s">
        <v>1664</v>
      </c>
      <c r="H324" s="127">
        <v>16</v>
      </c>
      <c r="I324" s="49" t="s">
        <v>3563</v>
      </c>
      <c r="J324" s="52">
        <v>3</v>
      </c>
      <c r="K324" s="169"/>
      <c r="L324" s="169" t="s">
        <v>5208</v>
      </c>
      <c r="M324" s="58"/>
    </row>
    <row r="325" spans="1:13" ht="15">
      <c r="A325" s="153">
        <v>323</v>
      </c>
      <c r="B325" s="60" t="s">
        <v>269</v>
      </c>
      <c r="C325" s="126" t="s">
        <v>270</v>
      </c>
      <c r="D325" s="52">
        <v>6</v>
      </c>
      <c r="E325" s="56" t="s">
        <v>2427</v>
      </c>
      <c r="F325" s="126" t="s">
        <v>22</v>
      </c>
      <c r="G325" s="126" t="s">
        <v>1664</v>
      </c>
      <c r="H325" s="127">
        <v>80</v>
      </c>
      <c r="I325" s="49" t="s">
        <v>3563</v>
      </c>
      <c r="J325" s="52">
        <v>5</v>
      </c>
      <c r="K325" s="169" t="s">
        <v>5209</v>
      </c>
      <c r="L325" s="169" t="s">
        <v>5210</v>
      </c>
      <c r="M325" s="58"/>
    </row>
    <row r="326" spans="1:13" ht="15">
      <c r="A326" s="153">
        <v>324</v>
      </c>
      <c r="B326" s="60" t="s">
        <v>496</v>
      </c>
      <c r="C326" s="126" t="s">
        <v>498</v>
      </c>
      <c r="D326" s="52">
        <v>4</v>
      </c>
      <c r="E326" s="56" t="s">
        <v>2427</v>
      </c>
      <c r="F326" s="126" t="s">
        <v>22</v>
      </c>
      <c r="G326" s="126" t="s">
        <v>1664</v>
      </c>
      <c r="H326" s="127">
        <v>32</v>
      </c>
      <c r="I326" s="49" t="s">
        <v>3563</v>
      </c>
      <c r="J326" s="52">
        <v>5</v>
      </c>
      <c r="K326" s="169"/>
      <c r="L326" s="169" t="s">
        <v>5211</v>
      </c>
      <c r="M326" s="58"/>
    </row>
    <row r="327" spans="1:13" ht="15">
      <c r="A327" s="153">
        <v>325</v>
      </c>
      <c r="B327" s="60" t="s">
        <v>487</v>
      </c>
      <c r="C327" s="126" t="s">
        <v>485</v>
      </c>
      <c r="D327" s="52">
        <v>4</v>
      </c>
      <c r="E327" s="56" t="s">
        <v>2427</v>
      </c>
      <c r="F327" s="126" t="s">
        <v>22</v>
      </c>
      <c r="G327" s="126" t="s">
        <v>1664</v>
      </c>
      <c r="H327" s="127">
        <v>32</v>
      </c>
      <c r="I327" s="49" t="s">
        <v>3570</v>
      </c>
      <c r="J327" s="52"/>
      <c r="K327" s="169"/>
      <c r="L327" s="169" t="s">
        <v>5212</v>
      </c>
      <c r="M327" s="58"/>
    </row>
    <row r="328" spans="1:13" ht="15">
      <c r="A328" s="153">
        <v>326</v>
      </c>
      <c r="B328" s="60" t="s">
        <v>1894</v>
      </c>
      <c r="C328" s="126" t="s">
        <v>1814</v>
      </c>
      <c r="D328" s="52">
        <v>1</v>
      </c>
      <c r="E328" s="56" t="s">
        <v>2437</v>
      </c>
      <c r="F328" s="126" t="s">
        <v>22</v>
      </c>
      <c r="G328" s="126" t="s">
        <v>1667</v>
      </c>
      <c r="H328" s="127">
        <v>1</v>
      </c>
      <c r="I328" s="49" t="s">
        <v>2438</v>
      </c>
      <c r="J328" s="52"/>
      <c r="K328" s="169"/>
      <c r="L328" s="169" t="s">
        <v>5213</v>
      </c>
      <c r="M328" s="58"/>
    </row>
    <row r="329" spans="1:13" ht="15">
      <c r="A329" s="153">
        <v>327</v>
      </c>
      <c r="B329" s="60" t="s">
        <v>1436</v>
      </c>
      <c r="C329" s="126" t="s">
        <v>1866</v>
      </c>
      <c r="D329" s="52">
        <v>1</v>
      </c>
      <c r="E329" s="56" t="s">
        <v>2437</v>
      </c>
      <c r="F329" s="126" t="s">
        <v>22</v>
      </c>
      <c r="G329" s="126" t="s">
        <v>1667</v>
      </c>
      <c r="H329" s="127">
        <v>1</v>
      </c>
      <c r="I329" s="49" t="s">
        <v>2438</v>
      </c>
      <c r="J329" s="52"/>
      <c r="K329" s="169"/>
      <c r="L329" s="186" t="s">
        <v>5214</v>
      </c>
      <c r="M329" s="58"/>
    </row>
    <row r="330" spans="1:13" ht="15">
      <c r="A330" s="153">
        <v>328</v>
      </c>
      <c r="B330" s="60" t="s">
        <v>2107</v>
      </c>
      <c r="C330" s="126" t="s">
        <v>1838</v>
      </c>
      <c r="D330" s="52">
        <v>2</v>
      </c>
      <c r="E330" s="56" t="s">
        <v>2437</v>
      </c>
      <c r="F330" s="126" t="s">
        <v>22</v>
      </c>
      <c r="G330" s="126" t="s">
        <v>1667</v>
      </c>
      <c r="H330" s="127">
        <v>2</v>
      </c>
      <c r="I330" s="49" t="s">
        <v>2438</v>
      </c>
      <c r="J330" s="52"/>
      <c r="K330" s="169" t="s">
        <v>5019</v>
      </c>
      <c r="L330" s="169" t="s">
        <v>5215</v>
      </c>
      <c r="M330" s="58"/>
    </row>
    <row r="331" spans="1:13" ht="15">
      <c r="A331" s="153">
        <v>329</v>
      </c>
      <c r="B331" s="60" t="s">
        <v>559</v>
      </c>
      <c r="C331" s="126" t="s">
        <v>560</v>
      </c>
      <c r="D331" s="52">
        <v>8</v>
      </c>
      <c r="E331" s="56" t="s">
        <v>2437</v>
      </c>
      <c r="F331" s="126" t="s">
        <v>22</v>
      </c>
      <c r="G331" s="126" t="s">
        <v>1686</v>
      </c>
      <c r="H331" s="127">
        <v>960</v>
      </c>
      <c r="I331" s="49" t="s">
        <v>3559</v>
      </c>
      <c r="J331" s="52">
        <v>1</v>
      </c>
      <c r="K331" s="169"/>
      <c r="L331" s="169" t="s">
        <v>5216</v>
      </c>
      <c r="M331" s="58"/>
    </row>
    <row r="332" spans="1:13" ht="15">
      <c r="A332" s="153">
        <v>330</v>
      </c>
      <c r="B332" s="59" t="s">
        <v>612</v>
      </c>
      <c r="C332" s="126" t="s">
        <v>614</v>
      </c>
      <c r="D332" s="55">
        <v>25</v>
      </c>
      <c r="E332" s="56" t="s">
        <v>2437</v>
      </c>
      <c r="F332" s="126" t="s">
        <v>22</v>
      </c>
      <c r="G332" s="126" t="s">
        <v>1686</v>
      </c>
      <c r="H332" s="127">
        <v>1072</v>
      </c>
      <c r="I332" s="49" t="s">
        <v>3559</v>
      </c>
      <c r="J332" s="52">
        <v>1</v>
      </c>
      <c r="K332" s="169"/>
      <c r="L332" s="169" t="s">
        <v>5217</v>
      </c>
      <c r="M332" s="58"/>
    </row>
    <row r="333" spans="1:13" ht="15">
      <c r="A333" s="153">
        <v>331</v>
      </c>
      <c r="B333" s="59" t="s">
        <v>644</v>
      </c>
      <c r="C333" s="126" t="s">
        <v>645</v>
      </c>
      <c r="D333" s="55">
        <v>1</v>
      </c>
      <c r="E333" s="56" t="s">
        <v>2385</v>
      </c>
      <c r="F333" s="126" t="s">
        <v>22</v>
      </c>
      <c r="G333" s="126" t="s">
        <v>1664</v>
      </c>
      <c r="H333" s="127">
        <v>8</v>
      </c>
      <c r="I333" s="49" t="s">
        <v>3559</v>
      </c>
      <c r="J333" s="52">
        <v>3</v>
      </c>
      <c r="K333" s="169"/>
      <c r="L333" s="169" t="s">
        <v>5218</v>
      </c>
      <c r="M333" s="58"/>
    </row>
    <row r="334" spans="1:13" ht="15">
      <c r="A334" s="153">
        <v>332</v>
      </c>
      <c r="B334" s="133" t="s">
        <v>644</v>
      </c>
      <c r="C334" s="126" t="s">
        <v>645</v>
      </c>
      <c r="D334" s="52">
        <v>1</v>
      </c>
      <c r="E334" s="56" t="s">
        <v>2437</v>
      </c>
      <c r="F334" s="126" t="s">
        <v>22</v>
      </c>
      <c r="G334" s="126" t="s">
        <v>1664</v>
      </c>
      <c r="H334" s="127">
        <v>8</v>
      </c>
      <c r="I334" s="49" t="s">
        <v>3559</v>
      </c>
      <c r="J334" s="52">
        <v>3</v>
      </c>
      <c r="K334" s="169"/>
      <c r="L334" s="169" t="s">
        <v>5219</v>
      </c>
      <c r="M334" s="49"/>
    </row>
    <row r="335" spans="1:13" ht="15">
      <c r="A335" s="153">
        <v>333</v>
      </c>
      <c r="B335" s="60" t="s">
        <v>533</v>
      </c>
      <c r="C335" s="126" t="s">
        <v>534</v>
      </c>
      <c r="D335" s="52">
        <v>4</v>
      </c>
      <c r="E335" s="56" t="s">
        <v>2437</v>
      </c>
      <c r="F335" s="126" t="s">
        <v>22</v>
      </c>
      <c r="G335" s="126" t="s">
        <v>1686</v>
      </c>
      <c r="H335" s="127">
        <v>112</v>
      </c>
      <c r="I335" s="49" t="s">
        <v>3559</v>
      </c>
      <c r="J335" s="52">
        <v>4</v>
      </c>
      <c r="K335" s="169"/>
      <c r="L335" s="169" t="s">
        <v>5220</v>
      </c>
      <c r="M335" s="58"/>
    </row>
    <row r="336" spans="1:13" ht="15">
      <c r="A336" s="153">
        <v>334</v>
      </c>
      <c r="B336" s="60" t="s">
        <v>523</v>
      </c>
      <c r="C336" s="126" t="s">
        <v>21</v>
      </c>
      <c r="D336" s="52">
        <v>1</v>
      </c>
      <c r="E336" s="56" t="s">
        <v>2437</v>
      </c>
      <c r="F336" s="126" t="s">
        <v>22</v>
      </c>
      <c r="G336" s="126" t="s">
        <v>1664</v>
      </c>
      <c r="H336" s="127">
        <v>48</v>
      </c>
      <c r="I336" s="49" t="s">
        <v>3559</v>
      </c>
      <c r="J336" s="52"/>
      <c r="K336" s="169"/>
      <c r="L336" s="169" t="s">
        <v>5221</v>
      </c>
      <c r="M336" s="58"/>
    </row>
    <row r="337" spans="1:13" ht="15">
      <c r="A337" s="153">
        <v>335</v>
      </c>
      <c r="B337" s="60" t="s">
        <v>866</v>
      </c>
      <c r="C337" s="126" t="s">
        <v>21</v>
      </c>
      <c r="D337" s="52">
        <v>2</v>
      </c>
      <c r="E337" s="56" t="s">
        <v>2437</v>
      </c>
      <c r="F337" s="126" t="s">
        <v>22</v>
      </c>
      <c r="G337" s="126" t="s">
        <v>1664</v>
      </c>
      <c r="H337" s="127">
        <v>16</v>
      </c>
      <c r="I337" s="49" t="s">
        <v>3594</v>
      </c>
      <c r="J337" s="52">
        <v>1</v>
      </c>
      <c r="K337" s="169"/>
      <c r="L337" s="169" t="s">
        <v>5222</v>
      </c>
      <c r="M337" s="58"/>
    </row>
    <row r="338" spans="1:13" ht="15">
      <c r="A338" s="153">
        <v>336</v>
      </c>
      <c r="B338" s="60" t="s">
        <v>1149</v>
      </c>
      <c r="C338" s="126" t="s">
        <v>558</v>
      </c>
      <c r="D338" s="52">
        <v>8</v>
      </c>
      <c r="E338" s="56" t="s">
        <v>2437</v>
      </c>
      <c r="F338" s="126" t="s">
        <v>22</v>
      </c>
      <c r="G338" s="126" t="s">
        <v>1664</v>
      </c>
      <c r="H338" s="127">
        <v>72</v>
      </c>
      <c r="I338" s="49" t="s">
        <v>3594</v>
      </c>
      <c r="J338" s="52">
        <v>1</v>
      </c>
      <c r="K338" s="169"/>
      <c r="L338" s="169" t="s">
        <v>5223</v>
      </c>
      <c r="M338" s="58"/>
    </row>
    <row r="339" spans="1:13" ht="15">
      <c r="A339" s="153">
        <v>337</v>
      </c>
      <c r="B339" s="60" t="s">
        <v>1235</v>
      </c>
      <c r="C339" s="126" t="s">
        <v>1236</v>
      </c>
      <c r="D339" s="52">
        <v>4</v>
      </c>
      <c r="E339" s="56" t="s">
        <v>2437</v>
      </c>
      <c r="F339" s="126" t="s">
        <v>22</v>
      </c>
      <c r="G339" s="126" t="s">
        <v>1664</v>
      </c>
      <c r="H339" s="127">
        <v>32</v>
      </c>
      <c r="I339" s="49" t="s">
        <v>3594</v>
      </c>
      <c r="J339" s="52">
        <v>1</v>
      </c>
      <c r="K339" s="169"/>
      <c r="L339" s="186" t="s">
        <v>5224</v>
      </c>
      <c r="M339" s="58"/>
    </row>
    <row r="340" spans="1:13" ht="15">
      <c r="A340" s="153">
        <v>338</v>
      </c>
      <c r="B340" s="60" t="s">
        <v>1259</v>
      </c>
      <c r="C340" s="126" t="s">
        <v>1260</v>
      </c>
      <c r="D340" s="52">
        <v>2</v>
      </c>
      <c r="E340" s="56" t="s">
        <v>2437</v>
      </c>
      <c r="F340" s="126" t="s">
        <v>22</v>
      </c>
      <c r="G340" s="126" t="s">
        <v>1664</v>
      </c>
      <c r="H340" s="127">
        <v>16</v>
      </c>
      <c r="I340" s="49" t="s">
        <v>3594</v>
      </c>
      <c r="J340" s="52">
        <v>1</v>
      </c>
      <c r="K340" s="169"/>
      <c r="L340" s="169" t="s">
        <v>5225</v>
      </c>
      <c r="M340" s="58"/>
    </row>
    <row r="341" spans="1:13" ht="15">
      <c r="A341" s="153">
        <v>339</v>
      </c>
      <c r="B341" s="60" t="s">
        <v>1181</v>
      </c>
      <c r="C341" s="126" t="s">
        <v>587</v>
      </c>
      <c r="D341" s="52">
        <v>1</v>
      </c>
      <c r="E341" s="56" t="s">
        <v>2437</v>
      </c>
      <c r="F341" s="126" t="s">
        <v>22</v>
      </c>
      <c r="G341" s="126" t="s">
        <v>1664</v>
      </c>
      <c r="H341" s="127">
        <v>48</v>
      </c>
      <c r="I341" s="49" t="s">
        <v>3594</v>
      </c>
      <c r="J341" s="52">
        <v>2</v>
      </c>
      <c r="K341" s="169"/>
      <c r="L341" s="169" t="s">
        <v>5226</v>
      </c>
      <c r="M341" s="58"/>
    </row>
    <row r="342" spans="1:13" ht="15">
      <c r="A342" s="153">
        <v>340</v>
      </c>
      <c r="B342" s="60" t="s">
        <v>692</v>
      </c>
      <c r="C342" s="126" t="s">
        <v>693</v>
      </c>
      <c r="D342" s="52">
        <v>8</v>
      </c>
      <c r="E342" s="56" t="s">
        <v>2437</v>
      </c>
      <c r="F342" s="126" t="s">
        <v>22</v>
      </c>
      <c r="G342" s="126" t="s">
        <v>1664</v>
      </c>
      <c r="H342" s="127">
        <v>160</v>
      </c>
      <c r="I342" s="49" t="s">
        <v>3594</v>
      </c>
      <c r="J342" s="52">
        <v>2</v>
      </c>
      <c r="K342" s="169"/>
      <c r="L342" s="169" t="s">
        <v>5227</v>
      </c>
      <c r="M342" s="58"/>
    </row>
    <row r="343" spans="1:13" ht="15">
      <c r="A343" s="153">
        <v>341</v>
      </c>
      <c r="B343" s="60" t="s">
        <v>1187</v>
      </c>
      <c r="C343" s="126" t="s">
        <v>1188</v>
      </c>
      <c r="D343" s="52">
        <v>4</v>
      </c>
      <c r="E343" s="56" t="s">
        <v>2437</v>
      </c>
      <c r="F343" s="126" t="s">
        <v>22</v>
      </c>
      <c r="G343" s="126" t="s">
        <v>1664</v>
      </c>
      <c r="H343" s="127">
        <v>88</v>
      </c>
      <c r="I343" s="49" t="s">
        <v>3563</v>
      </c>
      <c r="J343" s="52">
        <v>2</v>
      </c>
      <c r="K343" s="169"/>
      <c r="L343" s="169" t="s">
        <v>5228</v>
      </c>
      <c r="M343" s="58"/>
    </row>
    <row r="344" spans="1:13" ht="15">
      <c r="A344" s="153">
        <v>342</v>
      </c>
      <c r="B344" s="60" t="s">
        <v>1271</v>
      </c>
      <c r="C344" s="126" t="s">
        <v>630</v>
      </c>
      <c r="D344" s="52">
        <v>4</v>
      </c>
      <c r="E344" s="56" t="s">
        <v>2437</v>
      </c>
      <c r="F344" s="126" t="s">
        <v>22</v>
      </c>
      <c r="G344" s="126" t="s">
        <v>1664</v>
      </c>
      <c r="H344" s="127">
        <v>72</v>
      </c>
      <c r="I344" s="49" t="s">
        <v>3563</v>
      </c>
      <c r="J344" s="52">
        <v>2</v>
      </c>
      <c r="K344" s="169"/>
      <c r="L344" s="169" t="s">
        <v>5229</v>
      </c>
      <c r="M344" s="58"/>
    </row>
    <row r="345" spans="1:13" ht="15">
      <c r="A345" s="153">
        <v>343</v>
      </c>
      <c r="B345" s="60" t="s">
        <v>484</v>
      </c>
      <c r="C345" s="126" t="s">
        <v>485</v>
      </c>
      <c r="D345" s="52">
        <v>2</v>
      </c>
      <c r="E345" s="56" t="s">
        <v>2437</v>
      </c>
      <c r="F345" s="126" t="s">
        <v>22</v>
      </c>
      <c r="G345" s="126" t="s">
        <v>1664</v>
      </c>
      <c r="H345" s="127">
        <v>40</v>
      </c>
      <c r="I345" s="49" t="s">
        <v>3563</v>
      </c>
      <c r="J345" s="52">
        <v>3</v>
      </c>
      <c r="K345" s="169"/>
      <c r="L345" s="169" t="s">
        <v>5230</v>
      </c>
      <c r="M345" s="58"/>
    </row>
    <row r="346" spans="1:13" ht="15">
      <c r="A346" s="153">
        <v>344</v>
      </c>
      <c r="B346" s="60" t="s">
        <v>801</v>
      </c>
      <c r="C346" s="126" t="s">
        <v>485</v>
      </c>
      <c r="D346" s="52">
        <v>2</v>
      </c>
      <c r="E346" s="56" t="s">
        <v>2437</v>
      </c>
      <c r="F346" s="126" t="s">
        <v>22</v>
      </c>
      <c r="G346" s="126" t="s">
        <v>1664</v>
      </c>
      <c r="H346" s="127">
        <v>16</v>
      </c>
      <c r="I346" s="49" t="s">
        <v>3563</v>
      </c>
      <c r="J346" s="52">
        <v>3</v>
      </c>
      <c r="K346" s="169"/>
      <c r="L346" s="169" t="s">
        <v>5231</v>
      </c>
      <c r="M346" s="58"/>
    </row>
    <row r="347" spans="1:13" ht="15">
      <c r="A347" s="153">
        <v>345</v>
      </c>
      <c r="B347" s="60" t="s">
        <v>509</v>
      </c>
      <c r="C347" s="126" t="s">
        <v>21</v>
      </c>
      <c r="D347" s="52">
        <v>2</v>
      </c>
      <c r="E347" s="56" t="s">
        <v>2437</v>
      </c>
      <c r="F347" s="126" t="s">
        <v>22</v>
      </c>
      <c r="G347" s="126" t="s">
        <v>1664</v>
      </c>
      <c r="H347" s="127">
        <v>16</v>
      </c>
      <c r="I347" s="49" t="s">
        <v>3563</v>
      </c>
      <c r="J347" s="52">
        <v>3</v>
      </c>
      <c r="K347" s="169"/>
      <c r="L347" s="169" t="s">
        <v>5232</v>
      </c>
      <c r="M347" s="58"/>
    </row>
    <row r="348" spans="1:13" ht="15">
      <c r="A348" s="153">
        <v>346</v>
      </c>
      <c r="B348" s="60" t="s">
        <v>869</v>
      </c>
      <c r="C348" s="126" t="s">
        <v>21</v>
      </c>
      <c r="D348" s="52">
        <v>2</v>
      </c>
      <c r="E348" s="56" t="s">
        <v>2437</v>
      </c>
      <c r="F348" s="126" t="s">
        <v>22</v>
      </c>
      <c r="G348" s="126" t="s">
        <v>1664</v>
      </c>
      <c r="H348" s="127">
        <v>16</v>
      </c>
      <c r="I348" s="49" t="s">
        <v>3563</v>
      </c>
      <c r="J348" s="52">
        <v>3</v>
      </c>
      <c r="K348" s="169"/>
      <c r="L348" s="169" t="s">
        <v>5233</v>
      </c>
      <c r="M348" s="58"/>
    </row>
    <row r="349" spans="1:13" ht="15">
      <c r="A349" s="153">
        <v>347</v>
      </c>
      <c r="B349" s="60" t="s">
        <v>1308</v>
      </c>
      <c r="C349" s="126" t="s">
        <v>1309</v>
      </c>
      <c r="D349" s="52">
        <v>1</v>
      </c>
      <c r="E349" s="56" t="s">
        <v>2437</v>
      </c>
      <c r="F349" s="126" t="s">
        <v>22</v>
      </c>
      <c r="G349" s="126" t="s">
        <v>1664</v>
      </c>
      <c r="H349" s="127">
        <v>8</v>
      </c>
      <c r="I349" s="49" t="s">
        <v>3563</v>
      </c>
      <c r="J349" s="52">
        <v>3</v>
      </c>
      <c r="K349" s="169"/>
      <c r="L349" s="169" t="s">
        <v>5234</v>
      </c>
      <c r="M349" s="58"/>
    </row>
    <row r="350" spans="1:13" ht="15">
      <c r="A350" s="153">
        <v>348</v>
      </c>
      <c r="B350" s="60" t="s">
        <v>585</v>
      </c>
      <c r="C350" s="126" t="s">
        <v>587</v>
      </c>
      <c r="D350" s="52">
        <v>2</v>
      </c>
      <c r="E350" s="56" t="s">
        <v>2437</v>
      </c>
      <c r="F350" s="126" t="s">
        <v>22</v>
      </c>
      <c r="G350" s="126" t="s">
        <v>1664</v>
      </c>
      <c r="H350" s="127">
        <v>48</v>
      </c>
      <c r="I350" s="49" t="s">
        <v>3563</v>
      </c>
      <c r="J350" s="52">
        <v>3</v>
      </c>
      <c r="K350" s="169"/>
      <c r="L350" s="169" t="s">
        <v>5235</v>
      </c>
      <c r="M350" s="58"/>
    </row>
    <row r="351" spans="1:13" ht="23.45" customHeight="1">
      <c r="A351" s="153">
        <v>349</v>
      </c>
      <c r="B351" s="60" t="s">
        <v>637</v>
      </c>
      <c r="C351" s="126" t="s">
        <v>638</v>
      </c>
      <c r="D351" s="52">
        <v>2</v>
      </c>
      <c r="E351" s="56" t="s">
        <v>2437</v>
      </c>
      <c r="F351" s="126" t="s">
        <v>22</v>
      </c>
      <c r="G351" s="126" t="s">
        <v>1664</v>
      </c>
      <c r="H351" s="127">
        <v>240</v>
      </c>
      <c r="I351" s="49" t="s">
        <v>3563</v>
      </c>
      <c r="J351" s="52">
        <v>3</v>
      </c>
      <c r="K351" s="169"/>
      <c r="L351" s="169" t="s">
        <v>5236</v>
      </c>
      <c r="M351" s="58"/>
    </row>
    <row r="352" spans="1:13" ht="15">
      <c r="A352" s="153">
        <v>350</v>
      </c>
      <c r="B352" s="53" t="s">
        <v>991</v>
      </c>
      <c r="C352" s="126" t="s">
        <v>587</v>
      </c>
      <c r="D352" s="55">
        <v>4</v>
      </c>
      <c r="E352" s="56" t="s">
        <v>2437</v>
      </c>
      <c r="F352" s="126" t="s">
        <v>22</v>
      </c>
      <c r="G352" s="126" t="s">
        <v>1664</v>
      </c>
      <c r="H352" s="127">
        <v>32</v>
      </c>
      <c r="I352" s="49" t="s">
        <v>3563</v>
      </c>
      <c r="J352" s="52">
        <v>4</v>
      </c>
      <c r="K352" s="169"/>
      <c r="L352" s="169" t="s">
        <v>5237</v>
      </c>
      <c r="M352" s="58"/>
    </row>
    <row r="353" spans="1:18" s="62" customFormat="1" ht="15">
      <c r="A353" s="153">
        <v>351</v>
      </c>
      <c r="B353" s="60" t="s">
        <v>1081</v>
      </c>
      <c r="C353" s="126" t="s">
        <v>558</v>
      </c>
      <c r="D353" s="52">
        <v>2</v>
      </c>
      <c r="E353" s="56" t="s">
        <v>2437</v>
      </c>
      <c r="F353" s="126" t="s">
        <v>22</v>
      </c>
      <c r="G353" s="126" t="s">
        <v>1664</v>
      </c>
      <c r="H353" s="127">
        <v>16</v>
      </c>
      <c r="I353" s="49" t="s">
        <v>3563</v>
      </c>
      <c r="J353" s="52">
        <v>4</v>
      </c>
      <c r="K353" s="169"/>
      <c r="L353" s="169" t="s">
        <v>5238</v>
      </c>
      <c r="M353" s="58"/>
      <c r="N353" s="10"/>
      <c r="O353" s="10"/>
      <c r="P353" s="10"/>
      <c r="Q353" s="10"/>
      <c r="R353" s="10"/>
    </row>
    <row r="354" spans="1:18" s="62" customFormat="1" ht="15">
      <c r="A354" s="153">
        <v>352</v>
      </c>
      <c r="B354" s="60" t="s">
        <v>1111</v>
      </c>
      <c r="C354" s="126" t="s">
        <v>1113</v>
      </c>
      <c r="D354" s="52">
        <v>2</v>
      </c>
      <c r="E354" s="56" t="s">
        <v>2437</v>
      </c>
      <c r="F354" s="126" t="s">
        <v>22</v>
      </c>
      <c r="G354" s="126" t="s">
        <v>1664</v>
      </c>
      <c r="H354" s="127">
        <v>16</v>
      </c>
      <c r="I354" s="49" t="s">
        <v>3563</v>
      </c>
      <c r="J354" s="52">
        <v>4</v>
      </c>
      <c r="K354" s="169"/>
      <c r="L354" s="169" t="s">
        <v>5239</v>
      </c>
      <c r="M354" s="58"/>
      <c r="N354" s="10"/>
      <c r="O354" s="10"/>
      <c r="P354" s="10"/>
      <c r="Q354" s="10"/>
      <c r="R354" s="10"/>
    </row>
    <row r="355" spans="1:18" ht="15">
      <c r="A355" s="153">
        <v>353</v>
      </c>
      <c r="B355" s="53" t="s">
        <v>1165</v>
      </c>
      <c r="C355" s="126" t="s">
        <v>630</v>
      </c>
      <c r="D355" s="55">
        <v>4</v>
      </c>
      <c r="E355" s="56" t="s">
        <v>2437</v>
      </c>
      <c r="F355" s="126" t="s">
        <v>22</v>
      </c>
      <c r="G355" s="126" t="s">
        <v>1664</v>
      </c>
      <c r="H355" s="127">
        <v>32</v>
      </c>
      <c r="I355" s="49" t="s">
        <v>3563</v>
      </c>
      <c r="J355" s="52">
        <v>4</v>
      </c>
      <c r="K355" s="169"/>
      <c r="L355" s="169" t="s">
        <v>5240</v>
      </c>
      <c r="M355" s="58"/>
    </row>
    <row r="356" spans="1:18" ht="15">
      <c r="A356" s="153">
        <v>354</v>
      </c>
      <c r="B356" s="60" t="s">
        <v>696</v>
      </c>
      <c r="C356" s="126" t="s">
        <v>611</v>
      </c>
      <c r="D356" s="52">
        <v>5</v>
      </c>
      <c r="E356" s="56" t="s">
        <v>2437</v>
      </c>
      <c r="F356" s="126" t="s">
        <v>22</v>
      </c>
      <c r="G356" s="126" t="s">
        <v>1664</v>
      </c>
      <c r="H356" s="127">
        <v>16</v>
      </c>
      <c r="I356" s="49" t="s">
        <v>3563</v>
      </c>
      <c r="J356" s="52">
        <v>4</v>
      </c>
      <c r="K356" s="169"/>
      <c r="L356" s="169" t="s">
        <v>5241</v>
      </c>
      <c r="M356" s="58"/>
    </row>
    <row r="357" spans="1:18" ht="15">
      <c r="A357" s="153">
        <v>355</v>
      </c>
      <c r="B357" s="60" t="s">
        <v>776</v>
      </c>
      <c r="C357" s="126" t="s">
        <v>739</v>
      </c>
      <c r="D357" s="52">
        <v>1</v>
      </c>
      <c r="E357" s="56" t="s">
        <v>2437</v>
      </c>
      <c r="F357" s="126" t="s">
        <v>22</v>
      </c>
      <c r="G357" s="126" t="s">
        <v>1664</v>
      </c>
      <c r="H357" s="127">
        <v>8</v>
      </c>
      <c r="I357" s="49" t="s">
        <v>3563</v>
      </c>
      <c r="J357" s="52">
        <v>5</v>
      </c>
      <c r="K357" s="169"/>
      <c r="L357" s="169" t="s">
        <v>5242</v>
      </c>
      <c r="M357" s="58"/>
    </row>
    <row r="358" spans="1:18" ht="15">
      <c r="A358" s="153">
        <v>356</v>
      </c>
      <c r="B358" s="60" t="s">
        <v>867</v>
      </c>
      <c r="C358" s="126" t="s">
        <v>21</v>
      </c>
      <c r="D358" s="52">
        <v>1</v>
      </c>
      <c r="E358" s="56" t="s">
        <v>2437</v>
      </c>
      <c r="F358" s="126" t="s">
        <v>22</v>
      </c>
      <c r="G358" s="126" t="s">
        <v>1664</v>
      </c>
      <c r="H358" s="127">
        <v>8</v>
      </c>
      <c r="I358" s="49" t="s">
        <v>3563</v>
      </c>
      <c r="J358" s="52">
        <v>5</v>
      </c>
      <c r="K358" s="169"/>
      <c r="L358" s="169" t="s">
        <v>5243</v>
      </c>
      <c r="M358" s="58"/>
    </row>
    <row r="359" spans="1:18" ht="15">
      <c r="A359" s="153">
        <v>357</v>
      </c>
      <c r="B359" s="60" t="s">
        <v>1117</v>
      </c>
      <c r="C359" s="126" t="s">
        <v>21</v>
      </c>
      <c r="D359" s="52">
        <v>2</v>
      </c>
      <c r="E359" s="56" t="s">
        <v>2437</v>
      </c>
      <c r="F359" s="126" t="s">
        <v>22</v>
      </c>
      <c r="G359" s="126" t="s">
        <v>1664</v>
      </c>
      <c r="H359" s="127">
        <v>24</v>
      </c>
      <c r="I359" s="49" t="s">
        <v>3563</v>
      </c>
      <c r="J359" s="52">
        <v>5</v>
      </c>
      <c r="K359" s="169"/>
      <c r="L359" s="169" t="s">
        <v>5244</v>
      </c>
      <c r="M359" s="58"/>
      <c r="N359" s="62"/>
    </row>
    <row r="360" spans="1:18" ht="15">
      <c r="A360" s="153">
        <v>358</v>
      </c>
      <c r="B360" s="60" t="s">
        <v>1172</v>
      </c>
      <c r="C360" s="126" t="s">
        <v>630</v>
      </c>
      <c r="D360" s="52">
        <v>6</v>
      </c>
      <c r="E360" s="56" t="s">
        <v>2437</v>
      </c>
      <c r="F360" s="126" t="s">
        <v>22</v>
      </c>
      <c r="G360" s="126" t="s">
        <v>1664</v>
      </c>
      <c r="H360" s="127">
        <v>48</v>
      </c>
      <c r="I360" s="49" t="s">
        <v>3563</v>
      </c>
      <c r="J360" s="52">
        <v>5</v>
      </c>
      <c r="K360" s="169"/>
      <c r="L360" s="169" t="s">
        <v>5245</v>
      </c>
      <c r="M360" s="58"/>
      <c r="N360" s="62"/>
    </row>
    <row r="361" spans="1:18" ht="15">
      <c r="A361" s="153">
        <v>359</v>
      </c>
      <c r="B361" s="60" t="s">
        <v>1186</v>
      </c>
      <c r="C361" s="126" t="s">
        <v>582</v>
      </c>
      <c r="D361" s="52">
        <v>1</v>
      </c>
      <c r="E361" s="56" t="s">
        <v>2437</v>
      </c>
      <c r="F361" s="126" t="s">
        <v>22</v>
      </c>
      <c r="G361" s="126" t="s">
        <v>1664</v>
      </c>
      <c r="H361" s="127">
        <v>8</v>
      </c>
      <c r="I361" s="49" t="s">
        <v>3563</v>
      </c>
      <c r="J361" s="52">
        <v>5</v>
      </c>
      <c r="K361" s="169"/>
      <c r="L361" s="169" t="s">
        <v>5246</v>
      </c>
      <c r="M361" s="58"/>
    </row>
    <row r="362" spans="1:18" ht="15">
      <c r="A362" s="153">
        <v>360</v>
      </c>
      <c r="B362" s="60" t="s">
        <v>1190</v>
      </c>
      <c r="C362" s="126" t="s">
        <v>630</v>
      </c>
      <c r="D362" s="52">
        <v>1</v>
      </c>
      <c r="E362" s="56" t="s">
        <v>2437</v>
      </c>
      <c r="F362" s="126" t="s">
        <v>22</v>
      </c>
      <c r="G362" s="126" t="s">
        <v>1664</v>
      </c>
      <c r="H362" s="127">
        <v>8</v>
      </c>
      <c r="I362" s="49" t="s">
        <v>3563</v>
      </c>
      <c r="J362" s="52">
        <v>5</v>
      </c>
      <c r="K362" s="169"/>
      <c r="L362" s="169" t="s">
        <v>5247</v>
      </c>
      <c r="M362" s="58"/>
    </row>
    <row r="363" spans="1:18" ht="15">
      <c r="A363" s="153">
        <v>361</v>
      </c>
      <c r="B363" s="60" t="s">
        <v>1197</v>
      </c>
      <c r="C363" s="126" t="s">
        <v>611</v>
      </c>
      <c r="D363" s="52">
        <v>1</v>
      </c>
      <c r="E363" s="56" t="s">
        <v>2437</v>
      </c>
      <c r="F363" s="126" t="s">
        <v>22</v>
      </c>
      <c r="G363" s="126" t="s">
        <v>1664</v>
      </c>
      <c r="H363" s="127">
        <v>8</v>
      </c>
      <c r="I363" s="49" t="s">
        <v>3563</v>
      </c>
      <c r="J363" s="52">
        <v>5</v>
      </c>
      <c r="K363" s="169"/>
      <c r="L363" s="169" t="s">
        <v>5248</v>
      </c>
      <c r="M363" s="58"/>
    </row>
    <row r="364" spans="1:18" ht="15">
      <c r="A364" s="153">
        <v>362</v>
      </c>
      <c r="B364" s="60" t="s">
        <v>626</v>
      </c>
      <c r="C364" s="126" t="s">
        <v>627</v>
      </c>
      <c r="D364" s="52">
        <v>1</v>
      </c>
      <c r="E364" s="56" t="s">
        <v>2437</v>
      </c>
      <c r="F364" s="126" t="s">
        <v>22</v>
      </c>
      <c r="G364" s="126" t="s">
        <v>1664</v>
      </c>
      <c r="H364" s="127">
        <v>8</v>
      </c>
      <c r="I364" s="49" t="s">
        <v>3563</v>
      </c>
      <c r="J364" s="52">
        <v>5</v>
      </c>
      <c r="K364" s="169"/>
      <c r="L364" s="169" t="s">
        <v>5249</v>
      </c>
      <c r="M364" s="58"/>
    </row>
    <row r="365" spans="1:18" ht="15">
      <c r="A365" s="153">
        <v>363</v>
      </c>
      <c r="B365" s="53" t="s">
        <v>633</v>
      </c>
      <c r="C365" s="126" t="s">
        <v>634</v>
      </c>
      <c r="D365" s="55">
        <v>4</v>
      </c>
      <c r="E365" s="56" t="s">
        <v>2437</v>
      </c>
      <c r="F365" s="126" t="s">
        <v>22</v>
      </c>
      <c r="G365" s="126" t="s">
        <v>1664</v>
      </c>
      <c r="H365" s="127">
        <v>32</v>
      </c>
      <c r="I365" s="49" t="s">
        <v>3563</v>
      </c>
      <c r="J365" s="52">
        <v>5</v>
      </c>
      <c r="K365" s="169"/>
      <c r="L365" s="169" t="s">
        <v>5250</v>
      </c>
      <c r="M365" s="58"/>
    </row>
    <row r="366" spans="1:18" ht="15">
      <c r="A366" s="153">
        <v>364</v>
      </c>
      <c r="B366" s="60" t="s">
        <v>646</v>
      </c>
      <c r="C366" s="126" t="s">
        <v>647</v>
      </c>
      <c r="D366" s="52">
        <v>1</v>
      </c>
      <c r="E366" s="56" t="s">
        <v>2437</v>
      </c>
      <c r="F366" s="126" t="s">
        <v>22</v>
      </c>
      <c r="G366" s="126" t="s">
        <v>1664</v>
      </c>
      <c r="H366" s="127">
        <v>104</v>
      </c>
      <c r="I366" s="49" t="s">
        <v>3563</v>
      </c>
      <c r="J366" s="52">
        <v>5</v>
      </c>
      <c r="K366" s="169"/>
      <c r="L366" s="169" t="s">
        <v>5251</v>
      </c>
      <c r="M366" s="58"/>
    </row>
    <row r="367" spans="1:18" ht="15">
      <c r="A367" s="153">
        <v>365</v>
      </c>
      <c r="B367" s="60" t="s">
        <v>1223</v>
      </c>
      <c r="C367" s="126" t="s">
        <v>1225</v>
      </c>
      <c r="D367" s="52">
        <v>2</v>
      </c>
      <c r="E367" s="56" t="s">
        <v>2437</v>
      </c>
      <c r="F367" s="126" t="s">
        <v>22</v>
      </c>
      <c r="G367" s="126" t="s">
        <v>1664</v>
      </c>
      <c r="H367" s="127">
        <v>16</v>
      </c>
      <c r="I367" s="49" t="s">
        <v>3563</v>
      </c>
      <c r="J367" s="52">
        <v>5</v>
      </c>
      <c r="K367" s="169"/>
      <c r="L367" s="169" t="s">
        <v>5252</v>
      </c>
      <c r="M367" s="58"/>
    </row>
    <row r="368" spans="1:18" ht="15">
      <c r="A368" s="153">
        <v>366</v>
      </c>
      <c r="B368" s="60" t="s">
        <v>886</v>
      </c>
      <c r="C368" s="126" t="s">
        <v>21</v>
      </c>
      <c r="D368" s="52">
        <v>1</v>
      </c>
      <c r="E368" s="56" t="s">
        <v>2437</v>
      </c>
      <c r="F368" s="126" t="s">
        <v>22</v>
      </c>
      <c r="G368" s="126" t="s">
        <v>1664</v>
      </c>
      <c r="H368" s="127">
        <v>8</v>
      </c>
      <c r="I368" s="49" t="s">
        <v>3570</v>
      </c>
      <c r="J368" s="52">
        <v>1</v>
      </c>
      <c r="K368" s="169"/>
      <c r="L368" s="169" t="s">
        <v>5253</v>
      </c>
      <c r="M368" s="58"/>
    </row>
    <row r="369" spans="1:13" ht="15">
      <c r="A369" s="153">
        <v>367</v>
      </c>
      <c r="B369" s="60" t="s">
        <v>513</v>
      </c>
      <c r="C369" s="126" t="s">
        <v>514</v>
      </c>
      <c r="D369" s="52">
        <v>1</v>
      </c>
      <c r="E369" s="56" t="s">
        <v>2437</v>
      </c>
      <c r="F369" s="126" t="s">
        <v>22</v>
      </c>
      <c r="G369" s="126" t="s">
        <v>1664</v>
      </c>
      <c r="H369" s="127">
        <v>8</v>
      </c>
      <c r="I369" s="49" t="s">
        <v>3570</v>
      </c>
      <c r="J369" s="52">
        <v>1</v>
      </c>
      <c r="K369" s="169"/>
      <c r="L369" s="169" t="s">
        <v>5254</v>
      </c>
      <c r="M369" s="58"/>
    </row>
    <row r="370" spans="1:13" ht="15">
      <c r="A370" s="153">
        <v>368</v>
      </c>
      <c r="B370" s="60" t="s">
        <v>1180</v>
      </c>
      <c r="C370" s="126" t="s">
        <v>587</v>
      </c>
      <c r="D370" s="52">
        <v>4</v>
      </c>
      <c r="E370" s="56" t="s">
        <v>2437</v>
      </c>
      <c r="F370" s="126" t="s">
        <v>22</v>
      </c>
      <c r="G370" s="126" t="s">
        <v>1664</v>
      </c>
      <c r="H370" s="127">
        <v>32</v>
      </c>
      <c r="I370" s="49" t="s">
        <v>3570</v>
      </c>
      <c r="J370" s="52">
        <v>3</v>
      </c>
      <c r="K370" s="169" t="s">
        <v>3727</v>
      </c>
      <c r="L370" s="169" t="s">
        <v>5255</v>
      </c>
      <c r="M370" s="58"/>
    </row>
    <row r="371" spans="1:13" ht="15">
      <c r="A371" s="153">
        <v>369</v>
      </c>
      <c r="B371" s="60" t="s">
        <v>804</v>
      </c>
      <c r="C371" s="126" t="s">
        <v>485</v>
      </c>
      <c r="D371" s="52">
        <v>1</v>
      </c>
      <c r="E371" s="56" t="s">
        <v>2437</v>
      </c>
      <c r="F371" s="126" t="s">
        <v>22</v>
      </c>
      <c r="G371" s="126" t="s">
        <v>1664</v>
      </c>
      <c r="H371" s="127">
        <v>40</v>
      </c>
      <c r="I371" s="49" t="s">
        <v>3570</v>
      </c>
      <c r="J371" s="52">
        <v>4</v>
      </c>
      <c r="K371" s="169"/>
      <c r="L371" s="169" t="s">
        <v>5256</v>
      </c>
      <c r="M371" s="58"/>
    </row>
    <row r="372" spans="1:13" ht="15">
      <c r="A372" s="153">
        <v>370</v>
      </c>
      <c r="B372" s="60" t="s">
        <v>1182</v>
      </c>
      <c r="C372" s="126" t="s">
        <v>587</v>
      </c>
      <c r="D372" s="52">
        <v>2</v>
      </c>
      <c r="E372" s="56" t="s">
        <v>2437</v>
      </c>
      <c r="F372" s="126" t="s">
        <v>22</v>
      </c>
      <c r="G372" s="126" t="s">
        <v>1664</v>
      </c>
      <c r="H372" s="127">
        <v>96</v>
      </c>
      <c r="I372" s="49" t="s">
        <v>3570</v>
      </c>
      <c r="J372" s="52">
        <v>5</v>
      </c>
      <c r="K372" s="169"/>
      <c r="L372" s="169" t="s">
        <v>5257</v>
      </c>
      <c r="M372" s="58"/>
    </row>
    <row r="373" spans="1:13" ht="15">
      <c r="A373" s="153">
        <v>371</v>
      </c>
      <c r="B373" s="60" t="s">
        <v>1183</v>
      </c>
      <c r="C373" s="126" t="s">
        <v>1185</v>
      </c>
      <c r="D373" s="52">
        <v>4</v>
      </c>
      <c r="E373" s="56" t="s">
        <v>2437</v>
      </c>
      <c r="F373" s="126" t="s">
        <v>22</v>
      </c>
      <c r="G373" s="126" t="s">
        <v>1664</v>
      </c>
      <c r="H373" s="127">
        <v>32</v>
      </c>
      <c r="I373" s="49" t="s">
        <v>3570</v>
      </c>
      <c r="J373" s="52">
        <v>5</v>
      </c>
      <c r="K373" s="169" t="s">
        <v>3833</v>
      </c>
      <c r="L373" s="169" t="s">
        <v>5258</v>
      </c>
      <c r="M373" s="58"/>
    </row>
    <row r="374" spans="1:13" ht="15">
      <c r="A374" s="153">
        <v>372</v>
      </c>
      <c r="B374" s="60" t="s">
        <v>541</v>
      </c>
      <c r="C374" s="126" t="s">
        <v>21</v>
      </c>
      <c r="D374" s="52">
        <v>1</v>
      </c>
      <c r="E374" s="56" t="s">
        <v>2437</v>
      </c>
      <c r="F374" s="126" t="s">
        <v>22</v>
      </c>
      <c r="G374" s="126" t="s">
        <v>1664</v>
      </c>
      <c r="H374" s="127">
        <v>8</v>
      </c>
      <c r="I374" s="49" t="s">
        <v>3570</v>
      </c>
      <c r="J374" s="52"/>
      <c r="K374" s="169"/>
      <c r="L374" s="169" t="s">
        <v>5259</v>
      </c>
      <c r="M374" s="58"/>
    </row>
    <row r="375" spans="1:13" ht="15">
      <c r="A375" s="153">
        <v>373</v>
      </c>
      <c r="B375" s="60" t="s">
        <v>559</v>
      </c>
      <c r="C375" s="126" t="s">
        <v>560</v>
      </c>
      <c r="D375" s="52">
        <v>2</v>
      </c>
      <c r="E375" s="52" t="s">
        <v>2443</v>
      </c>
      <c r="F375" s="126" t="s">
        <v>22</v>
      </c>
      <c r="G375" s="126" t="s">
        <v>1686</v>
      </c>
      <c r="H375" s="127">
        <v>960</v>
      </c>
      <c r="I375" s="49" t="s">
        <v>3559</v>
      </c>
      <c r="J375" s="49">
        <v>1</v>
      </c>
      <c r="K375" s="169"/>
      <c r="L375" s="169" t="s">
        <v>5260</v>
      </c>
      <c r="M375" s="49"/>
    </row>
    <row r="376" spans="1:13" ht="15">
      <c r="A376" s="153">
        <v>374</v>
      </c>
      <c r="B376" s="60" t="s">
        <v>612</v>
      </c>
      <c r="C376" s="126" t="s">
        <v>614</v>
      </c>
      <c r="D376" s="52">
        <v>6</v>
      </c>
      <c r="E376" s="52" t="s">
        <v>2443</v>
      </c>
      <c r="F376" s="126" t="s">
        <v>22</v>
      </c>
      <c r="G376" s="126" t="s">
        <v>1686</v>
      </c>
      <c r="H376" s="127">
        <v>1072</v>
      </c>
      <c r="I376" s="49" t="s">
        <v>3559</v>
      </c>
      <c r="J376" s="52">
        <v>1</v>
      </c>
      <c r="K376" s="169"/>
      <c r="L376" s="169" t="s">
        <v>5261</v>
      </c>
      <c r="M376" s="58"/>
    </row>
    <row r="377" spans="1:13" ht="15">
      <c r="A377" s="153">
        <v>375</v>
      </c>
      <c r="B377" s="60" t="s">
        <v>694</v>
      </c>
      <c r="C377" s="126" t="s">
        <v>695</v>
      </c>
      <c r="D377" s="52">
        <v>4</v>
      </c>
      <c r="E377" s="52" t="s">
        <v>2443</v>
      </c>
      <c r="F377" s="126" t="s">
        <v>22</v>
      </c>
      <c r="G377" s="126" t="s">
        <v>1664</v>
      </c>
      <c r="H377" s="127">
        <v>32</v>
      </c>
      <c r="I377" s="49" t="s">
        <v>3559</v>
      </c>
      <c r="J377" s="49"/>
      <c r="K377" s="169"/>
      <c r="L377" s="169" t="s">
        <v>5262</v>
      </c>
      <c r="M377" s="49"/>
    </row>
    <row r="378" spans="1:13" ht="15">
      <c r="A378" s="153">
        <v>376</v>
      </c>
      <c r="B378" s="53" t="s">
        <v>752</v>
      </c>
      <c r="C378" s="126" t="s">
        <v>489</v>
      </c>
      <c r="D378" s="55">
        <v>1</v>
      </c>
      <c r="E378" s="56" t="s">
        <v>2443</v>
      </c>
      <c r="F378" s="126" t="s">
        <v>22</v>
      </c>
      <c r="G378" s="126" t="s">
        <v>1664</v>
      </c>
      <c r="H378" s="127">
        <v>112</v>
      </c>
      <c r="I378" s="49" t="s">
        <v>3563</v>
      </c>
      <c r="J378" s="52">
        <v>1</v>
      </c>
      <c r="K378" s="169"/>
      <c r="L378" s="169" t="s">
        <v>5263</v>
      </c>
      <c r="M378" s="58"/>
    </row>
    <row r="379" spans="1:13" ht="15">
      <c r="A379" s="153">
        <v>377</v>
      </c>
      <c r="B379" s="60" t="s">
        <v>556</v>
      </c>
      <c r="C379" s="126" t="s">
        <v>558</v>
      </c>
      <c r="D379" s="52">
        <v>2</v>
      </c>
      <c r="E379" s="56" t="s">
        <v>2443</v>
      </c>
      <c r="F379" s="126" t="s">
        <v>22</v>
      </c>
      <c r="G379" s="126" t="s">
        <v>1664</v>
      </c>
      <c r="H379" s="127">
        <v>160</v>
      </c>
      <c r="I379" s="49" t="s">
        <v>3563</v>
      </c>
      <c r="J379" s="52">
        <v>2</v>
      </c>
      <c r="K379" s="169"/>
      <c r="L379" s="169" t="s">
        <v>5264</v>
      </c>
      <c r="M379" s="58"/>
    </row>
    <row r="380" spans="1:13" ht="15">
      <c r="A380" s="153">
        <v>378</v>
      </c>
      <c r="B380" s="60" t="s">
        <v>1178</v>
      </c>
      <c r="C380" s="126" t="s">
        <v>587</v>
      </c>
      <c r="D380" s="52">
        <v>4</v>
      </c>
      <c r="E380" s="52" t="s">
        <v>2443</v>
      </c>
      <c r="F380" s="126" t="s">
        <v>22</v>
      </c>
      <c r="G380" s="126" t="s">
        <v>1664</v>
      </c>
      <c r="H380" s="127">
        <v>32</v>
      </c>
      <c r="I380" s="49" t="s">
        <v>3563</v>
      </c>
      <c r="J380" s="52">
        <v>2</v>
      </c>
      <c r="K380" s="169"/>
      <c r="L380" s="169" t="s">
        <v>5265</v>
      </c>
      <c r="M380" s="58"/>
    </row>
    <row r="381" spans="1:13" ht="15">
      <c r="A381" s="153">
        <v>379</v>
      </c>
      <c r="B381" s="60" t="s">
        <v>1178</v>
      </c>
      <c r="C381" s="126" t="s">
        <v>587</v>
      </c>
      <c r="D381" s="52">
        <v>3</v>
      </c>
      <c r="E381" s="52" t="s">
        <v>2391</v>
      </c>
      <c r="F381" s="126" t="s">
        <v>22</v>
      </c>
      <c r="G381" s="126" t="s">
        <v>1664</v>
      </c>
      <c r="H381" s="127">
        <v>32</v>
      </c>
      <c r="I381" s="49" t="s">
        <v>3563</v>
      </c>
      <c r="J381" s="49">
        <v>2</v>
      </c>
      <c r="K381" s="169"/>
      <c r="L381" s="169" t="s">
        <v>5266</v>
      </c>
      <c r="M381" s="49"/>
    </row>
    <row r="382" spans="1:13" ht="15">
      <c r="A382" s="153">
        <v>380</v>
      </c>
      <c r="B382" s="60" t="s">
        <v>1271</v>
      </c>
      <c r="C382" s="126" t="s">
        <v>630</v>
      </c>
      <c r="D382" s="52">
        <v>7</v>
      </c>
      <c r="E382" s="52" t="s">
        <v>2443</v>
      </c>
      <c r="F382" s="126" t="s">
        <v>22</v>
      </c>
      <c r="G382" s="126" t="s">
        <v>1664</v>
      </c>
      <c r="H382" s="127">
        <v>72</v>
      </c>
      <c r="I382" s="49" t="s">
        <v>3563</v>
      </c>
      <c r="J382" s="49">
        <v>2</v>
      </c>
      <c r="K382" s="169"/>
      <c r="L382" s="169" t="s">
        <v>5267</v>
      </c>
      <c r="M382" s="49"/>
    </row>
    <row r="383" spans="1:13" ht="15">
      <c r="A383" s="153">
        <v>381</v>
      </c>
      <c r="B383" s="60" t="s">
        <v>637</v>
      </c>
      <c r="C383" s="126" t="s">
        <v>638</v>
      </c>
      <c r="D383" s="52">
        <v>4</v>
      </c>
      <c r="E383" s="52" t="s">
        <v>2443</v>
      </c>
      <c r="F383" s="126" t="s">
        <v>22</v>
      </c>
      <c r="G383" s="126" t="s">
        <v>1664</v>
      </c>
      <c r="H383" s="127">
        <v>240</v>
      </c>
      <c r="I383" s="49" t="s">
        <v>3563</v>
      </c>
      <c r="J383" s="52">
        <v>3</v>
      </c>
      <c r="K383" s="169"/>
      <c r="L383" s="169" t="s">
        <v>5268</v>
      </c>
      <c r="M383" s="58"/>
    </row>
    <row r="384" spans="1:13" ht="15">
      <c r="A384" s="153">
        <v>382</v>
      </c>
      <c r="B384" s="60" t="s">
        <v>583</v>
      </c>
      <c r="C384" s="126" t="s">
        <v>584</v>
      </c>
      <c r="D384" s="52">
        <v>10</v>
      </c>
      <c r="E384" s="52" t="s">
        <v>2443</v>
      </c>
      <c r="F384" s="126" t="s">
        <v>22</v>
      </c>
      <c r="G384" s="126" t="s">
        <v>1664</v>
      </c>
      <c r="H384" s="127">
        <v>176</v>
      </c>
      <c r="I384" s="49" t="s">
        <v>3563</v>
      </c>
      <c r="J384" s="52">
        <v>4</v>
      </c>
      <c r="K384" s="169"/>
      <c r="L384" s="169" t="s">
        <v>5269</v>
      </c>
      <c r="M384" s="58"/>
    </row>
    <row r="385" spans="1:13" ht="15">
      <c r="A385" s="153">
        <v>383</v>
      </c>
      <c r="B385" s="60" t="s">
        <v>592</v>
      </c>
      <c r="C385" s="126" t="s">
        <v>593</v>
      </c>
      <c r="D385" s="52">
        <v>26</v>
      </c>
      <c r="E385" s="52" t="s">
        <v>2443</v>
      </c>
      <c r="F385" s="126" t="s">
        <v>22</v>
      </c>
      <c r="G385" s="126" t="s">
        <v>1664</v>
      </c>
      <c r="H385" s="127">
        <v>312</v>
      </c>
      <c r="I385" s="49" t="s">
        <v>3563</v>
      </c>
      <c r="J385" s="52">
        <v>4</v>
      </c>
      <c r="K385" s="169"/>
      <c r="L385" s="169" t="s">
        <v>5270</v>
      </c>
      <c r="M385" s="58"/>
    </row>
    <row r="386" spans="1:13" ht="15">
      <c r="A386" s="153">
        <v>384</v>
      </c>
      <c r="B386" s="60" t="s">
        <v>828</v>
      </c>
      <c r="C386" s="126" t="s">
        <v>830</v>
      </c>
      <c r="D386" s="52">
        <v>1</v>
      </c>
      <c r="E386" s="52" t="s">
        <v>2443</v>
      </c>
      <c r="F386" s="126" t="s">
        <v>22</v>
      </c>
      <c r="G386" s="126" t="s">
        <v>1664</v>
      </c>
      <c r="H386" s="127">
        <v>8</v>
      </c>
      <c r="I386" s="49" t="s">
        <v>3563</v>
      </c>
      <c r="J386" s="52">
        <v>5</v>
      </c>
      <c r="K386" s="169"/>
      <c r="L386" s="169" t="s">
        <v>5271</v>
      </c>
      <c r="M386" s="58"/>
    </row>
    <row r="387" spans="1:13" ht="15">
      <c r="A387" s="153">
        <v>385</v>
      </c>
      <c r="B387" s="60" t="s">
        <v>863</v>
      </c>
      <c r="C387" s="126" t="s">
        <v>865</v>
      </c>
      <c r="D387" s="52">
        <v>2</v>
      </c>
      <c r="E387" s="52" t="s">
        <v>2443</v>
      </c>
      <c r="F387" s="126" t="s">
        <v>22</v>
      </c>
      <c r="G387" s="126" t="s">
        <v>1664</v>
      </c>
      <c r="H387" s="127">
        <v>16</v>
      </c>
      <c r="I387" s="49" t="s">
        <v>3563</v>
      </c>
      <c r="J387" s="52">
        <v>5</v>
      </c>
      <c r="K387" s="169"/>
      <c r="L387" s="169" t="s">
        <v>5272</v>
      </c>
      <c r="M387" s="58"/>
    </row>
    <row r="388" spans="1:13" ht="15">
      <c r="A388" s="153">
        <v>386</v>
      </c>
      <c r="B388" s="60" t="s">
        <v>1205</v>
      </c>
      <c r="C388" s="126" t="s">
        <v>587</v>
      </c>
      <c r="D388" s="52">
        <v>5</v>
      </c>
      <c r="E388" s="52" t="s">
        <v>2443</v>
      </c>
      <c r="F388" s="126" t="s">
        <v>22</v>
      </c>
      <c r="G388" s="126" t="s">
        <v>1664</v>
      </c>
      <c r="H388" s="127">
        <v>40</v>
      </c>
      <c r="I388" s="49" t="s">
        <v>3563</v>
      </c>
      <c r="J388" s="49">
        <v>5</v>
      </c>
      <c r="K388" s="169"/>
      <c r="L388" s="169" t="s">
        <v>5273</v>
      </c>
      <c r="M388" s="49"/>
    </row>
    <row r="389" spans="1:13" ht="15">
      <c r="A389" s="153">
        <v>387</v>
      </c>
      <c r="B389" s="60" t="s">
        <v>784</v>
      </c>
      <c r="C389" s="126" t="s">
        <v>54</v>
      </c>
      <c r="D389" s="52">
        <v>1</v>
      </c>
      <c r="E389" s="52" t="s">
        <v>2443</v>
      </c>
      <c r="F389" s="126" t="s">
        <v>22</v>
      </c>
      <c r="G389" s="126" t="s">
        <v>1664</v>
      </c>
      <c r="H389" s="127">
        <v>8</v>
      </c>
      <c r="I389" s="49" t="s">
        <v>3570</v>
      </c>
      <c r="J389" s="52">
        <v>1</v>
      </c>
      <c r="K389" s="169"/>
      <c r="L389" s="169" t="s">
        <v>5274</v>
      </c>
      <c r="M389" s="58"/>
    </row>
    <row r="390" spans="1:13" ht="15">
      <c r="A390" s="153">
        <v>388</v>
      </c>
      <c r="B390" s="60" t="s">
        <v>1170</v>
      </c>
      <c r="C390" s="126" t="s">
        <v>630</v>
      </c>
      <c r="D390" s="52">
        <v>16</v>
      </c>
      <c r="E390" s="52" t="s">
        <v>2443</v>
      </c>
      <c r="F390" s="126" t="s">
        <v>22</v>
      </c>
      <c r="G390" s="126" t="s">
        <v>1664</v>
      </c>
      <c r="H390" s="127">
        <v>160</v>
      </c>
      <c r="I390" s="49" t="s">
        <v>3570</v>
      </c>
      <c r="J390" s="52">
        <v>1</v>
      </c>
      <c r="K390" s="169"/>
      <c r="L390" s="169" t="s">
        <v>5275</v>
      </c>
      <c r="M390" s="58"/>
    </row>
    <row r="391" spans="1:13" ht="15">
      <c r="A391" s="153">
        <v>389</v>
      </c>
      <c r="B391" s="60" t="s">
        <v>1202</v>
      </c>
      <c r="C391" s="126" t="s">
        <v>715</v>
      </c>
      <c r="D391" s="52">
        <v>8</v>
      </c>
      <c r="E391" s="52" t="s">
        <v>2443</v>
      </c>
      <c r="F391" s="126" t="s">
        <v>22</v>
      </c>
      <c r="G391" s="126" t="s">
        <v>1664</v>
      </c>
      <c r="H391" s="127">
        <v>64</v>
      </c>
      <c r="I391" s="68" t="s">
        <v>3570</v>
      </c>
      <c r="J391" s="49">
        <v>1</v>
      </c>
      <c r="K391" s="169"/>
      <c r="L391" s="169" t="s">
        <v>5276</v>
      </c>
      <c r="M391" s="49"/>
    </row>
    <row r="392" spans="1:13" ht="15">
      <c r="A392" s="153">
        <v>390</v>
      </c>
      <c r="B392" s="60" t="s">
        <v>1209</v>
      </c>
      <c r="C392" s="126" t="s">
        <v>492</v>
      </c>
      <c r="D392" s="52">
        <v>16</v>
      </c>
      <c r="E392" s="52" t="s">
        <v>2443</v>
      </c>
      <c r="F392" s="126" t="s">
        <v>22</v>
      </c>
      <c r="G392" s="126" t="s">
        <v>1664</v>
      </c>
      <c r="H392" s="127">
        <v>128</v>
      </c>
      <c r="I392" s="49" t="s">
        <v>3570</v>
      </c>
      <c r="J392" s="52">
        <v>1</v>
      </c>
      <c r="K392" s="169"/>
      <c r="L392" s="169" t="s">
        <v>5277</v>
      </c>
      <c r="M392" s="58"/>
    </row>
    <row r="393" spans="1:13" ht="15">
      <c r="A393" s="153">
        <v>391</v>
      </c>
      <c r="B393" s="60" t="s">
        <v>713</v>
      </c>
      <c r="C393" s="126" t="s">
        <v>715</v>
      </c>
      <c r="D393" s="52">
        <v>1</v>
      </c>
      <c r="E393" s="52" t="s">
        <v>2443</v>
      </c>
      <c r="F393" s="126" t="s">
        <v>22</v>
      </c>
      <c r="G393" s="126" t="s">
        <v>1664</v>
      </c>
      <c r="H393" s="127">
        <v>8</v>
      </c>
      <c r="I393" s="49" t="s">
        <v>3570</v>
      </c>
      <c r="J393" s="52">
        <v>1</v>
      </c>
      <c r="K393" s="169"/>
      <c r="L393" s="169" t="s">
        <v>5278</v>
      </c>
      <c r="M393" s="58"/>
    </row>
    <row r="394" spans="1:13" ht="15">
      <c r="A394" s="153">
        <v>392</v>
      </c>
      <c r="B394" s="60" t="s">
        <v>491</v>
      </c>
      <c r="C394" s="126" t="s">
        <v>492</v>
      </c>
      <c r="D394" s="52">
        <v>2</v>
      </c>
      <c r="E394" s="52" t="s">
        <v>2443</v>
      </c>
      <c r="F394" s="126" t="s">
        <v>22</v>
      </c>
      <c r="G394" s="126" t="s">
        <v>1664</v>
      </c>
      <c r="H394" s="127">
        <v>16</v>
      </c>
      <c r="I394" s="49" t="s">
        <v>3570</v>
      </c>
      <c r="J394" s="52">
        <v>2</v>
      </c>
      <c r="K394" s="169"/>
      <c r="L394" s="169" t="s">
        <v>5279</v>
      </c>
      <c r="M394" s="58">
        <v>45533</v>
      </c>
    </row>
    <row r="395" spans="1:13" ht="15">
      <c r="A395" s="153">
        <v>393</v>
      </c>
      <c r="B395" s="60" t="s">
        <v>547</v>
      </c>
      <c r="C395" s="126" t="s">
        <v>548</v>
      </c>
      <c r="D395" s="52">
        <v>4</v>
      </c>
      <c r="E395" s="52" t="s">
        <v>2443</v>
      </c>
      <c r="F395" s="126" t="s">
        <v>22</v>
      </c>
      <c r="G395" s="126" t="s">
        <v>1664</v>
      </c>
      <c r="H395" s="127">
        <v>80</v>
      </c>
      <c r="I395" s="49" t="s">
        <v>3570</v>
      </c>
      <c r="J395" s="52">
        <v>2</v>
      </c>
      <c r="K395" s="169"/>
      <c r="L395" s="169" t="s">
        <v>5280</v>
      </c>
      <c r="M395" s="58"/>
    </row>
    <row r="396" spans="1:13" ht="15">
      <c r="A396" s="153">
        <v>394</v>
      </c>
      <c r="B396" s="60" t="s">
        <v>1136</v>
      </c>
      <c r="C396" s="126" t="s">
        <v>902</v>
      </c>
      <c r="D396" s="52">
        <v>2</v>
      </c>
      <c r="E396" s="52" t="s">
        <v>2443</v>
      </c>
      <c r="F396" s="126" t="s">
        <v>22</v>
      </c>
      <c r="G396" s="126" t="s">
        <v>1664</v>
      </c>
      <c r="H396" s="127">
        <v>64</v>
      </c>
      <c r="I396" s="49" t="s">
        <v>3570</v>
      </c>
      <c r="J396" s="52">
        <v>2</v>
      </c>
      <c r="K396" s="169"/>
      <c r="L396" s="169" t="s">
        <v>5281</v>
      </c>
      <c r="M396" s="58"/>
    </row>
    <row r="397" spans="1:13" ht="15">
      <c r="A397" s="153">
        <v>395</v>
      </c>
      <c r="B397" s="60" t="s">
        <v>1319</v>
      </c>
      <c r="C397" s="126" t="s">
        <v>1321</v>
      </c>
      <c r="D397" s="52">
        <v>3</v>
      </c>
      <c r="E397" s="52" t="s">
        <v>2443</v>
      </c>
      <c r="F397" s="126" t="s">
        <v>22</v>
      </c>
      <c r="G397" s="126" t="s">
        <v>1664</v>
      </c>
      <c r="H397" s="127">
        <v>24</v>
      </c>
      <c r="I397" s="49" t="s">
        <v>3570</v>
      </c>
      <c r="J397" s="52">
        <v>2</v>
      </c>
      <c r="K397" s="169"/>
      <c r="L397" s="169" t="s">
        <v>5282</v>
      </c>
      <c r="M397" s="58"/>
    </row>
    <row r="398" spans="1:13" ht="15">
      <c r="A398" s="153">
        <v>396</v>
      </c>
      <c r="B398" s="60" t="s">
        <v>1174</v>
      </c>
      <c r="C398" s="126" t="s">
        <v>582</v>
      </c>
      <c r="D398" s="52">
        <v>10</v>
      </c>
      <c r="E398" s="56" t="s">
        <v>2443</v>
      </c>
      <c r="F398" s="126" t="s">
        <v>22</v>
      </c>
      <c r="G398" s="126" t="s">
        <v>1664</v>
      </c>
      <c r="H398" s="127">
        <v>80</v>
      </c>
      <c r="I398" s="49" t="s">
        <v>3570</v>
      </c>
      <c r="J398" s="52">
        <v>2</v>
      </c>
      <c r="K398" s="169"/>
      <c r="L398" s="169" t="s">
        <v>5283</v>
      </c>
      <c r="M398" s="58"/>
    </row>
    <row r="399" spans="1:13" ht="15">
      <c r="A399" s="153">
        <v>397</v>
      </c>
      <c r="B399" s="60" t="s">
        <v>1195</v>
      </c>
      <c r="C399" s="126" t="s">
        <v>1196</v>
      </c>
      <c r="D399" s="52">
        <v>10</v>
      </c>
      <c r="E399" s="52" t="s">
        <v>2443</v>
      </c>
      <c r="F399" s="126" t="s">
        <v>22</v>
      </c>
      <c r="G399" s="126" t="s">
        <v>1664</v>
      </c>
      <c r="H399" s="127">
        <v>80</v>
      </c>
      <c r="I399" s="49" t="s">
        <v>3570</v>
      </c>
      <c r="J399" s="52">
        <v>2</v>
      </c>
      <c r="K399" s="169"/>
      <c r="L399" s="169" t="s">
        <v>5284</v>
      </c>
      <c r="M399" s="58">
        <v>45533</v>
      </c>
    </row>
    <row r="400" spans="1:13" ht="15">
      <c r="A400" s="153">
        <v>398</v>
      </c>
      <c r="B400" s="60" t="s">
        <v>1207</v>
      </c>
      <c r="C400" s="126" t="s">
        <v>1208</v>
      </c>
      <c r="D400" s="52">
        <v>3</v>
      </c>
      <c r="E400" s="52" t="s">
        <v>2443</v>
      </c>
      <c r="F400" s="126" t="s">
        <v>22</v>
      </c>
      <c r="G400" s="126" t="s">
        <v>1664</v>
      </c>
      <c r="H400" s="127">
        <v>24</v>
      </c>
      <c r="I400" s="49" t="s">
        <v>3570</v>
      </c>
      <c r="J400" s="52">
        <v>2</v>
      </c>
      <c r="K400" s="169"/>
      <c r="L400" s="169" t="s">
        <v>5285</v>
      </c>
      <c r="M400" s="58"/>
    </row>
    <row r="401" spans="1:13" ht="15">
      <c r="A401" s="153">
        <v>399</v>
      </c>
      <c r="B401" s="60" t="s">
        <v>466</v>
      </c>
      <c r="C401" s="126" t="s">
        <v>468</v>
      </c>
      <c r="D401" s="52">
        <v>1</v>
      </c>
      <c r="E401" s="52" t="s">
        <v>2443</v>
      </c>
      <c r="F401" s="126" t="s">
        <v>22</v>
      </c>
      <c r="G401" s="126" t="s">
        <v>1664</v>
      </c>
      <c r="H401" s="127">
        <v>8</v>
      </c>
      <c r="I401" s="49" t="s">
        <v>3570</v>
      </c>
      <c r="J401" s="52">
        <v>3</v>
      </c>
      <c r="K401" s="169"/>
      <c r="L401" s="169" t="s">
        <v>5286</v>
      </c>
      <c r="M401" s="58">
        <v>45533</v>
      </c>
    </row>
    <row r="402" spans="1:13" ht="15">
      <c r="A402" s="153">
        <v>400</v>
      </c>
      <c r="B402" s="59" t="s">
        <v>809</v>
      </c>
      <c r="C402" s="126" t="s">
        <v>41</v>
      </c>
      <c r="D402" s="55">
        <v>1</v>
      </c>
      <c r="E402" s="56" t="s">
        <v>2443</v>
      </c>
      <c r="F402" s="126" t="s">
        <v>22</v>
      </c>
      <c r="G402" s="126" t="s">
        <v>1664</v>
      </c>
      <c r="H402" s="127">
        <v>8</v>
      </c>
      <c r="I402" s="49" t="s">
        <v>3570</v>
      </c>
      <c r="J402" s="52">
        <v>3</v>
      </c>
      <c r="K402" s="169"/>
      <c r="L402" s="169" t="s">
        <v>5287</v>
      </c>
      <c r="M402" s="58"/>
    </row>
    <row r="403" spans="1:13" ht="15">
      <c r="A403" s="153">
        <v>401</v>
      </c>
      <c r="B403" s="60" t="s">
        <v>1163</v>
      </c>
      <c r="C403" s="126" t="s">
        <v>1164</v>
      </c>
      <c r="D403" s="52">
        <v>2</v>
      </c>
      <c r="E403" s="56" t="s">
        <v>2443</v>
      </c>
      <c r="F403" s="126" t="s">
        <v>22</v>
      </c>
      <c r="G403" s="126" t="s">
        <v>1664</v>
      </c>
      <c r="H403" s="127">
        <v>16</v>
      </c>
      <c r="I403" s="49" t="s">
        <v>3570</v>
      </c>
      <c r="J403" s="52">
        <v>3</v>
      </c>
      <c r="K403" s="169"/>
      <c r="L403" s="169" t="s">
        <v>5288</v>
      </c>
      <c r="M403" s="58"/>
    </row>
    <row r="404" spans="1:13" ht="15">
      <c r="A404" s="153">
        <v>402</v>
      </c>
      <c r="B404" s="60">
        <v>2376119871</v>
      </c>
      <c r="C404" s="126" t="s">
        <v>1321</v>
      </c>
      <c r="D404" s="52">
        <v>3</v>
      </c>
      <c r="E404" s="56" t="s">
        <v>2443</v>
      </c>
      <c r="F404" s="126" t="s">
        <v>22</v>
      </c>
      <c r="G404" s="126" t="s">
        <v>1664</v>
      </c>
      <c r="H404" s="127">
        <v>32</v>
      </c>
      <c r="I404" s="49" t="s">
        <v>3570</v>
      </c>
      <c r="J404" s="52">
        <v>4</v>
      </c>
      <c r="K404" s="169"/>
      <c r="L404" s="169" t="s">
        <v>5289</v>
      </c>
      <c r="M404" s="58"/>
    </row>
    <row r="405" spans="1:13" ht="15">
      <c r="A405" s="153">
        <v>403</v>
      </c>
      <c r="B405" s="60" t="s">
        <v>803</v>
      </c>
      <c r="C405" s="126" t="s">
        <v>485</v>
      </c>
      <c r="D405" s="52">
        <v>8</v>
      </c>
      <c r="E405" s="52" t="s">
        <v>2443</v>
      </c>
      <c r="F405" s="126" t="s">
        <v>22</v>
      </c>
      <c r="G405" s="126" t="s">
        <v>1664</v>
      </c>
      <c r="H405" s="127">
        <v>64</v>
      </c>
      <c r="I405" s="49" t="s">
        <v>3570</v>
      </c>
      <c r="J405" s="52">
        <v>4</v>
      </c>
      <c r="K405" s="169"/>
      <c r="L405" s="169" t="s">
        <v>5290</v>
      </c>
      <c r="M405" s="58"/>
    </row>
    <row r="406" spans="1:13" ht="15">
      <c r="A406" s="153">
        <v>404</v>
      </c>
      <c r="B406" s="60" t="s">
        <v>1168</v>
      </c>
      <c r="C406" s="126" t="s">
        <v>630</v>
      </c>
      <c r="D406" s="52">
        <v>2</v>
      </c>
      <c r="E406" s="52" t="s">
        <v>2443</v>
      </c>
      <c r="F406" s="126" t="s">
        <v>22</v>
      </c>
      <c r="G406" s="126" t="s">
        <v>1664</v>
      </c>
      <c r="H406" s="127">
        <v>16</v>
      </c>
      <c r="I406" s="49" t="s">
        <v>3570</v>
      </c>
      <c r="J406" s="52">
        <v>4</v>
      </c>
      <c r="K406" s="169"/>
      <c r="L406" s="186" t="s">
        <v>5291</v>
      </c>
      <c r="M406" s="58"/>
    </row>
    <row r="407" spans="1:13" ht="15">
      <c r="A407" s="153">
        <v>405</v>
      </c>
      <c r="B407" s="53" t="s">
        <v>1176</v>
      </c>
      <c r="C407" s="126" t="s">
        <v>1177</v>
      </c>
      <c r="D407" s="55">
        <v>14</v>
      </c>
      <c r="E407" s="52" t="s">
        <v>2443</v>
      </c>
      <c r="F407" s="126" t="s">
        <v>22</v>
      </c>
      <c r="G407" s="126" t="s">
        <v>1664</v>
      </c>
      <c r="H407" s="127">
        <v>112</v>
      </c>
      <c r="I407" s="49" t="s">
        <v>3570</v>
      </c>
      <c r="J407" s="52">
        <v>4</v>
      </c>
      <c r="K407" s="169"/>
      <c r="L407" s="169" t="s">
        <v>5292</v>
      </c>
      <c r="M407" s="58"/>
    </row>
    <row r="408" spans="1:13" ht="15">
      <c r="A408" s="153">
        <v>406</v>
      </c>
      <c r="B408" s="60" t="s">
        <v>1199</v>
      </c>
      <c r="C408" s="126" t="s">
        <v>1200</v>
      </c>
      <c r="D408" s="52">
        <v>2</v>
      </c>
      <c r="E408" s="52" t="s">
        <v>2443</v>
      </c>
      <c r="F408" s="126" t="s">
        <v>22</v>
      </c>
      <c r="G408" s="126" t="s">
        <v>1664</v>
      </c>
      <c r="H408" s="127">
        <v>16</v>
      </c>
      <c r="I408" s="49" t="s">
        <v>3794</v>
      </c>
      <c r="J408" s="52">
        <v>4</v>
      </c>
      <c r="K408" s="169"/>
      <c r="L408" s="169" t="s">
        <v>5293</v>
      </c>
      <c r="M408" s="58"/>
    </row>
    <row r="409" spans="1:13" ht="15">
      <c r="A409" s="153">
        <v>407</v>
      </c>
      <c r="B409" s="60" t="s">
        <v>785</v>
      </c>
      <c r="C409" s="126" t="s">
        <v>54</v>
      </c>
      <c r="D409" s="52">
        <v>1</v>
      </c>
      <c r="E409" s="52" t="s">
        <v>2443</v>
      </c>
      <c r="F409" s="126" t="s">
        <v>22</v>
      </c>
      <c r="G409" s="126" t="s">
        <v>1664</v>
      </c>
      <c r="H409" s="127">
        <v>8</v>
      </c>
      <c r="I409" s="49" t="s">
        <v>3570</v>
      </c>
      <c r="J409" s="52">
        <v>5</v>
      </c>
      <c r="K409" s="169"/>
      <c r="L409" s="169" t="s">
        <v>5294</v>
      </c>
      <c r="M409" s="58"/>
    </row>
    <row r="410" spans="1:13" ht="15">
      <c r="A410" s="153">
        <v>408</v>
      </c>
      <c r="B410" s="60" t="s">
        <v>488</v>
      </c>
      <c r="C410" s="126" t="s">
        <v>489</v>
      </c>
      <c r="D410" s="52">
        <v>2</v>
      </c>
      <c r="E410" s="52" t="s">
        <v>2443</v>
      </c>
      <c r="F410" s="126" t="s">
        <v>22</v>
      </c>
      <c r="G410" s="126" t="s">
        <v>1664</v>
      </c>
      <c r="H410" s="127">
        <v>16</v>
      </c>
      <c r="I410" s="49" t="s">
        <v>3570</v>
      </c>
      <c r="J410" s="52">
        <v>5</v>
      </c>
      <c r="K410" s="169"/>
      <c r="L410" s="169" t="s">
        <v>5295</v>
      </c>
      <c r="M410" s="58"/>
    </row>
    <row r="411" spans="1:13" ht="15">
      <c r="A411" s="153">
        <v>409</v>
      </c>
      <c r="B411" s="60" t="s">
        <v>798</v>
      </c>
      <c r="C411" s="126" t="s">
        <v>485</v>
      </c>
      <c r="D411" s="52">
        <v>1</v>
      </c>
      <c r="E411" s="52" t="s">
        <v>2443</v>
      </c>
      <c r="F411" s="126" t="s">
        <v>22</v>
      </c>
      <c r="G411" s="126" t="s">
        <v>1664</v>
      </c>
      <c r="H411" s="127">
        <v>8</v>
      </c>
      <c r="I411" s="49" t="s">
        <v>3570</v>
      </c>
      <c r="J411" s="52">
        <v>5</v>
      </c>
      <c r="K411" s="169"/>
      <c r="L411" s="169" t="s">
        <v>5296</v>
      </c>
      <c r="M411" s="58"/>
    </row>
    <row r="412" spans="1:13" ht="15">
      <c r="A412" s="153">
        <v>410</v>
      </c>
      <c r="B412" s="60" t="s">
        <v>1167</v>
      </c>
      <c r="C412" s="126" t="s">
        <v>630</v>
      </c>
      <c r="D412" s="52">
        <v>6</v>
      </c>
      <c r="E412" s="52" t="s">
        <v>2443</v>
      </c>
      <c r="F412" s="126" t="s">
        <v>22</v>
      </c>
      <c r="G412" s="126" t="s">
        <v>1664</v>
      </c>
      <c r="H412" s="127">
        <v>48</v>
      </c>
      <c r="I412" s="49" t="s">
        <v>3570</v>
      </c>
      <c r="J412" s="52">
        <v>5</v>
      </c>
      <c r="K412" s="169"/>
      <c r="L412" s="169" t="s">
        <v>5297</v>
      </c>
      <c r="M412" s="58"/>
    </row>
    <row r="413" spans="1:13" ht="15">
      <c r="A413" s="153">
        <v>411</v>
      </c>
      <c r="B413" s="60" t="s">
        <v>1182</v>
      </c>
      <c r="C413" s="126" t="s">
        <v>587</v>
      </c>
      <c r="D413" s="52">
        <v>12</v>
      </c>
      <c r="E413" s="52" t="s">
        <v>2443</v>
      </c>
      <c r="F413" s="126" t="s">
        <v>22</v>
      </c>
      <c r="G413" s="126" t="s">
        <v>1664</v>
      </c>
      <c r="H413" s="127">
        <v>96</v>
      </c>
      <c r="I413" s="49" t="s">
        <v>3570</v>
      </c>
      <c r="J413" s="52">
        <v>5</v>
      </c>
      <c r="K413" s="169"/>
      <c r="L413" s="169" t="s">
        <v>5298</v>
      </c>
      <c r="M413" s="58"/>
    </row>
    <row r="414" spans="1:13" ht="15">
      <c r="A414" s="153">
        <v>412</v>
      </c>
      <c r="B414" s="60" t="s">
        <v>1231</v>
      </c>
      <c r="C414" s="126" t="s">
        <v>558</v>
      </c>
      <c r="D414" s="52">
        <v>4</v>
      </c>
      <c r="E414" s="56" t="s">
        <v>2443</v>
      </c>
      <c r="F414" s="126" t="s">
        <v>22</v>
      </c>
      <c r="G414" s="126" t="s">
        <v>1664</v>
      </c>
      <c r="H414" s="127">
        <v>32</v>
      </c>
      <c r="I414" s="49" t="s">
        <v>3570</v>
      </c>
      <c r="J414" s="52">
        <v>5</v>
      </c>
      <c r="K414" s="169"/>
      <c r="L414" s="169" t="s">
        <v>5299</v>
      </c>
      <c r="M414" s="58"/>
    </row>
    <row r="415" spans="1:13" ht="15">
      <c r="A415" s="153">
        <v>413</v>
      </c>
      <c r="B415" s="60" t="s">
        <v>527</v>
      </c>
      <c r="C415" s="126" t="s">
        <v>529</v>
      </c>
      <c r="D415" s="52">
        <v>1</v>
      </c>
      <c r="E415" s="52" t="s">
        <v>2388</v>
      </c>
      <c r="F415" s="126" t="s">
        <v>22</v>
      </c>
      <c r="G415" s="126" t="s">
        <v>1664</v>
      </c>
      <c r="H415" s="127">
        <v>16</v>
      </c>
      <c r="I415" s="49" t="s">
        <v>3559</v>
      </c>
      <c r="J415" s="52">
        <v>1</v>
      </c>
      <c r="K415" s="169" t="s">
        <v>4105</v>
      </c>
      <c r="L415" s="169" t="s">
        <v>5300</v>
      </c>
      <c r="M415" s="58"/>
    </row>
    <row r="416" spans="1:13" ht="15">
      <c r="A416" s="153">
        <v>414</v>
      </c>
      <c r="B416" s="60" t="s">
        <v>1154</v>
      </c>
      <c r="C416" s="126" t="s">
        <v>558</v>
      </c>
      <c r="D416" s="52">
        <v>8</v>
      </c>
      <c r="E416" s="52" t="s">
        <v>2388</v>
      </c>
      <c r="F416" s="126" t="s">
        <v>22</v>
      </c>
      <c r="G416" s="126" t="s">
        <v>1664</v>
      </c>
      <c r="H416" s="127">
        <v>96</v>
      </c>
      <c r="I416" s="49" t="s">
        <v>3559</v>
      </c>
      <c r="J416" s="52">
        <v>1</v>
      </c>
      <c r="K416" s="169"/>
      <c r="L416" s="169" t="s">
        <v>5301</v>
      </c>
      <c r="M416" s="58"/>
    </row>
    <row r="417" spans="1:13" ht="15">
      <c r="A417" s="153">
        <v>415</v>
      </c>
      <c r="B417" s="60" t="s">
        <v>1155</v>
      </c>
      <c r="C417" s="126" t="s">
        <v>558</v>
      </c>
      <c r="D417" s="52">
        <v>8</v>
      </c>
      <c r="E417" s="52" t="s">
        <v>2388</v>
      </c>
      <c r="F417" s="126" t="s">
        <v>22</v>
      </c>
      <c r="G417" s="126" t="s">
        <v>1664</v>
      </c>
      <c r="H417" s="127">
        <v>64</v>
      </c>
      <c r="I417" s="49" t="s">
        <v>3559</v>
      </c>
      <c r="J417" s="52">
        <v>1</v>
      </c>
      <c r="K417" s="169"/>
      <c r="L417" s="169" t="s">
        <v>5302</v>
      </c>
      <c r="M417" s="58"/>
    </row>
    <row r="418" spans="1:13" ht="15">
      <c r="A418" s="153">
        <v>416</v>
      </c>
      <c r="B418" s="60" t="s">
        <v>1288</v>
      </c>
      <c r="C418" s="126" t="s">
        <v>489</v>
      </c>
      <c r="D418" s="52">
        <v>8</v>
      </c>
      <c r="E418" s="52" t="s">
        <v>2388</v>
      </c>
      <c r="F418" s="126" t="s">
        <v>22</v>
      </c>
      <c r="G418" s="126" t="s">
        <v>1664</v>
      </c>
      <c r="H418" s="127">
        <v>64</v>
      </c>
      <c r="I418" s="49" t="s">
        <v>3559</v>
      </c>
      <c r="J418" s="52">
        <v>1</v>
      </c>
      <c r="K418" s="169"/>
      <c r="L418" s="169" t="s">
        <v>5303</v>
      </c>
      <c r="M418" s="58"/>
    </row>
    <row r="419" spans="1:13" ht="15">
      <c r="A419" s="153">
        <v>417</v>
      </c>
      <c r="B419" s="53" t="s">
        <v>1289</v>
      </c>
      <c r="C419" s="126" t="s">
        <v>489</v>
      </c>
      <c r="D419" s="55">
        <v>8</v>
      </c>
      <c r="E419" s="52" t="s">
        <v>2388</v>
      </c>
      <c r="F419" s="126" t="s">
        <v>22</v>
      </c>
      <c r="G419" s="126" t="s">
        <v>1664</v>
      </c>
      <c r="H419" s="127">
        <v>64</v>
      </c>
      <c r="I419" s="49" t="s">
        <v>3559</v>
      </c>
      <c r="J419" s="52">
        <v>1</v>
      </c>
      <c r="K419" s="169"/>
      <c r="L419" s="169" t="s">
        <v>5304</v>
      </c>
      <c r="M419" s="58"/>
    </row>
    <row r="420" spans="1:13" ht="15">
      <c r="A420" s="153">
        <v>418</v>
      </c>
      <c r="B420" s="60" t="s">
        <v>904</v>
      </c>
      <c r="C420" s="126" t="s">
        <v>906</v>
      </c>
      <c r="D420" s="52">
        <v>6</v>
      </c>
      <c r="E420" s="56" t="s">
        <v>2388</v>
      </c>
      <c r="F420" s="126" t="s">
        <v>22</v>
      </c>
      <c r="G420" s="126" t="s">
        <v>1664</v>
      </c>
      <c r="H420" s="127">
        <v>136</v>
      </c>
      <c r="I420" s="49" t="s">
        <v>3559</v>
      </c>
      <c r="J420" s="52">
        <v>2</v>
      </c>
      <c r="K420" s="169" t="s">
        <v>4105</v>
      </c>
      <c r="L420" s="169" t="s">
        <v>5305</v>
      </c>
      <c r="M420" s="58"/>
    </row>
    <row r="421" spans="1:13" ht="15">
      <c r="A421" s="153">
        <v>419</v>
      </c>
      <c r="B421" s="60" t="s">
        <v>552</v>
      </c>
      <c r="C421" s="126" t="s">
        <v>21</v>
      </c>
      <c r="D421" s="52">
        <v>1</v>
      </c>
      <c r="E421" s="134" t="s">
        <v>2388</v>
      </c>
      <c r="F421" s="126" t="s">
        <v>22</v>
      </c>
      <c r="G421" s="126" t="s">
        <v>1664</v>
      </c>
      <c r="H421" s="127">
        <v>8</v>
      </c>
      <c r="I421" s="49" t="s">
        <v>3559</v>
      </c>
      <c r="J421" s="52">
        <v>2</v>
      </c>
      <c r="K421" s="169"/>
      <c r="L421" s="169" t="s">
        <v>5306</v>
      </c>
      <c r="M421" s="58"/>
    </row>
    <row r="422" spans="1:13" ht="15">
      <c r="A422" s="153">
        <v>420</v>
      </c>
      <c r="B422" s="60" t="s">
        <v>556</v>
      </c>
      <c r="C422" s="126" t="s">
        <v>558</v>
      </c>
      <c r="D422" s="52">
        <v>8</v>
      </c>
      <c r="E422" s="52" t="s">
        <v>2388</v>
      </c>
      <c r="F422" s="126" t="s">
        <v>22</v>
      </c>
      <c r="G422" s="126" t="s">
        <v>1664</v>
      </c>
      <c r="H422" s="127">
        <v>160</v>
      </c>
      <c r="I422" s="49" t="s">
        <v>3563</v>
      </c>
      <c r="J422" s="49">
        <v>2</v>
      </c>
      <c r="K422" s="169"/>
      <c r="L422" s="169" t="s">
        <v>5307</v>
      </c>
      <c r="M422" s="49"/>
    </row>
    <row r="423" spans="1:13" ht="15">
      <c r="A423" s="153">
        <v>421</v>
      </c>
      <c r="B423" s="60" t="s">
        <v>752</v>
      </c>
      <c r="C423" s="126" t="s">
        <v>489</v>
      </c>
      <c r="D423" s="52">
        <v>4</v>
      </c>
      <c r="E423" s="52" t="s">
        <v>2388</v>
      </c>
      <c r="F423" s="126" t="s">
        <v>22</v>
      </c>
      <c r="G423" s="126" t="s">
        <v>1664</v>
      </c>
      <c r="H423" s="127">
        <v>112</v>
      </c>
      <c r="I423" s="49" t="s">
        <v>3570</v>
      </c>
      <c r="J423" s="52">
        <v>1</v>
      </c>
      <c r="K423" s="169"/>
      <c r="L423" s="169" t="s">
        <v>5308</v>
      </c>
      <c r="M423" s="58"/>
    </row>
    <row r="424" spans="1:13" ht="15">
      <c r="A424" s="153">
        <v>422</v>
      </c>
      <c r="B424" s="60" t="s">
        <v>501</v>
      </c>
      <c r="C424" s="126" t="s">
        <v>503</v>
      </c>
      <c r="D424" s="52">
        <v>1</v>
      </c>
      <c r="E424" s="52" t="s">
        <v>2388</v>
      </c>
      <c r="F424" s="126" t="s">
        <v>22</v>
      </c>
      <c r="G424" s="126" t="s">
        <v>1664</v>
      </c>
      <c r="H424" s="127">
        <v>8</v>
      </c>
      <c r="I424" s="49" t="s">
        <v>3570</v>
      </c>
      <c r="J424" s="52">
        <v>4</v>
      </c>
      <c r="K424" s="169"/>
      <c r="L424" s="169" t="s">
        <v>5309</v>
      </c>
      <c r="M424" s="58"/>
    </row>
    <row r="425" spans="1:13" ht="15">
      <c r="A425" s="153">
        <v>423</v>
      </c>
      <c r="B425" s="60" t="s">
        <v>904</v>
      </c>
      <c r="C425" s="126" t="s">
        <v>906</v>
      </c>
      <c r="D425" s="52">
        <v>27</v>
      </c>
      <c r="E425" s="52" t="s">
        <v>2391</v>
      </c>
      <c r="F425" s="126" t="s">
        <v>22</v>
      </c>
      <c r="G425" s="126" t="s">
        <v>1664</v>
      </c>
      <c r="H425" s="127">
        <v>136</v>
      </c>
      <c r="I425" s="49" t="s">
        <v>3706</v>
      </c>
      <c r="J425" s="49"/>
      <c r="K425" s="169"/>
      <c r="L425" s="169" t="s">
        <v>5310</v>
      </c>
      <c r="M425" s="49"/>
    </row>
    <row r="426" spans="1:13" ht="15">
      <c r="A426" s="153">
        <v>424</v>
      </c>
      <c r="B426" s="60" t="s">
        <v>527</v>
      </c>
      <c r="C426" s="126" t="s">
        <v>529</v>
      </c>
      <c r="D426" s="52">
        <v>2</v>
      </c>
      <c r="E426" s="52" t="s">
        <v>2391</v>
      </c>
      <c r="F426" s="126" t="s">
        <v>22</v>
      </c>
      <c r="G426" s="126" t="s">
        <v>1664</v>
      </c>
      <c r="H426" s="127">
        <v>16</v>
      </c>
      <c r="I426" s="49" t="s">
        <v>3559</v>
      </c>
      <c r="J426" s="52">
        <v>1</v>
      </c>
      <c r="K426" s="169"/>
      <c r="L426" s="169" t="s">
        <v>5311</v>
      </c>
      <c r="M426" s="58"/>
    </row>
    <row r="427" spans="1:13" ht="15">
      <c r="A427" s="153">
        <v>425</v>
      </c>
      <c r="B427" s="60" t="s">
        <v>612</v>
      </c>
      <c r="C427" s="126" t="s">
        <v>614</v>
      </c>
      <c r="D427" s="52">
        <v>2</v>
      </c>
      <c r="E427" s="69" t="s">
        <v>2391</v>
      </c>
      <c r="F427" s="126" t="s">
        <v>22</v>
      </c>
      <c r="G427" s="126" t="s">
        <v>1686</v>
      </c>
      <c r="H427" s="127">
        <v>1072</v>
      </c>
      <c r="I427" s="49" t="s">
        <v>3559</v>
      </c>
      <c r="J427" s="49">
        <v>1</v>
      </c>
      <c r="K427" s="169"/>
      <c r="L427" s="169" t="s">
        <v>5312</v>
      </c>
      <c r="M427" s="49"/>
    </row>
    <row r="428" spans="1:13" ht="15">
      <c r="A428" s="153">
        <v>426</v>
      </c>
      <c r="B428" s="60" t="s">
        <v>1175</v>
      </c>
      <c r="C428" s="126" t="s">
        <v>587</v>
      </c>
      <c r="D428" s="52">
        <v>2</v>
      </c>
      <c r="E428" s="69" t="s">
        <v>2391</v>
      </c>
      <c r="F428" s="126" t="s">
        <v>22</v>
      </c>
      <c r="G428" s="126" t="s">
        <v>1664</v>
      </c>
      <c r="H428" s="127">
        <v>16</v>
      </c>
      <c r="I428" s="49" t="s">
        <v>3559</v>
      </c>
      <c r="J428" s="49">
        <v>3</v>
      </c>
      <c r="K428" s="169"/>
      <c r="L428" s="169" t="s">
        <v>5313</v>
      </c>
      <c r="M428" s="49"/>
    </row>
    <row r="429" spans="1:13" ht="15">
      <c r="A429" s="153">
        <v>427</v>
      </c>
      <c r="B429" s="53" t="s">
        <v>608</v>
      </c>
      <c r="C429" s="126" t="s">
        <v>609</v>
      </c>
      <c r="D429" s="55">
        <v>1</v>
      </c>
      <c r="E429" s="52" t="s">
        <v>2391</v>
      </c>
      <c r="F429" s="126" t="s">
        <v>22</v>
      </c>
      <c r="G429" s="126" t="s">
        <v>1664</v>
      </c>
      <c r="H429" s="127">
        <v>32</v>
      </c>
      <c r="I429" s="49" t="s">
        <v>3563</v>
      </c>
      <c r="J429" s="52">
        <v>2</v>
      </c>
      <c r="K429" s="169"/>
      <c r="L429" s="169" t="s">
        <v>5314</v>
      </c>
      <c r="M429" s="58"/>
    </row>
    <row r="430" spans="1:13" ht="15">
      <c r="A430" s="153">
        <v>428</v>
      </c>
      <c r="B430" s="60" t="s">
        <v>1187</v>
      </c>
      <c r="C430" s="126" t="s">
        <v>1188</v>
      </c>
      <c r="D430" s="52">
        <v>3</v>
      </c>
      <c r="E430" s="52" t="s">
        <v>2391</v>
      </c>
      <c r="F430" s="126" t="s">
        <v>22</v>
      </c>
      <c r="G430" s="126" t="s">
        <v>1664</v>
      </c>
      <c r="H430" s="127">
        <v>88</v>
      </c>
      <c r="I430" s="49" t="s">
        <v>3563</v>
      </c>
      <c r="J430" s="52">
        <v>2</v>
      </c>
      <c r="K430" s="169"/>
      <c r="L430" s="169" t="s">
        <v>5315</v>
      </c>
      <c r="M430" s="58"/>
    </row>
    <row r="431" spans="1:13" ht="15">
      <c r="A431" s="153">
        <v>429</v>
      </c>
      <c r="B431" s="60" t="s">
        <v>624</v>
      </c>
      <c r="C431" s="126" t="s">
        <v>625</v>
      </c>
      <c r="D431" s="52">
        <v>6</v>
      </c>
      <c r="E431" s="52" t="s">
        <v>2391</v>
      </c>
      <c r="F431" s="126" t="s">
        <v>22</v>
      </c>
      <c r="G431" s="126" t="s">
        <v>1664</v>
      </c>
      <c r="H431" s="127">
        <v>88</v>
      </c>
      <c r="I431" s="49" t="s">
        <v>3563</v>
      </c>
      <c r="J431" s="52">
        <v>2</v>
      </c>
      <c r="K431" s="169"/>
      <c r="L431" s="169" t="s">
        <v>5316</v>
      </c>
      <c r="M431" s="58"/>
    </row>
    <row r="432" spans="1:13" ht="15">
      <c r="A432" s="153">
        <v>430</v>
      </c>
      <c r="B432" s="60" t="s">
        <v>484</v>
      </c>
      <c r="C432" s="126" t="s">
        <v>485</v>
      </c>
      <c r="D432" s="52">
        <v>3</v>
      </c>
      <c r="E432" s="52" t="s">
        <v>2391</v>
      </c>
      <c r="F432" s="126" t="s">
        <v>22</v>
      </c>
      <c r="G432" s="126" t="s">
        <v>1664</v>
      </c>
      <c r="H432" s="127">
        <v>40</v>
      </c>
      <c r="I432" s="49" t="s">
        <v>3563</v>
      </c>
      <c r="J432" s="52">
        <v>3</v>
      </c>
      <c r="K432" s="169"/>
      <c r="L432" s="169" t="s">
        <v>5317</v>
      </c>
      <c r="M432" s="58"/>
    </row>
    <row r="433" spans="1:16" ht="15">
      <c r="A433" s="153">
        <v>431</v>
      </c>
      <c r="B433" s="60" t="s">
        <v>579</v>
      </c>
      <c r="C433" s="126" t="s">
        <v>489</v>
      </c>
      <c r="D433" s="52">
        <v>8</v>
      </c>
      <c r="E433" s="52" t="s">
        <v>2391</v>
      </c>
      <c r="F433" s="126" t="s">
        <v>22</v>
      </c>
      <c r="G433" s="126" t="s">
        <v>1664</v>
      </c>
      <c r="H433" s="127">
        <v>64</v>
      </c>
      <c r="I433" s="49" t="s">
        <v>3563</v>
      </c>
      <c r="J433" s="52">
        <v>3</v>
      </c>
      <c r="K433" s="169"/>
      <c r="L433" s="169" t="s">
        <v>5318</v>
      </c>
      <c r="M433" s="58"/>
    </row>
    <row r="434" spans="1:16" ht="15">
      <c r="A434" s="153">
        <v>432</v>
      </c>
      <c r="B434" s="60" t="s">
        <v>1290</v>
      </c>
      <c r="C434" s="126" t="s">
        <v>489</v>
      </c>
      <c r="D434" s="52">
        <v>2</v>
      </c>
      <c r="E434" s="52" t="s">
        <v>2391</v>
      </c>
      <c r="F434" s="126" t="s">
        <v>22</v>
      </c>
      <c r="G434" s="126" t="s">
        <v>1664</v>
      </c>
      <c r="H434" s="127">
        <v>16</v>
      </c>
      <c r="I434" s="49" t="s">
        <v>3742</v>
      </c>
      <c r="J434" s="52">
        <v>3</v>
      </c>
      <c r="K434" s="169"/>
      <c r="L434" s="169" t="s">
        <v>5319</v>
      </c>
      <c r="M434" s="58"/>
    </row>
    <row r="435" spans="1:16" ht="15">
      <c r="A435" s="153">
        <v>433</v>
      </c>
      <c r="B435" s="60" t="s">
        <v>1295</v>
      </c>
      <c r="C435" s="126" t="s">
        <v>1297</v>
      </c>
      <c r="D435" s="52">
        <v>6</v>
      </c>
      <c r="E435" s="52" t="s">
        <v>2391</v>
      </c>
      <c r="F435" s="126" t="s">
        <v>22</v>
      </c>
      <c r="G435" s="126" t="s">
        <v>1664</v>
      </c>
      <c r="H435" s="127">
        <v>32</v>
      </c>
      <c r="I435" s="49" t="s">
        <v>3563</v>
      </c>
      <c r="J435" s="49">
        <v>3</v>
      </c>
      <c r="K435" s="169"/>
      <c r="L435" s="169" t="s">
        <v>5320</v>
      </c>
      <c r="M435" s="49"/>
    </row>
    <row r="436" spans="1:16" ht="15">
      <c r="A436" s="153">
        <v>434</v>
      </c>
      <c r="B436" s="60" t="s">
        <v>538</v>
      </c>
      <c r="C436" s="126" t="s">
        <v>540</v>
      </c>
      <c r="D436" s="52">
        <v>1</v>
      </c>
      <c r="E436" s="52" t="s">
        <v>2391</v>
      </c>
      <c r="F436" s="126" t="s">
        <v>22</v>
      </c>
      <c r="G436" s="126" t="s">
        <v>1664</v>
      </c>
      <c r="H436" s="127">
        <v>24</v>
      </c>
      <c r="I436" s="49" t="s">
        <v>3742</v>
      </c>
      <c r="J436" s="52">
        <v>4</v>
      </c>
      <c r="K436" s="169"/>
      <c r="L436" s="169" t="s">
        <v>5321</v>
      </c>
      <c r="M436" s="58"/>
    </row>
    <row r="437" spans="1:16" ht="15">
      <c r="A437" s="153">
        <v>435</v>
      </c>
      <c r="B437" s="60" t="s">
        <v>1365</v>
      </c>
      <c r="C437" s="126" t="s">
        <v>1366</v>
      </c>
      <c r="D437" s="52">
        <v>1</v>
      </c>
      <c r="E437" s="52" t="s">
        <v>2391</v>
      </c>
      <c r="F437" s="126" t="s">
        <v>22</v>
      </c>
      <c r="G437" s="126" t="s">
        <v>1664</v>
      </c>
      <c r="H437" s="127">
        <v>8</v>
      </c>
      <c r="I437" s="49" t="s">
        <v>3563</v>
      </c>
      <c r="J437" s="52">
        <v>4</v>
      </c>
      <c r="K437" s="169"/>
      <c r="L437" s="169" t="s">
        <v>5322</v>
      </c>
      <c r="M437" s="58"/>
    </row>
    <row r="438" spans="1:16" ht="15">
      <c r="A438" s="153">
        <v>436</v>
      </c>
      <c r="B438" s="53" t="s">
        <v>1367</v>
      </c>
      <c r="C438" s="126" t="s">
        <v>528</v>
      </c>
      <c r="D438" s="55">
        <v>1</v>
      </c>
      <c r="E438" s="52" t="s">
        <v>2391</v>
      </c>
      <c r="F438" s="126" t="s">
        <v>22</v>
      </c>
      <c r="G438" s="126" t="s">
        <v>1664</v>
      </c>
      <c r="H438" s="127">
        <v>8</v>
      </c>
      <c r="I438" s="49" t="s">
        <v>3563</v>
      </c>
      <c r="J438" s="52">
        <v>4</v>
      </c>
      <c r="K438" s="169"/>
      <c r="L438" s="169" t="s">
        <v>5323</v>
      </c>
      <c r="M438" s="58"/>
    </row>
    <row r="439" spans="1:16" ht="15">
      <c r="A439" s="153">
        <v>437</v>
      </c>
      <c r="B439" s="60" t="s">
        <v>1133</v>
      </c>
      <c r="C439" s="126" t="s">
        <v>1134</v>
      </c>
      <c r="D439" s="52">
        <v>2</v>
      </c>
      <c r="E439" s="52" t="s">
        <v>2391</v>
      </c>
      <c r="F439" s="126" t="s">
        <v>22</v>
      </c>
      <c r="G439" s="126" t="s">
        <v>1664</v>
      </c>
      <c r="H439" s="127">
        <v>32</v>
      </c>
      <c r="I439" s="49" t="s">
        <v>3563</v>
      </c>
      <c r="J439" s="52">
        <v>4</v>
      </c>
      <c r="K439" s="169"/>
      <c r="L439" s="169" t="s">
        <v>5324</v>
      </c>
      <c r="M439" s="58"/>
    </row>
    <row r="440" spans="1:16" ht="15">
      <c r="A440" s="153">
        <v>438</v>
      </c>
      <c r="B440" s="60" t="s">
        <v>590</v>
      </c>
      <c r="C440" s="126" t="s">
        <v>591</v>
      </c>
      <c r="D440" s="52">
        <v>10</v>
      </c>
      <c r="E440" s="52" t="s">
        <v>2391</v>
      </c>
      <c r="F440" s="126" t="s">
        <v>22</v>
      </c>
      <c r="G440" s="126" t="s">
        <v>1664</v>
      </c>
      <c r="H440" s="127">
        <v>80</v>
      </c>
      <c r="I440" s="49" t="s">
        <v>3563</v>
      </c>
      <c r="J440" s="52">
        <v>4</v>
      </c>
      <c r="K440" s="169"/>
      <c r="L440" s="169" t="s">
        <v>5325</v>
      </c>
      <c r="M440" s="58"/>
    </row>
    <row r="441" spans="1:16" ht="15">
      <c r="A441" s="153">
        <v>439</v>
      </c>
      <c r="B441" s="60" t="s">
        <v>499</v>
      </c>
      <c r="C441" s="126" t="s">
        <v>500</v>
      </c>
      <c r="D441" s="52">
        <v>1</v>
      </c>
      <c r="E441" s="52" t="s">
        <v>2391</v>
      </c>
      <c r="F441" s="126" t="s">
        <v>22</v>
      </c>
      <c r="G441" s="126" t="s">
        <v>1664</v>
      </c>
      <c r="H441" s="127">
        <v>8</v>
      </c>
      <c r="I441" s="49" t="s">
        <v>3563</v>
      </c>
      <c r="J441" s="52">
        <v>5</v>
      </c>
      <c r="K441" s="169"/>
      <c r="L441" s="169" t="s">
        <v>5326</v>
      </c>
      <c r="M441" s="58"/>
    </row>
    <row r="442" spans="1:16" ht="15">
      <c r="A442" s="153">
        <v>440</v>
      </c>
      <c r="B442" s="60" t="s">
        <v>863</v>
      </c>
      <c r="C442" s="126" t="s">
        <v>865</v>
      </c>
      <c r="D442" s="52">
        <v>1</v>
      </c>
      <c r="E442" s="52" t="s">
        <v>2391</v>
      </c>
      <c r="F442" s="126" t="s">
        <v>22</v>
      </c>
      <c r="G442" s="126" t="s">
        <v>1664</v>
      </c>
      <c r="H442" s="127">
        <v>16</v>
      </c>
      <c r="I442" s="49" t="s">
        <v>3563</v>
      </c>
      <c r="J442" s="52">
        <v>5</v>
      </c>
      <c r="K442" s="169"/>
      <c r="L442" s="169" t="s">
        <v>5327</v>
      </c>
      <c r="M442" s="58"/>
    </row>
    <row r="443" spans="1:16" ht="15">
      <c r="A443" s="153">
        <v>441</v>
      </c>
      <c r="B443" s="60" t="s">
        <v>637</v>
      </c>
      <c r="C443" s="126" t="s">
        <v>638</v>
      </c>
      <c r="D443" s="52">
        <v>2</v>
      </c>
      <c r="E443" s="52" t="s">
        <v>2391</v>
      </c>
      <c r="F443" s="126" t="s">
        <v>22</v>
      </c>
      <c r="G443" s="126" t="s">
        <v>1664</v>
      </c>
      <c r="H443" s="127">
        <v>240</v>
      </c>
      <c r="I443" s="49" t="s">
        <v>3563</v>
      </c>
      <c r="J443" s="52">
        <v>5</v>
      </c>
      <c r="K443" s="169"/>
      <c r="L443" s="169" t="s">
        <v>5328</v>
      </c>
      <c r="M443" s="58"/>
    </row>
    <row r="444" spans="1:16" ht="15">
      <c r="A444" s="153">
        <v>442</v>
      </c>
      <c r="B444" s="60" t="s">
        <v>469</v>
      </c>
      <c r="C444" s="126" t="s">
        <v>471</v>
      </c>
      <c r="D444" s="52">
        <v>3</v>
      </c>
      <c r="E444" s="52" t="s">
        <v>2391</v>
      </c>
      <c r="F444" s="126" t="s">
        <v>22</v>
      </c>
      <c r="G444" s="126" t="s">
        <v>1664</v>
      </c>
      <c r="H444" s="127">
        <v>16</v>
      </c>
      <c r="I444" s="49" t="s">
        <v>3570</v>
      </c>
      <c r="J444" s="52">
        <v>1</v>
      </c>
      <c r="K444" s="169"/>
      <c r="L444" s="169" t="s">
        <v>5329</v>
      </c>
      <c r="M444" s="58"/>
    </row>
    <row r="445" spans="1:16" ht="15">
      <c r="A445" s="153">
        <v>443</v>
      </c>
      <c r="B445" s="60" t="s">
        <v>870</v>
      </c>
      <c r="C445" s="126" t="s">
        <v>21</v>
      </c>
      <c r="D445" s="52">
        <v>2</v>
      </c>
      <c r="E445" s="52" t="s">
        <v>2391</v>
      </c>
      <c r="F445" s="126" t="s">
        <v>22</v>
      </c>
      <c r="G445" s="126" t="s">
        <v>1664</v>
      </c>
      <c r="H445" s="131">
        <v>16</v>
      </c>
      <c r="I445" s="49" t="s">
        <v>3570</v>
      </c>
      <c r="J445" s="52">
        <v>1</v>
      </c>
      <c r="K445" s="169"/>
      <c r="L445" s="169" t="s">
        <v>5330</v>
      </c>
      <c r="M445" s="58"/>
    </row>
    <row r="446" spans="1:16" ht="15">
      <c r="A446" s="153">
        <v>444</v>
      </c>
      <c r="B446" s="53" t="s">
        <v>1145</v>
      </c>
      <c r="C446" s="126" t="s">
        <v>1134</v>
      </c>
      <c r="D446" s="55">
        <v>2</v>
      </c>
      <c r="E446" s="52" t="s">
        <v>2391</v>
      </c>
      <c r="F446" s="126" t="s">
        <v>22</v>
      </c>
      <c r="G446" s="126" t="s">
        <v>1664</v>
      </c>
      <c r="H446" s="127">
        <v>16</v>
      </c>
      <c r="I446" s="49" t="s">
        <v>3570</v>
      </c>
      <c r="J446" s="52">
        <v>1</v>
      </c>
      <c r="K446" s="169"/>
      <c r="L446" s="169" t="s">
        <v>5331</v>
      </c>
      <c r="M446" s="58"/>
    </row>
    <row r="447" spans="1:16" ht="15">
      <c r="A447" s="153">
        <v>445</v>
      </c>
      <c r="B447" s="60" t="s">
        <v>1166</v>
      </c>
      <c r="C447" s="126" t="s">
        <v>630</v>
      </c>
      <c r="D447" s="52">
        <v>6</v>
      </c>
      <c r="E447" s="52" t="s">
        <v>2391</v>
      </c>
      <c r="F447" s="126" t="s">
        <v>22</v>
      </c>
      <c r="G447" s="126" t="s">
        <v>1664</v>
      </c>
      <c r="H447" s="127">
        <v>56</v>
      </c>
      <c r="I447" s="49" t="s">
        <v>3570</v>
      </c>
      <c r="J447" s="52">
        <v>1</v>
      </c>
      <c r="K447" s="169"/>
      <c r="L447" s="169" t="s">
        <v>5332</v>
      </c>
      <c r="M447" s="58"/>
    </row>
    <row r="448" spans="1:16" ht="15">
      <c r="A448" s="153">
        <v>446</v>
      </c>
      <c r="B448" s="53" t="s">
        <v>1170</v>
      </c>
      <c r="C448" s="126" t="s">
        <v>630</v>
      </c>
      <c r="D448" s="55">
        <v>20</v>
      </c>
      <c r="E448" s="52" t="s">
        <v>2391</v>
      </c>
      <c r="F448" s="126" t="s">
        <v>22</v>
      </c>
      <c r="G448" s="126" t="s">
        <v>1664</v>
      </c>
      <c r="H448" s="127">
        <v>160</v>
      </c>
      <c r="I448" s="49" t="s">
        <v>3570</v>
      </c>
      <c r="J448" s="52">
        <v>1</v>
      </c>
      <c r="K448" s="169" t="s">
        <v>5333</v>
      </c>
      <c r="L448" s="169" t="s">
        <v>5334</v>
      </c>
      <c r="M448" s="58"/>
      <c r="O448" s="62"/>
      <c r="P448" s="62"/>
    </row>
    <row r="449" spans="1:16" ht="15">
      <c r="A449" s="153">
        <v>447</v>
      </c>
      <c r="B449" s="53" t="s">
        <v>1375</v>
      </c>
      <c r="C449" s="126" t="s">
        <v>587</v>
      </c>
      <c r="D449" s="55">
        <v>2</v>
      </c>
      <c r="E449" s="52" t="s">
        <v>2391</v>
      </c>
      <c r="F449" s="126" t="s">
        <v>22</v>
      </c>
      <c r="G449" s="126" t="s">
        <v>1664</v>
      </c>
      <c r="H449" s="127">
        <v>16</v>
      </c>
      <c r="I449" s="49" t="s">
        <v>3570</v>
      </c>
      <c r="J449" s="52">
        <v>1</v>
      </c>
      <c r="K449" s="169"/>
      <c r="L449" s="169" t="s">
        <v>5335</v>
      </c>
      <c r="M449" s="58"/>
      <c r="O449" s="62"/>
      <c r="P449" s="62"/>
    </row>
    <row r="450" spans="1:16" ht="15">
      <c r="A450" s="153">
        <v>448</v>
      </c>
      <c r="B450" s="60" t="s">
        <v>1206</v>
      </c>
      <c r="C450" s="126" t="s">
        <v>627</v>
      </c>
      <c r="D450" s="52">
        <v>4</v>
      </c>
      <c r="E450" s="52" t="s">
        <v>2391</v>
      </c>
      <c r="F450" s="126" t="s">
        <v>22</v>
      </c>
      <c r="G450" s="126" t="s">
        <v>1664</v>
      </c>
      <c r="H450" s="127">
        <v>32</v>
      </c>
      <c r="I450" s="49" t="s">
        <v>3570</v>
      </c>
      <c r="J450" s="52">
        <v>1</v>
      </c>
      <c r="K450" s="169"/>
      <c r="L450" s="169" t="s">
        <v>5336</v>
      </c>
      <c r="M450" s="58"/>
    </row>
    <row r="451" spans="1:16" ht="15">
      <c r="A451" s="153">
        <v>449</v>
      </c>
      <c r="B451" s="60" t="s">
        <v>2368</v>
      </c>
      <c r="C451" s="126" t="s">
        <v>2369</v>
      </c>
      <c r="D451" s="52">
        <v>7</v>
      </c>
      <c r="E451" s="52" t="s">
        <v>2391</v>
      </c>
      <c r="F451" s="126" t="s">
        <v>22</v>
      </c>
      <c r="G451" s="126" t="s">
        <v>1664</v>
      </c>
      <c r="H451" s="127">
        <v>8</v>
      </c>
      <c r="I451" s="49" t="s">
        <v>3570</v>
      </c>
      <c r="J451" s="52">
        <v>2</v>
      </c>
      <c r="K451" s="169"/>
      <c r="L451" s="169" t="s">
        <v>5337</v>
      </c>
      <c r="M451" s="58"/>
    </row>
    <row r="452" spans="1:16" ht="15">
      <c r="A452" s="153">
        <v>450</v>
      </c>
      <c r="B452" s="53" t="s">
        <v>978</v>
      </c>
      <c r="C452" s="126" t="s">
        <v>979</v>
      </c>
      <c r="D452" s="55">
        <v>1</v>
      </c>
      <c r="E452" s="52" t="s">
        <v>2391</v>
      </c>
      <c r="F452" s="126" t="s">
        <v>22</v>
      </c>
      <c r="G452" s="126" t="s">
        <v>1664</v>
      </c>
      <c r="H452" s="127">
        <v>1</v>
      </c>
      <c r="I452" s="49" t="s">
        <v>3570</v>
      </c>
      <c r="J452" s="52">
        <v>2</v>
      </c>
      <c r="K452" s="169"/>
      <c r="L452" s="169" t="s">
        <v>5338</v>
      </c>
      <c r="M452" s="58"/>
    </row>
    <row r="453" spans="1:16" ht="15">
      <c r="A453" s="153">
        <v>451</v>
      </c>
      <c r="B453" s="53" t="s">
        <v>980</v>
      </c>
      <c r="C453" s="126" t="s">
        <v>979</v>
      </c>
      <c r="D453" s="55">
        <v>1</v>
      </c>
      <c r="E453" s="52" t="s">
        <v>2391</v>
      </c>
      <c r="F453" s="126" t="s">
        <v>22</v>
      </c>
      <c r="G453" s="126" t="s">
        <v>1664</v>
      </c>
      <c r="H453" s="127">
        <v>1</v>
      </c>
      <c r="I453" s="49" t="s">
        <v>3570</v>
      </c>
      <c r="J453" s="52">
        <v>2</v>
      </c>
      <c r="K453" s="169"/>
      <c r="L453" s="169" t="s">
        <v>5339</v>
      </c>
      <c r="M453" s="58"/>
    </row>
    <row r="454" spans="1:16" ht="15">
      <c r="A454" s="153">
        <v>452</v>
      </c>
      <c r="B454" s="53" t="s">
        <v>629</v>
      </c>
      <c r="C454" s="126" t="s">
        <v>630</v>
      </c>
      <c r="D454" s="55">
        <v>14</v>
      </c>
      <c r="E454" s="52" t="s">
        <v>2391</v>
      </c>
      <c r="F454" s="126" t="s">
        <v>22</v>
      </c>
      <c r="G454" s="126" t="s">
        <v>1664</v>
      </c>
      <c r="H454" s="127">
        <v>112</v>
      </c>
      <c r="I454" s="49" t="s">
        <v>3570</v>
      </c>
      <c r="J454" s="52">
        <v>2</v>
      </c>
      <c r="K454" s="169"/>
      <c r="L454" s="169" t="s">
        <v>5340</v>
      </c>
      <c r="M454" s="58"/>
    </row>
    <row r="455" spans="1:16" ht="15">
      <c r="A455" s="153">
        <v>453</v>
      </c>
      <c r="B455" s="60" t="s">
        <v>1210</v>
      </c>
      <c r="C455" s="126" t="s">
        <v>611</v>
      </c>
      <c r="D455" s="52">
        <v>5</v>
      </c>
      <c r="E455" s="52" t="s">
        <v>2391</v>
      </c>
      <c r="F455" s="126" t="s">
        <v>22</v>
      </c>
      <c r="G455" s="126" t="s">
        <v>1664</v>
      </c>
      <c r="H455" s="127">
        <v>24</v>
      </c>
      <c r="I455" s="49" t="s">
        <v>3570</v>
      </c>
      <c r="J455" s="52">
        <v>2</v>
      </c>
      <c r="K455" s="169"/>
      <c r="L455" s="169" t="s">
        <v>5341</v>
      </c>
      <c r="M455" s="58"/>
    </row>
    <row r="456" spans="1:16" ht="15">
      <c r="A456" s="153">
        <v>454</v>
      </c>
      <c r="B456" s="60" t="s">
        <v>583</v>
      </c>
      <c r="C456" s="126" t="s">
        <v>584</v>
      </c>
      <c r="D456" s="52">
        <v>8</v>
      </c>
      <c r="E456" s="52" t="s">
        <v>2391</v>
      </c>
      <c r="F456" s="126" t="s">
        <v>22</v>
      </c>
      <c r="G456" s="126" t="s">
        <v>1664</v>
      </c>
      <c r="H456" s="127">
        <v>176</v>
      </c>
      <c r="I456" s="49" t="s">
        <v>3570</v>
      </c>
      <c r="J456" s="52">
        <v>3</v>
      </c>
      <c r="K456" s="169"/>
      <c r="L456" s="169" t="s">
        <v>5342</v>
      </c>
      <c r="M456" s="58"/>
    </row>
    <row r="457" spans="1:16" ht="15">
      <c r="A457" s="153">
        <v>455</v>
      </c>
      <c r="B457" s="60" t="s">
        <v>1181</v>
      </c>
      <c r="C457" s="126" t="s">
        <v>587</v>
      </c>
      <c r="D457" s="52">
        <v>6</v>
      </c>
      <c r="E457" s="52" t="s">
        <v>2391</v>
      </c>
      <c r="F457" s="126" t="s">
        <v>22</v>
      </c>
      <c r="G457" s="126" t="s">
        <v>1664</v>
      </c>
      <c r="H457" s="127">
        <v>48</v>
      </c>
      <c r="I457" s="49" t="s">
        <v>3570</v>
      </c>
      <c r="J457" s="52">
        <v>3</v>
      </c>
      <c r="K457" s="169"/>
      <c r="L457" s="169" t="s">
        <v>5343</v>
      </c>
      <c r="M457" s="58"/>
    </row>
    <row r="458" spans="1:16" ht="15">
      <c r="A458" s="153">
        <v>456</v>
      </c>
      <c r="B458" s="60" t="s">
        <v>592</v>
      </c>
      <c r="C458" s="126" t="s">
        <v>593</v>
      </c>
      <c r="D458" s="52">
        <v>28</v>
      </c>
      <c r="E458" s="52" t="s">
        <v>2391</v>
      </c>
      <c r="F458" s="126" t="s">
        <v>22</v>
      </c>
      <c r="G458" s="126" t="s">
        <v>1664</v>
      </c>
      <c r="H458" s="127">
        <v>312</v>
      </c>
      <c r="I458" s="49" t="s">
        <v>3570</v>
      </c>
      <c r="J458" s="52">
        <v>3</v>
      </c>
      <c r="K458" s="169"/>
      <c r="L458" s="169" t="s">
        <v>5344</v>
      </c>
      <c r="M458" s="58"/>
    </row>
    <row r="459" spans="1:16" ht="15">
      <c r="A459" s="153">
        <v>457</v>
      </c>
      <c r="B459" s="60" t="s">
        <v>692</v>
      </c>
      <c r="C459" s="126" t="s">
        <v>693</v>
      </c>
      <c r="D459" s="52">
        <v>14</v>
      </c>
      <c r="E459" s="52" t="s">
        <v>2391</v>
      </c>
      <c r="F459" s="126" t="s">
        <v>22</v>
      </c>
      <c r="G459" s="126" t="s">
        <v>1664</v>
      </c>
      <c r="H459" s="127">
        <v>160</v>
      </c>
      <c r="I459" s="49" t="s">
        <v>3570</v>
      </c>
      <c r="J459" s="52">
        <v>3</v>
      </c>
      <c r="K459" s="169"/>
      <c r="L459" s="169" t="s">
        <v>5345</v>
      </c>
      <c r="M459" s="58"/>
    </row>
    <row r="460" spans="1:16" ht="15">
      <c r="A460" s="153">
        <v>458</v>
      </c>
      <c r="B460" s="60" t="s">
        <v>1298</v>
      </c>
      <c r="C460" s="126" t="s">
        <v>1134</v>
      </c>
      <c r="D460" s="52">
        <v>6</v>
      </c>
      <c r="E460" s="52" t="s">
        <v>2391</v>
      </c>
      <c r="F460" s="126" t="s">
        <v>22</v>
      </c>
      <c r="G460" s="126" t="s">
        <v>1664</v>
      </c>
      <c r="H460" s="127">
        <v>32</v>
      </c>
      <c r="I460" s="49" t="s">
        <v>3570</v>
      </c>
      <c r="J460" s="52">
        <v>3</v>
      </c>
      <c r="K460" s="169"/>
      <c r="L460" s="169" t="s">
        <v>5346</v>
      </c>
      <c r="M460" s="58"/>
    </row>
    <row r="461" spans="1:16" ht="15">
      <c r="A461" s="153">
        <v>459</v>
      </c>
      <c r="B461" s="60" t="s">
        <v>840</v>
      </c>
      <c r="C461" s="126" t="s">
        <v>842</v>
      </c>
      <c r="D461" s="52">
        <v>2</v>
      </c>
      <c r="E461" s="52" t="s">
        <v>2391</v>
      </c>
      <c r="F461" s="126" t="s">
        <v>22</v>
      </c>
      <c r="G461" s="126" t="s">
        <v>1664</v>
      </c>
      <c r="H461" s="127">
        <v>16</v>
      </c>
      <c r="I461" s="49" t="s">
        <v>3570</v>
      </c>
      <c r="J461" s="52">
        <v>4</v>
      </c>
      <c r="K461" s="169"/>
      <c r="L461" s="169" t="s">
        <v>5347</v>
      </c>
      <c r="M461" s="58"/>
    </row>
    <row r="462" spans="1:16" ht="15">
      <c r="A462" s="153">
        <v>460</v>
      </c>
      <c r="B462" s="60" t="s">
        <v>934</v>
      </c>
      <c r="C462" s="126" t="s">
        <v>812</v>
      </c>
      <c r="D462" s="52">
        <v>2</v>
      </c>
      <c r="E462" s="56" t="s">
        <v>2391</v>
      </c>
      <c r="F462" s="126" t="s">
        <v>22</v>
      </c>
      <c r="G462" s="126" t="s">
        <v>1664</v>
      </c>
      <c r="H462" s="127">
        <v>16</v>
      </c>
      <c r="I462" s="49" t="s">
        <v>3570</v>
      </c>
      <c r="J462" s="52">
        <v>4</v>
      </c>
      <c r="K462" s="169"/>
      <c r="L462" s="169" t="s">
        <v>5348</v>
      </c>
      <c r="M462" s="58"/>
    </row>
    <row r="463" spans="1:16" ht="15">
      <c r="A463" s="153">
        <v>461</v>
      </c>
      <c r="B463" s="60" t="s">
        <v>1205</v>
      </c>
      <c r="C463" s="126" t="s">
        <v>587</v>
      </c>
      <c r="D463" s="52">
        <v>16</v>
      </c>
      <c r="E463" s="52" t="s">
        <v>2391</v>
      </c>
      <c r="F463" s="126" t="s">
        <v>22</v>
      </c>
      <c r="G463" s="126" t="s">
        <v>1664</v>
      </c>
      <c r="H463" s="127">
        <v>40</v>
      </c>
      <c r="I463" s="49" t="s">
        <v>3570</v>
      </c>
      <c r="J463" s="52">
        <v>4</v>
      </c>
      <c r="K463" s="169"/>
      <c r="L463" s="169" t="s">
        <v>5349</v>
      </c>
      <c r="M463" s="58">
        <v>45533</v>
      </c>
    </row>
    <row r="464" spans="1:16" ht="15">
      <c r="A464" s="153">
        <v>462</v>
      </c>
      <c r="B464" s="60" t="s">
        <v>754</v>
      </c>
      <c r="C464" s="126" t="s">
        <v>492</v>
      </c>
      <c r="D464" s="52">
        <v>2</v>
      </c>
      <c r="E464" s="52" t="s">
        <v>2391</v>
      </c>
      <c r="F464" s="126" t="s">
        <v>22</v>
      </c>
      <c r="G464" s="126" t="s">
        <v>1664</v>
      </c>
      <c r="H464" s="127">
        <v>16</v>
      </c>
      <c r="I464" s="49" t="s">
        <v>3570</v>
      </c>
      <c r="J464" s="52">
        <v>4</v>
      </c>
      <c r="K464" s="169"/>
      <c r="L464" s="169" t="s">
        <v>5350</v>
      </c>
      <c r="M464" s="58"/>
    </row>
    <row r="465" spans="1:13" ht="15">
      <c r="A465" s="153">
        <v>463</v>
      </c>
      <c r="B465" s="59" t="s">
        <v>1182</v>
      </c>
      <c r="C465" s="126" t="s">
        <v>587</v>
      </c>
      <c r="D465" s="55">
        <v>4</v>
      </c>
      <c r="E465" s="56" t="s">
        <v>2391</v>
      </c>
      <c r="F465" s="126" t="s">
        <v>22</v>
      </c>
      <c r="G465" s="126" t="s">
        <v>1664</v>
      </c>
      <c r="H465" s="127">
        <v>96</v>
      </c>
      <c r="I465" s="49" t="s">
        <v>3570</v>
      </c>
      <c r="J465" s="52">
        <v>5</v>
      </c>
      <c r="K465" s="169"/>
      <c r="L465" s="169" t="s">
        <v>5351</v>
      </c>
      <c r="M465" s="58"/>
    </row>
    <row r="466" spans="1:13" ht="15">
      <c r="A466" s="153">
        <v>464</v>
      </c>
      <c r="B466" s="53" t="s">
        <v>1378</v>
      </c>
      <c r="C466" s="126" t="s">
        <v>1379</v>
      </c>
      <c r="D466" s="55">
        <v>1</v>
      </c>
      <c r="E466" s="56" t="s">
        <v>2391</v>
      </c>
      <c r="F466" s="126" t="s">
        <v>22</v>
      </c>
      <c r="G466" s="126" t="s">
        <v>1664</v>
      </c>
      <c r="H466" s="127">
        <v>8</v>
      </c>
      <c r="I466" s="49" t="s">
        <v>3570</v>
      </c>
      <c r="J466" s="52">
        <v>5</v>
      </c>
      <c r="K466" s="169"/>
      <c r="L466" s="169" t="s">
        <v>5352</v>
      </c>
      <c r="M466" s="58"/>
    </row>
    <row r="467" spans="1:13" ht="15">
      <c r="A467" s="153">
        <v>465</v>
      </c>
      <c r="B467" s="60" t="s">
        <v>2086</v>
      </c>
      <c r="C467" s="126" t="s">
        <v>2087</v>
      </c>
      <c r="D467" s="52">
        <v>2</v>
      </c>
      <c r="E467" s="56" t="s">
        <v>2391</v>
      </c>
      <c r="F467" s="126" t="s">
        <v>22</v>
      </c>
      <c r="G467" s="126" t="s">
        <v>1664</v>
      </c>
      <c r="H467" s="127">
        <v>16</v>
      </c>
      <c r="I467" s="49" t="s">
        <v>3570</v>
      </c>
      <c r="J467" s="52"/>
      <c r="K467" s="169"/>
      <c r="L467" s="169" t="s">
        <v>5353</v>
      </c>
      <c r="M467" s="58"/>
    </row>
    <row r="468" spans="1:13" ht="15">
      <c r="A468" s="153">
        <v>466</v>
      </c>
      <c r="B468" s="53" t="s">
        <v>109</v>
      </c>
      <c r="C468" s="126" t="s">
        <v>111</v>
      </c>
      <c r="D468" s="55">
        <v>2</v>
      </c>
      <c r="E468" s="56" t="s">
        <v>2391</v>
      </c>
      <c r="F468" s="126" t="s">
        <v>22</v>
      </c>
      <c r="G468" s="126" t="s">
        <v>1664</v>
      </c>
      <c r="H468" s="127">
        <v>16</v>
      </c>
      <c r="I468" s="49" t="s">
        <v>3570</v>
      </c>
      <c r="J468" s="52"/>
      <c r="K468" s="169" t="s">
        <v>4105</v>
      </c>
      <c r="L468" s="169" t="s">
        <v>5354</v>
      </c>
      <c r="M468" s="58"/>
    </row>
    <row r="469" spans="1:13" ht="15">
      <c r="A469" s="153">
        <v>467</v>
      </c>
      <c r="B469" s="59" t="s">
        <v>860</v>
      </c>
      <c r="C469" s="126" t="s">
        <v>862</v>
      </c>
      <c r="D469" s="55">
        <v>3</v>
      </c>
      <c r="E469" s="52" t="s">
        <v>2391</v>
      </c>
      <c r="F469" s="126" t="s">
        <v>22</v>
      </c>
      <c r="G469" s="126" t="s">
        <v>1664</v>
      </c>
      <c r="H469" s="127">
        <v>24</v>
      </c>
      <c r="I469" s="49" t="s">
        <v>3570</v>
      </c>
      <c r="J469" s="52"/>
      <c r="K469" s="169"/>
      <c r="L469" s="169" t="s">
        <v>5355</v>
      </c>
      <c r="M469" s="58"/>
    </row>
    <row r="470" spans="1:13" ht="15">
      <c r="A470" s="153">
        <v>468</v>
      </c>
      <c r="B470" s="60" t="s">
        <v>1135</v>
      </c>
      <c r="C470" s="126" t="s">
        <v>905</v>
      </c>
      <c r="D470" s="52">
        <v>2</v>
      </c>
      <c r="E470" s="52" t="s">
        <v>2391</v>
      </c>
      <c r="F470" s="126" t="s">
        <v>22</v>
      </c>
      <c r="G470" s="126" t="s">
        <v>1664</v>
      </c>
      <c r="H470" s="127">
        <v>32</v>
      </c>
      <c r="I470" s="49" t="s">
        <v>3570</v>
      </c>
      <c r="J470" s="52"/>
      <c r="K470" s="169" t="s">
        <v>3574</v>
      </c>
      <c r="L470" s="169" t="s">
        <v>5356</v>
      </c>
      <c r="M470" s="58"/>
    </row>
    <row r="471" spans="1:13" ht="15">
      <c r="A471" s="153">
        <v>469</v>
      </c>
      <c r="B471" s="53" t="s">
        <v>1147</v>
      </c>
      <c r="C471" s="126" t="s">
        <v>1148</v>
      </c>
      <c r="D471" s="55">
        <v>1</v>
      </c>
      <c r="E471" s="56" t="s">
        <v>2391</v>
      </c>
      <c r="F471" s="126" t="s">
        <v>22</v>
      </c>
      <c r="G471" s="126" t="s">
        <v>1664</v>
      </c>
      <c r="H471" s="127">
        <v>8</v>
      </c>
      <c r="I471" s="49" t="s">
        <v>3570</v>
      </c>
      <c r="J471" s="52"/>
      <c r="K471" s="169"/>
      <c r="L471" s="169" t="s">
        <v>5357</v>
      </c>
      <c r="M471" s="58"/>
    </row>
    <row r="472" spans="1:13" ht="15">
      <c r="A472" s="153">
        <v>470</v>
      </c>
      <c r="B472" s="53" t="s">
        <v>1380</v>
      </c>
      <c r="C472" s="126" t="s">
        <v>1379</v>
      </c>
      <c r="D472" s="55">
        <v>1</v>
      </c>
      <c r="E472" s="56" t="s">
        <v>2391</v>
      </c>
      <c r="F472" s="126" t="s">
        <v>22</v>
      </c>
      <c r="G472" s="126" t="s">
        <v>1664</v>
      </c>
      <c r="H472" s="127">
        <v>8</v>
      </c>
      <c r="I472" s="49" t="s">
        <v>3570</v>
      </c>
      <c r="J472" s="52"/>
      <c r="K472" s="169"/>
      <c r="L472" s="169" t="s">
        <v>5358</v>
      </c>
      <c r="M472" s="58"/>
    </row>
    <row r="473" spans="1:13" ht="15">
      <c r="A473" s="153">
        <v>471</v>
      </c>
      <c r="B473" s="53" t="s">
        <v>493</v>
      </c>
      <c r="C473" s="126" t="s">
        <v>495</v>
      </c>
      <c r="D473" s="55">
        <v>2</v>
      </c>
      <c r="E473" s="52" t="s">
        <v>3689</v>
      </c>
      <c r="F473" s="126" t="s">
        <v>22</v>
      </c>
      <c r="G473" s="126" t="s">
        <v>1664</v>
      </c>
      <c r="H473" s="127">
        <v>16</v>
      </c>
      <c r="I473" s="49" t="s">
        <v>3559</v>
      </c>
      <c r="J473" s="52">
        <v>3</v>
      </c>
      <c r="K473" s="169"/>
      <c r="L473" s="169" t="s">
        <v>5359</v>
      </c>
      <c r="M473" s="58"/>
    </row>
    <row r="474" spans="1:13" ht="15">
      <c r="A474" s="153">
        <v>472</v>
      </c>
      <c r="B474" s="60" t="s">
        <v>2334</v>
      </c>
      <c r="C474" s="126" t="s">
        <v>232</v>
      </c>
      <c r="D474" s="52">
        <v>3</v>
      </c>
      <c r="E474" s="52" t="s">
        <v>3689</v>
      </c>
      <c r="F474" s="126" t="s">
        <v>22</v>
      </c>
      <c r="G474" s="126" t="s">
        <v>1664</v>
      </c>
      <c r="H474" s="127">
        <v>24</v>
      </c>
      <c r="I474" s="49" t="s">
        <v>3570</v>
      </c>
      <c r="J474" s="52">
        <v>2</v>
      </c>
      <c r="K474" s="169"/>
      <c r="L474" s="169" t="s">
        <v>5360</v>
      </c>
      <c r="M474" s="58"/>
    </row>
    <row r="475" spans="1:13" ht="15">
      <c r="A475" s="153">
        <v>473</v>
      </c>
      <c r="B475" s="59" t="s">
        <v>1857</v>
      </c>
      <c r="C475" s="126" t="s">
        <v>1858</v>
      </c>
      <c r="D475" s="55">
        <v>1</v>
      </c>
      <c r="E475" s="52" t="s">
        <v>3751</v>
      </c>
      <c r="F475" s="126" t="s">
        <v>22</v>
      </c>
      <c r="G475" s="126" t="s">
        <v>1664</v>
      </c>
      <c r="H475" s="127">
        <v>8</v>
      </c>
      <c r="I475" s="49" t="s">
        <v>3559</v>
      </c>
      <c r="J475" s="52">
        <v>3</v>
      </c>
      <c r="K475" s="169"/>
      <c r="L475" s="169" t="s">
        <v>5361</v>
      </c>
      <c r="M475" s="58"/>
    </row>
    <row r="476" spans="1:13" ht="15">
      <c r="A476" s="153">
        <v>474</v>
      </c>
      <c r="B476" s="60" t="s">
        <v>973</v>
      </c>
      <c r="C476" s="126" t="s">
        <v>975</v>
      </c>
      <c r="D476" s="52">
        <v>1</v>
      </c>
      <c r="E476" s="52" t="s">
        <v>2437</v>
      </c>
      <c r="F476" s="126" t="s">
        <v>22</v>
      </c>
      <c r="G476" s="126" t="s">
        <v>1664</v>
      </c>
      <c r="H476" s="127">
        <v>8</v>
      </c>
      <c r="I476" s="49" t="s">
        <v>3876</v>
      </c>
      <c r="J476" s="52"/>
      <c r="K476" s="169"/>
      <c r="L476" s="169" t="s">
        <v>5362</v>
      </c>
      <c r="M476" s="58"/>
    </row>
    <row r="477" spans="1:13" ht="15">
      <c r="A477" s="153">
        <v>475</v>
      </c>
      <c r="B477" s="60" t="s">
        <v>1579</v>
      </c>
      <c r="C477" s="126" t="s">
        <v>492</v>
      </c>
      <c r="D477" s="52">
        <v>1</v>
      </c>
      <c r="E477" s="52" t="s">
        <v>2437</v>
      </c>
      <c r="F477" s="126" t="s">
        <v>22</v>
      </c>
      <c r="G477" s="126" t="s">
        <v>1664</v>
      </c>
      <c r="H477" s="127">
        <v>8</v>
      </c>
      <c r="I477" s="49" t="s">
        <v>3876</v>
      </c>
      <c r="J477" s="52"/>
      <c r="K477" s="169"/>
      <c r="L477" s="169" t="s">
        <v>5363</v>
      </c>
      <c r="M477" s="58"/>
    </row>
    <row r="478" spans="1:13" ht="15">
      <c r="A478" s="153">
        <v>476</v>
      </c>
      <c r="B478" s="60" t="s">
        <v>240</v>
      </c>
      <c r="C478" s="126" t="s">
        <v>242</v>
      </c>
      <c r="D478" s="52">
        <v>2</v>
      </c>
      <c r="E478" s="52" t="s">
        <v>2391</v>
      </c>
      <c r="F478" s="126" t="s">
        <v>22</v>
      </c>
      <c r="G478" s="126" t="s">
        <v>1664</v>
      </c>
      <c r="H478" s="127">
        <v>128</v>
      </c>
      <c r="I478" s="49" t="s">
        <v>3594</v>
      </c>
      <c r="J478" s="52"/>
      <c r="K478" s="169"/>
      <c r="L478" s="169" t="s">
        <v>5364</v>
      </c>
      <c r="M478" s="58"/>
    </row>
    <row r="479" spans="1:13" ht="15">
      <c r="A479" s="153">
        <v>477</v>
      </c>
      <c r="B479" s="60" t="s">
        <v>240</v>
      </c>
      <c r="C479" s="126" t="s">
        <v>242</v>
      </c>
      <c r="D479" s="52">
        <v>2</v>
      </c>
      <c r="E479" s="52" t="s">
        <v>2391</v>
      </c>
      <c r="F479" s="126" t="s">
        <v>22</v>
      </c>
      <c r="G479" s="126" t="s">
        <v>1664</v>
      </c>
      <c r="H479" s="127">
        <v>128</v>
      </c>
      <c r="I479" s="49" t="s">
        <v>3594</v>
      </c>
      <c r="J479" s="52"/>
      <c r="K479" s="169"/>
      <c r="L479" s="169" t="s">
        <v>5365</v>
      </c>
      <c r="M479" s="58"/>
    </row>
    <row r="480" spans="1:13" ht="15">
      <c r="A480" s="153">
        <v>478</v>
      </c>
      <c r="B480" s="60" t="s">
        <v>1765</v>
      </c>
      <c r="C480" s="126" t="s">
        <v>1766</v>
      </c>
      <c r="D480" s="52">
        <v>2</v>
      </c>
      <c r="E480" s="52">
        <v>6</v>
      </c>
      <c r="F480" s="126" t="s">
        <v>22</v>
      </c>
      <c r="G480" s="126" t="s">
        <v>1664</v>
      </c>
      <c r="H480" s="127">
        <v>16</v>
      </c>
      <c r="I480" s="49" t="s">
        <v>3570</v>
      </c>
      <c r="J480" s="52"/>
      <c r="K480" s="169"/>
      <c r="L480" s="169" t="s">
        <v>5366</v>
      </c>
      <c r="M480" s="58"/>
    </row>
    <row r="481" spans="1:13" ht="15">
      <c r="A481" s="153">
        <v>479</v>
      </c>
      <c r="B481" s="60" t="s">
        <v>901</v>
      </c>
      <c r="C481" s="126" t="s">
        <v>903</v>
      </c>
      <c r="D481" s="52">
        <v>7</v>
      </c>
      <c r="E481" s="56" t="s">
        <v>2391</v>
      </c>
      <c r="F481" s="126" t="s">
        <v>22</v>
      </c>
      <c r="G481" s="126" t="s">
        <v>1664</v>
      </c>
      <c r="H481" s="127">
        <v>24</v>
      </c>
      <c r="I481" s="49" t="s">
        <v>3570</v>
      </c>
      <c r="J481" s="52"/>
      <c r="K481" s="169"/>
      <c r="L481" s="169" t="s">
        <v>5367</v>
      </c>
      <c r="M481" s="58"/>
    </row>
    <row r="482" spans="1:13" ht="15">
      <c r="A482" s="153">
        <v>480</v>
      </c>
      <c r="B482" s="60" t="s">
        <v>2270</v>
      </c>
      <c r="C482" s="126" t="s">
        <v>2271</v>
      </c>
      <c r="D482" s="52">
        <v>1</v>
      </c>
      <c r="E482" s="52">
        <v>2</v>
      </c>
      <c r="F482" s="126" t="s">
        <v>22</v>
      </c>
      <c r="G482" s="126" t="s">
        <v>1664</v>
      </c>
      <c r="H482" s="127">
        <v>8</v>
      </c>
      <c r="I482" s="49" t="s">
        <v>3570</v>
      </c>
      <c r="J482" s="52"/>
      <c r="K482" s="169"/>
      <c r="L482" s="169" t="s">
        <v>5368</v>
      </c>
      <c r="M482" s="58"/>
    </row>
    <row r="483" spans="1:13" ht="15">
      <c r="A483" s="153">
        <v>481</v>
      </c>
      <c r="B483" s="60" t="s">
        <v>533</v>
      </c>
      <c r="C483" s="126" t="s">
        <v>534</v>
      </c>
      <c r="D483" s="52">
        <v>1</v>
      </c>
      <c r="E483" s="52">
        <v>6</v>
      </c>
      <c r="F483" s="126" t="s">
        <v>22</v>
      </c>
      <c r="G483" s="126" t="s">
        <v>1686</v>
      </c>
      <c r="H483" s="127">
        <v>112</v>
      </c>
      <c r="I483" s="49" t="s">
        <v>3559</v>
      </c>
      <c r="J483" s="52">
        <v>4</v>
      </c>
      <c r="K483" s="169"/>
      <c r="L483" s="169" t="s">
        <v>5369</v>
      </c>
      <c r="M483" s="58"/>
    </row>
    <row r="484" spans="1:13" ht="15">
      <c r="A484" s="153">
        <v>482</v>
      </c>
      <c r="B484" s="60" t="s">
        <v>579</v>
      </c>
      <c r="C484" s="126" t="s">
        <v>489</v>
      </c>
      <c r="D484" s="52">
        <v>1</v>
      </c>
      <c r="E484" s="52">
        <v>6</v>
      </c>
      <c r="F484" s="126" t="s">
        <v>22</v>
      </c>
      <c r="G484" s="126" t="s">
        <v>1664</v>
      </c>
      <c r="H484" s="127">
        <v>64</v>
      </c>
      <c r="I484" s="49" t="s">
        <v>3563</v>
      </c>
      <c r="J484" s="52">
        <v>3</v>
      </c>
      <c r="K484" s="169"/>
      <c r="L484" s="169" t="s">
        <v>5370</v>
      </c>
      <c r="M484" s="58"/>
    </row>
    <row r="485" spans="1:13" ht="15">
      <c r="A485" s="153">
        <v>483</v>
      </c>
      <c r="B485" s="60" t="s">
        <v>1849</v>
      </c>
      <c r="C485" s="126" t="s">
        <v>1851</v>
      </c>
      <c r="D485" s="52">
        <v>2</v>
      </c>
      <c r="E485" s="52" t="s">
        <v>2385</v>
      </c>
      <c r="F485" s="126" t="s">
        <v>1733</v>
      </c>
      <c r="G485" s="126" t="s">
        <v>1664</v>
      </c>
      <c r="H485" s="127">
        <v>16</v>
      </c>
      <c r="I485" s="49" t="s">
        <v>3559</v>
      </c>
      <c r="J485" s="52">
        <v>1</v>
      </c>
      <c r="K485" s="169"/>
      <c r="L485" s="169" t="s">
        <v>5371</v>
      </c>
      <c r="M485" s="58"/>
    </row>
    <row r="486" spans="1:13" ht="15">
      <c r="A486" s="153">
        <v>484</v>
      </c>
      <c r="B486" s="60" t="s">
        <v>2263</v>
      </c>
      <c r="C486" s="126" t="s">
        <v>2265</v>
      </c>
      <c r="D486" s="52">
        <v>2</v>
      </c>
      <c r="E486" s="52" t="s">
        <v>2385</v>
      </c>
      <c r="F486" s="126" t="s">
        <v>1733</v>
      </c>
      <c r="G486" s="126" t="s">
        <v>1664</v>
      </c>
      <c r="H486" s="127">
        <v>16</v>
      </c>
      <c r="I486" s="49" t="s">
        <v>3559</v>
      </c>
      <c r="J486" s="52">
        <v>2</v>
      </c>
      <c r="K486" s="169"/>
      <c r="L486" s="169" t="s">
        <v>5372</v>
      </c>
      <c r="M486" s="58"/>
    </row>
    <row r="487" spans="1:13" ht="15">
      <c r="A487" s="153">
        <v>485</v>
      </c>
      <c r="B487" s="59" t="s">
        <v>1842</v>
      </c>
      <c r="C487" s="126" t="s">
        <v>1838</v>
      </c>
      <c r="D487" s="55">
        <v>4</v>
      </c>
      <c r="E487" s="52" t="s">
        <v>2385</v>
      </c>
      <c r="F487" s="126" t="s">
        <v>1733</v>
      </c>
      <c r="G487" s="126" t="s">
        <v>1664</v>
      </c>
      <c r="H487" s="127">
        <v>32</v>
      </c>
      <c r="I487" s="49" t="s">
        <v>3563</v>
      </c>
      <c r="J487" s="52">
        <v>2</v>
      </c>
      <c r="K487" s="169"/>
      <c r="L487" s="169" t="s">
        <v>5373</v>
      </c>
      <c r="M487" s="58"/>
    </row>
    <row r="488" spans="1:13" ht="15">
      <c r="A488" s="153">
        <v>486</v>
      </c>
      <c r="B488" s="60" t="s">
        <v>1826</v>
      </c>
      <c r="C488" s="126" t="s">
        <v>1828</v>
      </c>
      <c r="D488" s="52">
        <v>8</v>
      </c>
      <c r="E488" s="52" t="s">
        <v>2391</v>
      </c>
      <c r="F488" s="126" t="s">
        <v>1733</v>
      </c>
      <c r="G488" s="126" t="s">
        <v>1664</v>
      </c>
      <c r="H488" s="127">
        <v>64</v>
      </c>
      <c r="I488" s="49" t="s">
        <v>3570</v>
      </c>
      <c r="J488" s="52"/>
      <c r="K488" s="169"/>
      <c r="L488" s="169" t="s">
        <v>5374</v>
      </c>
      <c r="M488" s="58"/>
    </row>
    <row r="489" spans="1:13" ht="15">
      <c r="A489" s="153">
        <v>487</v>
      </c>
      <c r="B489" s="60" t="s">
        <v>1869</v>
      </c>
      <c r="C489" s="126" t="s">
        <v>1871</v>
      </c>
      <c r="D489" s="52">
        <v>1</v>
      </c>
      <c r="E489" s="56" t="s">
        <v>2391</v>
      </c>
      <c r="F489" s="126" t="s">
        <v>1733</v>
      </c>
      <c r="G489" s="126" t="s">
        <v>1664</v>
      </c>
      <c r="H489" s="127">
        <v>8</v>
      </c>
      <c r="I489" s="49" t="s">
        <v>3570</v>
      </c>
      <c r="J489" s="52"/>
      <c r="K489" s="169"/>
      <c r="L489" s="169" t="s">
        <v>5375</v>
      </c>
      <c r="M489" s="58"/>
    </row>
    <row r="490" spans="1:13" ht="15">
      <c r="A490" s="153">
        <v>488</v>
      </c>
      <c r="B490" s="60" t="s">
        <v>1880</v>
      </c>
      <c r="C490" s="126" t="s">
        <v>1882</v>
      </c>
      <c r="D490" s="52">
        <v>2</v>
      </c>
      <c r="E490" s="56" t="s">
        <v>2385</v>
      </c>
      <c r="F490" s="126" t="s">
        <v>1733</v>
      </c>
      <c r="G490" s="126" t="s">
        <v>1664</v>
      </c>
      <c r="H490" s="127">
        <v>16</v>
      </c>
      <c r="I490" s="49" t="s">
        <v>3570</v>
      </c>
      <c r="J490" s="52"/>
      <c r="K490" s="169"/>
      <c r="L490" s="169" t="s">
        <v>5376</v>
      </c>
      <c r="M490" s="58"/>
    </row>
    <row r="491" spans="1:13" ht="15">
      <c r="A491" s="153">
        <v>489</v>
      </c>
      <c r="B491" s="60" t="s">
        <v>1955</v>
      </c>
      <c r="C491" s="126" t="s">
        <v>1854</v>
      </c>
      <c r="D491" s="52">
        <v>6</v>
      </c>
      <c r="E491" s="52" t="s">
        <v>2385</v>
      </c>
      <c r="F491" s="126" t="s">
        <v>1733</v>
      </c>
      <c r="G491" s="126" t="s">
        <v>1664</v>
      </c>
      <c r="H491" s="127">
        <v>80</v>
      </c>
      <c r="I491" s="49" t="s">
        <v>3563</v>
      </c>
      <c r="J491" s="52"/>
      <c r="K491" s="169"/>
      <c r="L491" s="169" t="s">
        <v>5377</v>
      </c>
      <c r="M491" s="58"/>
    </row>
    <row r="492" spans="1:13" ht="15">
      <c r="A492" s="153">
        <v>490</v>
      </c>
      <c r="B492" s="60" t="s">
        <v>1956</v>
      </c>
      <c r="C492" s="126" t="s">
        <v>1931</v>
      </c>
      <c r="D492" s="52">
        <v>12</v>
      </c>
      <c r="E492" s="52" t="s">
        <v>2385</v>
      </c>
      <c r="F492" s="126" t="s">
        <v>1733</v>
      </c>
      <c r="G492" s="126" t="s">
        <v>1664</v>
      </c>
      <c r="H492" s="127">
        <v>96</v>
      </c>
      <c r="I492" s="49" t="s">
        <v>3570</v>
      </c>
      <c r="J492" s="52"/>
      <c r="K492" s="169"/>
      <c r="L492" s="169" t="s">
        <v>5378</v>
      </c>
      <c r="M492" s="58"/>
    </row>
    <row r="493" spans="1:13" ht="15">
      <c r="A493" s="153">
        <v>491</v>
      </c>
      <c r="B493" s="60" t="s">
        <v>1958</v>
      </c>
      <c r="C493" s="126" t="s">
        <v>1960</v>
      </c>
      <c r="D493" s="52">
        <v>6</v>
      </c>
      <c r="E493" s="52" t="s">
        <v>2385</v>
      </c>
      <c r="F493" s="126" t="s">
        <v>1733</v>
      </c>
      <c r="G493" s="126" t="s">
        <v>1664</v>
      </c>
      <c r="H493" s="127">
        <v>48</v>
      </c>
      <c r="I493" s="49" t="s">
        <v>3570</v>
      </c>
      <c r="J493" s="52"/>
      <c r="K493" s="169"/>
      <c r="L493" s="169" t="s">
        <v>5379</v>
      </c>
      <c r="M493" s="58"/>
    </row>
    <row r="494" spans="1:13" ht="15">
      <c r="A494" s="153">
        <v>492</v>
      </c>
      <c r="B494" s="60" t="s">
        <v>1961</v>
      </c>
      <c r="C494" s="126" t="s">
        <v>1963</v>
      </c>
      <c r="D494" s="52">
        <v>2</v>
      </c>
      <c r="E494" s="52" t="s">
        <v>2391</v>
      </c>
      <c r="F494" s="126" t="s">
        <v>1733</v>
      </c>
      <c r="G494" s="126" t="s">
        <v>1664</v>
      </c>
      <c r="H494" s="127">
        <v>16</v>
      </c>
      <c r="I494" s="49" t="s">
        <v>3594</v>
      </c>
      <c r="J494" s="52"/>
      <c r="K494" s="169"/>
      <c r="L494" s="169" t="s">
        <v>5380</v>
      </c>
      <c r="M494" s="58"/>
    </row>
    <row r="495" spans="1:13" ht="15">
      <c r="A495" s="153">
        <v>493</v>
      </c>
      <c r="B495" s="60" t="s">
        <v>2032</v>
      </c>
      <c r="C495" s="126" t="s">
        <v>1838</v>
      </c>
      <c r="D495" s="52">
        <v>6</v>
      </c>
      <c r="E495" s="52">
        <v>5</v>
      </c>
      <c r="F495" s="126" t="s">
        <v>1733</v>
      </c>
      <c r="G495" s="126" t="s">
        <v>1664</v>
      </c>
      <c r="H495" s="127">
        <v>48</v>
      </c>
      <c r="I495" s="49" t="s">
        <v>3559</v>
      </c>
      <c r="J495" s="52"/>
      <c r="K495" s="169"/>
      <c r="L495" s="169" t="s">
        <v>5381</v>
      </c>
      <c r="M495" s="58"/>
    </row>
    <row r="496" spans="1:13" ht="15">
      <c r="A496" s="153">
        <v>494</v>
      </c>
      <c r="B496" s="60" t="s">
        <v>2145</v>
      </c>
      <c r="C496" s="126" t="s">
        <v>2146</v>
      </c>
      <c r="D496" s="52">
        <v>2</v>
      </c>
      <c r="E496" s="52" t="s">
        <v>2391</v>
      </c>
      <c r="F496" s="126" t="s">
        <v>1733</v>
      </c>
      <c r="G496" s="126" t="s">
        <v>1664</v>
      </c>
      <c r="H496" s="127">
        <v>16</v>
      </c>
      <c r="I496" s="49" t="s">
        <v>3559</v>
      </c>
      <c r="J496" s="52"/>
      <c r="K496" s="169"/>
      <c r="L496" s="169" t="s">
        <v>5382</v>
      </c>
      <c r="M496" s="58"/>
    </row>
    <row r="497" spans="1:13" ht="15">
      <c r="A497" s="153">
        <v>495</v>
      </c>
      <c r="B497" s="53" t="s">
        <v>2183</v>
      </c>
      <c r="C497" s="126" t="s">
        <v>2184</v>
      </c>
      <c r="D497" s="55">
        <v>2</v>
      </c>
      <c r="E497" s="52" t="s">
        <v>2385</v>
      </c>
      <c r="F497" s="126" t="s">
        <v>1733</v>
      </c>
      <c r="G497" s="126" t="s">
        <v>1664</v>
      </c>
      <c r="H497" s="127">
        <v>16</v>
      </c>
      <c r="I497" s="49" t="s">
        <v>3570</v>
      </c>
      <c r="J497" s="52"/>
      <c r="K497" s="169"/>
      <c r="L497" s="169" t="s">
        <v>5383</v>
      </c>
      <c r="M497" s="58"/>
    </row>
    <row r="498" spans="1:13" ht="15">
      <c r="A498" s="153">
        <v>496</v>
      </c>
      <c r="B498" s="59" t="s">
        <v>2195</v>
      </c>
      <c r="C498" s="126" t="s">
        <v>1828</v>
      </c>
      <c r="D498" s="55">
        <v>2</v>
      </c>
      <c r="E498" s="52" t="s">
        <v>2385</v>
      </c>
      <c r="F498" s="126" t="s">
        <v>1733</v>
      </c>
      <c r="G498" s="126" t="s">
        <v>1664</v>
      </c>
      <c r="H498" s="127">
        <v>16</v>
      </c>
      <c r="I498" s="49" t="s">
        <v>3570</v>
      </c>
      <c r="J498" s="52"/>
      <c r="K498" s="169"/>
      <c r="L498" s="169" t="s">
        <v>5384</v>
      </c>
      <c r="M498" s="58"/>
    </row>
    <row r="499" spans="1:13" ht="15">
      <c r="A499" s="153">
        <v>497</v>
      </c>
      <c r="B499" s="60" t="s">
        <v>1561</v>
      </c>
      <c r="C499" s="126" t="s">
        <v>2225</v>
      </c>
      <c r="D499" s="52">
        <v>3</v>
      </c>
      <c r="E499" s="52" t="s">
        <v>2391</v>
      </c>
      <c r="F499" s="126" t="s">
        <v>1733</v>
      </c>
      <c r="G499" s="126" t="s">
        <v>1664</v>
      </c>
      <c r="H499" s="127">
        <v>24</v>
      </c>
      <c r="I499" s="49" t="s">
        <v>3570</v>
      </c>
      <c r="J499" s="52"/>
      <c r="K499" s="169"/>
      <c r="L499" s="169" t="s">
        <v>5385</v>
      </c>
      <c r="M499" s="58"/>
    </row>
    <row r="500" spans="1:13" ht="15">
      <c r="A500" s="153">
        <v>498</v>
      </c>
      <c r="B500" s="60" t="s">
        <v>2228</v>
      </c>
      <c r="C500" s="126" t="s">
        <v>2230</v>
      </c>
      <c r="D500" s="52">
        <v>2</v>
      </c>
      <c r="E500" s="52" t="s">
        <v>2391</v>
      </c>
      <c r="F500" s="126" t="s">
        <v>1733</v>
      </c>
      <c r="G500" s="126" t="s">
        <v>1664</v>
      </c>
      <c r="H500" s="127">
        <v>16</v>
      </c>
      <c r="I500" s="49" t="s">
        <v>3559</v>
      </c>
      <c r="J500" s="52"/>
      <c r="K500" s="169"/>
      <c r="L500" s="169" t="s">
        <v>5386</v>
      </c>
      <c r="M500" s="58"/>
    </row>
    <row r="501" spans="1:13" ht="15">
      <c r="A501" s="153">
        <v>499</v>
      </c>
      <c r="B501" s="53" t="s">
        <v>1566</v>
      </c>
      <c r="C501" s="126" t="s">
        <v>2238</v>
      </c>
      <c r="D501" s="55">
        <v>8</v>
      </c>
      <c r="E501" s="52" t="s">
        <v>2391</v>
      </c>
      <c r="F501" s="126" t="s">
        <v>1733</v>
      </c>
      <c r="G501" s="126" t="s">
        <v>1664</v>
      </c>
      <c r="H501" s="127">
        <v>64</v>
      </c>
      <c r="I501" s="49" t="s">
        <v>3570</v>
      </c>
      <c r="J501" s="52"/>
      <c r="K501" s="169"/>
      <c r="L501" s="169" t="s">
        <v>5387</v>
      </c>
      <c r="M501" s="58"/>
    </row>
    <row r="502" spans="1:13" ht="15">
      <c r="A502" s="153">
        <v>500</v>
      </c>
      <c r="B502" s="53" t="s">
        <v>1578</v>
      </c>
      <c r="C502" s="126" t="s">
        <v>2238</v>
      </c>
      <c r="D502" s="55">
        <v>3</v>
      </c>
      <c r="E502" s="52" t="s">
        <v>2391</v>
      </c>
      <c r="F502" s="126" t="s">
        <v>1733</v>
      </c>
      <c r="G502" s="126" t="s">
        <v>1664</v>
      </c>
      <c r="H502" s="127">
        <v>24</v>
      </c>
      <c r="I502" s="49" t="s">
        <v>3570</v>
      </c>
      <c r="J502" s="52"/>
      <c r="K502" s="169"/>
      <c r="L502" s="169" t="s">
        <v>5388</v>
      </c>
      <c r="M502" s="58"/>
    </row>
    <row r="503" spans="1:13" ht="15">
      <c r="A503" s="153">
        <v>501</v>
      </c>
      <c r="B503" s="60" t="s">
        <v>2261</v>
      </c>
      <c r="C503" s="126" t="s">
        <v>2225</v>
      </c>
      <c r="D503" s="52">
        <v>1</v>
      </c>
      <c r="E503" s="52" t="s">
        <v>2385</v>
      </c>
      <c r="F503" s="126" t="s">
        <v>1733</v>
      </c>
      <c r="G503" s="126" t="s">
        <v>1664</v>
      </c>
      <c r="H503" s="127">
        <v>8</v>
      </c>
      <c r="I503" s="49" t="s">
        <v>3570</v>
      </c>
      <c r="J503" s="52"/>
      <c r="K503" s="169"/>
      <c r="L503" s="169" t="s">
        <v>5389</v>
      </c>
      <c r="M503" s="58"/>
    </row>
    <row r="504" spans="1:13" ht="15">
      <c r="A504" s="153">
        <v>502</v>
      </c>
      <c r="B504" s="60" t="s">
        <v>2345</v>
      </c>
      <c r="C504" s="126" t="s">
        <v>1960</v>
      </c>
      <c r="D504" s="52">
        <v>2</v>
      </c>
      <c r="E504" s="52" t="s">
        <v>2385</v>
      </c>
      <c r="F504" s="126" t="s">
        <v>1733</v>
      </c>
      <c r="G504" s="126" t="s">
        <v>1664</v>
      </c>
      <c r="H504" s="127">
        <v>16</v>
      </c>
      <c r="I504" s="49" t="s">
        <v>3570</v>
      </c>
      <c r="J504" s="52"/>
      <c r="K504" s="169"/>
      <c r="L504" s="169" t="s">
        <v>5390</v>
      </c>
      <c r="M504" s="58"/>
    </row>
    <row r="505" spans="1:13" ht="15">
      <c r="A505" s="153">
        <v>503</v>
      </c>
      <c r="B505" s="60" t="s">
        <v>1934</v>
      </c>
      <c r="C505" s="126" t="s">
        <v>1854</v>
      </c>
      <c r="D505" s="52">
        <v>8</v>
      </c>
      <c r="E505" s="52" t="s">
        <v>2394</v>
      </c>
      <c r="F505" s="126" t="s">
        <v>1733</v>
      </c>
      <c r="G505" s="126" t="s">
        <v>1664</v>
      </c>
      <c r="H505" s="127">
        <v>64</v>
      </c>
      <c r="I505" s="49" t="s">
        <v>3570</v>
      </c>
      <c r="J505" s="52"/>
      <c r="K505" s="169"/>
      <c r="L505" s="169" t="s">
        <v>5391</v>
      </c>
      <c r="M505" s="58"/>
    </row>
    <row r="506" spans="1:13" ht="15">
      <c r="A506" s="153">
        <v>504</v>
      </c>
      <c r="B506" s="53" t="s">
        <v>1952</v>
      </c>
      <c r="C506" s="126" t="s">
        <v>1954</v>
      </c>
      <c r="D506" s="55">
        <v>2</v>
      </c>
      <c r="E506" s="52" t="s">
        <v>2394</v>
      </c>
      <c r="F506" s="126" t="s">
        <v>1733</v>
      </c>
      <c r="G506" s="126" t="s">
        <v>1664</v>
      </c>
      <c r="H506" s="127">
        <v>16</v>
      </c>
      <c r="I506" s="49" t="s">
        <v>3570</v>
      </c>
      <c r="J506" s="52"/>
      <c r="K506" s="169"/>
      <c r="L506" s="169" t="s">
        <v>5392</v>
      </c>
      <c r="M506" s="58"/>
    </row>
    <row r="507" spans="1:13" ht="15">
      <c r="A507" s="153">
        <v>505</v>
      </c>
      <c r="B507" s="60" t="s">
        <v>2058</v>
      </c>
      <c r="C507" s="126" t="s">
        <v>1931</v>
      </c>
      <c r="D507" s="52">
        <v>16</v>
      </c>
      <c r="E507" s="52" t="s">
        <v>2394</v>
      </c>
      <c r="F507" s="126" t="s">
        <v>1733</v>
      </c>
      <c r="G507" s="126" t="s">
        <v>1664</v>
      </c>
      <c r="H507" s="127">
        <v>128</v>
      </c>
      <c r="I507" s="49" t="s">
        <v>3570</v>
      </c>
      <c r="J507" s="52"/>
      <c r="K507" s="169"/>
      <c r="L507" s="169" t="s">
        <v>5393</v>
      </c>
      <c r="M507" s="58"/>
    </row>
    <row r="508" spans="1:13" ht="15">
      <c r="A508" s="153">
        <v>506</v>
      </c>
      <c r="B508" s="60" t="s">
        <v>2059</v>
      </c>
      <c r="C508" s="126" t="s">
        <v>1960</v>
      </c>
      <c r="D508" s="52">
        <v>8</v>
      </c>
      <c r="E508" s="52" t="s">
        <v>2394</v>
      </c>
      <c r="F508" s="126" t="s">
        <v>1733</v>
      </c>
      <c r="G508" s="126" t="s">
        <v>1664</v>
      </c>
      <c r="H508" s="127">
        <v>64</v>
      </c>
      <c r="I508" s="49" t="s">
        <v>3570</v>
      </c>
      <c r="J508" s="52"/>
      <c r="K508" s="169"/>
      <c r="L508" s="169" t="s">
        <v>5394</v>
      </c>
      <c r="M508" s="58"/>
    </row>
    <row r="509" spans="1:13" ht="15">
      <c r="A509" s="153">
        <v>507</v>
      </c>
      <c r="B509" s="60" t="s">
        <v>1929</v>
      </c>
      <c r="C509" s="126" t="s">
        <v>1931</v>
      </c>
      <c r="D509" s="52">
        <v>4</v>
      </c>
      <c r="E509" s="52" t="s">
        <v>2427</v>
      </c>
      <c r="F509" s="126" t="s">
        <v>1733</v>
      </c>
      <c r="G509" s="126" t="s">
        <v>1664</v>
      </c>
      <c r="H509" s="127">
        <v>32</v>
      </c>
      <c r="I509" s="49" t="s">
        <v>3570</v>
      </c>
      <c r="J509" s="52"/>
      <c r="K509" s="169"/>
      <c r="L509" s="169" t="s">
        <v>5395</v>
      </c>
      <c r="M509" s="58"/>
    </row>
    <row r="510" spans="1:13" ht="15">
      <c r="A510" s="153">
        <v>508</v>
      </c>
      <c r="B510" s="60" t="s">
        <v>1964</v>
      </c>
      <c r="C510" s="126" t="s">
        <v>1965</v>
      </c>
      <c r="D510" s="52">
        <v>8</v>
      </c>
      <c r="E510" s="52" t="s">
        <v>2427</v>
      </c>
      <c r="F510" s="126" t="s">
        <v>1733</v>
      </c>
      <c r="G510" s="126" t="s">
        <v>1664</v>
      </c>
      <c r="H510" s="127">
        <v>64</v>
      </c>
      <c r="I510" s="49" t="s">
        <v>3570</v>
      </c>
      <c r="J510" s="52"/>
      <c r="K510" s="169"/>
      <c r="L510" s="169" t="s">
        <v>5396</v>
      </c>
      <c r="M510" s="58"/>
    </row>
    <row r="511" spans="1:13" ht="15">
      <c r="A511" s="153">
        <v>509</v>
      </c>
      <c r="B511" s="60" t="s">
        <v>1454</v>
      </c>
      <c r="C511" s="126" t="s">
        <v>2062</v>
      </c>
      <c r="D511" s="52">
        <v>2</v>
      </c>
      <c r="E511" s="52" t="s">
        <v>2437</v>
      </c>
      <c r="F511" s="126" t="s">
        <v>1733</v>
      </c>
      <c r="G511" s="126" t="s">
        <v>1664</v>
      </c>
      <c r="H511" s="127">
        <v>16</v>
      </c>
      <c r="I511" s="49" t="s">
        <v>3570</v>
      </c>
      <c r="J511" s="49">
        <v>1</v>
      </c>
      <c r="K511" s="169"/>
      <c r="L511" s="169" t="s">
        <v>5397</v>
      </c>
      <c r="M511" s="84">
        <v>45533</v>
      </c>
    </row>
    <row r="512" spans="1:13" ht="15">
      <c r="A512" s="153">
        <v>510</v>
      </c>
      <c r="B512" s="60" t="s">
        <v>2310</v>
      </c>
      <c r="C512" s="126" t="s">
        <v>2265</v>
      </c>
      <c r="D512" s="52">
        <v>4</v>
      </c>
      <c r="E512" s="52" t="s">
        <v>2437</v>
      </c>
      <c r="F512" s="126" t="s">
        <v>1733</v>
      </c>
      <c r="G512" s="126" t="s">
        <v>1664</v>
      </c>
      <c r="H512" s="127">
        <v>32</v>
      </c>
      <c r="I512" s="49" t="s">
        <v>3570</v>
      </c>
      <c r="J512" s="49">
        <v>1</v>
      </c>
      <c r="K512" s="169"/>
      <c r="L512" s="169" t="s">
        <v>5398</v>
      </c>
      <c r="M512" s="84">
        <v>45533</v>
      </c>
    </row>
    <row r="513" spans="1:13" ht="15">
      <c r="A513" s="153">
        <v>511</v>
      </c>
      <c r="B513" s="60" t="s">
        <v>1422</v>
      </c>
      <c r="C513" s="126" t="s">
        <v>1854</v>
      </c>
      <c r="D513" s="52">
        <v>2</v>
      </c>
      <c r="E513" s="52" t="s">
        <v>2437</v>
      </c>
      <c r="F513" s="126" t="s">
        <v>1733</v>
      </c>
      <c r="G513" s="126" t="s">
        <v>1664</v>
      </c>
      <c r="H513" s="127">
        <v>32</v>
      </c>
      <c r="I513" s="49" t="s">
        <v>3570</v>
      </c>
      <c r="J513" s="49"/>
      <c r="K513" s="169"/>
      <c r="L513" s="169" t="s">
        <v>5399</v>
      </c>
      <c r="M513" s="49"/>
    </row>
    <row r="514" spans="1:13" ht="15">
      <c r="A514" s="153">
        <v>512</v>
      </c>
      <c r="B514" s="60" t="s">
        <v>1886</v>
      </c>
      <c r="C514" s="126" t="s">
        <v>1888</v>
      </c>
      <c r="D514" s="52">
        <v>1</v>
      </c>
      <c r="E514" s="52" t="s">
        <v>2443</v>
      </c>
      <c r="F514" s="126" t="s">
        <v>1733</v>
      </c>
      <c r="G514" s="126" t="s">
        <v>1664</v>
      </c>
      <c r="H514" s="127">
        <v>8</v>
      </c>
      <c r="I514" s="49" t="s">
        <v>3570</v>
      </c>
      <c r="J514" s="49">
        <v>2</v>
      </c>
      <c r="K514" s="169"/>
      <c r="L514" s="169" t="s">
        <v>5400</v>
      </c>
      <c r="M514" s="84">
        <v>45533</v>
      </c>
    </row>
    <row r="515" spans="1:13" ht="15">
      <c r="A515" s="153">
        <v>513</v>
      </c>
      <c r="B515" s="60" t="s">
        <v>2297</v>
      </c>
      <c r="C515" s="126" t="s">
        <v>1931</v>
      </c>
      <c r="D515" s="52">
        <v>5</v>
      </c>
      <c r="E515" s="52" t="s">
        <v>2443</v>
      </c>
      <c r="F515" s="126" t="s">
        <v>1733</v>
      </c>
      <c r="G515" s="126" t="s">
        <v>1664</v>
      </c>
      <c r="H515" s="127">
        <v>40</v>
      </c>
      <c r="I515" s="49" t="s">
        <v>3570</v>
      </c>
      <c r="J515" s="49">
        <v>3</v>
      </c>
      <c r="K515" s="169"/>
      <c r="L515" s="169" t="s">
        <v>5401</v>
      </c>
      <c r="M515" s="49"/>
    </row>
    <row r="516" spans="1:13" ht="15">
      <c r="A516" s="153">
        <v>514</v>
      </c>
      <c r="B516" s="60" t="s">
        <v>2147</v>
      </c>
      <c r="C516" s="126" t="s">
        <v>2148</v>
      </c>
      <c r="D516" s="52">
        <v>2</v>
      </c>
      <c r="E516" s="52" t="s">
        <v>2391</v>
      </c>
      <c r="F516" s="126" t="s">
        <v>1733</v>
      </c>
      <c r="G516" s="126" t="s">
        <v>1664</v>
      </c>
      <c r="H516" s="127">
        <v>16</v>
      </c>
      <c r="I516" s="49" t="s">
        <v>3570</v>
      </c>
      <c r="J516" s="49">
        <v>3</v>
      </c>
      <c r="K516" s="169"/>
      <c r="L516" s="169" t="s">
        <v>5402</v>
      </c>
      <c r="M516" s="49"/>
    </row>
    <row r="517" spans="1:13" ht="15">
      <c r="A517" s="153">
        <v>515</v>
      </c>
      <c r="B517" s="60" t="s">
        <v>2348</v>
      </c>
      <c r="C517" s="126" t="s">
        <v>2148</v>
      </c>
      <c r="D517" s="52">
        <v>2</v>
      </c>
      <c r="E517" s="52" t="s">
        <v>2391</v>
      </c>
      <c r="F517" s="126" t="s">
        <v>1733</v>
      </c>
      <c r="G517" s="126" t="s">
        <v>1664</v>
      </c>
      <c r="H517" s="127">
        <v>16</v>
      </c>
      <c r="I517" s="49" t="s">
        <v>3570</v>
      </c>
      <c r="J517" s="49">
        <v>3</v>
      </c>
      <c r="K517" s="169"/>
      <c r="L517" s="169" t="s">
        <v>5403</v>
      </c>
      <c r="M517" s="49"/>
    </row>
    <row r="518" spans="1:13" ht="15">
      <c r="A518" s="153">
        <v>516</v>
      </c>
      <c r="B518" s="60" t="s">
        <v>2215</v>
      </c>
      <c r="C518" s="126" t="s">
        <v>2217</v>
      </c>
      <c r="D518" s="52">
        <v>1</v>
      </c>
      <c r="E518" s="52" t="s">
        <v>2391</v>
      </c>
      <c r="F518" s="126" t="s">
        <v>1733</v>
      </c>
      <c r="G518" s="126" t="s">
        <v>1664</v>
      </c>
      <c r="H518" s="127">
        <v>8</v>
      </c>
      <c r="I518" s="49" t="s">
        <v>3570</v>
      </c>
      <c r="J518" s="52"/>
      <c r="K518" s="169"/>
      <c r="L518" s="10" t="s">
        <v>5404</v>
      </c>
      <c r="M518" s="118"/>
    </row>
    <row r="519" spans="1:13" ht="15">
      <c r="A519" s="153">
        <v>517</v>
      </c>
      <c r="B519" s="53" t="s">
        <v>1955</v>
      </c>
      <c r="C519" s="126" t="s">
        <v>1854</v>
      </c>
      <c r="D519" s="55">
        <v>4</v>
      </c>
      <c r="E519" s="52">
        <v>4</v>
      </c>
      <c r="F519" s="126" t="s">
        <v>1733</v>
      </c>
      <c r="G519" s="126" t="s">
        <v>1664</v>
      </c>
      <c r="H519" s="127">
        <v>80</v>
      </c>
      <c r="I519" s="49" t="s">
        <v>3594</v>
      </c>
      <c r="J519" s="52"/>
      <c r="K519" s="169"/>
      <c r="L519" s="10" t="s">
        <v>5405</v>
      </c>
      <c r="M519" s="118"/>
    </row>
    <row r="520" spans="1:13" ht="15">
      <c r="A520" s="153">
        <v>518</v>
      </c>
      <c r="B520" s="60" t="s">
        <v>1956</v>
      </c>
      <c r="C520" s="126" t="s">
        <v>1931</v>
      </c>
      <c r="D520" s="52">
        <v>4</v>
      </c>
      <c r="E520" s="52">
        <v>4</v>
      </c>
      <c r="F520" s="126" t="s">
        <v>1733</v>
      </c>
      <c r="G520" s="126" t="s">
        <v>1664</v>
      </c>
      <c r="H520" s="127">
        <v>96</v>
      </c>
      <c r="I520" s="49" t="s">
        <v>3570</v>
      </c>
      <c r="J520" s="52"/>
      <c r="K520" s="169"/>
      <c r="L520" s="169" t="s">
        <v>5406</v>
      </c>
      <c r="M520" s="58"/>
    </row>
    <row r="521" spans="1:13" ht="15">
      <c r="A521" s="153">
        <v>519</v>
      </c>
      <c r="B521" s="63" t="s">
        <v>858</v>
      </c>
      <c r="C521" s="126" t="s">
        <v>859</v>
      </c>
      <c r="D521" s="52">
        <v>11</v>
      </c>
      <c r="E521" s="52" t="s">
        <v>2385</v>
      </c>
      <c r="F521" s="126" t="s">
        <v>853</v>
      </c>
      <c r="G521" s="126" t="s">
        <v>1664</v>
      </c>
      <c r="H521" s="127">
        <v>87880</v>
      </c>
      <c r="I521" s="49" t="s">
        <v>3594</v>
      </c>
      <c r="J521" s="52">
        <v>1</v>
      </c>
      <c r="K521" s="169"/>
      <c r="L521" s="10" t="s">
        <v>5407</v>
      </c>
    </row>
    <row r="522" spans="1:13" ht="15">
      <c r="A522" s="153">
        <v>520</v>
      </c>
      <c r="B522" s="63" t="s">
        <v>1302</v>
      </c>
      <c r="C522" s="126" t="s">
        <v>179</v>
      </c>
      <c r="D522" s="52">
        <v>1.76</v>
      </c>
      <c r="E522" s="56" t="s">
        <v>2385</v>
      </c>
      <c r="F522" s="126" t="s">
        <v>853</v>
      </c>
      <c r="G522" s="126" t="s">
        <v>1664</v>
      </c>
      <c r="H522" s="127">
        <v>14.08</v>
      </c>
      <c r="I522" s="49" t="s">
        <v>3876</v>
      </c>
      <c r="J522" s="52">
        <v>1</v>
      </c>
      <c r="K522" s="169"/>
      <c r="L522" s="10" t="s">
        <v>5408</v>
      </c>
    </row>
    <row r="523" spans="1:13" ht="15">
      <c r="A523" s="153">
        <v>521</v>
      </c>
      <c r="B523" s="172" t="s">
        <v>871</v>
      </c>
      <c r="C523" s="163" t="s">
        <v>1852</v>
      </c>
      <c r="D523" s="164">
        <v>2</v>
      </c>
      <c r="E523" s="173" t="s">
        <v>2417</v>
      </c>
      <c r="F523" s="163" t="s">
        <v>853</v>
      </c>
      <c r="G523" s="163" t="s">
        <v>1664</v>
      </c>
      <c r="H523" s="166">
        <v>1440</v>
      </c>
      <c r="I523" s="167" t="s">
        <v>3559</v>
      </c>
      <c r="J523" s="164">
        <v>4</v>
      </c>
      <c r="K523" s="174"/>
      <c r="L523" s="10" t="s">
        <v>5409</v>
      </c>
    </row>
    <row r="524" spans="1:13" ht="15">
      <c r="A524" s="153">
        <v>522</v>
      </c>
      <c r="B524" s="63" t="s">
        <v>849</v>
      </c>
      <c r="C524" s="218" t="s">
        <v>852</v>
      </c>
      <c r="D524" s="52">
        <v>11524</v>
      </c>
      <c r="E524" s="56" t="s">
        <v>2417</v>
      </c>
      <c r="F524" s="218" t="s">
        <v>853</v>
      </c>
      <c r="G524" s="218" t="s">
        <v>1664</v>
      </c>
      <c r="H524" s="219">
        <v>92192</v>
      </c>
      <c r="I524" s="49" t="s">
        <v>3594</v>
      </c>
      <c r="J524" s="52">
        <v>1</v>
      </c>
      <c r="K524" s="169"/>
    </row>
    <row r="525" spans="1:13" ht="15">
      <c r="A525" s="153">
        <v>523</v>
      </c>
      <c r="B525" s="46" t="s">
        <v>854</v>
      </c>
      <c r="C525" s="218" t="s">
        <v>1852</v>
      </c>
      <c r="D525" s="52">
        <v>1.5</v>
      </c>
      <c r="E525" s="52" t="s">
        <v>2417</v>
      </c>
      <c r="F525" s="218" t="s">
        <v>853</v>
      </c>
      <c r="G525" s="218" t="s">
        <v>1664</v>
      </c>
      <c r="H525" s="219">
        <v>10800</v>
      </c>
      <c r="I525" s="49" t="s">
        <v>3594</v>
      </c>
      <c r="J525" s="52">
        <v>1</v>
      </c>
      <c r="K525" s="169"/>
    </row>
    <row r="526" spans="1:13" ht="15">
      <c r="A526" s="153">
        <v>524</v>
      </c>
      <c r="B526" s="200" t="s">
        <v>849</v>
      </c>
      <c r="C526" s="220" t="s">
        <v>852</v>
      </c>
      <c r="D526" s="164">
        <v>1.8</v>
      </c>
      <c r="E526" s="164" t="s">
        <v>2391</v>
      </c>
      <c r="F526" s="220" t="s">
        <v>853</v>
      </c>
      <c r="G526" s="220" t="s">
        <v>1664</v>
      </c>
      <c r="H526" s="221">
        <v>92192</v>
      </c>
      <c r="I526" s="167" t="s">
        <v>3594</v>
      </c>
      <c r="J526" s="164">
        <v>1</v>
      </c>
      <c r="K526" s="174"/>
    </row>
  </sheetData>
  <phoneticPr fontId="21" type="noConversion"/>
  <conditionalFormatting sqref="B4">
    <cfRule type="cellIs" dxfId="272" priority="99" operator="equal">
      <formula>$B$3</formula>
    </cfRule>
  </conditionalFormatting>
  <conditionalFormatting sqref="B15">
    <cfRule type="duplicateValues" dxfId="271" priority="98"/>
  </conditionalFormatting>
  <conditionalFormatting sqref="B29">
    <cfRule type="duplicateValues" dxfId="270" priority="17"/>
    <cfRule type="duplicateValues" dxfId="269" priority="18"/>
  </conditionalFormatting>
  <conditionalFormatting sqref="B37">
    <cfRule type="duplicateValues" dxfId="268" priority="102"/>
  </conditionalFormatting>
  <conditionalFormatting sqref="B44">
    <cfRule type="duplicateValues" dxfId="267" priority="47"/>
    <cfRule type="duplicateValues" dxfId="266" priority="48"/>
  </conditionalFormatting>
  <conditionalFormatting sqref="B50">
    <cfRule type="duplicateValues" dxfId="265" priority="39"/>
    <cfRule type="duplicateValues" dxfId="264" priority="40"/>
  </conditionalFormatting>
  <conditionalFormatting sqref="B52:B53">
    <cfRule type="duplicateValues" dxfId="263" priority="105"/>
  </conditionalFormatting>
  <conditionalFormatting sqref="B76">
    <cfRule type="duplicateValues" dxfId="262" priority="45"/>
    <cfRule type="duplicateValues" dxfId="261" priority="46"/>
  </conditionalFormatting>
  <conditionalFormatting sqref="B89">
    <cfRule type="duplicateValues" dxfId="260" priority="7"/>
    <cfRule type="duplicateValues" dxfId="259" priority="8"/>
  </conditionalFormatting>
  <conditionalFormatting sqref="B95">
    <cfRule type="duplicateValues" dxfId="258" priority="92"/>
    <cfRule type="duplicateValues" dxfId="257" priority="93"/>
  </conditionalFormatting>
  <conditionalFormatting sqref="B98">
    <cfRule type="duplicateValues" dxfId="256" priority="37"/>
    <cfRule type="duplicateValues" dxfId="255" priority="38"/>
  </conditionalFormatting>
  <conditionalFormatting sqref="B101">
    <cfRule type="duplicateValues" dxfId="254" priority="41"/>
    <cfRule type="duplicateValues" dxfId="253" priority="42"/>
  </conditionalFormatting>
  <conditionalFormatting sqref="B109">
    <cfRule type="duplicateValues" dxfId="252" priority="101"/>
  </conditionalFormatting>
  <conditionalFormatting sqref="B112">
    <cfRule type="duplicateValues" dxfId="251" priority="103"/>
  </conditionalFormatting>
  <conditionalFormatting sqref="B115">
    <cfRule type="duplicateValues" dxfId="250" priority="15"/>
    <cfRule type="duplicateValues" dxfId="249" priority="16"/>
  </conditionalFormatting>
  <conditionalFormatting sqref="B146">
    <cfRule type="duplicateValues" dxfId="248" priority="5"/>
    <cfRule type="duplicateValues" dxfId="247" priority="6"/>
  </conditionalFormatting>
  <conditionalFormatting sqref="B178">
    <cfRule type="duplicateValues" dxfId="246" priority="21"/>
    <cfRule type="duplicateValues" dxfId="245" priority="22"/>
  </conditionalFormatting>
  <conditionalFormatting sqref="B189">
    <cfRule type="duplicateValues" dxfId="244" priority="81"/>
    <cfRule type="duplicateValues" dxfId="243" priority="82"/>
  </conditionalFormatting>
  <conditionalFormatting sqref="B190">
    <cfRule type="duplicateValues" dxfId="242" priority="83"/>
    <cfRule type="duplicateValues" dxfId="241" priority="84"/>
  </conditionalFormatting>
  <conditionalFormatting sqref="B191">
    <cfRule type="duplicateValues" dxfId="240" priority="85"/>
    <cfRule type="duplicateValues" dxfId="239" priority="86"/>
  </conditionalFormatting>
  <conditionalFormatting sqref="B197">
    <cfRule type="duplicateValues" dxfId="238" priority="3"/>
    <cfRule type="duplicateValues" dxfId="237" priority="4"/>
  </conditionalFormatting>
  <conditionalFormatting sqref="B281">
    <cfRule type="duplicateValues" dxfId="236" priority="19"/>
    <cfRule type="duplicateValues" dxfId="235" priority="20"/>
  </conditionalFormatting>
  <conditionalFormatting sqref="B298">
    <cfRule type="duplicateValues" dxfId="234" priority="43"/>
    <cfRule type="duplicateValues" dxfId="233" priority="44"/>
  </conditionalFormatting>
  <conditionalFormatting sqref="B305">
    <cfRule type="duplicateValues" dxfId="232" priority="96"/>
    <cfRule type="duplicateValues" dxfId="231" priority="97"/>
  </conditionalFormatting>
  <conditionalFormatting sqref="B306">
    <cfRule type="duplicateValues" dxfId="230" priority="94"/>
    <cfRule type="duplicateValues" dxfId="229" priority="95"/>
  </conditionalFormatting>
  <conditionalFormatting sqref="B349">
    <cfRule type="duplicateValues" dxfId="228" priority="79"/>
    <cfRule type="duplicateValues" dxfId="227" priority="80"/>
  </conditionalFormatting>
  <conditionalFormatting sqref="B350">
    <cfRule type="duplicateValues" dxfId="226" priority="87"/>
  </conditionalFormatting>
  <conditionalFormatting sqref="B374">
    <cfRule type="duplicateValues" dxfId="225" priority="13"/>
    <cfRule type="duplicateValues" dxfId="224" priority="14"/>
  </conditionalFormatting>
  <conditionalFormatting sqref="B392">
    <cfRule type="duplicateValues" dxfId="223" priority="90"/>
    <cfRule type="duplicateValues" dxfId="222" priority="91"/>
  </conditionalFormatting>
  <conditionalFormatting sqref="B393">
    <cfRule type="duplicateValues" dxfId="221" priority="88"/>
    <cfRule type="duplicateValues" dxfId="220" priority="89"/>
  </conditionalFormatting>
  <conditionalFormatting sqref="B405">
    <cfRule type="duplicateValues" dxfId="219" priority="11"/>
    <cfRule type="duplicateValues" dxfId="218" priority="12"/>
  </conditionalFormatting>
  <conditionalFormatting sqref="B407">
    <cfRule type="duplicateValues" dxfId="217" priority="77"/>
    <cfRule type="duplicateValues" dxfId="216" priority="78"/>
  </conditionalFormatting>
  <conditionalFormatting sqref="B408">
    <cfRule type="duplicateValues" dxfId="215" priority="75"/>
    <cfRule type="duplicateValues" dxfId="214" priority="76"/>
  </conditionalFormatting>
  <conditionalFormatting sqref="B409">
    <cfRule type="duplicateValues" dxfId="213" priority="73"/>
    <cfRule type="duplicateValues" dxfId="212" priority="74"/>
  </conditionalFormatting>
  <conditionalFormatting sqref="B410">
    <cfRule type="duplicateValues" dxfId="211" priority="71"/>
    <cfRule type="duplicateValues" dxfId="210" priority="72"/>
  </conditionalFormatting>
  <conditionalFormatting sqref="B411">
    <cfRule type="duplicateValues" dxfId="209" priority="69"/>
    <cfRule type="duplicateValues" dxfId="208" priority="70"/>
  </conditionalFormatting>
  <conditionalFormatting sqref="B412">
    <cfRule type="duplicateValues" dxfId="207" priority="67"/>
    <cfRule type="duplicateValues" dxfId="206" priority="68"/>
  </conditionalFormatting>
  <conditionalFormatting sqref="B413">
    <cfRule type="duplicateValues" dxfId="205" priority="65"/>
    <cfRule type="duplicateValues" dxfId="204" priority="66"/>
  </conditionalFormatting>
  <conditionalFormatting sqref="B414">
    <cfRule type="duplicateValues" dxfId="203" priority="63"/>
    <cfRule type="duplicateValues" dxfId="202" priority="64"/>
  </conditionalFormatting>
  <conditionalFormatting sqref="B415">
    <cfRule type="duplicateValues" dxfId="201" priority="61"/>
    <cfRule type="duplicateValues" dxfId="200" priority="62"/>
  </conditionalFormatting>
  <conditionalFormatting sqref="B416">
    <cfRule type="duplicateValues" dxfId="199" priority="59"/>
    <cfRule type="duplicateValues" dxfId="198" priority="60"/>
  </conditionalFormatting>
  <conditionalFormatting sqref="B417">
    <cfRule type="duplicateValues" dxfId="197" priority="57"/>
    <cfRule type="duplicateValues" dxfId="196" priority="58"/>
  </conditionalFormatting>
  <conditionalFormatting sqref="B418">
    <cfRule type="duplicateValues" dxfId="195" priority="55"/>
    <cfRule type="duplicateValues" dxfId="194" priority="56"/>
  </conditionalFormatting>
  <conditionalFormatting sqref="B419">
    <cfRule type="duplicateValues" dxfId="193" priority="53"/>
    <cfRule type="duplicateValues" dxfId="192" priority="54"/>
  </conditionalFormatting>
  <conditionalFormatting sqref="B420">
    <cfRule type="duplicateValues" dxfId="191" priority="51"/>
    <cfRule type="duplicateValues" dxfId="190" priority="52"/>
  </conditionalFormatting>
  <conditionalFormatting sqref="B421">
    <cfRule type="duplicateValues" dxfId="189" priority="49"/>
    <cfRule type="duplicateValues" dxfId="188" priority="50"/>
  </conditionalFormatting>
  <conditionalFormatting sqref="B422">
    <cfRule type="duplicateValues" dxfId="187" priority="35"/>
    <cfRule type="duplicateValues" dxfId="186" priority="36"/>
  </conditionalFormatting>
  <conditionalFormatting sqref="B423">
    <cfRule type="duplicateValues" dxfId="185" priority="31"/>
    <cfRule type="duplicateValues" dxfId="184" priority="32"/>
  </conditionalFormatting>
  <conditionalFormatting sqref="B424">
    <cfRule type="duplicateValues" dxfId="183" priority="29"/>
    <cfRule type="duplicateValues" dxfId="182" priority="30"/>
  </conditionalFormatting>
  <conditionalFormatting sqref="B425">
    <cfRule type="duplicateValues" dxfId="181" priority="27"/>
    <cfRule type="duplicateValues" dxfId="180" priority="28"/>
  </conditionalFormatting>
  <conditionalFormatting sqref="B426">
    <cfRule type="duplicateValues" dxfId="179" priority="25"/>
    <cfRule type="duplicateValues" dxfId="178" priority="26"/>
  </conditionalFormatting>
  <conditionalFormatting sqref="B427">
    <cfRule type="duplicateValues" dxfId="177" priority="23"/>
    <cfRule type="duplicateValues" dxfId="176" priority="24"/>
  </conditionalFormatting>
  <conditionalFormatting sqref="B428 B472:B517 B430:B470">
    <cfRule type="duplicateValues" dxfId="175" priority="106"/>
  </conditionalFormatting>
  <conditionalFormatting sqref="B429">
    <cfRule type="duplicateValues" dxfId="174" priority="10"/>
  </conditionalFormatting>
  <conditionalFormatting sqref="B471">
    <cfRule type="duplicateValues" dxfId="173" priority="9"/>
  </conditionalFormatting>
  <conditionalFormatting sqref="B525:B1048576 B518:B519 B394:B404 B1:B14 B351:B373 B96:B97 B192:B196 B45:B49 B77:B88 B51:B75 B100 B16:B28 B282:B297 B30:B43 B116:B134 B406 B90:B94 B198:B280 B136:B145 B102:B114 B299:B304 B375:B391 B147:B177 B179:B188 B307:B348">
    <cfRule type="duplicateValues" dxfId="172" priority="100"/>
  </conditionalFormatting>
  <conditionalFormatting sqref="B525:B1048576 B518:B519 B394:B404 B54:B75 B38:B43 B110:B111 B16:B28 B96:B97 B2:B14 B351:B373 B113:B114 B192:B196 B45:B49 B77:B88 B51 B100 B282:B297 B30:B36 B116:B134 B406 B90:B94 B198:B280 B136:B145 B102:B108 B299:B304 B375:B391 B147:B177 B179:B188 B307:B348">
    <cfRule type="duplicateValues" dxfId="171" priority="104"/>
  </conditionalFormatting>
  <conditionalFormatting sqref="B520">
    <cfRule type="duplicateValues" dxfId="170" priority="1"/>
    <cfRule type="duplicateValues" dxfId="169" priority="2"/>
  </conditionalFormatting>
  <pageMargins left="0.70866141732283472" right="0.70866141732283472" top="0.74803149606299213" bottom="0.74803149606299213" header="0.31496062992125984" footer="0.31496062992125984"/>
  <pageSetup scale="75" fitToHeight="26" orientation="landscape" r:id="rId1"/>
  <headerFooter>
    <oddHeader>&amp;L&amp;"Arial"&amp;8&amp;K000000INTERNAL&amp;1#</oddHeader>
    <oddFooter>&amp;CFecha rev – Planeamiento – CC:8760 – KSU: 4.2- Interno
&amp;R&amp;N</oddFooter>
  </headerFooter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8">
    <pageSetUpPr fitToPage="1"/>
  </sheetPr>
  <dimension ref="A1:Q446"/>
  <sheetViews>
    <sheetView tabSelected="1" zoomScale="99" zoomScaleNormal="99" workbookViewId="0">
      <pane ySplit="2" topLeftCell="C95" activePane="bottomLeft" state="frozen"/>
      <selection pane="bottomLeft" activeCell="I338" sqref="I338"/>
      <selection activeCell="I69" sqref="I69"/>
    </sheetView>
  </sheetViews>
  <sheetFormatPr defaultColWidth="9.140625" defaultRowHeight="14.45"/>
  <cols>
    <col min="1" max="1" width="6.5703125" style="65" customWidth="1"/>
    <col min="2" max="2" width="16.5703125" style="66" bestFit="1" customWidth="1"/>
    <col min="3" max="3" width="46" style="10" bestFit="1" customWidth="1"/>
    <col min="4" max="4" width="14.28515625" style="65" customWidth="1"/>
    <col min="5" max="5" width="15.140625" style="10" customWidth="1"/>
    <col min="6" max="6" width="16" style="10" customWidth="1"/>
    <col min="7" max="7" width="22" style="10" customWidth="1"/>
    <col min="8" max="8" width="21.7109375" style="65" customWidth="1"/>
    <col min="9" max="9" width="29.85546875" style="10" bestFit="1" customWidth="1"/>
    <col min="10" max="10" width="8.5703125" style="65" customWidth="1"/>
    <col min="11" max="11" width="22.5703125" style="10" customWidth="1"/>
    <col min="12" max="12" width="20" style="10" hidden="1" customWidth="1"/>
    <col min="13" max="13" width="9.140625" style="10" hidden="1" customWidth="1"/>
    <col min="14" max="16384" width="9.140625" style="10"/>
  </cols>
  <sheetData>
    <row r="1" spans="1:14">
      <c r="A1" s="46" t="s">
        <v>3877</v>
      </c>
      <c r="B1" s="46"/>
      <c r="C1" s="46"/>
      <c r="D1" s="47"/>
      <c r="E1" s="46"/>
      <c r="F1" s="46" t="s">
        <v>3332</v>
      </c>
      <c r="G1" s="46" t="s">
        <v>5410</v>
      </c>
      <c r="H1" s="46"/>
      <c r="I1" s="46"/>
      <c r="J1" s="47" t="s">
        <v>2371</v>
      </c>
      <c r="K1" s="48">
        <f>+BOM!D2</f>
        <v>45953</v>
      </c>
      <c r="L1" s="49"/>
    </row>
    <row r="2" spans="1:14" ht="30" customHeight="1">
      <c r="A2" s="152" t="s">
        <v>2372</v>
      </c>
      <c r="B2" s="154" t="s">
        <v>2373</v>
      </c>
      <c r="C2" s="155" t="s">
        <v>2374</v>
      </c>
      <c r="D2" s="156" t="s">
        <v>2375</v>
      </c>
      <c r="E2" s="160" t="s">
        <v>3334</v>
      </c>
      <c r="F2" s="158" t="s">
        <v>2377</v>
      </c>
      <c r="G2" s="159" t="s">
        <v>2378</v>
      </c>
      <c r="H2" s="168" t="s">
        <v>2379</v>
      </c>
      <c r="I2" s="159" t="s">
        <v>2380</v>
      </c>
      <c r="J2" s="159" t="s">
        <v>2381</v>
      </c>
      <c r="K2" s="171" t="s">
        <v>2382</v>
      </c>
      <c r="L2" s="185" t="s">
        <v>2383</v>
      </c>
      <c r="M2" s="51" t="s">
        <v>2384</v>
      </c>
    </row>
    <row r="3" spans="1:14" ht="15">
      <c r="A3" s="153">
        <v>1</v>
      </c>
      <c r="B3" s="106" t="s">
        <v>1554</v>
      </c>
      <c r="C3" s="126" t="s">
        <v>288</v>
      </c>
      <c r="D3" s="127">
        <v>1</v>
      </c>
      <c r="E3" s="52" t="s">
        <v>2385</v>
      </c>
      <c r="F3" s="126" t="s">
        <v>289</v>
      </c>
      <c r="G3" s="126" t="s">
        <v>1667</v>
      </c>
      <c r="H3" s="131">
        <v>1</v>
      </c>
      <c r="I3" s="49" t="s">
        <v>2855</v>
      </c>
      <c r="J3" s="52"/>
      <c r="K3" s="169"/>
      <c r="L3" s="169" t="s">
        <v>5411</v>
      </c>
      <c r="M3" s="58">
        <v>45534</v>
      </c>
      <c r="N3" s="128">
        <f>+VLOOKUP(B3,BOM!$A$8:$X$1078,22,0)</f>
        <v>0</v>
      </c>
    </row>
    <row r="4" spans="1:14" ht="15">
      <c r="A4" s="153">
        <v>2</v>
      </c>
      <c r="B4" s="107" t="s">
        <v>1495</v>
      </c>
      <c r="C4" s="126" t="s">
        <v>2182</v>
      </c>
      <c r="D4" s="127">
        <v>1</v>
      </c>
      <c r="E4" s="56" t="s">
        <v>2388</v>
      </c>
      <c r="F4" s="126" t="s">
        <v>1047</v>
      </c>
      <c r="G4" s="126" t="s">
        <v>1667</v>
      </c>
      <c r="H4" s="131">
        <v>1</v>
      </c>
      <c r="I4" s="49" t="s">
        <v>5412</v>
      </c>
      <c r="J4" s="52"/>
      <c r="K4" s="169"/>
      <c r="L4" s="186" t="s">
        <v>5413</v>
      </c>
      <c r="M4" s="58"/>
      <c r="N4" s="128" t="str">
        <f>+VLOOKUP(B4,BOM!$A$8:$X$1078,22,0)</f>
        <v>B</v>
      </c>
    </row>
    <row r="5" spans="1:14" ht="15">
      <c r="A5" s="153">
        <v>3</v>
      </c>
      <c r="B5" s="107" t="s">
        <v>1501</v>
      </c>
      <c r="C5" s="126" t="s">
        <v>2001</v>
      </c>
      <c r="D5" s="127">
        <v>1</v>
      </c>
      <c r="E5" s="56" t="s">
        <v>2388</v>
      </c>
      <c r="F5" s="126" t="s">
        <v>195</v>
      </c>
      <c r="G5" s="126" t="s">
        <v>1667</v>
      </c>
      <c r="H5" s="131">
        <v>1</v>
      </c>
      <c r="I5" s="49" t="s">
        <v>5412</v>
      </c>
      <c r="J5" s="52"/>
      <c r="K5" s="169"/>
      <c r="L5" s="169" t="s">
        <v>5414</v>
      </c>
      <c r="M5" s="90">
        <v>45540</v>
      </c>
      <c r="N5" s="128" t="str">
        <f>+VLOOKUP(B5,BOM!$A$8:$X$1078,22,0)</f>
        <v>A</v>
      </c>
    </row>
    <row r="6" spans="1:14" ht="15">
      <c r="A6" s="153">
        <v>4</v>
      </c>
      <c r="B6" s="106" t="s">
        <v>1472</v>
      </c>
      <c r="C6" s="126" t="s">
        <v>1986</v>
      </c>
      <c r="D6" s="127">
        <v>1</v>
      </c>
      <c r="E6" s="52" t="s">
        <v>2391</v>
      </c>
      <c r="F6" s="126" t="s">
        <v>70</v>
      </c>
      <c r="G6" s="126" t="s">
        <v>1667</v>
      </c>
      <c r="H6" s="131">
        <v>1</v>
      </c>
      <c r="I6" s="49" t="s">
        <v>5412</v>
      </c>
      <c r="J6" s="52"/>
      <c r="K6" s="169"/>
      <c r="L6" s="169" t="s">
        <v>5415</v>
      </c>
      <c r="M6" s="58">
        <v>45534</v>
      </c>
      <c r="N6" s="128" t="str">
        <f>+VLOOKUP(B6,BOM!$A$8:$X$1078,22,0)</f>
        <v>D</v>
      </c>
    </row>
    <row r="7" spans="1:14" ht="15">
      <c r="A7" s="153">
        <v>5</v>
      </c>
      <c r="B7" s="106" t="s">
        <v>1506</v>
      </c>
      <c r="C7" s="126" t="s">
        <v>1913</v>
      </c>
      <c r="D7" s="55">
        <v>7</v>
      </c>
      <c r="E7" s="52" t="s">
        <v>2394</v>
      </c>
      <c r="F7" s="126" t="s">
        <v>230</v>
      </c>
      <c r="G7" s="126" t="s">
        <v>1667</v>
      </c>
      <c r="H7" s="131">
        <v>7</v>
      </c>
      <c r="I7" s="49" t="s">
        <v>2425</v>
      </c>
      <c r="J7" s="52"/>
      <c r="K7" s="169"/>
      <c r="L7" s="169" t="s">
        <v>5416</v>
      </c>
      <c r="M7" s="90">
        <v>45540</v>
      </c>
      <c r="N7" s="128">
        <f>+VLOOKUP(B7,BOM!$A$8:$X$1078,22,0)</f>
        <v>3</v>
      </c>
    </row>
    <row r="8" spans="1:14" ht="15">
      <c r="A8" s="153">
        <v>6</v>
      </c>
      <c r="B8" s="107" t="s">
        <v>1493</v>
      </c>
      <c r="C8" s="126" t="s">
        <v>2181</v>
      </c>
      <c r="D8" s="127">
        <v>1</v>
      </c>
      <c r="E8" s="56" t="s">
        <v>2394</v>
      </c>
      <c r="F8" s="126" t="s">
        <v>1494</v>
      </c>
      <c r="G8" s="126" t="s">
        <v>1667</v>
      </c>
      <c r="H8" s="131">
        <v>1</v>
      </c>
      <c r="I8" s="49" t="s">
        <v>5417</v>
      </c>
      <c r="J8" s="52"/>
      <c r="K8" s="169"/>
      <c r="L8" s="169" t="s">
        <v>5418</v>
      </c>
      <c r="M8" s="90">
        <v>45540</v>
      </c>
      <c r="N8" s="128">
        <f>+VLOOKUP(B8,BOM!$A$8:$X$1078,22,0)</f>
        <v>3</v>
      </c>
    </row>
    <row r="9" spans="1:14" ht="15">
      <c r="A9" s="153">
        <v>7</v>
      </c>
      <c r="B9" s="106" t="s">
        <v>1127</v>
      </c>
      <c r="C9" s="126" t="s">
        <v>41</v>
      </c>
      <c r="D9" s="127">
        <v>1</v>
      </c>
      <c r="E9" s="52" t="s">
        <v>2385</v>
      </c>
      <c r="F9" s="126" t="s">
        <v>18</v>
      </c>
      <c r="G9" s="126" t="s">
        <v>1667</v>
      </c>
      <c r="H9" s="131">
        <v>1</v>
      </c>
      <c r="I9" s="49" t="s">
        <v>2386</v>
      </c>
      <c r="J9" s="52"/>
      <c r="K9" s="169" t="s">
        <v>5419</v>
      </c>
      <c r="L9" s="169" t="s">
        <v>5420</v>
      </c>
      <c r="M9" s="58">
        <v>45534</v>
      </c>
      <c r="N9" s="128">
        <f>+VLOOKUP(B9,BOM!$A$8:$X$1078,22,0)</f>
        <v>0</v>
      </c>
    </row>
    <row r="10" spans="1:14" ht="15">
      <c r="A10" s="153">
        <v>8</v>
      </c>
      <c r="B10" s="106" t="s">
        <v>1462</v>
      </c>
      <c r="C10" s="126" t="s">
        <v>1896</v>
      </c>
      <c r="D10" s="127">
        <v>3</v>
      </c>
      <c r="E10" s="52" t="s">
        <v>2385</v>
      </c>
      <c r="F10" s="126" t="s">
        <v>18</v>
      </c>
      <c r="G10" s="126" t="s">
        <v>1667</v>
      </c>
      <c r="H10" s="131">
        <v>3</v>
      </c>
      <c r="I10" s="49" t="s">
        <v>2386</v>
      </c>
      <c r="J10" s="52"/>
      <c r="K10" s="169"/>
      <c r="L10" s="169" t="s">
        <v>5421</v>
      </c>
      <c r="M10" s="58">
        <v>45534</v>
      </c>
      <c r="N10" s="128">
        <f>+VLOOKUP(B10,BOM!$A$8:$X$1078,22,0)</f>
        <v>0</v>
      </c>
    </row>
    <row r="11" spans="1:14" ht="15">
      <c r="A11" s="153">
        <v>9</v>
      </c>
      <c r="B11" s="106" t="s">
        <v>1490</v>
      </c>
      <c r="C11" s="126" t="s">
        <v>1896</v>
      </c>
      <c r="D11" s="127">
        <v>1</v>
      </c>
      <c r="E11" s="52" t="s">
        <v>2385</v>
      </c>
      <c r="F11" s="126" t="s">
        <v>18</v>
      </c>
      <c r="G11" s="126" t="s">
        <v>1667</v>
      </c>
      <c r="H11" s="131">
        <v>1</v>
      </c>
      <c r="I11" s="49" t="s">
        <v>2386</v>
      </c>
      <c r="J11" s="52"/>
      <c r="K11" s="169"/>
      <c r="L11" s="169" t="s">
        <v>5422</v>
      </c>
      <c r="M11" s="58">
        <v>45534</v>
      </c>
      <c r="N11" s="128">
        <f>+VLOOKUP(B11,BOM!$A$8:$X$1078,22,0)</f>
        <v>0</v>
      </c>
    </row>
    <row r="12" spans="1:14" ht="15">
      <c r="A12" s="153">
        <v>10</v>
      </c>
      <c r="B12" s="107" t="s">
        <v>1491</v>
      </c>
      <c r="C12" s="126" t="s">
        <v>2177</v>
      </c>
      <c r="D12" s="127">
        <v>2</v>
      </c>
      <c r="E12" s="56" t="s">
        <v>2385</v>
      </c>
      <c r="F12" s="126" t="s">
        <v>18</v>
      </c>
      <c r="G12" s="126" t="s">
        <v>1667</v>
      </c>
      <c r="H12" s="131">
        <v>2</v>
      </c>
      <c r="I12" s="49" t="s">
        <v>2386</v>
      </c>
      <c r="J12" s="52"/>
      <c r="K12" s="169"/>
      <c r="L12" s="169" t="s">
        <v>5423</v>
      </c>
      <c r="M12" s="90">
        <v>45540</v>
      </c>
      <c r="N12" s="128">
        <f>+VLOOKUP(B12,BOM!$A$8:$X$1078,22,0)</f>
        <v>0</v>
      </c>
    </row>
    <row r="13" spans="1:14" ht="15">
      <c r="A13" s="153">
        <v>11</v>
      </c>
      <c r="B13" s="107" t="s">
        <v>1492</v>
      </c>
      <c r="C13" s="126" t="s">
        <v>1896</v>
      </c>
      <c r="D13" s="127">
        <v>2</v>
      </c>
      <c r="E13" s="56" t="s">
        <v>2385</v>
      </c>
      <c r="F13" s="126" t="s">
        <v>18</v>
      </c>
      <c r="G13" s="126" t="s">
        <v>1667</v>
      </c>
      <c r="H13" s="131">
        <v>2</v>
      </c>
      <c r="I13" s="49" t="s">
        <v>2386</v>
      </c>
      <c r="J13" s="52"/>
      <c r="K13" s="175"/>
      <c r="L13" s="175" t="s">
        <v>5424</v>
      </c>
      <c r="M13" s="90">
        <v>45540</v>
      </c>
      <c r="N13" s="128">
        <f>+VLOOKUP(B13,BOM!$A$8:$X$1078,22,0)</f>
        <v>0</v>
      </c>
    </row>
    <row r="14" spans="1:14" ht="15">
      <c r="A14" s="153">
        <v>12</v>
      </c>
      <c r="B14" s="107" t="s">
        <v>1500</v>
      </c>
      <c r="C14" s="126" t="s">
        <v>2170</v>
      </c>
      <c r="D14" s="127">
        <v>1</v>
      </c>
      <c r="E14" s="56" t="s">
        <v>2385</v>
      </c>
      <c r="F14" s="126" t="s">
        <v>18</v>
      </c>
      <c r="G14" s="126" t="s">
        <v>1667</v>
      </c>
      <c r="H14" s="131">
        <v>1</v>
      </c>
      <c r="I14" s="49" t="s">
        <v>2386</v>
      </c>
      <c r="J14" s="52"/>
      <c r="K14" s="169" t="s">
        <v>5425</v>
      </c>
      <c r="L14" s="169" t="s">
        <v>5426</v>
      </c>
      <c r="M14" s="90">
        <v>45540</v>
      </c>
      <c r="N14" s="128">
        <f>+VLOOKUP(B14,BOM!$A$8:$X$1078,22,0)</f>
        <v>1</v>
      </c>
    </row>
    <row r="15" spans="1:14" ht="15">
      <c r="A15" s="153">
        <v>13</v>
      </c>
      <c r="B15" s="106" t="s">
        <v>1161</v>
      </c>
      <c r="C15" s="126" t="s">
        <v>1162</v>
      </c>
      <c r="D15" s="127">
        <v>1</v>
      </c>
      <c r="E15" s="52" t="s">
        <v>2385</v>
      </c>
      <c r="F15" s="126" t="s">
        <v>18</v>
      </c>
      <c r="G15" s="126" t="s">
        <v>1667</v>
      </c>
      <c r="H15" s="131">
        <v>1</v>
      </c>
      <c r="I15" s="49" t="s">
        <v>2386</v>
      </c>
      <c r="J15" s="52"/>
      <c r="K15" s="169" t="s">
        <v>5427</v>
      </c>
      <c r="L15" s="169" t="s">
        <v>5428</v>
      </c>
      <c r="M15" s="58">
        <v>45534</v>
      </c>
      <c r="N15" s="128">
        <f>+VLOOKUP(B15,BOM!$A$8:$X$1078,22,0)</f>
        <v>0</v>
      </c>
    </row>
    <row r="16" spans="1:14" ht="15">
      <c r="A16" s="153">
        <v>14</v>
      </c>
      <c r="B16" s="106" t="s">
        <v>1595</v>
      </c>
      <c r="C16" s="126" t="s">
        <v>2328</v>
      </c>
      <c r="D16" s="127">
        <v>1</v>
      </c>
      <c r="E16" s="52" t="s">
        <v>2385</v>
      </c>
      <c r="F16" s="126" t="s">
        <v>18</v>
      </c>
      <c r="G16" s="126" t="s">
        <v>1667</v>
      </c>
      <c r="H16" s="131">
        <v>1</v>
      </c>
      <c r="I16" s="49" t="s">
        <v>2386</v>
      </c>
      <c r="J16" s="52"/>
      <c r="K16" s="169" t="s">
        <v>5419</v>
      </c>
      <c r="L16" s="169" t="s">
        <v>5429</v>
      </c>
      <c r="M16" s="58">
        <v>45534</v>
      </c>
      <c r="N16" s="128">
        <f>+VLOOKUP(B16,BOM!$A$8:$X$1078,22,0)</f>
        <v>0</v>
      </c>
    </row>
    <row r="17" spans="1:14" ht="15">
      <c r="A17" s="153">
        <v>15</v>
      </c>
      <c r="B17" s="106" t="s">
        <v>1479</v>
      </c>
      <c r="C17" s="126" t="s">
        <v>2170</v>
      </c>
      <c r="D17" s="127">
        <v>1</v>
      </c>
      <c r="E17" s="52" t="s">
        <v>2417</v>
      </c>
      <c r="F17" s="126" t="s">
        <v>18</v>
      </c>
      <c r="G17" s="126" t="s">
        <v>1667</v>
      </c>
      <c r="H17" s="131">
        <v>1</v>
      </c>
      <c r="I17" s="49" t="s">
        <v>2418</v>
      </c>
      <c r="J17" s="52"/>
      <c r="K17" s="169" t="s">
        <v>5430</v>
      </c>
      <c r="L17" s="169" t="s">
        <v>5431</v>
      </c>
      <c r="M17" s="58">
        <v>45534</v>
      </c>
      <c r="N17" s="128">
        <f>+VLOOKUP(B17,BOM!$A$8:$X$1078,22,0)</f>
        <v>5</v>
      </c>
    </row>
    <row r="18" spans="1:14" ht="15">
      <c r="A18" s="153">
        <v>16</v>
      </c>
      <c r="B18" s="106" t="s">
        <v>1481</v>
      </c>
      <c r="C18" s="126" t="s">
        <v>2172</v>
      </c>
      <c r="D18" s="127">
        <v>1</v>
      </c>
      <c r="E18" s="52" t="s">
        <v>2417</v>
      </c>
      <c r="F18" s="126" t="s">
        <v>18</v>
      </c>
      <c r="G18" s="126" t="s">
        <v>1667</v>
      </c>
      <c r="H18" s="131">
        <v>1</v>
      </c>
      <c r="I18" s="49" t="s">
        <v>2418</v>
      </c>
      <c r="J18" s="52"/>
      <c r="K18" s="169"/>
      <c r="L18" s="169" t="s">
        <v>5432</v>
      </c>
      <c r="M18" s="58">
        <v>45534</v>
      </c>
      <c r="N18" s="128">
        <f>+VLOOKUP(B18,BOM!$A$8:$X$1078,22,0)</f>
        <v>2</v>
      </c>
    </row>
    <row r="19" spans="1:14" ht="15">
      <c r="A19" s="153">
        <v>17</v>
      </c>
      <c r="B19" s="106" t="s">
        <v>1483</v>
      </c>
      <c r="C19" s="126" t="s">
        <v>2172</v>
      </c>
      <c r="D19" s="127">
        <v>1</v>
      </c>
      <c r="E19" s="52" t="s">
        <v>2417</v>
      </c>
      <c r="F19" s="126" t="s">
        <v>18</v>
      </c>
      <c r="G19" s="126" t="s">
        <v>1667</v>
      </c>
      <c r="H19" s="131">
        <v>1</v>
      </c>
      <c r="I19" s="49" t="s">
        <v>2418</v>
      </c>
      <c r="J19" s="52"/>
      <c r="K19" s="169"/>
      <c r="L19" s="183" t="s">
        <v>5433</v>
      </c>
      <c r="M19" s="91">
        <v>45534</v>
      </c>
      <c r="N19" s="128">
        <f>+VLOOKUP(B19,BOM!$A$8:$X$1078,22,0)</f>
        <v>2</v>
      </c>
    </row>
    <row r="20" spans="1:14" ht="15">
      <c r="A20" s="153">
        <v>18</v>
      </c>
      <c r="B20" s="107" t="s">
        <v>1516</v>
      </c>
      <c r="C20" s="126" t="s">
        <v>1944</v>
      </c>
      <c r="D20" s="127">
        <v>2</v>
      </c>
      <c r="E20" s="56" t="s">
        <v>2417</v>
      </c>
      <c r="F20" s="126" t="s">
        <v>18</v>
      </c>
      <c r="G20" s="126" t="s">
        <v>1667</v>
      </c>
      <c r="H20" s="131">
        <v>2</v>
      </c>
      <c r="I20" s="49" t="s">
        <v>2418</v>
      </c>
      <c r="J20" s="52"/>
      <c r="K20" s="169" t="s">
        <v>5434</v>
      </c>
      <c r="L20" s="183" t="s">
        <v>5435</v>
      </c>
      <c r="M20" s="91"/>
      <c r="N20" s="128">
        <f>+VLOOKUP(B20,BOM!$A$8:$X$1078,22,0)</f>
        <v>2</v>
      </c>
    </row>
    <row r="21" spans="1:14" ht="15">
      <c r="A21" s="153">
        <v>19</v>
      </c>
      <c r="B21" s="107" t="s">
        <v>1517</v>
      </c>
      <c r="C21" s="126" t="s">
        <v>1918</v>
      </c>
      <c r="D21" s="127">
        <v>1</v>
      </c>
      <c r="E21" s="56" t="s">
        <v>2417</v>
      </c>
      <c r="F21" s="126" t="s">
        <v>18</v>
      </c>
      <c r="G21" s="126" t="s">
        <v>1667</v>
      </c>
      <c r="H21" s="131">
        <v>1</v>
      </c>
      <c r="I21" s="49" t="s">
        <v>2418</v>
      </c>
      <c r="J21" s="52"/>
      <c r="K21" s="169" t="s">
        <v>5436</v>
      </c>
      <c r="L21" s="169" t="s">
        <v>5437</v>
      </c>
      <c r="M21" s="58">
        <v>45534</v>
      </c>
      <c r="N21" s="128">
        <f>+VLOOKUP(B21,BOM!$A$8:$X$1078,22,0)</f>
        <v>2</v>
      </c>
    </row>
    <row r="22" spans="1:14" ht="15">
      <c r="A22" s="153">
        <v>20</v>
      </c>
      <c r="B22" s="107" t="s">
        <v>1529</v>
      </c>
      <c r="C22" s="126" t="s">
        <v>2202</v>
      </c>
      <c r="D22" s="127">
        <v>1</v>
      </c>
      <c r="E22" s="52" t="s">
        <v>2417</v>
      </c>
      <c r="F22" s="126" t="s">
        <v>18</v>
      </c>
      <c r="G22" s="126" t="s">
        <v>1667</v>
      </c>
      <c r="H22" s="131">
        <v>1</v>
      </c>
      <c r="I22" s="49" t="s">
        <v>2418</v>
      </c>
      <c r="J22" s="52"/>
      <c r="K22" s="169"/>
      <c r="L22" s="169" t="s">
        <v>5438</v>
      </c>
      <c r="M22" s="58">
        <v>45534</v>
      </c>
      <c r="N22" s="128">
        <f>+VLOOKUP(B22,BOM!$A$8:$X$1078,22,0)</f>
        <v>2</v>
      </c>
    </row>
    <row r="23" spans="1:14" ht="15">
      <c r="A23" s="153">
        <v>21</v>
      </c>
      <c r="B23" s="107" t="s">
        <v>1542</v>
      </c>
      <c r="C23" s="126" t="s">
        <v>2052</v>
      </c>
      <c r="D23" s="127">
        <v>1</v>
      </c>
      <c r="E23" s="56" t="s">
        <v>2417</v>
      </c>
      <c r="F23" s="126" t="s">
        <v>18</v>
      </c>
      <c r="G23" s="126" t="s">
        <v>1667</v>
      </c>
      <c r="H23" s="131">
        <v>1</v>
      </c>
      <c r="I23" s="49" t="s">
        <v>2418</v>
      </c>
      <c r="J23" s="52"/>
      <c r="K23" s="169" t="s">
        <v>5436</v>
      </c>
      <c r="L23" s="183" t="s">
        <v>5439</v>
      </c>
      <c r="M23" s="48">
        <v>45540</v>
      </c>
      <c r="N23" s="128">
        <f>+VLOOKUP(B23,BOM!$A$8:$X$1078,22,0)</f>
        <v>2</v>
      </c>
    </row>
    <row r="24" spans="1:14" ht="15">
      <c r="A24" s="153">
        <v>22</v>
      </c>
      <c r="B24" s="107" t="s">
        <v>1252</v>
      </c>
      <c r="C24" s="126" t="s">
        <v>506</v>
      </c>
      <c r="D24" s="55">
        <v>2</v>
      </c>
      <c r="E24" s="52" t="s">
        <v>2394</v>
      </c>
      <c r="F24" s="126" t="s">
        <v>18</v>
      </c>
      <c r="G24" s="126" t="s">
        <v>1667</v>
      </c>
      <c r="H24" s="131">
        <v>2</v>
      </c>
      <c r="I24" s="49" t="s">
        <v>2425</v>
      </c>
      <c r="J24" s="52"/>
      <c r="K24" s="169"/>
      <c r="L24" s="183" t="s">
        <v>5440</v>
      </c>
      <c r="M24" s="48">
        <v>45540</v>
      </c>
      <c r="N24" s="128">
        <f>+VLOOKUP(B24,BOM!$A$8:$X$1078,22,0)</f>
        <v>3</v>
      </c>
    </row>
    <row r="25" spans="1:14" ht="15">
      <c r="A25" s="153">
        <v>23</v>
      </c>
      <c r="B25" s="107" t="s">
        <v>1266</v>
      </c>
      <c r="C25" s="126" t="s">
        <v>1267</v>
      </c>
      <c r="D25" s="55">
        <v>1</v>
      </c>
      <c r="E25" s="56" t="s">
        <v>2394</v>
      </c>
      <c r="F25" s="126" t="s">
        <v>18</v>
      </c>
      <c r="G25" s="126" t="s">
        <v>1667</v>
      </c>
      <c r="H25" s="131">
        <v>1</v>
      </c>
      <c r="I25" s="49" t="s">
        <v>2425</v>
      </c>
      <c r="J25" s="52"/>
      <c r="K25" s="169" t="s">
        <v>5441</v>
      </c>
      <c r="L25" s="169" t="s">
        <v>5442</v>
      </c>
      <c r="M25" s="90">
        <v>45540</v>
      </c>
      <c r="N25" s="128">
        <f>+VLOOKUP(B25,BOM!$A$8:$X$1078,22,0)</f>
        <v>3</v>
      </c>
    </row>
    <row r="26" spans="1:14" ht="15">
      <c r="A26" s="153">
        <v>24</v>
      </c>
      <c r="B26" s="107" t="s">
        <v>1268</v>
      </c>
      <c r="C26" s="126" t="s">
        <v>1267</v>
      </c>
      <c r="D26" s="55">
        <v>1</v>
      </c>
      <c r="E26" s="52" t="s">
        <v>2394</v>
      </c>
      <c r="F26" s="126" t="s">
        <v>18</v>
      </c>
      <c r="G26" s="126" t="s">
        <v>1667</v>
      </c>
      <c r="H26" s="131">
        <v>1</v>
      </c>
      <c r="I26" s="49" t="s">
        <v>2425</v>
      </c>
      <c r="J26" s="52"/>
      <c r="K26" s="169" t="s">
        <v>5441</v>
      </c>
      <c r="L26" s="169" t="s">
        <v>5443</v>
      </c>
      <c r="M26" s="90">
        <v>45540</v>
      </c>
      <c r="N26" s="128">
        <f>+VLOOKUP(B26,BOM!$A$8:$X$1078,22,0)</f>
        <v>3</v>
      </c>
    </row>
    <row r="27" spans="1:14" ht="15">
      <c r="A27" s="153">
        <v>25</v>
      </c>
      <c r="B27" s="109" t="s">
        <v>741</v>
      </c>
      <c r="C27" s="126" t="s">
        <v>41</v>
      </c>
      <c r="D27" s="127">
        <v>1</v>
      </c>
      <c r="E27" s="52" t="s">
        <v>2427</v>
      </c>
      <c r="F27" s="126" t="s">
        <v>18</v>
      </c>
      <c r="G27" s="126" t="s">
        <v>1667</v>
      </c>
      <c r="H27" s="131">
        <v>1</v>
      </c>
      <c r="I27" s="49" t="s">
        <v>2428</v>
      </c>
      <c r="J27" s="52"/>
      <c r="K27" s="169"/>
      <c r="L27" s="183" t="s">
        <v>5444</v>
      </c>
      <c r="M27" s="91">
        <v>45534</v>
      </c>
      <c r="N27" s="128">
        <f>+VLOOKUP(B27,BOM!$A$8:$X$1078,22,0)</f>
        <v>4</v>
      </c>
    </row>
    <row r="28" spans="1:14" ht="15">
      <c r="A28" s="153">
        <v>26</v>
      </c>
      <c r="B28" s="107" t="s">
        <v>1528</v>
      </c>
      <c r="C28" s="126" t="s">
        <v>1896</v>
      </c>
      <c r="D28" s="127">
        <v>1</v>
      </c>
      <c r="E28" s="56" t="s">
        <v>2437</v>
      </c>
      <c r="F28" s="126" t="s">
        <v>18</v>
      </c>
      <c r="G28" s="126" t="s">
        <v>1667</v>
      </c>
      <c r="H28" s="131">
        <v>1</v>
      </c>
      <c r="I28" s="49" t="s">
        <v>2438</v>
      </c>
      <c r="J28" s="52"/>
      <c r="K28" s="169"/>
      <c r="L28" s="183" t="s">
        <v>5445</v>
      </c>
      <c r="M28" s="91">
        <v>45534</v>
      </c>
      <c r="N28" s="128">
        <f>+VLOOKUP(B28,BOM!$A$8:$X$1078,22,0)</f>
        <v>5</v>
      </c>
    </row>
    <row r="29" spans="1:14" ht="15">
      <c r="A29" s="153">
        <v>27</v>
      </c>
      <c r="B29" s="106">
        <v>377860250</v>
      </c>
      <c r="C29" s="126" t="s">
        <v>1666</v>
      </c>
      <c r="D29" s="127">
        <v>1</v>
      </c>
      <c r="E29" s="52" t="s">
        <v>2443</v>
      </c>
      <c r="F29" s="126" t="s">
        <v>18</v>
      </c>
      <c r="G29" s="126" t="s">
        <v>1667</v>
      </c>
      <c r="H29" s="131">
        <v>1</v>
      </c>
      <c r="I29" s="49" t="s">
        <v>2444</v>
      </c>
      <c r="J29" s="52"/>
      <c r="K29" s="169"/>
      <c r="L29" s="183" t="s">
        <v>5446</v>
      </c>
      <c r="M29" s="91">
        <v>45534</v>
      </c>
      <c r="N29" s="128">
        <f>+VLOOKUP(B29,BOM!$A$8:$X$1078,22,0)</f>
        <v>6</v>
      </c>
    </row>
    <row r="30" spans="1:14" ht="15">
      <c r="A30" s="153">
        <v>28</v>
      </c>
      <c r="B30" s="107" t="s">
        <v>1410</v>
      </c>
      <c r="C30" s="126" t="s">
        <v>1818</v>
      </c>
      <c r="D30" s="55">
        <v>1</v>
      </c>
      <c r="E30" s="56" t="s">
        <v>2443</v>
      </c>
      <c r="F30" s="126" t="s">
        <v>18</v>
      </c>
      <c r="G30" s="126" t="s">
        <v>1667</v>
      </c>
      <c r="H30" s="131">
        <v>1</v>
      </c>
      <c r="I30" s="49" t="s">
        <v>2444</v>
      </c>
      <c r="J30" s="52"/>
      <c r="K30" s="169"/>
      <c r="L30" s="183" t="s">
        <v>5447</v>
      </c>
      <c r="M30" s="48">
        <v>45540</v>
      </c>
      <c r="N30" s="128">
        <f>+VLOOKUP(B30,BOM!$A$8:$X$1078,22,0)</f>
        <v>6</v>
      </c>
    </row>
    <row r="31" spans="1:14" ht="15">
      <c r="A31" s="153">
        <v>29</v>
      </c>
      <c r="B31" s="107" t="s">
        <v>1531</v>
      </c>
      <c r="C31" s="126" t="s">
        <v>1896</v>
      </c>
      <c r="D31" s="127">
        <v>1</v>
      </c>
      <c r="E31" s="56" t="s">
        <v>2443</v>
      </c>
      <c r="F31" s="126" t="s">
        <v>18</v>
      </c>
      <c r="G31" s="126" t="s">
        <v>1667</v>
      </c>
      <c r="H31" s="131">
        <v>1</v>
      </c>
      <c r="I31" s="49" t="s">
        <v>2444</v>
      </c>
      <c r="J31" s="52"/>
      <c r="K31" s="169" t="s">
        <v>5448</v>
      </c>
      <c r="L31" s="183" t="s">
        <v>5449</v>
      </c>
      <c r="M31" s="91"/>
      <c r="N31" s="128">
        <f>+VLOOKUP(B31,BOM!$A$8:$X$1078,22,0)</f>
        <v>6</v>
      </c>
    </row>
    <row r="32" spans="1:14" ht="15">
      <c r="A32" s="153">
        <v>30</v>
      </c>
      <c r="B32" s="107" t="s">
        <v>1247</v>
      </c>
      <c r="C32" s="126" t="s">
        <v>1248</v>
      </c>
      <c r="D32" s="127">
        <v>2</v>
      </c>
      <c r="E32" s="56" t="s">
        <v>2388</v>
      </c>
      <c r="F32" s="126" t="s">
        <v>18</v>
      </c>
      <c r="G32" s="126" t="s">
        <v>1667</v>
      </c>
      <c r="H32" s="131">
        <v>2</v>
      </c>
      <c r="I32" s="49" t="s">
        <v>2492</v>
      </c>
      <c r="J32" s="52"/>
      <c r="K32" s="169"/>
      <c r="L32" s="183" t="s">
        <v>5450</v>
      </c>
      <c r="M32" s="48">
        <v>45540</v>
      </c>
      <c r="N32" s="128" t="str">
        <f>+VLOOKUP(B32,BOM!$A$8:$X$1078,22,0)</f>
        <v>B</v>
      </c>
    </row>
    <row r="33" spans="1:14" ht="15">
      <c r="A33" s="153">
        <v>31</v>
      </c>
      <c r="B33" s="106" t="s">
        <v>1307</v>
      </c>
      <c r="C33" s="126" t="s">
        <v>403</v>
      </c>
      <c r="D33" s="127">
        <v>1</v>
      </c>
      <c r="E33" s="52" t="s">
        <v>2391</v>
      </c>
      <c r="F33" s="126" t="s">
        <v>18</v>
      </c>
      <c r="G33" s="126" t="s">
        <v>1667</v>
      </c>
      <c r="H33" s="131">
        <v>1</v>
      </c>
      <c r="I33" s="49" t="s">
        <v>2449</v>
      </c>
      <c r="J33" s="52"/>
      <c r="K33" s="169" t="s">
        <v>3365</v>
      </c>
      <c r="L33" s="183" t="s">
        <v>5451</v>
      </c>
      <c r="M33" s="91">
        <v>45534</v>
      </c>
      <c r="N33" s="128" t="str">
        <f>+VLOOKUP(B33,BOM!$A$8:$X$1078,22,0)</f>
        <v>C</v>
      </c>
    </row>
    <row r="34" spans="1:14" ht="15">
      <c r="A34" s="153">
        <v>32</v>
      </c>
      <c r="B34" s="107" t="s">
        <v>1441</v>
      </c>
      <c r="C34" s="126" t="s">
        <v>1938</v>
      </c>
      <c r="D34" s="55">
        <v>2</v>
      </c>
      <c r="E34" s="52" t="s">
        <v>2391</v>
      </c>
      <c r="F34" s="126" t="s">
        <v>18</v>
      </c>
      <c r="G34" s="126" t="s">
        <v>1667</v>
      </c>
      <c r="H34" s="131">
        <v>2</v>
      </c>
      <c r="I34" s="49" t="s">
        <v>2447</v>
      </c>
      <c r="J34" s="52"/>
      <c r="K34" s="169"/>
      <c r="L34" s="169" t="s">
        <v>5452</v>
      </c>
      <c r="M34" s="90">
        <v>45540</v>
      </c>
      <c r="N34" s="128" t="str">
        <f>+VLOOKUP(B34,BOM!$A$8:$X$1078,22,0)</f>
        <v>C</v>
      </c>
    </row>
    <row r="35" spans="1:14" ht="15">
      <c r="A35" s="153">
        <v>33</v>
      </c>
      <c r="B35" s="107" t="s">
        <v>983</v>
      </c>
      <c r="C35" s="126" t="s">
        <v>984</v>
      </c>
      <c r="D35" s="127">
        <v>1</v>
      </c>
      <c r="E35" s="56" t="s">
        <v>2391</v>
      </c>
      <c r="F35" s="126" t="s">
        <v>18</v>
      </c>
      <c r="G35" s="126" t="s">
        <v>1667</v>
      </c>
      <c r="H35" s="131">
        <v>1</v>
      </c>
      <c r="I35" s="49" t="s">
        <v>2449</v>
      </c>
      <c r="J35" s="52"/>
      <c r="K35" s="169" t="s">
        <v>3365</v>
      </c>
      <c r="L35" s="169" t="s">
        <v>5453</v>
      </c>
      <c r="M35" s="90">
        <v>45540</v>
      </c>
      <c r="N35" s="128" t="str">
        <f>+VLOOKUP(B35,BOM!$A$8:$X$1078,22,0)</f>
        <v>C</v>
      </c>
    </row>
    <row r="36" spans="1:14" ht="15">
      <c r="A36" s="153">
        <v>34</v>
      </c>
      <c r="B36" s="106" t="s">
        <v>1077</v>
      </c>
      <c r="C36" s="126" t="s">
        <v>41</v>
      </c>
      <c r="D36" s="55">
        <v>1</v>
      </c>
      <c r="E36" s="52" t="s">
        <v>2391</v>
      </c>
      <c r="F36" s="126" t="s">
        <v>18</v>
      </c>
      <c r="G36" s="126" t="s">
        <v>1667</v>
      </c>
      <c r="H36" s="131">
        <v>1</v>
      </c>
      <c r="I36" s="49" t="s">
        <v>2449</v>
      </c>
      <c r="J36" s="52"/>
      <c r="K36" s="169" t="s">
        <v>3365</v>
      </c>
      <c r="L36" s="183" t="s">
        <v>5454</v>
      </c>
      <c r="M36" s="48">
        <v>45540</v>
      </c>
      <c r="N36" s="128" t="str">
        <f>+VLOOKUP(B36,BOM!$A$8:$X$1078,22,0)</f>
        <v>C</v>
      </c>
    </row>
    <row r="37" spans="1:14" ht="15">
      <c r="A37" s="153">
        <v>35</v>
      </c>
      <c r="B37" s="107" t="s">
        <v>1078</v>
      </c>
      <c r="C37" s="126" t="s">
        <v>1079</v>
      </c>
      <c r="D37" s="55">
        <v>1</v>
      </c>
      <c r="E37" s="52" t="s">
        <v>2391</v>
      </c>
      <c r="F37" s="126" t="s">
        <v>18</v>
      </c>
      <c r="G37" s="126" t="s">
        <v>1667</v>
      </c>
      <c r="H37" s="131">
        <v>1</v>
      </c>
      <c r="I37" s="49" t="s">
        <v>2449</v>
      </c>
      <c r="J37" s="57"/>
      <c r="K37" s="169" t="s">
        <v>3365</v>
      </c>
      <c r="L37" s="169" t="s">
        <v>5455</v>
      </c>
      <c r="M37" s="90">
        <v>45540</v>
      </c>
      <c r="N37" s="128" t="str">
        <f>+VLOOKUP(B37,BOM!$A$8:$X$1078,22,0)</f>
        <v>C</v>
      </c>
    </row>
    <row r="38" spans="1:14" ht="15">
      <c r="A38" s="153">
        <v>36</v>
      </c>
      <c r="B38" s="107" t="s">
        <v>1451</v>
      </c>
      <c r="C38" s="126" t="s">
        <v>1938</v>
      </c>
      <c r="D38" s="55">
        <v>1</v>
      </c>
      <c r="E38" s="52" t="s">
        <v>2391</v>
      </c>
      <c r="F38" s="126" t="s">
        <v>18</v>
      </c>
      <c r="G38" s="126" t="s">
        <v>1667</v>
      </c>
      <c r="H38" s="131">
        <v>1</v>
      </c>
      <c r="I38" s="49" t="s">
        <v>2511</v>
      </c>
      <c r="J38" s="52"/>
      <c r="K38" s="169"/>
      <c r="L38" s="183" t="s">
        <v>5456</v>
      </c>
      <c r="M38" s="48">
        <v>45540</v>
      </c>
      <c r="N38" s="128" t="str">
        <f>+VLOOKUP(B38,BOM!$A$8:$X$1078,22,0)</f>
        <v>C</v>
      </c>
    </row>
    <row r="39" spans="1:14" ht="15">
      <c r="A39" s="153">
        <v>37</v>
      </c>
      <c r="B39" s="106" t="s">
        <v>565</v>
      </c>
      <c r="C39" s="126" t="s">
        <v>17</v>
      </c>
      <c r="D39" s="55">
        <v>4</v>
      </c>
      <c r="E39" s="52" t="s">
        <v>2391</v>
      </c>
      <c r="F39" s="126" t="s">
        <v>18</v>
      </c>
      <c r="G39" s="126" t="s">
        <v>1667</v>
      </c>
      <c r="H39" s="131">
        <v>4</v>
      </c>
      <c r="I39" s="49" t="s">
        <v>2449</v>
      </c>
      <c r="J39" s="52"/>
      <c r="K39" s="169" t="s">
        <v>3365</v>
      </c>
      <c r="L39" s="183" t="s">
        <v>5457</v>
      </c>
      <c r="M39" s="48">
        <v>45540</v>
      </c>
      <c r="N39" s="128" t="str">
        <f>+VLOOKUP(B39,BOM!$A$8:$X$1078,22,0)</f>
        <v>C</v>
      </c>
    </row>
    <row r="40" spans="1:14" ht="15">
      <c r="A40" s="153">
        <v>38</v>
      </c>
      <c r="B40" s="107" t="s">
        <v>1548</v>
      </c>
      <c r="C40" s="126" t="s">
        <v>1747</v>
      </c>
      <c r="D40" s="55">
        <v>1</v>
      </c>
      <c r="E40" s="52" t="s">
        <v>2391</v>
      </c>
      <c r="F40" s="126" t="s">
        <v>18</v>
      </c>
      <c r="G40" s="126" t="s">
        <v>1667</v>
      </c>
      <c r="H40" s="131">
        <v>1</v>
      </c>
      <c r="I40" s="49" t="s">
        <v>2449</v>
      </c>
      <c r="J40" s="52"/>
      <c r="K40" s="169" t="s">
        <v>3365</v>
      </c>
      <c r="L40" s="183" t="s">
        <v>5458</v>
      </c>
      <c r="M40" s="48">
        <v>45540</v>
      </c>
      <c r="N40" s="128" t="str">
        <f>+VLOOKUP(B40,BOM!$A$8:$X$1078,22,0)</f>
        <v>C</v>
      </c>
    </row>
    <row r="41" spans="1:14" ht="15">
      <c r="A41" s="153">
        <v>39</v>
      </c>
      <c r="B41" s="107" t="s">
        <v>1033</v>
      </c>
      <c r="C41" s="126" t="s">
        <v>41</v>
      </c>
      <c r="D41" s="127">
        <v>2</v>
      </c>
      <c r="E41" s="52" t="s">
        <v>2385</v>
      </c>
      <c r="F41" s="126" t="s">
        <v>39</v>
      </c>
      <c r="G41" s="126" t="s">
        <v>1667</v>
      </c>
      <c r="H41" s="131">
        <v>2</v>
      </c>
      <c r="I41" s="49" t="s">
        <v>2386</v>
      </c>
      <c r="J41" s="52"/>
      <c r="K41" s="169" t="s">
        <v>5419</v>
      </c>
      <c r="L41" s="169" t="s">
        <v>5459</v>
      </c>
      <c r="M41" s="58">
        <v>45534</v>
      </c>
      <c r="N41" s="128">
        <f>+VLOOKUP(B41,BOM!$A$8:$X$1078,22,0)</f>
        <v>0</v>
      </c>
    </row>
    <row r="42" spans="1:14" ht="15">
      <c r="A42" s="153">
        <v>40</v>
      </c>
      <c r="B42" s="107" t="s">
        <v>1484</v>
      </c>
      <c r="C42" s="126" t="s">
        <v>2174</v>
      </c>
      <c r="D42" s="55">
        <v>1</v>
      </c>
      <c r="E42" s="52" t="s">
        <v>2385</v>
      </c>
      <c r="F42" s="126" t="s">
        <v>39</v>
      </c>
      <c r="G42" s="126" t="s">
        <v>1667</v>
      </c>
      <c r="H42" s="131">
        <v>1</v>
      </c>
      <c r="I42" s="49" t="s">
        <v>2386</v>
      </c>
      <c r="J42" s="52"/>
      <c r="K42" s="169"/>
      <c r="L42" s="183" t="s">
        <v>5460</v>
      </c>
      <c r="M42" s="48">
        <v>45540</v>
      </c>
      <c r="N42" s="128">
        <f>+VLOOKUP(B42,BOM!$A$8:$X$1078,22,0)</f>
        <v>0</v>
      </c>
    </row>
    <row r="43" spans="1:14" ht="15">
      <c r="A43" s="153">
        <v>41</v>
      </c>
      <c r="B43" s="107" t="s">
        <v>1593</v>
      </c>
      <c r="C43" s="126" t="s">
        <v>2326</v>
      </c>
      <c r="D43" s="55">
        <v>1</v>
      </c>
      <c r="E43" s="56" t="s">
        <v>2385</v>
      </c>
      <c r="F43" s="126" t="s">
        <v>39</v>
      </c>
      <c r="G43" s="126" t="s">
        <v>1667</v>
      </c>
      <c r="H43" s="131">
        <v>1</v>
      </c>
      <c r="I43" s="49" t="s">
        <v>2386</v>
      </c>
      <c r="J43" s="52"/>
      <c r="K43" s="169"/>
      <c r="L43" s="183" t="s">
        <v>5461</v>
      </c>
      <c r="M43" s="48">
        <v>45540</v>
      </c>
      <c r="N43" s="128">
        <f>+VLOOKUP(B43,BOM!$A$8:$X$1078,22,0)</f>
        <v>1</v>
      </c>
    </row>
    <row r="44" spans="1:14" ht="15">
      <c r="A44" s="153">
        <v>42</v>
      </c>
      <c r="B44" s="107" t="s">
        <v>1498</v>
      </c>
      <c r="C44" s="126" t="s">
        <v>2186</v>
      </c>
      <c r="D44" s="55">
        <v>1</v>
      </c>
      <c r="E44" s="52" t="s">
        <v>2394</v>
      </c>
      <c r="F44" s="126" t="s">
        <v>39</v>
      </c>
      <c r="G44" s="126" t="s">
        <v>1667</v>
      </c>
      <c r="H44" s="131">
        <v>1</v>
      </c>
      <c r="I44" s="49" t="s">
        <v>2425</v>
      </c>
      <c r="J44" s="52"/>
      <c r="K44" s="169"/>
      <c r="L44" s="183" t="s">
        <v>5462</v>
      </c>
      <c r="M44" s="48">
        <v>45540</v>
      </c>
      <c r="N44" s="128">
        <f>+VLOOKUP(B44,BOM!$A$8:$X$1078,22,0)</f>
        <v>3</v>
      </c>
    </row>
    <row r="45" spans="1:14" ht="15">
      <c r="A45" s="153">
        <v>43</v>
      </c>
      <c r="B45" s="107" t="s">
        <v>1499</v>
      </c>
      <c r="C45" s="126" t="s">
        <v>2186</v>
      </c>
      <c r="D45" s="127">
        <v>1</v>
      </c>
      <c r="E45" s="56" t="s">
        <v>2394</v>
      </c>
      <c r="F45" s="126" t="s">
        <v>39</v>
      </c>
      <c r="G45" s="126" t="s">
        <v>1667</v>
      </c>
      <c r="H45" s="131">
        <v>1</v>
      </c>
      <c r="I45" s="49" t="s">
        <v>2425</v>
      </c>
      <c r="J45" s="52"/>
      <c r="K45" s="169"/>
      <c r="L45" s="183" t="s">
        <v>5463</v>
      </c>
      <c r="M45" s="48">
        <v>45540</v>
      </c>
      <c r="N45" s="128">
        <f>+VLOOKUP(B45,BOM!$A$8:$X$1078,22,0)</f>
        <v>3</v>
      </c>
    </row>
    <row r="46" spans="1:14" ht="15">
      <c r="A46" s="153">
        <v>44</v>
      </c>
      <c r="B46" s="107" t="s">
        <v>1597</v>
      </c>
      <c r="C46" s="126" t="s">
        <v>2324</v>
      </c>
      <c r="D46" s="127">
        <v>2</v>
      </c>
      <c r="E46" s="52" t="s">
        <v>2394</v>
      </c>
      <c r="F46" s="126" t="s">
        <v>39</v>
      </c>
      <c r="G46" s="126" t="s">
        <v>1667</v>
      </c>
      <c r="H46" s="131">
        <v>2</v>
      </c>
      <c r="I46" s="49" t="s">
        <v>2425</v>
      </c>
      <c r="J46" s="52"/>
      <c r="K46" s="169"/>
      <c r="L46" s="169" t="s">
        <v>5464</v>
      </c>
      <c r="M46" s="58">
        <v>45534</v>
      </c>
      <c r="N46" s="128">
        <f>+VLOOKUP(B46,BOM!$A$8:$X$1078,22,0)</f>
        <v>3</v>
      </c>
    </row>
    <row r="47" spans="1:14" ht="15">
      <c r="A47" s="153">
        <v>45</v>
      </c>
      <c r="B47" s="107" t="s">
        <v>1611</v>
      </c>
      <c r="C47" s="126" t="s">
        <v>2085</v>
      </c>
      <c r="D47" s="55">
        <v>4</v>
      </c>
      <c r="E47" s="52" t="s">
        <v>2394</v>
      </c>
      <c r="F47" s="126" t="s">
        <v>39</v>
      </c>
      <c r="G47" s="126" t="s">
        <v>1667</v>
      </c>
      <c r="H47" s="131">
        <v>4</v>
      </c>
      <c r="I47" s="49" t="s">
        <v>2425</v>
      </c>
      <c r="J47" s="52"/>
      <c r="K47" s="169"/>
      <c r="L47" s="169" t="s">
        <v>5465</v>
      </c>
      <c r="M47" s="90">
        <v>45540</v>
      </c>
      <c r="N47" s="128">
        <f>+VLOOKUP(B47,BOM!$A$8:$X$1078,22,0)</f>
        <v>3</v>
      </c>
    </row>
    <row r="48" spans="1:14" ht="15">
      <c r="A48" s="153">
        <v>46</v>
      </c>
      <c r="B48" s="107" t="s">
        <v>1253</v>
      </c>
      <c r="C48" s="126" t="s">
        <v>1255</v>
      </c>
      <c r="D48" s="127">
        <v>2</v>
      </c>
      <c r="E48" s="52" t="s">
        <v>2394</v>
      </c>
      <c r="F48" s="126" t="s">
        <v>39</v>
      </c>
      <c r="G48" s="126" t="s">
        <v>1667</v>
      </c>
      <c r="H48" s="131">
        <v>2</v>
      </c>
      <c r="I48" s="49" t="s">
        <v>2425</v>
      </c>
      <c r="J48" s="52"/>
      <c r="K48" s="169"/>
      <c r="L48" s="169" t="s">
        <v>5466</v>
      </c>
      <c r="M48" s="58">
        <v>45534</v>
      </c>
      <c r="N48" s="128">
        <f>+VLOOKUP(B48,BOM!$A$8:$X$1078,22,0)</f>
        <v>3</v>
      </c>
    </row>
    <row r="49" spans="1:15" ht="15">
      <c r="A49" s="153">
        <v>47</v>
      </c>
      <c r="B49" s="107" t="s">
        <v>1263</v>
      </c>
      <c r="C49" s="126" t="s">
        <v>1265</v>
      </c>
      <c r="D49" s="127">
        <v>2</v>
      </c>
      <c r="E49" s="56" t="s">
        <v>2394</v>
      </c>
      <c r="F49" s="126" t="s">
        <v>39</v>
      </c>
      <c r="G49" s="126" t="s">
        <v>1667</v>
      </c>
      <c r="H49" s="131">
        <v>2</v>
      </c>
      <c r="I49" s="49" t="s">
        <v>2425</v>
      </c>
      <c r="J49" s="52"/>
      <c r="K49" s="169" t="s">
        <v>5441</v>
      </c>
      <c r="L49" s="169" t="s">
        <v>5467</v>
      </c>
      <c r="M49" s="58">
        <v>45534</v>
      </c>
      <c r="N49" s="128">
        <f>+VLOOKUP(B49,BOM!$A$8:$X$1078,22,0)</f>
        <v>3</v>
      </c>
    </row>
    <row r="50" spans="1:15" ht="15">
      <c r="A50" s="153">
        <v>48</v>
      </c>
      <c r="B50" s="106" t="s">
        <v>1512</v>
      </c>
      <c r="C50" s="126" t="s">
        <v>2046</v>
      </c>
      <c r="D50" s="127">
        <v>1</v>
      </c>
      <c r="E50" s="52" t="s">
        <v>2427</v>
      </c>
      <c r="F50" s="126" t="s">
        <v>39</v>
      </c>
      <c r="G50" s="126" t="s">
        <v>1667</v>
      </c>
      <c r="H50" s="131">
        <v>1</v>
      </c>
      <c r="I50" s="49" t="s">
        <v>2428</v>
      </c>
      <c r="J50" s="52"/>
      <c r="K50" s="169"/>
      <c r="L50" s="169" t="s">
        <v>5468</v>
      </c>
      <c r="M50" s="58">
        <v>45534</v>
      </c>
      <c r="N50" s="128">
        <f>+VLOOKUP(B50,BOM!$A$8:$X$1078,22,0)</f>
        <v>4</v>
      </c>
    </row>
    <row r="51" spans="1:15" ht="15">
      <c r="A51" s="153">
        <v>49</v>
      </c>
      <c r="B51" s="107" t="s">
        <v>1514</v>
      </c>
      <c r="C51" s="126" t="s">
        <v>2193</v>
      </c>
      <c r="D51" s="127">
        <v>1</v>
      </c>
      <c r="E51" s="56" t="s">
        <v>2427</v>
      </c>
      <c r="F51" s="126" t="s">
        <v>39</v>
      </c>
      <c r="G51" s="126" t="s">
        <v>1667</v>
      </c>
      <c r="H51" s="131">
        <v>1</v>
      </c>
      <c r="I51" s="49" t="s">
        <v>2428</v>
      </c>
      <c r="J51" s="52"/>
      <c r="K51" s="169" t="s">
        <v>5469</v>
      </c>
      <c r="L51" s="183" t="s">
        <v>5470</v>
      </c>
      <c r="M51" s="48">
        <v>45540</v>
      </c>
      <c r="N51" s="128">
        <f>+VLOOKUP(B51,BOM!$A$8:$X$1078,22,0)</f>
        <v>4</v>
      </c>
    </row>
    <row r="52" spans="1:15" ht="15">
      <c r="A52" s="153">
        <v>50</v>
      </c>
      <c r="B52" s="107" t="s">
        <v>1473</v>
      </c>
      <c r="C52" s="126" t="s">
        <v>2165</v>
      </c>
      <c r="D52" s="55">
        <v>2</v>
      </c>
      <c r="E52" s="52" t="s">
        <v>2437</v>
      </c>
      <c r="F52" s="126" t="s">
        <v>39</v>
      </c>
      <c r="G52" s="126" t="s">
        <v>1667</v>
      </c>
      <c r="H52" s="131">
        <v>3</v>
      </c>
      <c r="I52" s="49" t="s">
        <v>2438</v>
      </c>
      <c r="J52" s="57"/>
      <c r="K52" s="169" t="s">
        <v>5471</v>
      </c>
      <c r="L52" s="183" t="s">
        <v>5472</v>
      </c>
      <c r="M52" s="48">
        <v>45540</v>
      </c>
      <c r="N52" s="128">
        <f>+VLOOKUP(B52,BOM!$A$8:$X$1078,22,0)</f>
        <v>5</v>
      </c>
    </row>
    <row r="53" spans="1:15" ht="15">
      <c r="A53" s="153">
        <v>51</v>
      </c>
      <c r="B53" s="106" t="s">
        <v>1409</v>
      </c>
      <c r="C53" s="126" t="s">
        <v>1816</v>
      </c>
      <c r="D53" s="55">
        <v>1</v>
      </c>
      <c r="E53" s="52" t="s">
        <v>2443</v>
      </c>
      <c r="F53" s="126" t="s">
        <v>39</v>
      </c>
      <c r="G53" s="126" t="s">
        <v>1667</v>
      </c>
      <c r="H53" s="131">
        <v>1</v>
      </c>
      <c r="I53" s="49" t="s">
        <v>2444</v>
      </c>
      <c r="J53" s="52"/>
      <c r="K53" s="169" t="s">
        <v>5473</v>
      </c>
      <c r="L53" s="183" t="s">
        <v>5474</v>
      </c>
      <c r="M53" s="91">
        <v>45534</v>
      </c>
      <c r="N53" s="128">
        <f>+VLOOKUP(B53,BOM!$A$8:$X$1078,22,0)</f>
        <v>6</v>
      </c>
    </row>
    <row r="54" spans="1:15" ht="15">
      <c r="A54" s="153">
        <v>52</v>
      </c>
      <c r="B54" s="107" t="s">
        <v>1435</v>
      </c>
      <c r="C54" s="126" t="s">
        <v>512</v>
      </c>
      <c r="D54" s="55">
        <v>1</v>
      </c>
      <c r="E54" s="52" t="s">
        <v>2443</v>
      </c>
      <c r="F54" s="126" t="s">
        <v>39</v>
      </c>
      <c r="G54" s="126" t="s">
        <v>1667</v>
      </c>
      <c r="H54" s="131">
        <v>1</v>
      </c>
      <c r="I54" s="49" t="s">
        <v>2444</v>
      </c>
      <c r="J54" s="52"/>
      <c r="K54" s="169"/>
      <c r="L54" s="183" t="s">
        <v>5475</v>
      </c>
      <c r="M54" s="48">
        <v>45540</v>
      </c>
      <c r="N54" s="128">
        <f>+VLOOKUP(B54,BOM!$A$8:$X$1078,22,0)</f>
        <v>7</v>
      </c>
    </row>
    <row r="55" spans="1:15" ht="15">
      <c r="A55" s="153">
        <v>53</v>
      </c>
      <c r="B55" s="106" t="s">
        <v>1473</v>
      </c>
      <c r="C55" s="126" t="s">
        <v>2165</v>
      </c>
      <c r="D55" s="55">
        <v>1</v>
      </c>
      <c r="E55" s="52" t="s">
        <v>2443</v>
      </c>
      <c r="F55" s="126" t="s">
        <v>39</v>
      </c>
      <c r="G55" s="126" t="s">
        <v>1667</v>
      </c>
      <c r="H55" s="131">
        <v>3</v>
      </c>
      <c r="I55" s="49" t="s">
        <v>2444</v>
      </c>
      <c r="J55" s="52"/>
      <c r="K55" s="169" t="s">
        <v>5476</v>
      </c>
      <c r="L55" s="186" t="s">
        <v>5477</v>
      </c>
      <c r="M55" s="90">
        <v>45540</v>
      </c>
      <c r="N55" s="128">
        <f>+VLOOKUP(B55,BOM!$A$8:$X$1078,22,0)</f>
        <v>5</v>
      </c>
    </row>
    <row r="56" spans="1:15" ht="15">
      <c r="A56" s="153">
        <v>54</v>
      </c>
      <c r="B56" s="107" t="s">
        <v>1474</v>
      </c>
      <c r="C56" s="126" t="s">
        <v>2166</v>
      </c>
      <c r="D56" s="127">
        <v>1</v>
      </c>
      <c r="E56" s="52" t="s">
        <v>2443</v>
      </c>
      <c r="F56" s="126" t="s">
        <v>39</v>
      </c>
      <c r="G56" s="126" t="s">
        <v>1667</v>
      </c>
      <c r="H56" s="131">
        <v>1</v>
      </c>
      <c r="I56" s="49" t="s">
        <v>2444</v>
      </c>
      <c r="J56" s="52"/>
      <c r="K56" s="169"/>
      <c r="L56" s="183" t="s">
        <v>5478</v>
      </c>
      <c r="M56" s="91">
        <v>45534</v>
      </c>
      <c r="N56" s="128">
        <f>+VLOOKUP(B56,BOM!$A$8:$X$1078,22,0)</f>
        <v>5</v>
      </c>
      <c r="O56" s="62"/>
    </row>
    <row r="57" spans="1:15" ht="15">
      <c r="A57" s="153">
        <v>55</v>
      </c>
      <c r="B57" s="107" t="s">
        <v>1475</v>
      </c>
      <c r="C57" s="126" t="s">
        <v>1988</v>
      </c>
      <c r="D57" s="55">
        <v>1</v>
      </c>
      <c r="E57" s="52" t="s">
        <v>2443</v>
      </c>
      <c r="F57" s="126" t="s">
        <v>39</v>
      </c>
      <c r="G57" s="126" t="s">
        <v>1667</v>
      </c>
      <c r="H57" s="131">
        <v>1</v>
      </c>
      <c r="I57" s="49" t="s">
        <v>2444</v>
      </c>
      <c r="J57" s="52"/>
      <c r="K57" s="169"/>
      <c r="L57" s="183" t="s">
        <v>5479</v>
      </c>
      <c r="M57" s="48">
        <v>45540</v>
      </c>
      <c r="N57" s="128">
        <f>+VLOOKUP(B57,BOM!$A$8:$X$1078,22,0)</f>
        <v>6</v>
      </c>
    </row>
    <row r="58" spans="1:15" ht="15">
      <c r="A58" s="153">
        <v>56</v>
      </c>
      <c r="B58" s="107" t="s">
        <v>1477</v>
      </c>
      <c r="C58" s="126" t="s">
        <v>2168</v>
      </c>
      <c r="D58" s="127">
        <v>1</v>
      </c>
      <c r="E58" s="52" t="s">
        <v>2443</v>
      </c>
      <c r="F58" s="126" t="s">
        <v>39</v>
      </c>
      <c r="G58" s="126" t="s">
        <v>1667</v>
      </c>
      <c r="H58" s="131">
        <v>1</v>
      </c>
      <c r="I58" s="49" t="s">
        <v>2444</v>
      </c>
      <c r="J58" s="52"/>
      <c r="K58" s="169" t="s">
        <v>5476</v>
      </c>
      <c r="L58" s="169" t="s">
        <v>5480</v>
      </c>
      <c r="M58" s="58">
        <v>45534</v>
      </c>
      <c r="N58" s="128">
        <f>+VLOOKUP(B58,BOM!$A$8:$X$1078,22,0)</f>
        <v>6</v>
      </c>
    </row>
    <row r="59" spans="1:15" ht="15">
      <c r="A59" s="153">
        <v>57</v>
      </c>
      <c r="B59" s="107" t="s">
        <v>1549</v>
      </c>
      <c r="C59" s="126" t="s">
        <v>2219</v>
      </c>
      <c r="D59" s="127">
        <v>8</v>
      </c>
      <c r="E59" s="52" t="s">
        <v>2443</v>
      </c>
      <c r="F59" s="126" t="s">
        <v>39</v>
      </c>
      <c r="G59" s="126" t="s">
        <v>1667</v>
      </c>
      <c r="H59" s="131">
        <v>1</v>
      </c>
      <c r="I59" s="49" t="s">
        <v>2444</v>
      </c>
      <c r="J59" s="52"/>
      <c r="K59" s="169"/>
      <c r="L59" s="169" t="s">
        <v>5481</v>
      </c>
      <c r="M59" s="58">
        <v>45534</v>
      </c>
      <c r="N59" s="128">
        <f>+VLOOKUP(B59,BOM!$A$8:$X$1078,22,0)</f>
        <v>6</v>
      </c>
    </row>
    <row r="60" spans="1:15" ht="15">
      <c r="A60" s="153">
        <v>58</v>
      </c>
      <c r="B60" s="107" t="s">
        <v>1429</v>
      </c>
      <c r="C60" s="126" t="s">
        <v>1868</v>
      </c>
      <c r="D60" s="127">
        <v>1</v>
      </c>
      <c r="E60" s="56" t="s">
        <v>2388</v>
      </c>
      <c r="F60" s="126" t="s">
        <v>39</v>
      </c>
      <c r="G60" s="126" t="s">
        <v>1667</v>
      </c>
      <c r="H60" s="131">
        <v>1</v>
      </c>
      <c r="I60" s="49" t="s">
        <v>2389</v>
      </c>
      <c r="J60" s="52"/>
      <c r="K60" s="169" t="s">
        <v>5482</v>
      </c>
      <c r="L60" s="183" t="s">
        <v>5483</v>
      </c>
      <c r="M60" s="48">
        <v>45540</v>
      </c>
      <c r="N60" s="128" t="str">
        <f>+VLOOKUP(B60,BOM!$A$8:$X$1078,22,0)</f>
        <v>A</v>
      </c>
    </row>
    <row r="61" spans="1:15" ht="15">
      <c r="A61" s="153">
        <v>59</v>
      </c>
      <c r="B61" s="107" t="s">
        <v>1429</v>
      </c>
      <c r="C61" s="126" t="s">
        <v>1868</v>
      </c>
      <c r="D61" s="55">
        <v>1</v>
      </c>
      <c r="E61" s="56" t="s">
        <v>2388</v>
      </c>
      <c r="F61" s="126" t="s">
        <v>39</v>
      </c>
      <c r="G61" s="126" t="s">
        <v>1667</v>
      </c>
      <c r="H61" s="131">
        <v>1</v>
      </c>
      <c r="I61" s="49" t="s">
        <v>2389</v>
      </c>
      <c r="J61" s="52"/>
      <c r="K61" s="169"/>
      <c r="L61" s="183" t="s">
        <v>5484</v>
      </c>
      <c r="M61" s="48">
        <v>45540</v>
      </c>
      <c r="N61" s="128" t="str">
        <f>+VLOOKUP(B61,BOM!$A$8:$X$1078,22,0)</f>
        <v>A</v>
      </c>
    </row>
    <row r="62" spans="1:15" ht="15">
      <c r="A62" s="153">
        <v>60</v>
      </c>
      <c r="B62" s="107" t="s">
        <v>1052</v>
      </c>
      <c r="C62" s="126" t="s">
        <v>41</v>
      </c>
      <c r="D62" s="127">
        <v>2</v>
      </c>
      <c r="E62" s="56" t="s">
        <v>2388</v>
      </c>
      <c r="F62" s="126" t="s">
        <v>39</v>
      </c>
      <c r="G62" s="126" t="s">
        <v>1667</v>
      </c>
      <c r="H62" s="131">
        <v>2</v>
      </c>
      <c r="I62" s="49" t="s">
        <v>2492</v>
      </c>
      <c r="J62" s="52"/>
      <c r="K62" s="169"/>
      <c r="L62" s="169" t="s">
        <v>5485</v>
      </c>
      <c r="M62" s="58">
        <v>45534</v>
      </c>
      <c r="N62" s="128" t="str">
        <f>+VLOOKUP(B62,BOM!$A$8:$X$1078,22,0)</f>
        <v>B</v>
      </c>
    </row>
    <row r="63" spans="1:15" ht="15">
      <c r="A63" s="153">
        <v>61</v>
      </c>
      <c r="B63" s="107" t="s">
        <v>1459</v>
      </c>
      <c r="C63" s="126" t="s">
        <v>2066</v>
      </c>
      <c r="D63" s="55">
        <v>1</v>
      </c>
      <c r="E63" s="56" t="s">
        <v>2388</v>
      </c>
      <c r="F63" s="126" t="s">
        <v>39</v>
      </c>
      <c r="G63" s="126" t="s">
        <v>1667</v>
      </c>
      <c r="H63" s="131">
        <v>1</v>
      </c>
      <c r="I63" s="49" t="s">
        <v>2389</v>
      </c>
      <c r="J63" s="52"/>
      <c r="K63" s="169"/>
      <c r="L63" s="183" t="s">
        <v>5486</v>
      </c>
      <c r="M63" s="91"/>
      <c r="N63" s="128" t="str">
        <f>+VLOOKUP(B63,BOM!$A$8:$X$1078,22,0)</f>
        <v>A</v>
      </c>
    </row>
    <row r="64" spans="1:15" ht="15">
      <c r="A64" s="153">
        <v>62</v>
      </c>
      <c r="B64" s="107" t="s">
        <v>1461</v>
      </c>
      <c r="C64" s="126" t="s">
        <v>2066</v>
      </c>
      <c r="D64" s="55">
        <v>1</v>
      </c>
      <c r="E64" s="56" t="s">
        <v>2388</v>
      </c>
      <c r="F64" s="126" t="s">
        <v>39</v>
      </c>
      <c r="G64" s="126" t="s">
        <v>1667</v>
      </c>
      <c r="H64" s="131">
        <v>1</v>
      </c>
      <c r="I64" s="49" t="s">
        <v>2389</v>
      </c>
      <c r="J64" s="52"/>
      <c r="K64" s="169"/>
      <c r="L64" s="187" t="s">
        <v>5487</v>
      </c>
      <c r="M64" s="48">
        <v>45540</v>
      </c>
      <c r="N64" s="128" t="str">
        <f>+VLOOKUP(B64,BOM!$A$8:$X$1078,22,0)</f>
        <v>A</v>
      </c>
    </row>
    <row r="65" spans="1:14" ht="15">
      <c r="A65" s="153">
        <v>63</v>
      </c>
      <c r="B65" s="107" t="s">
        <v>1118</v>
      </c>
      <c r="C65" s="126" t="s">
        <v>41</v>
      </c>
      <c r="D65" s="55">
        <v>1</v>
      </c>
      <c r="E65" s="56" t="s">
        <v>2388</v>
      </c>
      <c r="F65" s="126" t="s">
        <v>39</v>
      </c>
      <c r="G65" s="126" t="s">
        <v>1667</v>
      </c>
      <c r="H65" s="131">
        <v>1</v>
      </c>
      <c r="I65" s="49" t="s">
        <v>2389</v>
      </c>
      <c r="J65" s="52"/>
      <c r="K65" s="169"/>
      <c r="L65" s="183" t="s">
        <v>5488</v>
      </c>
      <c r="M65" s="48">
        <v>45540</v>
      </c>
      <c r="N65" s="128" t="str">
        <f>+VLOOKUP(B65,BOM!$A$8:$X$1078,22,0)</f>
        <v>A</v>
      </c>
    </row>
    <row r="66" spans="1:14" ht="15">
      <c r="A66" s="153">
        <v>64</v>
      </c>
      <c r="B66" s="107" t="s">
        <v>1119</v>
      </c>
      <c r="C66" s="126" t="s">
        <v>41</v>
      </c>
      <c r="D66" s="127">
        <v>1</v>
      </c>
      <c r="E66" s="56" t="s">
        <v>2388</v>
      </c>
      <c r="F66" s="126" t="s">
        <v>39</v>
      </c>
      <c r="G66" s="126" t="s">
        <v>1667</v>
      </c>
      <c r="H66" s="131">
        <v>1</v>
      </c>
      <c r="I66" s="49" t="s">
        <v>2389</v>
      </c>
      <c r="J66" s="52"/>
      <c r="K66" s="169"/>
      <c r="L66" s="183" t="s">
        <v>5489</v>
      </c>
      <c r="M66" s="91">
        <v>45534</v>
      </c>
      <c r="N66" s="128" t="str">
        <f>+VLOOKUP(B66,BOM!$A$8:$X$1078,22,0)</f>
        <v>A</v>
      </c>
    </row>
    <row r="67" spans="1:14" ht="15">
      <c r="A67" s="153">
        <v>65</v>
      </c>
      <c r="B67" s="107" t="s">
        <v>1496</v>
      </c>
      <c r="C67" s="126" t="s">
        <v>1868</v>
      </c>
      <c r="D67" s="127">
        <v>1</v>
      </c>
      <c r="E67" s="56" t="s">
        <v>2388</v>
      </c>
      <c r="F67" s="126" t="s">
        <v>39</v>
      </c>
      <c r="G67" s="126" t="s">
        <v>1667</v>
      </c>
      <c r="H67" s="131">
        <v>1</v>
      </c>
      <c r="I67" s="49" t="s">
        <v>5490</v>
      </c>
      <c r="J67" s="57"/>
      <c r="K67" s="170" t="s">
        <v>5482</v>
      </c>
      <c r="L67" s="184" t="s">
        <v>5491</v>
      </c>
      <c r="M67" s="91">
        <v>45534</v>
      </c>
      <c r="N67" s="128" t="str">
        <f>+VLOOKUP(B67,BOM!$A$8:$X$1078,22,0)</f>
        <v>B</v>
      </c>
    </row>
    <row r="68" spans="1:14" ht="15">
      <c r="A68" s="153">
        <v>66</v>
      </c>
      <c r="B68" s="107" t="s">
        <v>1496</v>
      </c>
      <c r="C68" s="126" t="s">
        <v>1868</v>
      </c>
      <c r="D68" s="127">
        <v>1</v>
      </c>
      <c r="E68" s="56" t="s">
        <v>2388</v>
      </c>
      <c r="F68" s="126" t="s">
        <v>39</v>
      </c>
      <c r="G68" s="126" t="s">
        <v>1667</v>
      </c>
      <c r="H68" s="131">
        <v>1</v>
      </c>
      <c r="I68" s="49" t="s">
        <v>2492</v>
      </c>
      <c r="J68" s="52"/>
      <c r="K68" s="169"/>
      <c r="L68" s="183" t="s">
        <v>5492</v>
      </c>
      <c r="M68" s="91">
        <v>45534</v>
      </c>
      <c r="N68" s="128" t="str">
        <f>+VLOOKUP(B68,BOM!$A$8:$X$1078,22,0)</f>
        <v>B</v>
      </c>
    </row>
    <row r="69" spans="1:14" ht="15">
      <c r="A69" s="153">
        <v>67</v>
      </c>
      <c r="B69" s="107" t="s">
        <v>1497</v>
      </c>
      <c r="C69" s="126" t="s">
        <v>1997</v>
      </c>
      <c r="D69" s="127">
        <v>2</v>
      </c>
      <c r="E69" s="56" t="s">
        <v>2388</v>
      </c>
      <c r="F69" s="126" t="s">
        <v>39</v>
      </c>
      <c r="G69" s="126" t="s">
        <v>1667</v>
      </c>
      <c r="H69" s="131">
        <v>2</v>
      </c>
      <c r="I69" s="49" t="s">
        <v>2492</v>
      </c>
      <c r="J69" s="52"/>
      <c r="K69" s="169"/>
      <c r="L69" s="169" t="s">
        <v>5493</v>
      </c>
      <c r="M69" s="58"/>
      <c r="N69" s="128" t="str">
        <f>+VLOOKUP(B69,BOM!$A$8:$X$1078,22,0)</f>
        <v>B</v>
      </c>
    </row>
    <row r="70" spans="1:14" ht="15">
      <c r="A70" s="153">
        <v>68</v>
      </c>
      <c r="B70" s="107" t="s">
        <v>1143</v>
      </c>
      <c r="C70" s="126" t="s">
        <v>1144</v>
      </c>
      <c r="D70" s="127">
        <v>4</v>
      </c>
      <c r="E70" s="56" t="s">
        <v>2388</v>
      </c>
      <c r="F70" s="126" t="s">
        <v>39</v>
      </c>
      <c r="G70" s="126" t="s">
        <v>1667</v>
      </c>
      <c r="H70" s="131">
        <v>4</v>
      </c>
      <c r="I70" s="49" t="s">
        <v>2492</v>
      </c>
      <c r="J70" s="52"/>
      <c r="K70" s="169"/>
      <c r="L70" s="169" t="s">
        <v>5494</v>
      </c>
      <c r="M70" s="58"/>
      <c r="N70" s="128" t="str">
        <f>+VLOOKUP(B70,BOM!$A$8:$X$1078,22,0)</f>
        <v>B</v>
      </c>
    </row>
    <row r="71" spans="1:14" ht="15">
      <c r="A71" s="153">
        <v>69</v>
      </c>
      <c r="B71" s="107" t="s">
        <v>1212</v>
      </c>
      <c r="C71" s="126" t="s">
        <v>1213</v>
      </c>
      <c r="D71" s="127">
        <v>2</v>
      </c>
      <c r="E71" s="56" t="s">
        <v>2388</v>
      </c>
      <c r="F71" s="126" t="s">
        <v>39</v>
      </c>
      <c r="G71" s="126" t="s">
        <v>1667</v>
      </c>
      <c r="H71" s="131">
        <v>2</v>
      </c>
      <c r="I71" s="49" t="s">
        <v>2389</v>
      </c>
      <c r="J71" s="52"/>
      <c r="K71" s="169" t="s">
        <v>5482</v>
      </c>
      <c r="L71" s="169" t="s">
        <v>5495</v>
      </c>
      <c r="M71" s="58">
        <v>45534</v>
      </c>
      <c r="N71" s="128" t="str">
        <f>+VLOOKUP(B71,BOM!$A$8:$X$1078,22,0)</f>
        <v>A</v>
      </c>
    </row>
    <row r="72" spans="1:14" ht="15">
      <c r="A72" s="153">
        <v>70</v>
      </c>
      <c r="B72" s="107" t="s">
        <v>1212</v>
      </c>
      <c r="C72" s="126" t="s">
        <v>1213</v>
      </c>
      <c r="D72" s="55">
        <v>2</v>
      </c>
      <c r="E72" s="56" t="s">
        <v>2388</v>
      </c>
      <c r="F72" s="126" t="s">
        <v>39</v>
      </c>
      <c r="G72" s="126" t="s">
        <v>1667</v>
      </c>
      <c r="H72" s="131">
        <v>2</v>
      </c>
      <c r="I72" s="49" t="s">
        <v>2389</v>
      </c>
      <c r="J72" s="52"/>
      <c r="K72" s="169"/>
      <c r="L72" s="169" t="s">
        <v>5496</v>
      </c>
      <c r="M72" s="90">
        <v>45540</v>
      </c>
      <c r="N72" s="128" t="str">
        <f>+VLOOKUP(B72,BOM!$A$8:$X$1078,22,0)</f>
        <v>A</v>
      </c>
    </row>
    <row r="73" spans="1:14" ht="15">
      <c r="A73" s="153">
        <v>71</v>
      </c>
      <c r="B73" s="107" t="s">
        <v>1587</v>
      </c>
      <c r="C73" s="126" t="s">
        <v>2322</v>
      </c>
      <c r="D73" s="127">
        <v>2</v>
      </c>
      <c r="E73" s="56" t="s">
        <v>2388</v>
      </c>
      <c r="F73" s="126" t="s">
        <v>39</v>
      </c>
      <c r="G73" s="126" t="s">
        <v>1667</v>
      </c>
      <c r="H73" s="131">
        <v>2</v>
      </c>
      <c r="I73" s="49" t="s">
        <v>2492</v>
      </c>
      <c r="J73" s="52"/>
      <c r="K73" s="169"/>
      <c r="L73" s="183" t="s">
        <v>5497</v>
      </c>
      <c r="M73" s="91"/>
      <c r="N73" s="128" t="str">
        <f>+VLOOKUP(B73,BOM!$A$8:$X$1078,22,0)</f>
        <v>B</v>
      </c>
    </row>
    <row r="74" spans="1:14" ht="15">
      <c r="A74" s="153">
        <v>72</v>
      </c>
      <c r="B74" s="107" t="s">
        <v>1591</v>
      </c>
      <c r="C74" s="126" t="s">
        <v>2177</v>
      </c>
      <c r="D74" s="55">
        <v>1</v>
      </c>
      <c r="E74" s="56" t="s">
        <v>2388</v>
      </c>
      <c r="F74" s="126" t="s">
        <v>39</v>
      </c>
      <c r="G74" s="126" t="s">
        <v>1667</v>
      </c>
      <c r="H74" s="131">
        <v>1</v>
      </c>
      <c r="I74" s="49" t="s">
        <v>2492</v>
      </c>
      <c r="J74" s="52"/>
      <c r="K74" s="169"/>
      <c r="L74" s="187" t="s">
        <v>5498</v>
      </c>
      <c r="M74" s="48">
        <v>45540</v>
      </c>
      <c r="N74" s="128" t="str">
        <f>+VLOOKUP(B74,BOM!$A$8:$X$1078,22,0)</f>
        <v>B</v>
      </c>
    </row>
    <row r="75" spans="1:14" ht="15">
      <c r="A75" s="153">
        <v>73</v>
      </c>
      <c r="B75" s="107" t="s">
        <v>1592</v>
      </c>
      <c r="C75" s="126" t="s">
        <v>2177</v>
      </c>
      <c r="D75" s="55">
        <v>1</v>
      </c>
      <c r="E75" s="56" t="s">
        <v>2388</v>
      </c>
      <c r="F75" s="126" t="s">
        <v>39</v>
      </c>
      <c r="G75" s="126" t="s">
        <v>1667</v>
      </c>
      <c r="H75" s="131">
        <v>1</v>
      </c>
      <c r="I75" s="49" t="s">
        <v>2492</v>
      </c>
      <c r="J75" s="52"/>
      <c r="K75" s="169"/>
      <c r="L75" s="169" t="s">
        <v>5499</v>
      </c>
      <c r="M75" s="90">
        <v>45540</v>
      </c>
      <c r="N75" s="128" t="str">
        <f>+VLOOKUP(B75,BOM!$A$8:$X$1078,22,0)</f>
        <v>B</v>
      </c>
    </row>
    <row r="76" spans="1:14" ht="15">
      <c r="A76" s="153">
        <v>74</v>
      </c>
      <c r="B76" s="107" t="s">
        <v>1600</v>
      </c>
      <c r="C76" s="126" t="s">
        <v>2085</v>
      </c>
      <c r="D76" s="55">
        <v>2</v>
      </c>
      <c r="E76" s="56" t="s">
        <v>2388</v>
      </c>
      <c r="F76" s="126" t="s">
        <v>39</v>
      </c>
      <c r="G76" s="126" t="s">
        <v>1667</v>
      </c>
      <c r="H76" s="131">
        <v>2</v>
      </c>
      <c r="I76" s="49" t="s">
        <v>2389</v>
      </c>
      <c r="J76" s="52"/>
      <c r="K76" s="169"/>
      <c r="L76" s="169" t="s">
        <v>5500</v>
      </c>
      <c r="M76" s="58">
        <v>45534</v>
      </c>
      <c r="N76" s="128" t="str">
        <f>+VLOOKUP(B76,BOM!$A$8:$X$1078,22,0)</f>
        <v>A</v>
      </c>
    </row>
    <row r="77" spans="1:14" ht="15">
      <c r="A77" s="153">
        <v>75</v>
      </c>
      <c r="B77" s="107" t="s">
        <v>1602</v>
      </c>
      <c r="C77" s="126" t="s">
        <v>2333</v>
      </c>
      <c r="D77" s="127">
        <v>1</v>
      </c>
      <c r="E77" s="56" t="s">
        <v>2388</v>
      </c>
      <c r="F77" s="126" t="s">
        <v>39</v>
      </c>
      <c r="G77" s="126" t="s">
        <v>1667</v>
      </c>
      <c r="H77" s="131">
        <v>1</v>
      </c>
      <c r="I77" s="49" t="s">
        <v>2389</v>
      </c>
      <c r="J77" s="52"/>
      <c r="K77" s="169"/>
      <c r="L77" s="183" t="s">
        <v>5501</v>
      </c>
      <c r="M77" s="91">
        <v>45534</v>
      </c>
      <c r="N77" s="128" t="str">
        <f>+VLOOKUP(B77,BOM!$A$8:$X$1078,22,0)</f>
        <v>A</v>
      </c>
    </row>
    <row r="78" spans="1:14" ht="15">
      <c r="A78" s="153">
        <v>76</v>
      </c>
      <c r="B78" s="107" t="s">
        <v>1604</v>
      </c>
      <c r="C78" s="126" t="s">
        <v>2333</v>
      </c>
      <c r="D78" s="55">
        <v>1</v>
      </c>
      <c r="E78" s="56" t="s">
        <v>2388</v>
      </c>
      <c r="F78" s="126" t="s">
        <v>39</v>
      </c>
      <c r="G78" s="126" t="s">
        <v>1667</v>
      </c>
      <c r="H78" s="131">
        <v>1</v>
      </c>
      <c r="I78" s="49" t="s">
        <v>2389</v>
      </c>
      <c r="J78" s="52"/>
      <c r="K78" s="169"/>
      <c r="L78" s="183" t="s">
        <v>5502</v>
      </c>
      <c r="M78" s="48">
        <v>45540</v>
      </c>
      <c r="N78" s="128" t="str">
        <f>+VLOOKUP(B78,BOM!$A$8:$X$1078,22,0)</f>
        <v>A</v>
      </c>
    </row>
    <row r="79" spans="1:14" ht="15">
      <c r="A79" s="153">
        <v>77</v>
      </c>
      <c r="B79" s="107" t="s">
        <v>1244</v>
      </c>
      <c r="C79" s="126" t="s">
        <v>1220</v>
      </c>
      <c r="D79" s="127">
        <v>2</v>
      </c>
      <c r="E79" s="56" t="s">
        <v>2388</v>
      </c>
      <c r="F79" s="126" t="s">
        <v>39</v>
      </c>
      <c r="G79" s="126" t="s">
        <v>1667</v>
      </c>
      <c r="H79" s="131">
        <v>2</v>
      </c>
      <c r="I79" s="49" t="s">
        <v>2492</v>
      </c>
      <c r="J79" s="52"/>
      <c r="K79" s="169"/>
      <c r="L79" s="169" t="s">
        <v>5503</v>
      </c>
      <c r="M79" s="58">
        <v>45534</v>
      </c>
      <c r="N79" s="128" t="str">
        <f>+VLOOKUP(B79,BOM!$A$8:$X$1078,22,0)</f>
        <v>B</v>
      </c>
    </row>
    <row r="80" spans="1:14" ht="15">
      <c r="A80" s="153">
        <v>78</v>
      </c>
      <c r="B80" s="107" t="s">
        <v>1256</v>
      </c>
      <c r="C80" s="126" t="s">
        <v>1257</v>
      </c>
      <c r="D80" s="127">
        <v>2</v>
      </c>
      <c r="E80" s="56" t="s">
        <v>2388</v>
      </c>
      <c r="F80" s="126" t="s">
        <v>39</v>
      </c>
      <c r="G80" s="126" t="s">
        <v>1667</v>
      </c>
      <c r="H80" s="131">
        <v>2</v>
      </c>
      <c r="I80" s="49" t="s">
        <v>2389</v>
      </c>
      <c r="J80" s="52"/>
      <c r="K80" s="169"/>
      <c r="L80" s="169" t="s">
        <v>5504</v>
      </c>
      <c r="M80" s="58">
        <v>45534</v>
      </c>
      <c r="N80" s="128" t="str">
        <f>+VLOOKUP(B80,BOM!$A$8:$X$1078,22,0)</f>
        <v>A</v>
      </c>
    </row>
    <row r="81" spans="1:14" ht="15">
      <c r="A81" s="153">
        <v>79</v>
      </c>
      <c r="B81" s="107" t="s">
        <v>872</v>
      </c>
      <c r="C81" s="126" t="s">
        <v>874</v>
      </c>
      <c r="D81" s="127">
        <v>2</v>
      </c>
      <c r="E81" s="56" t="s">
        <v>2391</v>
      </c>
      <c r="F81" s="126" t="s">
        <v>39</v>
      </c>
      <c r="G81" s="126" t="s">
        <v>1667</v>
      </c>
      <c r="H81" s="131">
        <v>2</v>
      </c>
      <c r="I81" s="49" t="s">
        <v>2511</v>
      </c>
      <c r="J81" s="52"/>
      <c r="K81" s="169"/>
      <c r="L81" s="169" t="s">
        <v>5505</v>
      </c>
      <c r="M81" s="58">
        <v>45534</v>
      </c>
      <c r="N81" s="128" t="str">
        <f>+VLOOKUP(B81,BOM!$A$8:$X$1078,22,0)</f>
        <v>D</v>
      </c>
    </row>
    <row r="82" spans="1:14" ht="15">
      <c r="A82" s="153">
        <v>80</v>
      </c>
      <c r="B82" s="107" t="s">
        <v>1437</v>
      </c>
      <c r="C82" s="126" t="s">
        <v>1911</v>
      </c>
      <c r="D82" s="127">
        <v>1</v>
      </c>
      <c r="E82" s="56" t="s">
        <v>2391</v>
      </c>
      <c r="F82" s="126" t="s">
        <v>39</v>
      </c>
      <c r="G82" s="126" t="s">
        <v>1667</v>
      </c>
      <c r="H82" s="131">
        <v>1</v>
      </c>
      <c r="I82" s="49" t="s">
        <v>5506</v>
      </c>
      <c r="J82" s="52"/>
      <c r="K82" s="169" t="s">
        <v>5507</v>
      </c>
      <c r="L82" s="169" t="s">
        <v>5508</v>
      </c>
      <c r="M82" s="58">
        <v>45534</v>
      </c>
      <c r="N82" s="128" t="str">
        <f>+VLOOKUP(B82,BOM!$A$8:$X$1078,22,0)</f>
        <v>D</v>
      </c>
    </row>
    <row r="83" spans="1:14" ht="15">
      <c r="A83" s="153">
        <v>81</v>
      </c>
      <c r="B83" s="107" t="s">
        <v>1503</v>
      </c>
      <c r="C83" s="126" t="s">
        <v>2188</v>
      </c>
      <c r="D83" s="127">
        <v>1</v>
      </c>
      <c r="E83" s="56" t="s">
        <v>2391</v>
      </c>
      <c r="F83" s="126" t="s">
        <v>39</v>
      </c>
      <c r="G83" s="126" t="s">
        <v>1667</v>
      </c>
      <c r="H83" s="131">
        <v>1</v>
      </c>
      <c r="I83" s="49" t="s">
        <v>5506</v>
      </c>
      <c r="J83" s="52"/>
      <c r="K83" s="169" t="s">
        <v>5507</v>
      </c>
      <c r="L83" s="169" t="s">
        <v>5509</v>
      </c>
      <c r="M83" s="58">
        <v>45534</v>
      </c>
      <c r="N83" s="128" t="str">
        <f>+VLOOKUP(B83,BOM!$A$8:$X$1078,22,0)</f>
        <v>D</v>
      </c>
    </row>
    <row r="84" spans="1:14" ht="15">
      <c r="A84" s="153">
        <v>82</v>
      </c>
      <c r="B84" s="107" t="s">
        <v>1505</v>
      </c>
      <c r="C84" s="126" t="s">
        <v>1911</v>
      </c>
      <c r="D84" s="127">
        <v>1</v>
      </c>
      <c r="E84" s="56" t="s">
        <v>2391</v>
      </c>
      <c r="F84" s="126" t="s">
        <v>39</v>
      </c>
      <c r="G84" s="126" t="s">
        <v>1667</v>
      </c>
      <c r="H84" s="131">
        <v>1</v>
      </c>
      <c r="I84" s="49" t="s">
        <v>5506</v>
      </c>
      <c r="J84" s="52"/>
      <c r="K84" s="169" t="s">
        <v>5507</v>
      </c>
      <c r="L84" s="169" t="s">
        <v>5510</v>
      </c>
      <c r="M84" s="58">
        <v>45534</v>
      </c>
      <c r="N84" s="128" t="str">
        <f>+VLOOKUP(B84,BOM!$A$8:$X$1078,22,0)</f>
        <v>D</v>
      </c>
    </row>
    <row r="85" spans="1:14" ht="15">
      <c r="A85" s="153">
        <v>83</v>
      </c>
      <c r="B85" s="107" t="s">
        <v>1540</v>
      </c>
      <c r="C85" s="126" t="s">
        <v>2213</v>
      </c>
      <c r="D85" s="127">
        <v>1</v>
      </c>
      <c r="E85" s="56" t="s">
        <v>2391</v>
      </c>
      <c r="F85" s="126" t="s">
        <v>39</v>
      </c>
      <c r="G85" s="126" t="s">
        <v>1667</v>
      </c>
      <c r="H85" s="131">
        <v>1</v>
      </c>
      <c r="I85" s="49" t="s">
        <v>2511</v>
      </c>
      <c r="J85" s="52"/>
      <c r="K85" s="169"/>
      <c r="L85" s="169" t="s">
        <v>5511</v>
      </c>
      <c r="M85" s="58">
        <v>45534</v>
      </c>
      <c r="N85" s="128" t="str">
        <f>+VLOOKUP(B85,BOM!$A$8:$X$1078,22,0)</f>
        <v>D</v>
      </c>
    </row>
    <row r="86" spans="1:14" ht="15">
      <c r="A86" s="153">
        <v>84</v>
      </c>
      <c r="B86" s="107" t="s">
        <v>1534</v>
      </c>
      <c r="C86" s="126" t="s">
        <v>2205</v>
      </c>
      <c r="D86" s="55">
        <v>1</v>
      </c>
      <c r="E86" s="56" t="s">
        <v>2385</v>
      </c>
      <c r="F86" s="126" t="s">
        <v>12</v>
      </c>
      <c r="G86" s="126" t="s">
        <v>1667</v>
      </c>
      <c r="H86" s="131">
        <v>1</v>
      </c>
      <c r="I86" s="49" t="s">
        <v>2386</v>
      </c>
      <c r="J86" s="52"/>
      <c r="K86" s="169"/>
      <c r="L86" s="169" t="s">
        <v>5512</v>
      </c>
      <c r="M86" s="90">
        <v>45540</v>
      </c>
      <c r="N86" s="128">
        <f>+VLOOKUP(B86,BOM!$A$8:$X$1078,22,0)</f>
        <v>0</v>
      </c>
    </row>
    <row r="87" spans="1:14" ht="15">
      <c r="A87" s="153">
        <v>85</v>
      </c>
      <c r="B87" s="107" t="s">
        <v>1550</v>
      </c>
      <c r="C87" s="126" t="s">
        <v>1896</v>
      </c>
      <c r="D87" s="127">
        <v>1</v>
      </c>
      <c r="E87" s="56" t="s">
        <v>2385</v>
      </c>
      <c r="F87" s="126" t="s">
        <v>12</v>
      </c>
      <c r="G87" s="126" t="s">
        <v>1667</v>
      </c>
      <c r="H87" s="131">
        <v>1</v>
      </c>
      <c r="I87" s="49" t="s">
        <v>2386</v>
      </c>
      <c r="J87" s="52"/>
      <c r="K87" s="169" t="s">
        <v>5419</v>
      </c>
      <c r="L87" s="183" t="s">
        <v>5513</v>
      </c>
      <c r="M87" s="91">
        <v>45534</v>
      </c>
      <c r="N87" s="128">
        <f>+VLOOKUP(B87,BOM!$A$8:$X$1078,22,0)</f>
        <v>0</v>
      </c>
    </row>
    <row r="88" spans="1:14" ht="15">
      <c r="A88" s="153">
        <v>86</v>
      </c>
      <c r="B88" s="107" t="s">
        <v>1424</v>
      </c>
      <c r="C88" s="126" t="s">
        <v>1863</v>
      </c>
      <c r="D88" s="127">
        <v>1</v>
      </c>
      <c r="E88" s="56" t="s">
        <v>2417</v>
      </c>
      <c r="F88" s="126" t="s">
        <v>12</v>
      </c>
      <c r="G88" s="126" t="s">
        <v>1667</v>
      </c>
      <c r="H88" s="131">
        <v>1</v>
      </c>
      <c r="I88" s="49" t="s">
        <v>2418</v>
      </c>
      <c r="J88" s="52"/>
      <c r="K88" s="169"/>
      <c r="L88" s="169" t="s">
        <v>5514</v>
      </c>
      <c r="M88" s="58">
        <v>45534</v>
      </c>
      <c r="N88" s="128">
        <f>+VLOOKUP(B88,BOM!$A$8:$X$1078,22,0)</f>
        <v>0</v>
      </c>
    </row>
    <row r="89" spans="1:14" ht="15">
      <c r="A89" s="153">
        <v>87</v>
      </c>
      <c r="B89" s="107" t="s">
        <v>1486</v>
      </c>
      <c r="C89" s="126" t="s">
        <v>1866</v>
      </c>
      <c r="D89" s="127">
        <v>1</v>
      </c>
      <c r="E89" s="56" t="s">
        <v>2394</v>
      </c>
      <c r="F89" s="126" t="s">
        <v>12</v>
      </c>
      <c r="G89" s="126" t="s">
        <v>1667</v>
      </c>
      <c r="H89" s="131">
        <v>1</v>
      </c>
      <c r="I89" s="49" t="s">
        <v>2425</v>
      </c>
      <c r="J89" s="52"/>
      <c r="K89" s="169"/>
      <c r="L89" s="169" t="s">
        <v>5515</v>
      </c>
      <c r="M89" s="58">
        <v>45534</v>
      </c>
      <c r="N89" s="128">
        <f>+VLOOKUP(B89,BOM!$A$8:$X$1078,22,0)</f>
        <v>3</v>
      </c>
    </row>
    <row r="90" spans="1:14" ht="15">
      <c r="A90" s="153">
        <v>88</v>
      </c>
      <c r="B90" s="107" t="s">
        <v>1487</v>
      </c>
      <c r="C90" s="126" t="s">
        <v>2176</v>
      </c>
      <c r="D90" s="127">
        <v>1</v>
      </c>
      <c r="E90" s="56" t="s">
        <v>2394</v>
      </c>
      <c r="F90" s="126" t="s">
        <v>12</v>
      </c>
      <c r="G90" s="126" t="s">
        <v>1667</v>
      </c>
      <c r="H90" s="131">
        <v>1</v>
      </c>
      <c r="I90" s="49" t="s">
        <v>5417</v>
      </c>
      <c r="J90" s="52"/>
      <c r="K90" s="169"/>
      <c r="L90" s="169" t="s">
        <v>5516</v>
      </c>
      <c r="M90" s="58">
        <v>45534</v>
      </c>
      <c r="N90" s="128">
        <f>+VLOOKUP(B90,BOM!$A$8:$X$1078,22,0)</f>
        <v>3</v>
      </c>
    </row>
    <row r="91" spans="1:14" ht="15">
      <c r="A91" s="153">
        <v>89</v>
      </c>
      <c r="B91" s="107" t="s">
        <v>1489</v>
      </c>
      <c r="C91" s="126" t="s">
        <v>2176</v>
      </c>
      <c r="D91" s="127">
        <v>1</v>
      </c>
      <c r="E91" s="56" t="s">
        <v>2394</v>
      </c>
      <c r="F91" s="126" t="s">
        <v>12</v>
      </c>
      <c r="G91" s="126" t="s">
        <v>1667</v>
      </c>
      <c r="H91" s="131">
        <v>1</v>
      </c>
      <c r="I91" s="49" t="s">
        <v>5417</v>
      </c>
      <c r="J91" s="52"/>
      <c r="K91" s="169"/>
      <c r="L91" s="169" t="s">
        <v>5517</v>
      </c>
      <c r="M91" s="58">
        <v>45534</v>
      </c>
      <c r="N91" s="128">
        <f>+VLOOKUP(B91,BOM!$A$8:$X$1078,22,0)</f>
        <v>3</v>
      </c>
    </row>
    <row r="92" spans="1:14" ht="15">
      <c r="A92" s="153">
        <v>90</v>
      </c>
      <c r="B92" s="108" t="s">
        <v>1589</v>
      </c>
      <c r="C92" s="126" t="s">
        <v>2324</v>
      </c>
      <c r="D92" s="127">
        <v>2</v>
      </c>
      <c r="E92" s="56" t="s">
        <v>2394</v>
      </c>
      <c r="F92" s="126" t="s">
        <v>12</v>
      </c>
      <c r="G92" s="126" t="s">
        <v>1667</v>
      </c>
      <c r="H92" s="131">
        <v>2</v>
      </c>
      <c r="I92" s="49" t="s">
        <v>2425</v>
      </c>
      <c r="J92" s="52"/>
      <c r="K92" s="169"/>
      <c r="L92" s="169" t="s">
        <v>5518</v>
      </c>
      <c r="M92" s="58">
        <v>45534</v>
      </c>
      <c r="N92" s="128">
        <f>+VLOOKUP(B92,BOM!$A$8:$X$1078,22,0)</f>
        <v>3</v>
      </c>
    </row>
    <row r="93" spans="1:14" ht="15">
      <c r="A93" s="153">
        <v>91</v>
      </c>
      <c r="B93" s="107" t="s">
        <v>1261</v>
      </c>
      <c r="C93" s="126" t="s">
        <v>1262</v>
      </c>
      <c r="D93" s="127">
        <v>1</v>
      </c>
      <c r="E93" s="56" t="s">
        <v>2394</v>
      </c>
      <c r="F93" s="126" t="s">
        <v>12</v>
      </c>
      <c r="G93" s="126" t="s">
        <v>1667</v>
      </c>
      <c r="H93" s="131">
        <v>1</v>
      </c>
      <c r="I93" s="49" t="s">
        <v>2425</v>
      </c>
      <c r="J93" s="52"/>
      <c r="K93" s="169" t="s">
        <v>5519</v>
      </c>
      <c r="L93" s="169" t="s">
        <v>5520</v>
      </c>
      <c r="M93" s="58">
        <v>45534</v>
      </c>
      <c r="N93" s="128">
        <f>+VLOOKUP(B93,BOM!$A$8:$X$1078,22,0)</f>
        <v>3</v>
      </c>
    </row>
    <row r="94" spans="1:14" ht="15">
      <c r="A94" s="153">
        <v>92</v>
      </c>
      <c r="B94" s="107" t="s">
        <v>1397</v>
      </c>
      <c r="C94" s="126" t="s">
        <v>1669</v>
      </c>
      <c r="D94" s="55">
        <v>1</v>
      </c>
      <c r="E94" s="56" t="s">
        <v>2443</v>
      </c>
      <c r="F94" s="126" t="s">
        <v>12</v>
      </c>
      <c r="G94" s="126" t="s">
        <v>1667</v>
      </c>
      <c r="H94" s="131">
        <v>1</v>
      </c>
      <c r="I94" s="49" t="s">
        <v>2444</v>
      </c>
      <c r="J94" s="52"/>
      <c r="K94" s="169" t="s">
        <v>5521</v>
      </c>
      <c r="L94" s="169" t="s">
        <v>5522</v>
      </c>
      <c r="M94" s="58">
        <v>45540</v>
      </c>
      <c r="N94" s="128">
        <f>+VLOOKUP(B94,BOM!$A$8:$X$1078,22,0)</f>
        <v>6</v>
      </c>
    </row>
    <row r="95" spans="1:14" ht="15">
      <c r="A95" s="153">
        <v>93</v>
      </c>
      <c r="B95" s="107" t="s">
        <v>1412</v>
      </c>
      <c r="C95" s="126" t="s">
        <v>1822</v>
      </c>
      <c r="D95" s="127">
        <v>2</v>
      </c>
      <c r="E95" s="56" t="s">
        <v>2443</v>
      </c>
      <c r="F95" s="126" t="s">
        <v>12</v>
      </c>
      <c r="G95" s="126" t="s">
        <v>1667</v>
      </c>
      <c r="H95" s="131">
        <v>2</v>
      </c>
      <c r="I95" s="49" t="s">
        <v>2550</v>
      </c>
      <c r="J95" s="52"/>
      <c r="K95" s="169"/>
      <c r="L95" s="183" t="s">
        <v>5523</v>
      </c>
      <c r="M95" s="91">
        <v>45534</v>
      </c>
      <c r="N95" s="128">
        <f>+VLOOKUP(B95,BOM!$A$8:$X$1078,22,0)</f>
        <v>6</v>
      </c>
    </row>
    <row r="96" spans="1:14" ht="15">
      <c r="A96" s="153">
        <v>94</v>
      </c>
      <c r="B96" s="107" t="s">
        <v>773</v>
      </c>
      <c r="C96" s="126" t="s">
        <v>775</v>
      </c>
      <c r="D96" s="127">
        <v>1</v>
      </c>
      <c r="E96" s="56" t="s">
        <v>2443</v>
      </c>
      <c r="F96" s="126" t="s">
        <v>12</v>
      </c>
      <c r="G96" s="126" t="s">
        <v>1667</v>
      </c>
      <c r="H96" s="131">
        <v>1</v>
      </c>
      <c r="I96" s="49" t="s">
        <v>2444</v>
      </c>
      <c r="J96" s="52"/>
      <c r="K96" s="169"/>
      <c r="L96" s="169" t="s">
        <v>5524</v>
      </c>
      <c r="M96" s="90">
        <v>45540</v>
      </c>
      <c r="N96" s="128">
        <f>+VLOOKUP(B96,BOM!$A$8:$X$1078,22,0)</f>
        <v>6</v>
      </c>
    </row>
    <row r="97" spans="1:15" ht="15">
      <c r="A97" s="153">
        <v>95</v>
      </c>
      <c r="B97" s="107" t="s">
        <v>1439</v>
      </c>
      <c r="C97" s="126" t="s">
        <v>1933</v>
      </c>
      <c r="D97" s="55">
        <v>1</v>
      </c>
      <c r="E97" s="56" t="s">
        <v>2443</v>
      </c>
      <c r="F97" s="126" t="s">
        <v>12</v>
      </c>
      <c r="G97" s="126" t="s">
        <v>1667</v>
      </c>
      <c r="H97" s="131">
        <v>1</v>
      </c>
      <c r="I97" s="49" t="s">
        <v>2444</v>
      </c>
      <c r="J97" s="52"/>
      <c r="K97" s="169"/>
      <c r="L97" s="169" t="s">
        <v>5525</v>
      </c>
      <c r="M97" s="90">
        <v>45540</v>
      </c>
      <c r="N97" s="128">
        <f>+VLOOKUP(B97,BOM!$A$8:$X$1078,22,0)</f>
        <v>6</v>
      </c>
    </row>
    <row r="98" spans="1:15" ht="15">
      <c r="A98" s="153">
        <v>96</v>
      </c>
      <c r="B98" s="107" t="s">
        <v>992</v>
      </c>
      <c r="C98" s="126" t="s">
        <v>24</v>
      </c>
      <c r="D98" s="55">
        <v>1</v>
      </c>
      <c r="E98" s="56" t="s">
        <v>2443</v>
      </c>
      <c r="F98" s="126" t="s">
        <v>12</v>
      </c>
      <c r="G98" s="126" t="s">
        <v>1667</v>
      </c>
      <c r="H98" s="131">
        <v>1</v>
      </c>
      <c r="I98" s="49" t="s">
        <v>2444</v>
      </c>
      <c r="J98" s="52"/>
      <c r="K98" s="169"/>
      <c r="L98" s="169" t="s">
        <v>5526</v>
      </c>
      <c r="M98" s="58">
        <v>45534</v>
      </c>
      <c r="N98" s="128">
        <f>+VLOOKUP(B98,BOM!$A$8:$X$1078,22,0)</f>
        <v>6</v>
      </c>
    </row>
    <row r="99" spans="1:15" ht="15">
      <c r="A99" s="153">
        <v>97</v>
      </c>
      <c r="B99" s="107" t="s">
        <v>1532</v>
      </c>
      <c r="C99" s="126" t="s">
        <v>2113</v>
      </c>
      <c r="D99" s="55">
        <v>1</v>
      </c>
      <c r="E99" s="56" t="s">
        <v>2443</v>
      </c>
      <c r="F99" s="126" t="s">
        <v>12</v>
      </c>
      <c r="G99" s="126" t="s">
        <v>1667</v>
      </c>
      <c r="H99" s="131">
        <v>1</v>
      </c>
      <c r="I99" s="49" t="s">
        <v>2444</v>
      </c>
      <c r="J99" s="52"/>
      <c r="K99" s="169"/>
      <c r="L99" s="169" t="s">
        <v>5527</v>
      </c>
      <c r="M99" s="58">
        <v>45540</v>
      </c>
      <c r="N99" s="128">
        <f>+VLOOKUP(B99,BOM!$A$8:$X$1078,22,0)</f>
        <v>6</v>
      </c>
    </row>
    <row r="100" spans="1:15" ht="15">
      <c r="A100" s="153">
        <v>98</v>
      </c>
      <c r="B100" s="107" t="s">
        <v>1535</v>
      </c>
      <c r="C100" s="126" t="s">
        <v>1828</v>
      </c>
      <c r="D100" s="55">
        <v>1</v>
      </c>
      <c r="E100" s="56" t="s">
        <v>2443</v>
      </c>
      <c r="F100" s="126" t="s">
        <v>12</v>
      </c>
      <c r="G100" s="126" t="s">
        <v>1667</v>
      </c>
      <c r="H100" s="131">
        <v>1</v>
      </c>
      <c r="I100" s="49" t="s">
        <v>2444</v>
      </c>
      <c r="J100" s="52"/>
      <c r="K100" s="169" t="s">
        <v>5448</v>
      </c>
      <c r="L100" s="169" t="s">
        <v>5528</v>
      </c>
      <c r="M100" s="58">
        <v>45534</v>
      </c>
      <c r="N100" s="128">
        <f>+VLOOKUP(B100,BOM!$A$8:$X$1078,22,0)</f>
        <v>6</v>
      </c>
    </row>
    <row r="101" spans="1:15" ht="15">
      <c r="A101" s="153">
        <v>99</v>
      </c>
      <c r="B101" s="107" t="s">
        <v>1544</v>
      </c>
      <c r="C101" s="126" t="s">
        <v>2139</v>
      </c>
      <c r="D101" s="127">
        <v>1</v>
      </c>
      <c r="E101" s="56" t="s">
        <v>2443</v>
      </c>
      <c r="F101" s="126" t="s">
        <v>12</v>
      </c>
      <c r="G101" s="126" t="s">
        <v>1667</v>
      </c>
      <c r="H101" s="131">
        <v>1</v>
      </c>
      <c r="I101" s="49" t="s">
        <v>2444</v>
      </c>
      <c r="J101" s="52"/>
      <c r="K101" s="169" t="s">
        <v>5521</v>
      </c>
      <c r="L101" s="169" t="s">
        <v>5529</v>
      </c>
      <c r="M101" s="58">
        <v>45534</v>
      </c>
      <c r="N101" s="128">
        <f>+VLOOKUP(B101,BOM!$A$8:$X$1078,22,0)</f>
        <v>6</v>
      </c>
    </row>
    <row r="102" spans="1:15" ht="15">
      <c r="A102" s="153">
        <v>100</v>
      </c>
      <c r="B102" s="107" t="s">
        <v>1546</v>
      </c>
      <c r="C102" s="126" t="s">
        <v>2139</v>
      </c>
      <c r="D102" s="127">
        <v>2</v>
      </c>
      <c r="E102" s="56" t="s">
        <v>2443</v>
      </c>
      <c r="F102" s="126" t="s">
        <v>12</v>
      </c>
      <c r="G102" s="126" t="s">
        <v>1667</v>
      </c>
      <c r="H102" s="131">
        <v>2</v>
      </c>
      <c r="I102" s="49" t="s">
        <v>2444</v>
      </c>
      <c r="J102" s="52"/>
      <c r="K102" s="169" t="s">
        <v>5521</v>
      </c>
      <c r="L102" s="169" t="s">
        <v>5530</v>
      </c>
      <c r="M102" s="90">
        <v>45540</v>
      </c>
      <c r="N102" s="128">
        <f>+VLOOKUP(B102,BOM!$A$8:$X$1078,22,0)</f>
        <v>6</v>
      </c>
    </row>
    <row r="103" spans="1:15" ht="15">
      <c r="A103" s="153">
        <v>101</v>
      </c>
      <c r="B103" s="107" t="s">
        <v>1605</v>
      </c>
      <c r="C103" s="126" t="s">
        <v>2085</v>
      </c>
      <c r="D103" s="127">
        <v>4</v>
      </c>
      <c r="E103" s="56" t="s">
        <v>2443</v>
      </c>
      <c r="F103" s="126" t="s">
        <v>12</v>
      </c>
      <c r="G103" s="126" t="s">
        <v>1667</v>
      </c>
      <c r="H103" s="131">
        <v>4</v>
      </c>
      <c r="I103" s="49" t="s">
        <v>2444</v>
      </c>
      <c r="J103" s="52"/>
      <c r="K103" s="169"/>
      <c r="L103" s="169" t="s">
        <v>5531</v>
      </c>
      <c r="M103" s="58">
        <v>45534</v>
      </c>
      <c r="N103" s="128">
        <f>+VLOOKUP(B103,BOM!$A$8:$X$1078,22,0)</f>
        <v>6</v>
      </c>
    </row>
    <row r="104" spans="1:15" ht="15">
      <c r="A104" s="153">
        <v>102</v>
      </c>
      <c r="B104" s="107" t="s">
        <v>544</v>
      </c>
      <c r="C104" s="126" t="s">
        <v>116</v>
      </c>
      <c r="D104" s="55">
        <v>1</v>
      </c>
      <c r="E104" s="56" t="s">
        <v>2388</v>
      </c>
      <c r="F104" s="126" t="s">
        <v>12</v>
      </c>
      <c r="G104" s="126" t="s">
        <v>1667</v>
      </c>
      <c r="H104" s="131">
        <v>1</v>
      </c>
      <c r="I104" s="49" t="s">
        <v>2389</v>
      </c>
      <c r="J104" s="52"/>
      <c r="K104" s="169"/>
      <c r="L104" s="169" t="s">
        <v>5532</v>
      </c>
      <c r="M104" s="90">
        <v>45540</v>
      </c>
      <c r="N104" s="128" t="str">
        <f>+VLOOKUP(B104,BOM!$A$8:$X$1078,22,0)</f>
        <v>A</v>
      </c>
    </row>
    <row r="105" spans="1:15" ht="15">
      <c r="A105" s="153">
        <v>103</v>
      </c>
      <c r="B105" s="107" t="s">
        <v>1598</v>
      </c>
      <c r="C105" s="126" t="s">
        <v>2330</v>
      </c>
      <c r="D105" s="55">
        <v>4</v>
      </c>
      <c r="E105" s="56" t="s">
        <v>2388</v>
      </c>
      <c r="F105" s="126" t="s">
        <v>12</v>
      </c>
      <c r="G105" s="126" t="s">
        <v>1667</v>
      </c>
      <c r="H105" s="131">
        <v>4</v>
      </c>
      <c r="I105" s="49" t="s">
        <v>2389</v>
      </c>
      <c r="J105" s="52"/>
      <c r="K105" s="169"/>
      <c r="L105" s="169" t="s">
        <v>5533</v>
      </c>
      <c r="M105" s="90">
        <v>45540</v>
      </c>
      <c r="N105" s="128" t="str">
        <f>+VLOOKUP(B105,BOM!$A$8:$X$1078,22,0)</f>
        <v>A</v>
      </c>
    </row>
    <row r="106" spans="1:15" ht="15">
      <c r="A106" s="153">
        <v>104</v>
      </c>
      <c r="B106" s="107" t="s">
        <v>1432</v>
      </c>
      <c r="C106" s="126" t="s">
        <v>1877</v>
      </c>
      <c r="D106" s="127">
        <v>1</v>
      </c>
      <c r="E106" s="56" t="s">
        <v>2391</v>
      </c>
      <c r="F106" s="126" t="s">
        <v>12</v>
      </c>
      <c r="G106" s="126" t="s">
        <v>1667</v>
      </c>
      <c r="H106" s="131">
        <v>1</v>
      </c>
      <c r="I106" s="49" t="s">
        <v>2447</v>
      </c>
      <c r="J106" s="52"/>
      <c r="K106" s="169"/>
      <c r="L106" s="169" t="s">
        <v>5534</v>
      </c>
      <c r="M106" s="58">
        <v>45534</v>
      </c>
      <c r="N106" s="128" t="str">
        <f>+VLOOKUP(B106,BOM!$A$8:$X$1078,22,0)</f>
        <v>D</v>
      </c>
    </row>
    <row r="107" spans="1:15" ht="15">
      <c r="A107" s="153">
        <v>105</v>
      </c>
      <c r="B107" s="107" t="s">
        <v>1434</v>
      </c>
      <c r="C107" s="126" t="s">
        <v>1879</v>
      </c>
      <c r="D107" s="127">
        <v>1</v>
      </c>
      <c r="E107" s="56" t="s">
        <v>2391</v>
      </c>
      <c r="F107" s="126" t="s">
        <v>12</v>
      </c>
      <c r="G107" s="126" t="s">
        <v>1667</v>
      </c>
      <c r="H107" s="131">
        <v>1</v>
      </c>
      <c r="I107" s="49" t="s">
        <v>2511</v>
      </c>
      <c r="J107" s="52"/>
      <c r="K107" s="169"/>
      <c r="L107" s="169" t="s">
        <v>5535</v>
      </c>
      <c r="M107" s="58">
        <v>45534</v>
      </c>
      <c r="N107" s="128" t="str">
        <f>+VLOOKUP(B107,BOM!$A$8:$X$1078,22,0)</f>
        <v>D</v>
      </c>
      <c r="O107" s="62"/>
    </row>
    <row r="108" spans="1:15" ht="15">
      <c r="A108" s="153">
        <v>106</v>
      </c>
      <c r="B108" s="107" t="s">
        <v>981</v>
      </c>
      <c r="C108" s="126" t="s">
        <v>982</v>
      </c>
      <c r="D108" s="127">
        <v>1</v>
      </c>
      <c r="E108" s="56" t="s">
        <v>2391</v>
      </c>
      <c r="F108" s="126" t="s">
        <v>12</v>
      </c>
      <c r="G108" s="126" t="s">
        <v>1667</v>
      </c>
      <c r="H108" s="131">
        <v>1</v>
      </c>
      <c r="I108" s="49" t="s">
        <v>2449</v>
      </c>
      <c r="J108" s="52"/>
      <c r="K108" s="169" t="s">
        <v>3365</v>
      </c>
      <c r="L108" s="169" t="s">
        <v>5536</v>
      </c>
      <c r="M108" s="58">
        <v>45534</v>
      </c>
      <c r="N108" s="128" t="str">
        <f>+VLOOKUP(B108,BOM!$A$8:$X$1078,22,0)</f>
        <v>C</v>
      </c>
    </row>
    <row r="109" spans="1:15" ht="15">
      <c r="A109" s="153">
        <v>107</v>
      </c>
      <c r="B109" s="107" t="s">
        <v>1122</v>
      </c>
      <c r="C109" s="126" t="s">
        <v>1124</v>
      </c>
      <c r="D109" s="127">
        <v>1</v>
      </c>
      <c r="E109" s="56" t="s">
        <v>2391</v>
      </c>
      <c r="F109" s="126" t="s">
        <v>12</v>
      </c>
      <c r="G109" s="126" t="s">
        <v>1667</v>
      </c>
      <c r="H109" s="131">
        <v>1</v>
      </c>
      <c r="I109" s="49" t="s">
        <v>2449</v>
      </c>
      <c r="J109" s="52"/>
      <c r="K109" s="169" t="s">
        <v>3365</v>
      </c>
      <c r="L109" s="169" t="s">
        <v>5537</v>
      </c>
      <c r="M109" s="58">
        <v>45534</v>
      </c>
      <c r="N109" s="128" t="str">
        <f>+VLOOKUP(B109,BOM!$A$8:$X$1078,22,0)</f>
        <v>C</v>
      </c>
    </row>
    <row r="110" spans="1:15" ht="15">
      <c r="A110" s="153">
        <v>108</v>
      </c>
      <c r="B110" s="107" t="s">
        <v>1125</v>
      </c>
      <c r="C110" s="126" t="s">
        <v>1126</v>
      </c>
      <c r="D110" s="127">
        <v>1</v>
      </c>
      <c r="E110" s="56" t="s">
        <v>2391</v>
      </c>
      <c r="F110" s="126" t="s">
        <v>12</v>
      </c>
      <c r="G110" s="126" t="s">
        <v>1667</v>
      </c>
      <c r="H110" s="131">
        <v>1</v>
      </c>
      <c r="I110" s="49" t="s">
        <v>2449</v>
      </c>
      <c r="J110" s="52"/>
      <c r="K110" s="169" t="s">
        <v>3365</v>
      </c>
      <c r="L110" s="169" t="s">
        <v>5538</v>
      </c>
      <c r="M110" s="58">
        <v>45534</v>
      </c>
      <c r="N110" s="128" t="str">
        <f>+VLOOKUP(B110,BOM!$A$8:$X$1078,22,0)</f>
        <v>C</v>
      </c>
    </row>
    <row r="111" spans="1:15" ht="15">
      <c r="A111" s="153">
        <v>109</v>
      </c>
      <c r="B111" s="107" t="s">
        <v>1470</v>
      </c>
      <c r="C111" s="126" t="s">
        <v>1983</v>
      </c>
      <c r="D111" s="127">
        <v>1</v>
      </c>
      <c r="E111" s="56" t="s">
        <v>2391</v>
      </c>
      <c r="F111" s="126" t="s">
        <v>12</v>
      </c>
      <c r="G111" s="126" t="s">
        <v>1667</v>
      </c>
      <c r="H111" s="131">
        <v>1</v>
      </c>
      <c r="I111" s="49" t="s">
        <v>2447</v>
      </c>
      <c r="J111" s="52"/>
      <c r="K111" s="169"/>
      <c r="L111" s="183" t="s">
        <v>5539</v>
      </c>
      <c r="M111" s="91">
        <v>45534</v>
      </c>
      <c r="N111" s="128" t="str">
        <f>+VLOOKUP(B111,BOM!$A$8:$X$1078,22,0)</f>
        <v>D</v>
      </c>
    </row>
    <row r="112" spans="1:15" ht="15">
      <c r="A112" s="153">
        <v>110</v>
      </c>
      <c r="B112" s="107" t="s">
        <v>1232</v>
      </c>
      <c r="C112" s="126" t="s">
        <v>560</v>
      </c>
      <c r="D112" s="127">
        <v>2</v>
      </c>
      <c r="E112" s="56" t="s">
        <v>2391</v>
      </c>
      <c r="F112" s="126" t="s">
        <v>12</v>
      </c>
      <c r="G112" s="126" t="s">
        <v>1667</v>
      </c>
      <c r="H112" s="131">
        <v>2</v>
      </c>
      <c r="I112" s="49" t="s">
        <v>2511</v>
      </c>
      <c r="J112" s="52"/>
      <c r="K112" s="169"/>
      <c r="L112" s="183" t="s">
        <v>5540</v>
      </c>
      <c r="M112" s="91">
        <v>45534</v>
      </c>
      <c r="N112" s="128" t="str">
        <f>+VLOOKUP(B112,BOM!$A$8:$X$1078,22,0)</f>
        <v>D</v>
      </c>
    </row>
    <row r="113" spans="1:15" ht="15">
      <c r="A113" s="153">
        <v>111</v>
      </c>
      <c r="B113" s="107" t="s">
        <v>1536</v>
      </c>
      <c r="C113" s="126" t="s">
        <v>2207</v>
      </c>
      <c r="D113" s="127">
        <v>1</v>
      </c>
      <c r="E113" s="56" t="s">
        <v>2443</v>
      </c>
      <c r="F113" s="126" t="s">
        <v>1538</v>
      </c>
      <c r="G113" s="126" t="s">
        <v>1667</v>
      </c>
      <c r="H113" s="131">
        <v>1</v>
      </c>
      <c r="I113" s="49" t="s">
        <v>2444</v>
      </c>
      <c r="J113" s="52"/>
      <c r="K113" s="169" t="s">
        <v>5521</v>
      </c>
      <c r="L113" s="183" t="s">
        <v>5541</v>
      </c>
      <c r="M113" s="91">
        <v>45534</v>
      </c>
      <c r="N113" s="128">
        <f>+VLOOKUP(B113,BOM!$A$8:$X$1078,22,0)</f>
        <v>6</v>
      </c>
    </row>
    <row r="114" spans="1:15" ht="15">
      <c r="A114" s="153">
        <v>112</v>
      </c>
      <c r="B114" s="107" t="s">
        <v>1468</v>
      </c>
      <c r="C114" s="126" t="s">
        <v>1890</v>
      </c>
      <c r="D114" s="127">
        <v>1</v>
      </c>
      <c r="E114" s="56" t="s">
        <v>2437</v>
      </c>
      <c r="F114" s="126" t="s">
        <v>1340</v>
      </c>
      <c r="G114" s="126" t="s">
        <v>1667</v>
      </c>
      <c r="H114" s="131">
        <v>1</v>
      </c>
      <c r="I114" s="49" t="s">
        <v>5542</v>
      </c>
      <c r="J114" s="52"/>
      <c r="K114" s="169"/>
      <c r="L114" s="187" t="s">
        <v>5543</v>
      </c>
      <c r="M114" s="91">
        <v>45534</v>
      </c>
      <c r="N114" s="128">
        <f>+VLOOKUP(B114,BOM!$A$8:$X$1078,22,0)</f>
        <v>5</v>
      </c>
    </row>
    <row r="115" spans="1:15" ht="15">
      <c r="A115" s="153">
        <v>113</v>
      </c>
      <c r="B115" s="107" t="s">
        <v>248</v>
      </c>
      <c r="C115" s="126" t="s">
        <v>242</v>
      </c>
      <c r="D115" s="127">
        <v>2</v>
      </c>
      <c r="E115" s="56" t="s">
        <v>2385</v>
      </c>
      <c r="F115" s="126" t="s">
        <v>22</v>
      </c>
      <c r="G115" s="126" t="s">
        <v>1664</v>
      </c>
      <c r="H115" s="131">
        <v>48</v>
      </c>
      <c r="I115" s="49" t="s">
        <v>3706</v>
      </c>
      <c r="J115" s="52"/>
      <c r="K115" s="169"/>
      <c r="L115" s="169" t="s">
        <v>5544</v>
      </c>
      <c r="M115" s="58">
        <v>45534</v>
      </c>
      <c r="N115" s="128">
        <f>+VLOOKUP(B115,BOM!$A$8:$X$1078,22,0)</f>
        <v>0</v>
      </c>
    </row>
    <row r="116" spans="1:15" ht="15">
      <c r="A116" s="153">
        <v>114</v>
      </c>
      <c r="B116" s="107" t="s">
        <v>1408</v>
      </c>
      <c r="C116" s="126" t="s">
        <v>1814</v>
      </c>
      <c r="D116" s="127">
        <v>1</v>
      </c>
      <c r="E116" s="56" t="s">
        <v>2385</v>
      </c>
      <c r="F116" s="126" t="s">
        <v>22</v>
      </c>
      <c r="G116" s="126" t="s">
        <v>1667</v>
      </c>
      <c r="H116" s="131">
        <v>1</v>
      </c>
      <c r="I116" s="49" t="s">
        <v>2386</v>
      </c>
      <c r="J116" s="52"/>
      <c r="K116" s="169" t="s">
        <v>5427</v>
      </c>
      <c r="L116" s="169" t="s">
        <v>5545</v>
      </c>
      <c r="M116" s="58">
        <v>45534</v>
      </c>
      <c r="N116" s="128">
        <f>+VLOOKUP(B116,BOM!$A$8:$X$1078,22,0)</f>
        <v>0</v>
      </c>
    </row>
    <row r="117" spans="1:15" ht="15">
      <c r="A117" s="153">
        <v>115</v>
      </c>
      <c r="B117" s="107" t="s">
        <v>780</v>
      </c>
      <c r="C117" s="126" t="s">
        <v>265</v>
      </c>
      <c r="D117" s="55">
        <v>1</v>
      </c>
      <c r="E117" s="56" t="s">
        <v>2385</v>
      </c>
      <c r="F117" s="126" t="s">
        <v>22</v>
      </c>
      <c r="G117" s="126" t="s">
        <v>1664</v>
      </c>
      <c r="H117" s="131">
        <v>16</v>
      </c>
      <c r="I117" s="49" t="s">
        <v>3706</v>
      </c>
      <c r="J117" s="52"/>
      <c r="K117" s="169" t="s">
        <v>5546</v>
      </c>
      <c r="L117" s="169" t="s">
        <v>5547</v>
      </c>
      <c r="M117" s="90">
        <v>45540</v>
      </c>
      <c r="N117" s="128">
        <f>+VLOOKUP(B117,BOM!$A$8:$X$1078,22,0)</f>
        <v>1</v>
      </c>
    </row>
    <row r="118" spans="1:15" ht="15">
      <c r="A118" s="153">
        <v>116</v>
      </c>
      <c r="B118" s="107" t="s">
        <v>486</v>
      </c>
      <c r="C118" s="126" t="s">
        <v>485</v>
      </c>
      <c r="D118" s="127">
        <v>10</v>
      </c>
      <c r="E118" s="56" t="s">
        <v>2385</v>
      </c>
      <c r="F118" s="126" t="s">
        <v>22</v>
      </c>
      <c r="G118" s="126" t="s">
        <v>1664</v>
      </c>
      <c r="H118" s="131">
        <v>232</v>
      </c>
      <c r="I118" s="49" t="s">
        <v>3706</v>
      </c>
      <c r="J118" s="52"/>
      <c r="K118" s="169"/>
      <c r="L118" s="169" t="s">
        <v>5548</v>
      </c>
      <c r="M118" s="58">
        <v>45540</v>
      </c>
      <c r="N118" s="128">
        <f>+VLOOKUP(B118,BOM!$A$8:$X$1078,22,0)</f>
        <v>0</v>
      </c>
    </row>
    <row r="119" spans="1:15" ht="15">
      <c r="A119" s="153">
        <v>117</v>
      </c>
      <c r="B119" s="107" t="s">
        <v>490</v>
      </c>
      <c r="C119" s="126" t="s">
        <v>485</v>
      </c>
      <c r="D119" s="127">
        <v>2</v>
      </c>
      <c r="E119" s="56" t="s">
        <v>2385</v>
      </c>
      <c r="F119" s="126" t="s">
        <v>22</v>
      </c>
      <c r="G119" s="126" t="s">
        <v>1664</v>
      </c>
      <c r="H119" s="131">
        <v>48</v>
      </c>
      <c r="I119" s="49" t="s">
        <v>3706</v>
      </c>
      <c r="J119" s="52"/>
      <c r="K119" s="169" t="s">
        <v>5549</v>
      </c>
      <c r="L119" s="169" t="s">
        <v>5550</v>
      </c>
      <c r="M119" s="58"/>
      <c r="N119" s="128" t="str">
        <f>+VLOOKUP(B119,BOM!$A$8:$X$1078,22,0)</f>
        <v>2x0 + 1x3 + 3x6</v>
      </c>
    </row>
    <row r="120" spans="1:15" ht="15">
      <c r="A120" s="153">
        <v>118</v>
      </c>
      <c r="B120" s="107" t="s">
        <v>795</v>
      </c>
      <c r="C120" s="126" t="s">
        <v>485</v>
      </c>
      <c r="D120" s="127">
        <v>8</v>
      </c>
      <c r="E120" s="56" t="s">
        <v>2385</v>
      </c>
      <c r="F120" s="126" t="s">
        <v>22</v>
      </c>
      <c r="G120" s="126" t="s">
        <v>1664</v>
      </c>
      <c r="H120" s="131">
        <v>192</v>
      </c>
      <c r="I120" s="49" t="s">
        <v>3706</v>
      </c>
      <c r="J120" s="52"/>
      <c r="K120" s="169" t="s">
        <v>5419</v>
      </c>
      <c r="L120" s="169" t="s">
        <v>5551</v>
      </c>
      <c r="M120" s="58"/>
      <c r="N120" s="128">
        <f>+VLOOKUP(B120,BOM!$A$8:$X$1078,22,0)</f>
        <v>0</v>
      </c>
    </row>
    <row r="121" spans="1:15" ht="15">
      <c r="A121" s="153">
        <v>119</v>
      </c>
      <c r="B121" s="107" t="s">
        <v>803</v>
      </c>
      <c r="C121" s="126" t="s">
        <v>485</v>
      </c>
      <c r="D121" s="127">
        <v>6</v>
      </c>
      <c r="E121" s="56" t="s">
        <v>2385</v>
      </c>
      <c r="F121" s="126" t="s">
        <v>22</v>
      </c>
      <c r="G121" s="126" t="s">
        <v>1664</v>
      </c>
      <c r="H121" s="131">
        <v>64</v>
      </c>
      <c r="I121" s="49" t="s">
        <v>3706</v>
      </c>
      <c r="J121" s="52"/>
      <c r="K121" s="169"/>
      <c r="L121" s="169" t="s">
        <v>5552</v>
      </c>
      <c r="M121" s="58"/>
      <c r="N121" s="128">
        <f>+VLOOKUP(B121,BOM!$A$8:$X$1078,22,0)</f>
        <v>0</v>
      </c>
    </row>
    <row r="122" spans="1:15" ht="15">
      <c r="A122" s="153">
        <v>120</v>
      </c>
      <c r="B122" s="107" t="s">
        <v>805</v>
      </c>
      <c r="C122" s="126" t="s">
        <v>485</v>
      </c>
      <c r="D122" s="55">
        <v>2</v>
      </c>
      <c r="E122" s="56" t="s">
        <v>2385</v>
      </c>
      <c r="F122" s="126" t="s">
        <v>22</v>
      </c>
      <c r="G122" s="126" t="s">
        <v>1664</v>
      </c>
      <c r="H122" s="131">
        <v>56</v>
      </c>
      <c r="I122" s="49" t="s">
        <v>3706</v>
      </c>
      <c r="J122" s="52"/>
      <c r="K122" s="169"/>
      <c r="L122" s="169" t="s">
        <v>5553</v>
      </c>
      <c r="M122" s="90">
        <v>45540</v>
      </c>
      <c r="N122" s="128">
        <f>+VLOOKUP(B122,BOM!$A$8:$X$1078,22,0)</f>
        <v>0</v>
      </c>
    </row>
    <row r="123" spans="1:15" ht="15">
      <c r="A123" s="153">
        <v>121</v>
      </c>
      <c r="B123" s="107" t="s">
        <v>1150</v>
      </c>
      <c r="C123" s="126" t="s">
        <v>558</v>
      </c>
      <c r="D123" s="127">
        <v>5</v>
      </c>
      <c r="E123" s="56" t="s">
        <v>2385</v>
      </c>
      <c r="F123" s="126" t="s">
        <v>22</v>
      </c>
      <c r="G123" s="126" t="s">
        <v>1664</v>
      </c>
      <c r="H123" s="131">
        <v>40</v>
      </c>
      <c r="I123" s="49" t="s">
        <v>3706</v>
      </c>
      <c r="J123" s="52"/>
      <c r="K123" s="169"/>
      <c r="L123" s="183" t="s">
        <v>5554</v>
      </c>
      <c r="M123" s="91">
        <v>45534</v>
      </c>
      <c r="N123" s="128">
        <f>+VLOOKUP(B123,BOM!$A$8:$X$1078,22,0)</f>
        <v>1</v>
      </c>
    </row>
    <row r="124" spans="1:15" ht="15">
      <c r="A124" s="153">
        <v>122</v>
      </c>
      <c r="B124" s="107" t="s">
        <v>556</v>
      </c>
      <c r="C124" s="126" t="s">
        <v>558</v>
      </c>
      <c r="D124" s="55">
        <v>2</v>
      </c>
      <c r="E124" s="56" t="s">
        <v>2385</v>
      </c>
      <c r="F124" s="126" t="s">
        <v>22</v>
      </c>
      <c r="G124" s="126" t="s">
        <v>1664</v>
      </c>
      <c r="H124" s="131">
        <v>160</v>
      </c>
      <c r="I124" s="49" t="s">
        <v>3706</v>
      </c>
      <c r="J124" s="52"/>
      <c r="K124" s="169" t="s">
        <v>5555</v>
      </c>
      <c r="L124" s="183" t="s">
        <v>5556</v>
      </c>
      <c r="M124" s="48">
        <v>45540</v>
      </c>
      <c r="N124" s="128" t="str">
        <f>+VLOOKUP(B124,BOM!$A$8:$X$1078,22,0)</f>
        <v>2x0 +8x3 + 2x6 +8xB</v>
      </c>
    </row>
    <row r="125" spans="1:15" ht="15">
      <c r="A125" s="153">
        <v>123</v>
      </c>
      <c r="B125" s="107" t="s">
        <v>556</v>
      </c>
      <c r="C125" s="126" t="s">
        <v>558</v>
      </c>
      <c r="D125" s="127">
        <v>2</v>
      </c>
      <c r="E125" s="56" t="s">
        <v>2385</v>
      </c>
      <c r="F125" s="126" t="s">
        <v>22</v>
      </c>
      <c r="G125" s="126" t="s">
        <v>1664</v>
      </c>
      <c r="H125" s="131">
        <v>160</v>
      </c>
      <c r="I125" s="49" t="s">
        <v>3706</v>
      </c>
      <c r="J125" s="52"/>
      <c r="K125" s="169" t="s">
        <v>5555</v>
      </c>
      <c r="L125" s="169" t="s">
        <v>5557</v>
      </c>
      <c r="M125" s="58">
        <v>45534</v>
      </c>
      <c r="N125" s="128" t="str">
        <f>+VLOOKUP(B125,BOM!$A$8:$X$1078,22,0)</f>
        <v>2x0 +8x3 + 2x6 +8xB</v>
      </c>
    </row>
    <row r="126" spans="1:15" ht="15">
      <c r="A126" s="153">
        <v>124</v>
      </c>
      <c r="B126" s="107" t="s">
        <v>1525</v>
      </c>
      <c r="C126" s="126" t="s">
        <v>1828</v>
      </c>
      <c r="D126" s="127">
        <v>32</v>
      </c>
      <c r="E126" s="56" t="s">
        <v>2385</v>
      </c>
      <c r="F126" s="126" t="s">
        <v>22</v>
      </c>
      <c r="G126" s="126" t="s">
        <v>1664</v>
      </c>
      <c r="H126" s="131">
        <v>256</v>
      </c>
      <c r="I126" s="49" t="s">
        <v>3706</v>
      </c>
      <c r="J126" s="52"/>
      <c r="K126" s="169"/>
      <c r="L126" s="169" t="s">
        <v>5558</v>
      </c>
      <c r="M126" s="58">
        <v>45534</v>
      </c>
      <c r="N126" s="128">
        <f>+VLOOKUP(B126,BOM!$A$8:$X$1078,22,0)</f>
        <v>0</v>
      </c>
      <c r="O126" s="62"/>
    </row>
    <row r="127" spans="1:15" ht="15">
      <c r="A127" s="153">
        <v>125</v>
      </c>
      <c r="B127" s="107" t="s">
        <v>1160</v>
      </c>
      <c r="C127" s="126" t="s">
        <v>739</v>
      </c>
      <c r="D127" s="127">
        <v>1</v>
      </c>
      <c r="E127" s="56" t="s">
        <v>2385</v>
      </c>
      <c r="F127" s="126" t="s">
        <v>22</v>
      </c>
      <c r="G127" s="126" t="s">
        <v>1664</v>
      </c>
      <c r="H127" s="131">
        <v>16</v>
      </c>
      <c r="I127" s="49" t="s">
        <v>3706</v>
      </c>
      <c r="J127" s="52"/>
      <c r="K127" s="169" t="s">
        <v>5559</v>
      </c>
      <c r="L127" s="183" t="s">
        <v>5560</v>
      </c>
      <c r="M127" s="91">
        <v>45534</v>
      </c>
      <c r="N127" s="128" t="str">
        <f>+VLOOKUP(B127,BOM!$A$8:$X$1078,22,0)</f>
        <v>1x0+1x6</v>
      </c>
    </row>
    <row r="128" spans="1:15" ht="15">
      <c r="A128" s="153">
        <v>126</v>
      </c>
      <c r="B128" s="107" t="s">
        <v>1174</v>
      </c>
      <c r="C128" s="126" t="s">
        <v>582</v>
      </c>
      <c r="D128" s="127">
        <v>1</v>
      </c>
      <c r="E128" s="56" t="s">
        <v>2385</v>
      </c>
      <c r="F128" s="126" t="s">
        <v>22</v>
      </c>
      <c r="G128" s="126" t="s">
        <v>1664</v>
      </c>
      <c r="H128" s="131">
        <v>80</v>
      </c>
      <c r="I128" s="49" t="s">
        <v>3706</v>
      </c>
      <c r="J128" s="52"/>
      <c r="K128" s="169" t="s">
        <v>5561</v>
      </c>
      <c r="L128" s="169" t="s">
        <v>5562</v>
      </c>
      <c r="M128" s="90">
        <v>45540</v>
      </c>
      <c r="N128" s="128" t="str">
        <f>+VLOOKUP(B128,BOM!$A$8:$X$1078,22,0)</f>
        <v>1x0 + 4x6</v>
      </c>
    </row>
    <row r="129" spans="1:15" ht="15">
      <c r="A129" s="153">
        <v>127</v>
      </c>
      <c r="B129" s="107" t="s">
        <v>1179</v>
      </c>
      <c r="C129" s="126" t="s">
        <v>587</v>
      </c>
      <c r="D129" s="127">
        <v>4</v>
      </c>
      <c r="E129" s="56" t="s">
        <v>2385</v>
      </c>
      <c r="F129" s="126" t="s">
        <v>22</v>
      </c>
      <c r="G129" s="126" t="s">
        <v>1664</v>
      </c>
      <c r="H129" s="131">
        <v>64</v>
      </c>
      <c r="I129" s="49" t="s">
        <v>3706</v>
      </c>
      <c r="J129" s="52"/>
      <c r="K129" s="169" t="s">
        <v>5555</v>
      </c>
      <c r="L129" s="169" t="s">
        <v>5563</v>
      </c>
      <c r="M129" s="58">
        <v>45534</v>
      </c>
      <c r="N129" s="128" t="str">
        <f>+VLOOKUP(B129,BOM!$A$8:$X$1078,22,0)</f>
        <v xml:space="preserve">4x0 + </v>
      </c>
    </row>
    <row r="130" spans="1:15" ht="15">
      <c r="A130" s="153">
        <v>128</v>
      </c>
      <c r="B130" s="107" t="s">
        <v>1182</v>
      </c>
      <c r="C130" s="126" t="s">
        <v>587</v>
      </c>
      <c r="D130" s="127">
        <v>2</v>
      </c>
      <c r="E130" s="56" t="s">
        <v>2385</v>
      </c>
      <c r="F130" s="126" t="s">
        <v>22</v>
      </c>
      <c r="G130" s="126" t="s">
        <v>1664</v>
      </c>
      <c r="H130" s="131">
        <v>96</v>
      </c>
      <c r="I130" s="49" t="s">
        <v>3706</v>
      </c>
      <c r="J130" s="52"/>
      <c r="K130" s="169" t="s">
        <v>5561</v>
      </c>
      <c r="L130" s="183" t="s">
        <v>5564</v>
      </c>
      <c r="M130" s="91">
        <v>45534</v>
      </c>
      <c r="N130" s="128" t="str">
        <f>+VLOOKUP(B130,BOM!$A$8:$X$1078,22,0)</f>
        <v>2x0 + 8x6</v>
      </c>
    </row>
    <row r="131" spans="1:15" ht="15">
      <c r="A131" s="153">
        <v>129</v>
      </c>
      <c r="B131" s="107" t="s">
        <v>1187</v>
      </c>
      <c r="C131" s="126" t="s">
        <v>1188</v>
      </c>
      <c r="D131" s="127">
        <v>4</v>
      </c>
      <c r="E131" s="56" t="s">
        <v>2385</v>
      </c>
      <c r="F131" s="126" t="s">
        <v>22</v>
      </c>
      <c r="G131" s="126" t="s">
        <v>1664</v>
      </c>
      <c r="H131" s="131">
        <v>88</v>
      </c>
      <c r="I131" s="49" t="s">
        <v>3706</v>
      </c>
      <c r="J131" s="52"/>
      <c r="K131" s="169" t="s">
        <v>5555</v>
      </c>
      <c r="L131" s="169" t="s">
        <v>5565</v>
      </c>
      <c r="M131" s="58">
        <v>45534</v>
      </c>
      <c r="N131" s="128" t="str">
        <f>+VLOOKUP(B131,BOM!$A$8:$X$1078,22,0)</f>
        <v>4x0 + 2x2 + 2x5 + 3xC</v>
      </c>
    </row>
    <row r="132" spans="1:15" ht="15">
      <c r="A132" s="153">
        <v>130</v>
      </c>
      <c r="B132" s="107" t="s">
        <v>615</v>
      </c>
      <c r="C132" s="126" t="s">
        <v>616</v>
      </c>
      <c r="D132" s="55">
        <v>2</v>
      </c>
      <c r="E132" s="56" t="s">
        <v>2385</v>
      </c>
      <c r="F132" s="126" t="s">
        <v>22</v>
      </c>
      <c r="G132" s="126" t="s">
        <v>1664</v>
      </c>
      <c r="H132" s="131">
        <v>16</v>
      </c>
      <c r="I132" s="49" t="s">
        <v>3706</v>
      </c>
      <c r="J132" s="52"/>
      <c r="K132" s="169"/>
      <c r="L132" s="169" t="s">
        <v>5566</v>
      </c>
      <c r="M132" s="58">
        <v>45534</v>
      </c>
      <c r="N132" s="128">
        <f>+VLOOKUP(B132,BOM!$A$8:$X$1078,22,0)</f>
        <v>0</v>
      </c>
      <c r="O132" s="62"/>
    </row>
    <row r="133" spans="1:15" ht="15">
      <c r="A133" s="153">
        <v>131</v>
      </c>
      <c r="B133" s="107" t="s">
        <v>624</v>
      </c>
      <c r="C133" s="126" t="s">
        <v>625</v>
      </c>
      <c r="D133" s="127">
        <v>6</v>
      </c>
      <c r="E133" s="56" t="s">
        <v>2385</v>
      </c>
      <c r="F133" s="126" t="s">
        <v>22</v>
      </c>
      <c r="G133" s="126" t="s">
        <v>1664</v>
      </c>
      <c r="H133" s="131">
        <v>88</v>
      </c>
      <c r="I133" s="49" t="s">
        <v>3706</v>
      </c>
      <c r="J133" s="52"/>
      <c r="K133" s="169" t="s">
        <v>5555</v>
      </c>
      <c r="L133" s="169" t="s">
        <v>5567</v>
      </c>
      <c r="M133" s="58">
        <v>45534</v>
      </c>
      <c r="N133" s="128" t="str">
        <f>+VLOOKUP(B133,BOM!$A$8:$X$1078,22,0)</f>
        <v>6x0 + 1x3 + 2x6</v>
      </c>
    </row>
    <row r="134" spans="1:15" ht="15">
      <c r="A134" s="153">
        <v>132</v>
      </c>
      <c r="B134" s="107" t="s">
        <v>624</v>
      </c>
      <c r="C134" s="126" t="s">
        <v>625</v>
      </c>
      <c r="D134" s="127">
        <v>6</v>
      </c>
      <c r="E134" s="56" t="s">
        <v>2385</v>
      </c>
      <c r="F134" s="126" t="s">
        <v>22</v>
      </c>
      <c r="G134" s="126" t="s">
        <v>1664</v>
      </c>
      <c r="H134" s="131">
        <v>88</v>
      </c>
      <c r="I134" s="49" t="s">
        <v>3706</v>
      </c>
      <c r="J134" s="52"/>
      <c r="K134" s="169" t="s">
        <v>5555</v>
      </c>
      <c r="L134" s="183" t="s">
        <v>5568</v>
      </c>
      <c r="M134" s="91">
        <v>45534</v>
      </c>
      <c r="N134" s="128" t="str">
        <f>+VLOOKUP(B134,BOM!$A$8:$X$1078,22,0)</f>
        <v>6x0 + 1x3 + 2x6</v>
      </c>
    </row>
    <row r="135" spans="1:15" ht="15">
      <c r="A135" s="153">
        <v>133</v>
      </c>
      <c r="B135" s="107" t="s">
        <v>637</v>
      </c>
      <c r="C135" s="126" t="s">
        <v>638</v>
      </c>
      <c r="D135" s="55">
        <v>21</v>
      </c>
      <c r="E135" s="56" t="s">
        <v>2385</v>
      </c>
      <c r="F135" s="126" t="s">
        <v>22</v>
      </c>
      <c r="G135" s="126" t="s">
        <v>1664</v>
      </c>
      <c r="H135" s="131">
        <v>240</v>
      </c>
      <c r="I135" s="49" t="s">
        <v>3706</v>
      </c>
      <c r="J135" s="52"/>
      <c r="K135" s="169" t="s">
        <v>5555</v>
      </c>
      <c r="L135" s="183" t="s">
        <v>5569</v>
      </c>
      <c r="M135" s="91">
        <v>45534</v>
      </c>
      <c r="N135" s="128" t="str">
        <f>+VLOOKUP(B135,BOM!$A$8:$X$1078,22,0)</f>
        <v xml:space="preserve">21x0 + 5x3 + 2x5 + </v>
      </c>
    </row>
    <row r="136" spans="1:15" ht="15">
      <c r="A136" s="153">
        <v>134</v>
      </c>
      <c r="B136" s="107" t="s">
        <v>644</v>
      </c>
      <c r="C136" s="126" t="s">
        <v>645</v>
      </c>
      <c r="D136" s="55">
        <v>1</v>
      </c>
      <c r="E136" s="56" t="s">
        <v>2385</v>
      </c>
      <c r="F136" s="126" t="s">
        <v>22</v>
      </c>
      <c r="G136" s="126" t="s">
        <v>1664</v>
      </c>
      <c r="H136" s="131">
        <v>8</v>
      </c>
      <c r="I136" s="49" t="s">
        <v>3706</v>
      </c>
      <c r="J136" s="52"/>
      <c r="K136" s="169" t="s">
        <v>5570</v>
      </c>
      <c r="L136" s="183" t="s">
        <v>5571</v>
      </c>
      <c r="M136" s="48">
        <v>45540</v>
      </c>
      <c r="N136" s="128">
        <f>+VLOOKUP(B136,BOM!$A$8:$X$1078,22,0)</f>
        <v>0</v>
      </c>
    </row>
    <row r="137" spans="1:15" ht="15">
      <c r="A137" s="153">
        <v>135</v>
      </c>
      <c r="B137" s="107" t="s">
        <v>646</v>
      </c>
      <c r="C137" s="126" t="s">
        <v>647</v>
      </c>
      <c r="D137" s="127">
        <v>13</v>
      </c>
      <c r="E137" s="56" t="s">
        <v>2385</v>
      </c>
      <c r="F137" s="126" t="s">
        <v>22</v>
      </c>
      <c r="G137" s="126" t="s">
        <v>1664</v>
      </c>
      <c r="H137" s="131">
        <v>104</v>
      </c>
      <c r="I137" s="49" t="s">
        <v>3706</v>
      </c>
      <c r="J137" s="52"/>
      <c r="K137" s="169" t="s">
        <v>5572</v>
      </c>
      <c r="L137" s="183" t="s">
        <v>5573</v>
      </c>
      <c r="M137" s="48">
        <v>45540</v>
      </c>
      <c r="N137" s="128" t="str">
        <f>+VLOOKUP(B137,BOM!$A$8:$X$1078,22,0)</f>
        <v xml:space="preserve">13x0  </v>
      </c>
    </row>
    <row r="138" spans="1:15" ht="15">
      <c r="A138" s="153">
        <v>136</v>
      </c>
      <c r="B138" s="106" t="s">
        <v>692</v>
      </c>
      <c r="C138" s="126" t="s">
        <v>693</v>
      </c>
      <c r="D138" s="127">
        <v>8</v>
      </c>
      <c r="E138" s="56" t="s">
        <v>2385</v>
      </c>
      <c r="F138" s="126" t="s">
        <v>22</v>
      </c>
      <c r="G138" s="126" t="s">
        <v>1664</v>
      </c>
      <c r="H138" s="131">
        <v>160</v>
      </c>
      <c r="I138" s="49" t="s">
        <v>3706</v>
      </c>
      <c r="J138" s="52"/>
      <c r="K138" s="169" t="s">
        <v>5555</v>
      </c>
      <c r="L138" s="169" t="s">
        <v>5574</v>
      </c>
      <c r="M138" s="58">
        <v>45545</v>
      </c>
      <c r="N138" s="128" t="str">
        <f>+VLOOKUP(B138,BOM!$A$8:$X$1078,22,0)</f>
        <v>8x0 + 2x4 + 10x5</v>
      </c>
    </row>
    <row r="139" spans="1:15" ht="15">
      <c r="A139" s="153">
        <v>137</v>
      </c>
      <c r="B139" s="107" t="s">
        <v>718</v>
      </c>
      <c r="C139" s="126" t="s">
        <v>611</v>
      </c>
      <c r="D139" s="127">
        <v>4</v>
      </c>
      <c r="E139" s="56" t="s">
        <v>2385</v>
      </c>
      <c r="F139" s="126" t="s">
        <v>22</v>
      </c>
      <c r="G139" s="126" t="s">
        <v>1664</v>
      </c>
      <c r="H139" s="131">
        <v>32</v>
      </c>
      <c r="I139" s="49" t="s">
        <v>3706</v>
      </c>
      <c r="J139" s="52"/>
      <c r="K139" s="169"/>
      <c r="L139" s="169" t="s">
        <v>5575</v>
      </c>
      <c r="M139" s="58">
        <v>45534</v>
      </c>
      <c r="N139" s="128">
        <f>+VLOOKUP(B139,BOM!$A$8:$X$1078,22,0)</f>
        <v>0</v>
      </c>
    </row>
    <row r="140" spans="1:15" ht="15">
      <c r="A140" s="153">
        <v>138</v>
      </c>
      <c r="B140" s="107" t="s">
        <v>738</v>
      </c>
      <c r="C140" s="126" t="s">
        <v>739</v>
      </c>
      <c r="D140" s="127">
        <v>3</v>
      </c>
      <c r="E140" s="56" t="s">
        <v>2385</v>
      </c>
      <c r="F140" s="126" t="s">
        <v>22</v>
      </c>
      <c r="G140" s="126" t="s">
        <v>1664</v>
      </c>
      <c r="H140" s="131">
        <v>32</v>
      </c>
      <c r="I140" s="49" t="s">
        <v>3706</v>
      </c>
      <c r="J140" s="52"/>
      <c r="K140" s="169" t="s">
        <v>5427</v>
      </c>
      <c r="L140" s="169" t="s">
        <v>5576</v>
      </c>
      <c r="M140" s="58"/>
      <c r="N140" s="128">
        <f>+VLOOKUP(B140,BOM!$A$8:$X$1078,22,0)</f>
        <v>0</v>
      </c>
    </row>
    <row r="141" spans="1:15" ht="15">
      <c r="A141" s="153">
        <v>139</v>
      </c>
      <c r="B141" s="107" t="s">
        <v>1608</v>
      </c>
      <c r="C141" s="126" t="s">
        <v>2177</v>
      </c>
      <c r="D141" s="127">
        <v>1</v>
      </c>
      <c r="E141" s="56" t="s">
        <v>2385</v>
      </c>
      <c r="F141" s="126" t="s">
        <v>22</v>
      </c>
      <c r="G141" s="126" t="s">
        <v>1667</v>
      </c>
      <c r="H141" s="131">
        <v>2</v>
      </c>
      <c r="I141" s="49" t="s">
        <v>2386</v>
      </c>
      <c r="J141" s="52"/>
      <c r="K141" s="169"/>
      <c r="L141" s="169" t="s">
        <v>5577</v>
      </c>
      <c r="M141" s="58">
        <v>45534</v>
      </c>
      <c r="N141" s="128" t="str">
        <f>+VLOOKUP(B141,BOM!$A$8:$X$1078,22,0)</f>
        <v xml:space="preserve">1x0 + </v>
      </c>
    </row>
    <row r="142" spans="1:15" ht="15">
      <c r="A142" s="153">
        <v>140</v>
      </c>
      <c r="B142" s="107" t="s">
        <v>1245</v>
      </c>
      <c r="C142" s="126" t="s">
        <v>506</v>
      </c>
      <c r="D142" s="55">
        <v>2</v>
      </c>
      <c r="E142" s="56" t="s">
        <v>2385</v>
      </c>
      <c r="F142" s="126" t="s">
        <v>22</v>
      </c>
      <c r="G142" s="126" t="s">
        <v>1664</v>
      </c>
      <c r="H142" s="131">
        <v>16</v>
      </c>
      <c r="I142" s="49" t="s">
        <v>3706</v>
      </c>
      <c r="J142" s="52"/>
      <c r="K142" s="169" t="s">
        <v>5555</v>
      </c>
      <c r="L142" s="169" t="s">
        <v>5578</v>
      </c>
      <c r="M142" s="90">
        <v>45540</v>
      </c>
      <c r="N142" s="128" t="str">
        <f>+VLOOKUP(B142,BOM!$A$8:$X$1078,22,0)</f>
        <v>2x3 + 2xB</v>
      </c>
    </row>
    <row r="143" spans="1:15" ht="15">
      <c r="A143" s="153">
        <v>141</v>
      </c>
      <c r="B143" s="107" t="s">
        <v>752</v>
      </c>
      <c r="C143" s="126" t="s">
        <v>489</v>
      </c>
      <c r="D143" s="127">
        <v>4</v>
      </c>
      <c r="E143" s="56" t="s">
        <v>2385</v>
      </c>
      <c r="F143" s="126" t="s">
        <v>22</v>
      </c>
      <c r="G143" s="126" t="s">
        <v>1664</v>
      </c>
      <c r="H143" s="131">
        <v>112</v>
      </c>
      <c r="I143" s="49" t="s">
        <v>3706</v>
      </c>
      <c r="J143" s="52"/>
      <c r="K143" s="169" t="s">
        <v>5555</v>
      </c>
      <c r="L143" s="169" t="s">
        <v>5579</v>
      </c>
      <c r="M143" s="90">
        <v>45540</v>
      </c>
      <c r="N143" s="128" t="str">
        <f>+VLOOKUP(B143,BOM!$A$8:$X$1078,22,0)</f>
        <v xml:space="preserve">1x0 + 5x3 + 1x4 + 1x6 + 4xB + </v>
      </c>
    </row>
    <row r="144" spans="1:15" ht="15">
      <c r="A144" s="153">
        <v>142</v>
      </c>
      <c r="B144" s="107" t="s">
        <v>1292</v>
      </c>
      <c r="C144" s="126" t="s">
        <v>492</v>
      </c>
      <c r="D144" s="55">
        <v>1</v>
      </c>
      <c r="E144" s="56" t="s">
        <v>2385</v>
      </c>
      <c r="F144" s="126" t="s">
        <v>22</v>
      </c>
      <c r="G144" s="126" t="s">
        <v>1664</v>
      </c>
      <c r="H144" s="131">
        <v>16</v>
      </c>
      <c r="I144" s="49" t="s">
        <v>3706</v>
      </c>
      <c r="J144" s="52"/>
      <c r="K144" s="169"/>
      <c r="L144" s="169" t="s">
        <v>5580</v>
      </c>
      <c r="M144" s="90">
        <v>45540</v>
      </c>
      <c r="N144" s="128">
        <f>+VLOOKUP(B144,BOM!$A$8:$X$1078,22,0)</f>
        <v>1</v>
      </c>
    </row>
    <row r="145" spans="1:15" ht="15">
      <c r="A145" s="153">
        <v>143</v>
      </c>
      <c r="B145" s="107" t="s">
        <v>1293</v>
      </c>
      <c r="C145" s="126" t="s">
        <v>489</v>
      </c>
      <c r="D145" s="127">
        <v>2</v>
      </c>
      <c r="E145" s="56" t="s">
        <v>2385</v>
      </c>
      <c r="F145" s="126" t="s">
        <v>22</v>
      </c>
      <c r="G145" s="126" t="s">
        <v>1664</v>
      </c>
      <c r="H145" s="131">
        <v>24</v>
      </c>
      <c r="I145" s="49" t="s">
        <v>3706</v>
      </c>
      <c r="J145" s="52"/>
      <c r="K145" s="169"/>
      <c r="L145" s="169" t="s">
        <v>5581</v>
      </c>
      <c r="M145" s="58">
        <v>45534</v>
      </c>
      <c r="N145" s="128">
        <f>+VLOOKUP(B145,BOM!$A$8:$X$1078,22,0)</f>
        <v>1</v>
      </c>
    </row>
    <row r="146" spans="1:15" ht="15">
      <c r="A146" s="153">
        <v>144</v>
      </c>
      <c r="B146" s="107" t="s">
        <v>533</v>
      </c>
      <c r="C146" s="126" t="s">
        <v>534</v>
      </c>
      <c r="D146" s="55">
        <v>1</v>
      </c>
      <c r="E146" s="56" t="s">
        <v>2417</v>
      </c>
      <c r="F146" s="126" t="s">
        <v>22</v>
      </c>
      <c r="G146" s="126" t="s">
        <v>1686</v>
      </c>
      <c r="H146" s="131">
        <v>112</v>
      </c>
      <c r="I146" s="49" t="s">
        <v>3706</v>
      </c>
      <c r="J146" s="52"/>
      <c r="K146" s="169"/>
      <c r="L146" s="169" t="s">
        <v>5582</v>
      </c>
      <c r="M146" s="90">
        <v>45540</v>
      </c>
      <c r="N146" s="128" t="str">
        <f>+VLOOKUP(B146,BOM!$A$8:$X$1078,22,0)</f>
        <v>1x2 + 2x6</v>
      </c>
    </row>
    <row r="147" spans="1:15" ht="15">
      <c r="A147" s="153">
        <v>145</v>
      </c>
      <c r="B147" s="107" t="s">
        <v>547</v>
      </c>
      <c r="C147" s="126" t="s">
        <v>548</v>
      </c>
      <c r="D147" s="127">
        <v>2</v>
      </c>
      <c r="E147" s="56" t="s">
        <v>2417</v>
      </c>
      <c r="F147" s="126" t="s">
        <v>22</v>
      </c>
      <c r="G147" s="126" t="s">
        <v>1664</v>
      </c>
      <c r="H147" s="131">
        <v>80</v>
      </c>
      <c r="I147" s="49" t="s">
        <v>3706</v>
      </c>
      <c r="J147" s="52"/>
      <c r="K147" s="169" t="s">
        <v>5555</v>
      </c>
      <c r="L147" s="169" t="s">
        <v>5583</v>
      </c>
      <c r="M147" s="58">
        <v>45534</v>
      </c>
      <c r="N147" s="128" t="str">
        <f>+VLOOKUP(B147,BOM!$A$8:$X$1078,22,0)</f>
        <v>2x2 + 8x6</v>
      </c>
      <c r="O147" s="62"/>
    </row>
    <row r="148" spans="1:15" ht="15">
      <c r="A148" s="153">
        <v>146</v>
      </c>
      <c r="B148" s="107" t="s">
        <v>547</v>
      </c>
      <c r="C148" s="126" t="s">
        <v>548</v>
      </c>
      <c r="D148" s="127">
        <v>2</v>
      </c>
      <c r="E148" s="56" t="s">
        <v>2417</v>
      </c>
      <c r="F148" s="126" t="s">
        <v>22</v>
      </c>
      <c r="G148" s="126" t="s">
        <v>1664</v>
      </c>
      <c r="H148" s="131">
        <v>80</v>
      </c>
      <c r="I148" s="49" t="s">
        <v>3706</v>
      </c>
      <c r="J148" s="52"/>
      <c r="K148" s="169" t="s">
        <v>5555</v>
      </c>
      <c r="L148" s="169" t="s">
        <v>5584</v>
      </c>
      <c r="M148" s="58">
        <v>45534</v>
      </c>
      <c r="N148" s="128" t="str">
        <f>+VLOOKUP(B148,BOM!$A$8:$X$1078,22,0)</f>
        <v>2x2 + 8x6</v>
      </c>
    </row>
    <row r="149" spans="1:15" ht="15">
      <c r="A149" s="153">
        <v>147</v>
      </c>
      <c r="B149" s="107" t="s">
        <v>559</v>
      </c>
      <c r="C149" s="126" t="s">
        <v>560</v>
      </c>
      <c r="D149" s="127">
        <v>32</v>
      </c>
      <c r="E149" s="56" t="s">
        <v>2417</v>
      </c>
      <c r="F149" s="126" t="s">
        <v>22</v>
      </c>
      <c r="G149" s="126" t="s">
        <v>1686</v>
      </c>
      <c r="H149" s="131">
        <v>960</v>
      </c>
      <c r="I149" s="49" t="s">
        <v>3706</v>
      </c>
      <c r="J149" s="52"/>
      <c r="K149" s="169" t="s">
        <v>5555</v>
      </c>
      <c r="L149" s="169" t="s">
        <v>5585</v>
      </c>
      <c r="M149" s="58">
        <v>45534</v>
      </c>
      <c r="N149" s="128" t="str">
        <f>+VLOOKUP(B149,BOM!$A$8:$X$1078,22,0)</f>
        <v xml:space="preserve">32x2 + 5x5 + </v>
      </c>
    </row>
    <row r="150" spans="1:15" ht="15">
      <c r="A150" s="153">
        <v>148</v>
      </c>
      <c r="B150" s="107" t="s">
        <v>612</v>
      </c>
      <c r="C150" s="126" t="s">
        <v>614</v>
      </c>
      <c r="D150" s="127">
        <v>21</v>
      </c>
      <c r="E150" s="56" t="s">
        <v>2417</v>
      </c>
      <c r="F150" s="126" t="s">
        <v>22</v>
      </c>
      <c r="G150" s="126" t="s">
        <v>1686</v>
      </c>
      <c r="H150" s="131">
        <v>1072</v>
      </c>
      <c r="I150" s="49" t="s">
        <v>3706</v>
      </c>
      <c r="J150" s="52"/>
      <c r="K150" s="169" t="s">
        <v>5555</v>
      </c>
      <c r="L150" s="169" t="s">
        <v>5586</v>
      </c>
      <c r="M150" s="58">
        <v>45534</v>
      </c>
      <c r="N150" s="128" t="str">
        <f>+VLOOKUP(B150,BOM!$A$8:$X$1078,22,0)</f>
        <v xml:space="preserve">21x2 +20x4 + 9x5 + 22x6 + </v>
      </c>
    </row>
    <row r="151" spans="1:15" ht="15">
      <c r="A151" s="153">
        <v>149</v>
      </c>
      <c r="B151" s="107" t="s">
        <v>1187</v>
      </c>
      <c r="C151" s="126" t="s">
        <v>1188</v>
      </c>
      <c r="D151" s="127">
        <v>2</v>
      </c>
      <c r="E151" s="56" t="s">
        <v>2417</v>
      </c>
      <c r="F151" s="126" t="s">
        <v>22</v>
      </c>
      <c r="G151" s="126" t="s">
        <v>1664</v>
      </c>
      <c r="H151" s="131">
        <v>88</v>
      </c>
      <c r="I151" s="49" t="s">
        <v>3706</v>
      </c>
      <c r="J151" s="52"/>
      <c r="K151" s="169" t="s">
        <v>5555</v>
      </c>
      <c r="L151" s="169" t="s">
        <v>5587</v>
      </c>
      <c r="M151" s="90">
        <v>45540</v>
      </c>
      <c r="N151" s="128" t="str">
        <f>+VLOOKUP(B151,BOM!$A$8:$X$1078,22,0)</f>
        <v>4x0 + 2x2 + 2x5 + 3xC</v>
      </c>
    </row>
    <row r="152" spans="1:15" ht="15">
      <c r="A152" s="153">
        <v>150</v>
      </c>
      <c r="B152" s="107" t="s">
        <v>269</v>
      </c>
      <c r="C152" s="126" t="s">
        <v>270</v>
      </c>
      <c r="D152" s="127">
        <v>8</v>
      </c>
      <c r="E152" s="56" t="s">
        <v>2394</v>
      </c>
      <c r="F152" s="126" t="s">
        <v>22</v>
      </c>
      <c r="G152" s="126" t="s">
        <v>1664</v>
      </c>
      <c r="H152" s="131">
        <v>80</v>
      </c>
      <c r="I152" s="49" t="s">
        <v>3706</v>
      </c>
      <c r="J152" s="52"/>
      <c r="K152" s="169"/>
      <c r="L152" s="169" t="s">
        <v>5588</v>
      </c>
      <c r="M152" s="58">
        <v>45534</v>
      </c>
      <c r="N152" s="128">
        <f>+VLOOKUP(B152,BOM!$A$8:$X$1078,22,0)</f>
        <v>4</v>
      </c>
    </row>
    <row r="153" spans="1:15" ht="15">
      <c r="A153" s="153">
        <v>151</v>
      </c>
      <c r="B153" s="107" t="s">
        <v>490</v>
      </c>
      <c r="C153" s="126" t="s">
        <v>485</v>
      </c>
      <c r="D153" s="127">
        <v>1</v>
      </c>
      <c r="E153" s="56" t="s">
        <v>2394</v>
      </c>
      <c r="F153" s="126" t="s">
        <v>22</v>
      </c>
      <c r="G153" s="126" t="s">
        <v>1664</v>
      </c>
      <c r="H153" s="131">
        <v>48</v>
      </c>
      <c r="I153" s="49" t="s">
        <v>3706</v>
      </c>
      <c r="J153" s="52"/>
      <c r="K153" s="169" t="s">
        <v>5549</v>
      </c>
      <c r="L153" s="169" t="s">
        <v>5589</v>
      </c>
      <c r="M153" s="58">
        <v>45534</v>
      </c>
      <c r="N153" s="128" t="str">
        <f>+VLOOKUP(B153,BOM!$A$8:$X$1078,22,0)</f>
        <v>2x0 + 1x3 + 3x6</v>
      </c>
    </row>
    <row r="154" spans="1:15" ht="15">
      <c r="A154" s="153">
        <v>152</v>
      </c>
      <c r="B154" s="107" t="s">
        <v>796</v>
      </c>
      <c r="C154" s="126" t="s">
        <v>485</v>
      </c>
      <c r="D154" s="127">
        <v>1</v>
      </c>
      <c r="E154" s="56" t="s">
        <v>2394</v>
      </c>
      <c r="F154" s="126" t="s">
        <v>22</v>
      </c>
      <c r="G154" s="126" t="s">
        <v>1664</v>
      </c>
      <c r="H154" s="131">
        <v>32</v>
      </c>
      <c r="I154" s="49" t="s">
        <v>3706</v>
      </c>
      <c r="J154" s="52"/>
      <c r="K154" s="169"/>
      <c r="L154" s="169" t="s">
        <v>5590</v>
      </c>
      <c r="M154" s="58">
        <v>45534</v>
      </c>
      <c r="N154" s="128">
        <f>+VLOOKUP(B154,BOM!$A$8:$X$1078,22,0)</f>
        <v>3</v>
      </c>
    </row>
    <row r="155" spans="1:15" ht="15">
      <c r="A155" s="153">
        <v>153</v>
      </c>
      <c r="B155" s="107" t="s">
        <v>857</v>
      </c>
      <c r="C155" s="126" t="s">
        <v>489</v>
      </c>
      <c r="D155" s="127">
        <v>6</v>
      </c>
      <c r="E155" s="56" t="s">
        <v>2394</v>
      </c>
      <c r="F155" s="126" t="s">
        <v>22</v>
      </c>
      <c r="G155" s="126" t="s">
        <v>1664</v>
      </c>
      <c r="H155" s="131">
        <v>48</v>
      </c>
      <c r="I155" s="49" t="s">
        <v>3706</v>
      </c>
      <c r="J155" s="52"/>
      <c r="K155" s="169"/>
      <c r="L155" s="169" t="s">
        <v>5591</v>
      </c>
      <c r="M155" s="58">
        <v>45534</v>
      </c>
      <c r="N155" s="128">
        <f>+VLOOKUP(B155,BOM!$A$8:$X$1078,22,0)</f>
        <v>3</v>
      </c>
    </row>
    <row r="156" spans="1:15" ht="15">
      <c r="A156" s="153">
        <v>154</v>
      </c>
      <c r="B156" s="107" t="s">
        <v>875</v>
      </c>
      <c r="C156" s="126" t="s">
        <v>876</v>
      </c>
      <c r="D156" s="55">
        <v>4</v>
      </c>
      <c r="E156" s="56" t="s">
        <v>2394</v>
      </c>
      <c r="F156" s="126" t="s">
        <v>22</v>
      </c>
      <c r="G156" s="126" t="s">
        <v>1664</v>
      </c>
      <c r="H156" s="131">
        <v>32</v>
      </c>
      <c r="I156" s="49" t="s">
        <v>3706</v>
      </c>
      <c r="J156" s="52"/>
      <c r="K156" s="169"/>
      <c r="L156" s="169" t="s">
        <v>5592</v>
      </c>
      <c r="M156" s="90">
        <v>45540</v>
      </c>
      <c r="N156" s="128">
        <f>+VLOOKUP(B156,BOM!$A$8:$X$1078,22,0)</f>
        <v>3</v>
      </c>
    </row>
    <row r="157" spans="1:15" ht="15">
      <c r="A157" s="153">
        <v>155</v>
      </c>
      <c r="B157" s="107" t="s">
        <v>1426</v>
      </c>
      <c r="C157" s="126" t="s">
        <v>1865</v>
      </c>
      <c r="D157" s="127">
        <v>2</v>
      </c>
      <c r="E157" s="56" t="s">
        <v>2394</v>
      </c>
      <c r="F157" s="126" t="s">
        <v>22</v>
      </c>
      <c r="G157" s="126" t="s">
        <v>1667</v>
      </c>
      <c r="H157" s="131">
        <v>2</v>
      </c>
      <c r="I157" s="49" t="s">
        <v>2425</v>
      </c>
      <c r="J157" s="52"/>
      <c r="K157" s="169"/>
      <c r="L157" s="169" t="s">
        <v>5593</v>
      </c>
      <c r="M157" s="58">
        <v>45534</v>
      </c>
      <c r="N157" s="128" t="str">
        <f>+VLOOKUP(B157,BOM!$A$8:$X$1078,22,0)</f>
        <v xml:space="preserve">1x3 + </v>
      </c>
    </row>
    <row r="158" spans="1:15" ht="15">
      <c r="A158" s="153">
        <v>156</v>
      </c>
      <c r="B158" s="107" t="s">
        <v>1428</v>
      </c>
      <c r="C158" s="126" t="s">
        <v>1866</v>
      </c>
      <c r="D158" s="55">
        <v>1</v>
      </c>
      <c r="E158" s="56" t="s">
        <v>2394</v>
      </c>
      <c r="F158" s="126" t="s">
        <v>22</v>
      </c>
      <c r="G158" s="126" t="s">
        <v>1667</v>
      </c>
      <c r="H158" s="131">
        <v>1</v>
      </c>
      <c r="I158" s="68" t="s">
        <v>2425</v>
      </c>
      <c r="J158" s="52"/>
      <c r="K158" s="169"/>
      <c r="L158" s="169" t="s">
        <v>5594</v>
      </c>
      <c r="M158" s="58"/>
      <c r="N158" s="128">
        <f>+VLOOKUP(B158,BOM!$A$8:$X$1078,22,0)</f>
        <v>3</v>
      </c>
    </row>
    <row r="159" spans="1:15" ht="15">
      <c r="A159" s="153">
        <v>157</v>
      </c>
      <c r="B159" s="107" t="s">
        <v>1446</v>
      </c>
      <c r="C159" s="126" t="s">
        <v>1866</v>
      </c>
      <c r="D159" s="127">
        <v>1</v>
      </c>
      <c r="E159" s="56" t="s">
        <v>2394</v>
      </c>
      <c r="F159" s="126" t="s">
        <v>22</v>
      </c>
      <c r="G159" s="126" t="s">
        <v>1667</v>
      </c>
      <c r="H159" s="131">
        <v>1</v>
      </c>
      <c r="I159" s="49" t="s">
        <v>2425</v>
      </c>
      <c r="J159" s="52"/>
      <c r="K159" s="169"/>
      <c r="L159" s="169" t="s">
        <v>5595</v>
      </c>
      <c r="M159" s="58">
        <v>45534</v>
      </c>
      <c r="N159" s="128">
        <f>+VLOOKUP(B159,BOM!$A$8:$X$1078,22,0)</f>
        <v>3</v>
      </c>
    </row>
    <row r="160" spans="1:15" ht="15">
      <c r="A160" s="153">
        <v>158</v>
      </c>
      <c r="B160" s="107" t="s">
        <v>524</v>
      </c>
      <c r="C160" s="126" t="s">
        <v>526</v>
      </c>
      <c r="D160" s="127">
        <v>2</v>
      </c>
      <c r="E160" s="56" t="s">
        <v>2427</v>
      </c>
      <c r="F160" s="126" t="s">
        <v>22</v>
      </c>
      <c r="G160" s="126" t="s">
        <v>1664</v>
      </c>
      <c r="H160" s="131">
        <v>16</v>
      </c>
      <c r="I160" s="49" t="s">
        <v>3706</v>
      </c>
      <c r="J160" s="52"/>
      <c r="K160" s="169"/>
      <c r="L160" s="169" t="s">
        <v>5596</v>
      </c>
      <c r="M160" s="58">
        <v>45534</v>
      </c>
      <c r="N160" s="128">
        <f>+VLOOKUP(B160,BOM!$A$8:$X$1078,22,0)</f>
        <v>3</v>
      </c>
    </row>
    <row r="161" spans="1:14" ht="15">
      <c r="A161" s="153">
        <v>159</v>
      </c>
      <c r="B161" s="107" t="s">
        <v>1456</v>
      </c>
      <c r="C161" s="126" t="s">
        <v>2064</v>
      </c>
      <c r="D161" s="55">
        <v>2</v>
      </c>
      <c r="E161" s="56" t="s">
        <v>2394</v>
      </c>
      <c r="F161" s="126" t="s">
        <v>22</v>
      </c>
      <c r="G161" s="126" t="s">
        <v>1667</v>
      </c>
      <c r="H161" s="131">
        <v>8</v>
      </c>
      <c r="I161" s="49" t="s">
        <v>2425</v>
      </c>
      <c r="J161" s="52"/>
      <c r="K161" s="169" t="s">
        <v>5597</v>
      </c>
      <c r="L161" s="169" t="s">
        <v>5598</v>
      </c>
      <c r="M161" s="90">
        <v>45540</v>
      </c>
      <c r="N161" s="128" t="str">
        <f>+VLOOKUP(B161,BOM!$A$8:$X$1078,22,0)</f>
        <v xml:space="preserve"> 2x3 + 2x5 + 2xD + </v>
      </c>
    </row>
    <row r="162" spans="1:14" ht="15">
      <c r="A162" s="153">
        <v>160</v>
      </c>
      <c r="B162" s="107" t="s">
        <v>1142</v>
      </c>
      <c r="C162" s="126" t="s">
        <v>1049</v>
      </c>
      <c r="D162" s="127">
        <v>8</v>
      </c>
      <c r="E162" s="56" t="s">
        <v>2394</v>
      </c>
      <c r="F162" s="126" t="s">
        <v>22</v>
      </c>
      <c r="G162" s="126" t="s">
        <v>1664</v>
      </c>
      <c r="H162" s="131">
        <v>64</v>
      </c>
      <c r="I162" s="49" t="s">
        <v>3706</v>
      </c>
      <c r="J162" s="52"/>
      <c r="K162" s="169"/>
      <c r="L162" s="183" t="s">
        <v>5599</v>
      </c>
      <c r="M162" s="91">
        <v>45534</v>
      </c>
      <c r="N162" s="128">
        <f>+VLOOKUP(B162,BOM!$A$8:$X$1078,22,0)</f>
        <v>3</v>
      </c>
    </row>
    <row r="163" spans="1:14" ht="15">
      <c r="A163" s="153">
        <v>161</v>
      </c>
      <c r="B163" s="107" t="s">
        <v>553</v>
      </c>
      <c r="C163" s="126" t="s">
        <v>555</v>
      </c>
      <c r="D163" s="127">
        <v>1</v>
      </c>
      <c r="E163" s="56" t="s">
        <v>2394</v>
      </c>
      <c r="F163" s="126" t="s">
        <v>22</v>
      </c>
      <c r="G163" s="126" t="s">
        <v>1664</v>
      </c>
      <c r="H163" s="131">
        <v>16</v>
      </c>
      <c r="I163" s="49" t="s">
        <v>3706</v>
      </c>
      <c r="J163" s="52"/>
      <c r="K163" s="169" t="s">
        <v>5600</v>
      </c>
      <c r="L163" s="169" t="s">
        <v>5601</v>
      </c>
      <c r="M163" s="58">
        <v>45534</v>
      </c>
      <c r="N163" s="128" t="str">
        <f>+VLOOKUP(B163,BOM!$A$8:$X$1078,22,0)</f>
        <v xml:space="preserve">1x3 + </v>
      </c>
    </row>
    <row r="164" spans="1:14" ht="15">
      <c r="A164" s="153">
        <v>162</v>
      </c>
      <c r="B164" s="107" t="s">
        <v>1152</v>
      </c>
      <c r="C164" s="126" t="s">
        <v>558</v>
      </c>
      <c r="D164" s="127">
        <v>12</v>
      </c>
      <c r="E164" s="56" t="s">
        <v>2394</v>
      </c>
      <c r="F164" s="126" t="s">
        <v>22</v>
      </c>
      <c r="G164" s="126" t="s">
        <v>1664</v>
      </c>
      <c r="H164" s="131">
        <v>96</v>
      </c>
      <c r="I164" s="49" t="s">
        <v>3706</v>
      </c>
      <c r="J164" s="52"/>
      <c r="K164" s="169" t="s">
        <v>5555</v>
      </c>
      <c r="L164" s="169" t="s">
        <v>5602</v>
      </c>
      <c r="M164" s="58">
        <v>45534</v>
      </c>
      <c r="N164" s="128">
        <f>+VLOOKUP(B164,BOM!$A$8:$X$1078,22,0)</f>
        <v>3</v>
      </c>
    </row>
    <row r="165" spans="1:14" ht="15">
      <c r="A165" s="153">
        <v>163</v>
      </c>
      <c r="B165" s="107" t="s">
        <v>556</v>
      </c>
      <c r="C165" s="126" t="s">
        <v>558</v>
      </c>
      <c r="D165" s="127">
        <v>8</v>
      </c>
      <c r="E165" s="56" t="s">
        <v>2394</v>
      </c>
      <c r="F165" s="126" t="s">
        <v>22</v>
      </c>
      <c r="G165" s="126" t="s">
        <v>1664</v>
      </c>
      <c r="H165" s="131">
        <v>160</v>
      </c>
      <c r="I165" s="49" t="s">
        <v>3706</v>
      </c>
      <c r="J165" s="52"/>
      <c r="K165" s="169" t="s">
        <v>5555</v>
      </c>
      <c r="L165" s="169" t="s">
        <v>5603</v>
      </c>
      <c r="M165" s="58">
        <v>45534</v>
      </c>
      <c r="N165" s="128" t="str">
        <f>+VLOOKUP(B165,BOM!$A$8:$X$1078,22,0)</f>
        <v>2x0 +8x3 + 2x6 +8xB</v>
      </c>
    </row>
    <row r="166" spans="1:14" ht="15">
      <c r="A166" s="153">
        <v>164</v>
      </c>
      <c r="B166" s="107" t="s">
        <v>556</v>
      </c>
      <c r="C166" s="126" t="s">
        <v>558</v>
      </c>
      <c r="D166" s="127">
        <v>8</v>
      </c>
      <c r="E166" s="56" t="s">
        <v>2394</v>
      </c>
      <c r="F166" s="126" t="s">
        <v>22</v>
      </c>
      <c r="G166" s="126" t="s">
        <v>1664</v>
      </c>
      <c r="H166" s="131">
        <v>160</v>
      </c>
      <c r="I166" s="49" t="s">
        <v>3706</v>
      </c>
      <c r="J166" s="52"/>
      <c r="K166" s="169"/>
      <c r="L166" s="183" t="s">
        <v>5604</v>
      </c>
      <c r="M166" s="48">
        <v>45540</v>
      </c>
      <c r="N166" s="128" t="str">
        <f>+VLOOKUP(B166,BOM!$A$8:$X$1078,22,0)</f>
        <v>2x0 +8x3 + 2x6 +8xB</v>
      </c>
    </row>
    <row r="167" spans="1:14" ht="15">
      <c r="A167" s="153">
        <v>165</v>
      </c>
      <c r="B167" s="107" t="s">
        <v>1153</v>
      </c>
      <c r="C167" s="126" t="s">
        <v>558</v>
      </c>
      <c r="D167" s="127">
        <v>16</v>
      </c>
      <c r="E167" s="56" t="s">
        <v>2394</v>
      </c>
      <c r="F167" s="126" t="s">
        <v>22</v>
      </c>
      <c r="G167" s="126" t="s">
        <v>1664</v>
      </c>
      <c r="H167" s="131">
        <v>688</v>
      </c>
      <c r="I167" s="49" t="s">
        <v>3706</v>
      </c>
      <c r="J167" s="52"/>
      <c r="K167" s="169" t="s">
        <v>5555</v>
      </c>
      <c r="L167" s="169" t="s">
        <v>5605</v>
      </c>
      <c r="M167" s="58">
        <v>45534</v>
      </c>
      <c r="N167" s="128" t="str">
        <f>+VLOOKUP(B167,BOM!$A$8:$X$1078,22,0)</f>
        <v xml:space="preserve">16x3 + 16xA + </v>
      </c>
    </row>
    <row r="168" spans="1:14" ht="15">
      <c r="A168" s="153">
        <v>166</v>
      </c>
      <c r="B168" s="107" t="s">
        <v>1154</v>
      </c>
      <c r="C168" s="126" t="s">
        <v>558</v>
      </c>
      <c r="D168" s="55">
        <v>4</v>
      </c>
      <c r="E168" s="56" t="s">
        <v>2394</v>
      </c>
      <c r="F168" s="126" t="s">
        <v>22</v>
      </c>
      <c r="G168" s="126" t="s">
        <v>1664</v>
      </c>
      <c r="H168" s="131">
        <v>96</v>
      </c>
      <c r="I168" s="49" t="s">
        <v>3706</v>
      </c>
      <c r="J168" s="52"/>
      <c r="K168" s="169"/>
      <c r="L168" s="169" t="s">
        <v>5606</v>
      </c>
      <c r="M168" s="90">
        <v>45540</v>
      </c>
      <c r="N168" s="128" t="str">
        <f>+VLOOKUP(B168,BOM!$A$8:$X$1078,22,0)</f>
        <v>4x3 + 8xB</v>
      </c>
    </row>
    <row r="169" spans="1:14" ht="15">
      <c r="A169" s="153">
        <v>167</v>
      </c>
      <c r="B169" s="107" t="s">
        <v>1156</v>
      </c>
      <c r="C169" s="126" t="s">
        <v>558</v>
      </c>
      <c r="D169" s="127">
        <v>8</v>
      </c>
      <c r="E169" s="56" t="s">
        <v>2394</v>
      </c>
      <c r="F169" s="126" t="s">
        <v>22</v>
      </c>
      <c r="G169" s="126" t="s">
        <v>1664</v>
      </c>
      <c r="H169" s="131">
        <v>64</v>
      </c>
      <c r="I169" s="49" t="s">
        <v>3706</v>
      </c>
      <c r="J169" s="52"/>
      <c r="K169" s="169"/>
      <c r="L169" s="169" t="s">
        <v>5607</v>
      </c>
      <c r="M169" s="58">
        <v>45534</v>
      </c>
      <c r="N169" s="128">
        <f>+VLOOKUP(B169,BOM!$A$8:$X$1078,22,0)</f>
        <v>3</v>
      </c>
    </row>
    <row r="170" spans="1:14" ht="15">
      <c r="A170" s="153">
        <v>168</v>
      </c>
      <c r="B170" s="107" t="s">
        <v>1180</v>
      </c>
      <c r="C170" s="126" t="s">
        <v>587</v>
      </c>
      <c r="D170" s="55">
        <v>3</v>
      </c>
      <c r="E170" s="56" t="s">
        <v>2394</v>
      </c>
      <c r="F170" s="126" t="s">
        <v>22</v>
      </c>
      <c r="G170" s="126" t="s">
        <v>1664</v>
      </c>
      <c r="H170" s="131">
        <v>32</v>
      </c>
      <c r="I170" s="49" t="s">
        <v>3706</v>
      </c>
      <c r="J170" s="52"/>
      <c r="K170" s="169" t="s">
        <v>5555</v>
      </c>
      <c r="L170" s="186" t="s">
        <v>5608</v>
      </c>
      <c r="M170" s="90">
        <v>45540</v>
      </c>
      <c r="N170" s="128" t="str">
        <f>+VLOOKUP(B170,BOM!$A$8:$X$1078,22,0)</f>
        <v>1x3 + 2x5</v>
      </c>
    </row>
    <row r="171" spans="1:14" ht="15">
      <c r="A171" s="153">
        <v>169</v>
      </c>
      <c r="B171" s="107" t="s">
        <v>1189</v>
      </c>
      <c r="C171" s="126" t="s">
        <v>492</v>
      </c>
      <c r="D171" s="127">
        <v>6</v>
      </c>
      <c r="E171" s="56" t="s">
        <v>2394</v>
      </c>
      <c r="F171" s="126" t="s">
        <v>22</v>
      </c>
      <c r="G171" s="126" t="s">
        <v>1664</v>
      </c>
      <c r="H171" s="131">
        <v>48</v>
      </c>
      <c r="I171" s="49" t="s">
        <v>3706</v>
      </c>
      <c r="J171" s="52"/>
      <c r="K171" s="169"/>
      <c r="L171" s="169" t="s">
        <v>5609</v>
      </c>
      <c r="M171" s="58">
        <v>45534</v>
      </c>
      <c r="N171" s="128">
        <f>+VLOOKUP(B171,BOM!$A$8:$X$1078,22,0)</f>
        <v>3</v>
      </c>
    </row>
    <row r="172" spans="1:14" ht="15">
      <c r="A172" s="153">
        <v>170</v>
      </c>
      <c r="B172" s="107" t="s">
        <v>624</v>
      </c>
      <c r="C172" s="126" t="s">
        <v>625</v>
      </c>
      <c r="D172" s="127">
        <v>1</v>
      </c>
      <c r="E172" s="56" t="s">
        <v>2394</v>
      </c>
      <c r="F172" s="126" t="s">
        <v>22</v>
      </c>
      <c r="G172" s="126" t="s">
        <v>1664</v>
      </c>
      <c r="H172" s="131">
        <v>88</v>
      </c>
      <c r="I172" s="49" t="s">
        <v>3706</v>
      </c>
      <c r="J172" s="52"/>
      <c r="K172" s="169" t="s">
        <v>5555</v>
      </c>
      <c r="L172" s="169" t="s">
        <v>5610</v>
      </c>
      <c r="M172" s="58">
        <v>45534</v>
      </c>
      <c r="N172" s="128" t="str">
        <f>+VLOOKUP(B172,BOM!$A$8:$X$1078,22,0)</f>
        <v>6x0 + 1x3 + 2x6</v>
      </c>
    </row>
    <row r="173" spans="1:14" ht="15">
      <c r="A173" s="153">
        <v>171</v>
      </c>
      <c r="B173" s="107" t="s">
        <v>637</v>
      </c>
      <c r="C173" s="126" t="s">
        <v>638</v>
      </c>
      <c r="D173" s="55">
        <v>5</v>
      </c>
      <c r="E173" s="56" t="s">
        <v>2394</v>
      </c>
      <c r="F173" s="126" t="s">
        <v>22</v>
      </c>
      <c r="G173" s="126" t="s">
        <v>1664</v>
      </c>
      <c r="H173" s="131">
        <v>240</v>
      </c>
      <c r="I173" s="49" t="s">
        <v>3706</v>
      </c>
      <c r="J173" s="52"/>
      <c r="K173" s="169" t="s">
        <v>5555</v>
      </c>
      <c r="L173" s="169" t="s">
        <v>5611</v>
      </c>
      <c r="M173" s="90">
        <v>45540</v>
      </c>
      <c r="N173" s="128" t="str">
        <f>+VLOOKUP(B173,BOM!$A$8:$X$1078,22,0)</f>
        <v xml:space="preserve">21x0 + 5x3 + 2x5 + </v>
      </c>
    </row>
    <row r="174" spans="1:14" ht="15">
      <c r="A174" s="153">
        <v>172</v>
      </c>
      <c r="B174" s="107" t="s">
        <v>742</v>
      </c>
      <c r="C174" s="126" t="s">
        <v>587</v>
      </c>
      <c r="D174" s="127">
        <v>8</v>
      </c>
      <c r="E174" s="56" t="s">
        <v>2394</v>
      </c>
      <c r="F174" s="126" t="s">
        <v>22</v>
      </c>
      <c r="G174" s="126" t="s">
        <v>1664</v>
      </c>
      <c r="H174" s="131">
        <v>64</v>
      </c>
      <c r="I174" s="49" t="s">
        <v>3706</v>
      </c>
      <c r="J174" s="52"/>
      <c r="K174" s="169"/>
      <c r="L174" s="183" t="s">
        <v>5612</v>
      </c>
      <c r="M174" s="91">
        <v>45534</v>
      </c>
      <c r="N174" s="128">
        <f>+VLOOKUP(B174,BOM!$A$8:$X$1078,22,0)</f>
        <v>3</v>
      </c>
    </row>
    <row r="175" spans="1:14" ht="15">
      <c r="A175" s="153">
        <v>173</v>
      </c>
      <c r="B175" s="107" t="s">
        <v>1218</v>
      </c>
      <c r="C175" s="126" t="s">
        <v>587</v>
      </c>
      <c r="D175" s="55">
        <v>2</v>
      </c>
      <c r="E175" s="56" t="s">
        <v>2394</v>
      </c>
      <c r="F175" s="126" t="s">
        <v>22</v>
      </c>
      <c r="G175" s="126" t="s">
        <v>1664</v>
      </c>
      <c r="H175" s="131">
        <v>16</v>
      </c>
      <c r="I175" s="49" t="s">
        <v>3706</v>
      </c>
      <c r="J175" s="52"/>
      <c r="K175" s="169"/>
      <c r="L175" s="183" t="s">
        <v>5613</v>
      </c>
      <c r="M175" s="48">
        <v>45540</v>
      </c>
      <c r="N175" s="128">
        <f>+VLOOKUP(B175,BOM!$A$8:$X$1078,22,0)</f>
        <v>3</v>
      </c>
    </row>
    <row r="176" spans="1:14" ht="15">
      <c r="A176" s="153">
        <v>174</v>
      </c>
      <c r="B176" s="107" t="s">
        <v>1221</v>
      </c>
      <c r="C176" s="126" t="s">
        <v>489</v>
      </c>
      <c r="D176" s="55">
        <v>32</v>
      </c>
      <c r="E176" s="56" t="s">
        <v>2394</v>
      </c>
      <c r="F176" s="126" t="s">
        <v>22</v>
      </c>
      <c r="G176" s="126" t="s">
        <v>1664</v>
      </c>
      <c r="H176" s="131">
        <v>256</v>
      </c>
      <c r="I176" s="49" t="s">
        <v>3706</v>
      </c>
      <c r="J176" s="52"/>
      <c r="K176" s="169"/>
      <c r="L176" s="183" t="s">
        <v>5614</v>
      </c>
      <c r="M176" s="48">
        <v>45540</v>
      </c>
      <c r="N176" s="128">
        <f>+VLOOKUP(B176,BOM!$A$8:$X$1078,22,0)</f>
        <v>3</v>
      </c>
    </row>
    <row r="177" spans="1:14" ht="15">
      <c r="A177" s="153">
        <v>175</v>
      </c>
      <c r="B177" s="107" t="s">
        <v>1229</v>
      </c>
      <c r="C177" s="126" t="s">
        <v>506</v>
      </c>
      <c r="D177" s="55">
        <v>4</v>
      </c>
      <c r="E177" s="56" t="s">
        <v>2394</v>
      </c>
      <c r="F177" s="126" t="s">
        <v>22</v>
      </c>
      <c r="G177" s="126" t="s">
        <v>1664</v>
      </c>
      <c r="H177" s="131">
        <v>32</v>
      </c>
      <c r="I177" s="49" t="s">
        <v>3706</v>
      </c>
      <c r="J177" s="52"/>
      <c r="K177" s="169"/>
      <c r="L177" s="169" t="s">
        <v>5615</v>
      </c>
      <c r="M177" s="90">
        <v>45540</v>
      </c>
      <c r="N177" s="128">
        <f>+VLOOKUP(B177,BOM!$A$8:$X$1078,22,0)</f>
        <v>3</v>
      </c>
    </row>
    <row r="178" spans="1:14" ht="15">
      <c r="A178" s="153">
        <v>176</v>
      </c>
      <c r="B178" s="108" t="s">
        <v>1238</v>
      </c>
      <c r="C178" s="126" t="s">
        <v>558</v>
      </c>
      <c r="D178" s="127">
        <v>2</v>
      </c>
      <c r="E178" s="56" t="s">
        <v>2394</v>
      </c>
      <c r="F178" s="126" t="s">
        <v>22</v>
      </c>
      <c r="G178" s="126" t="s">
        <v>1664</v>
      </c>
      <c r="H178" s="131">
        <v>16</v>
      </c>
      <c r="I178" s="49" t="s">
        <v>3706</v>
      </c>
      <c r="J178" s="52"/>
      <c r="K178" s="169"/>
      <c r="L178" s="169" t="s">
        <v>5616</v>
      </c>
      <c r="M178" s="58"/>
    </row>
    <row r="179" spans="1:14" ht="15">
      <c r="A179" s="153">
        <v>177</v>
      </c>
      <c r="B179" s="107" t="s">
        <v>1246</v>
      </c>
      <c r="C179" s="126" t="s">
        <v>506</v>
      </c>
      <c r="D179" s="127">
        <v>2</v>
      </c>
      <c r="E179" s="56" t="s">
        <v>2394</v>
      </c>
      <c r="F179" s="126" t="s">
        <v>22</v>
      </c>
      <c r="G179" s="126" t="s">
        <v>1664</v>
      </c>
      <c r="H179" s="131">
        <v>16</v>
      </c>
      <c r="I179" s="49" t="s">
        <v>3706</v>
      </c>
      <c r="J179" s="52"/>
      <c r="K179" s="169"/>
      <c r="L179" s="169" t="s">
        <v>5617</v>
      </c>
      <c r="M179" s="58"/>
      <c r="N179" s="128">
        <f>+VLOOKUP(B179,BOM!$A$8:$X$1078,22,0)</f>
        <v>3</v>
      </c>
    </row>
    <row r="180" spans="1:14" ht="15">
      <c r="A180" s="153">
        <v>178</v>
      </c>
      <c r="B180" s="108" t="s">
        <v>750</v>
      </c>
      <c r="C180" s="126" t="s">
        <v>492</v>
      </c>
      <c r="D180" s="127">
        <v>4</v>
      </c>
      <c r="E180" s="56" t="s">
        <v>2394</v>
      </c>
      <c r="F180" s="126" t="s">
        <v>22</v>
      </c>
      <c r="G180" s="126" t="s">
        <v>1664</v>
      </c>
      <c r="H180" s="131">
        <v>128</v>
      </c>
      <c r="I180" s="49" t="s">
        <v>3706</v>
      </c>
      <c r="J180" s="52"/>
      <c r="K180" s="169" t="s">
        <v>5555</v>
      </c>
      <c r="L180" s="169" t="s">
        <v>5618</v>
      </c>
      <c r="M180" s="58"/>
      <c r="N180" s="128" t="str">
        <f>+VLOOKUP(B180,BOM!$A$8:$X$1078,22,0)</f>
        <v xml:space="preserve">4x3 + 4x5 + 4xD + </v>
      </c>
    </row>
    <row r="181" spans="1:14" ht="15">
      <c r="A181" s="153">
        <v>179</v>
      </c>
      <c r="B181" s="107" t="s">
        <v>752</v>
      </c>
      <c r="C181" s="126" t="s">
        <v>489</v>
      </c>
      <c r="D181" s="127">
        <v>4</v>
      </c>
      <c r="E181" s="56" t="s">
        <v>2394</v>
      </c>
      <c r="F181" s="126" t="s">
        <v>22</v>
      </c>
      <c r="G181" s="126" t="s">
        <v>1664</v>
      </c>
      <c r="H181" s="131">
        <v>112</v>
      </c>
      <c r="I181" s="49" t="s">
        <v>3706</v>
      </c>
      <c r="J181" s="52"/>
      <c r="K181" s="169" t="s">
        <v>5555</v>
      </c>
      <c r="L181" s="183" t="s">
        <v>5619</v>
      </c>
      <c r="M181" s="48"/>
      <c r="N181" s="128" t="str">
        <f>+VLOOKUP(B181,BOM!$A$8:$X$1078,22,0)</f>
        <v xml:space="preserve">1x0 + 5x3 + 1x4 + 1x6 + 4xB + </v>
      </c>
    </row>
    <row r="182" spans="1:14" ht="15">
      <c r="A182" s="153">
        <v>180</v>
      </c>
      <c r="B182" s="107" t="s">
        <v>1273</v>
      </c>
      <c r="C182" s="126" t="s">
        <v>489</v>
      </c>
      <c r="D182" s="127">
        <v>4</v>
      </c>
      <c r="E182" s="56" t="s">
        <v>2394</v>
      </c>
      <c r="F182" s="126" t="s">
        <v>22</v>
      </c>
      <c r="G182" s="126" t="s">
        <v>1664</v>
      </c>
      <c r="H182" s="131">
        <v>32</v>
      </c>
      <c r="I182" s="49" t="s">
        <v>3706</v>
      </c>
      <c r="J182" s="52"/>
      <c r="K182" s="169"/>
      <c r="L182" s="183" t="s">
        <v>5620</v>
      </c>
      <c r="M182" s="91">
        <v>45534</v>
      </c>
      <c r="N182" s="128">
        <f>+VLOOKUP(B182,BOM!$A$8:$X$1078,22,0)</f>
        <v>3</v>
      </c>
    </row>
    <row r="183" spans="1:14" ht="15">
      <c r="A183" s="153">
        <v>181</v>
      </c>
      <c r="B183" s="107" t="s">
        <v>1274</v>
      </c>
      <c r="C183" s="126" t="s">
        <v>489</v>
      </c>
      <c r="D183" s="127">
        <v>8</v>
      </c>
      <c r="E183" s="56" t="s">
        <v>2394</v>
      </c>
      <c r="F183" s="126" t="s">
        <v>22</v>
      </c>
      <c r="G183" s="126" t="s">
        <v>1664</v>
      </c>
      <c r="H183" s="131">
        <v>144</v>
      </c>
      <c r="I183" s="49" t="s">
        <v>3706</v>
      </c>
      <c r="J183" s="52"/>
      <c r="K183" s="169" t="s">
        <v>5555</v>
      </c>
      <c r="L183" s="169" t="s">
        <v>5621</v>
      </c>
      <c r="M183" s="58">
        <v>45534</v>
      </c>
      <c r="N183" s="128" t="str">
        <f>+VLOOKUP(B183,BOM!$A$8:$X$1078,22,0)</f>
        <v xml:space="preserve">8x3 + 8xA + </v>
      </c>
    </row>
    <row r="184" spans="1:14" ht="15">
      <c r="A184" s="153">
        <v>182</v>
      </c>
      <c r="B184" s="107" t="s">
        <v>1275</v>
      </c>
      <c r="C184" s="126" t="s">
        <v>489</v>
      </c>
      <c r="D184" s="127">
        <v>8</v>
      </c>
      <c r="E184" s="56" t="s">
        <v>2394</v>
      </c>
      <c r="F184" s="126" t="s">
        <v>22</v>
      </c>
      <c r="G184" s="126" t="s">
        <v>1664</v>
      </c>
      <c r="H184" s="131">
        <v>64</v>
      </c>
      <c r="I184" s="49" t="s">
        <v>3706</v>
      </c>
      <c r="J184" s="52"/>
      <c r="K184" s="169"/>
      <c r="L184" s="169" t="s">
        <v>5622</v>
      </c>
      <c r="M184" s="58">
        <v>45534</v>
      </c>
      <c r="N184" s="128">
        <f>+VLOOKUP(B184,BOM!$A$8:$X$1078,22,0)</f>
        <v>3</v>
      </c>
    </row>
    <row r="185" spans="1:14" ht="15">
      <c r="A185" s="153">
        <v>183</v>
      </c>
      <c r="B185" s="107" t="s">
        <v>1278</v>
      </c>
      <c r="C185" s="126" t="s">
        <v>492</v>
      </c>
      <c r="D185" s="127">
        <v>4</v>
      </c>
      <c r="E185" s="56" t="s">
        <v>2394</v>
      </c>
      <c r="F185" s="126" t="s">
        <v>22</v>
      </c>
      <c r="G185" s="126" t="s">
        <v>1664</v>
      </c>
      <c r="H185" s="131">
        <v>32</v>
      </c>
      <c r="I185" s="49" t="s">
        <v>3706</v>
      </c>
      <c r="J185" s="52"/>
      <c r="K185" s="169"/>
      <c r="L185" s="183" t="s">
        <v>5623</v>
      </c>
      <c r="M185" s="91">
        <v>45534</v>
      </c>
      <c r="N185" s="128">
        <f>+VLOOKUP(B185,BOM!$A$8:$X$1078,22,0)</f>
        <v>3</v>
      </c>
    </row>
    <row r="186" spans="1:14" ht="15">
      <c r="A186" s="153">
        <v>184</v>
      </c>
      <c r="B186" s="107" t="s">
        <v>1279</v>
      </c>
      <c r="C186" s="126" t="s">
        <v>492</v>
      </c>
      <c r="D186" s="55">
        <v>4</v>
      </c>
      <c r="E186" s="56" t="s">
        <v>2394</v>
      </c>
      <c r="F186" s="126" t="s">
        <v>22</v>
      </c>
      <c r="G186" s="126" t="s">
        <v>1664</v>
      </c>
      <c r="H186" s="131">
        <v>32</v>
      </c>
      <c r="I186" s="49" t="s">
        <v>3706</v>
      </c>
      <c r="J186" s="52"/>
      <c r="K186" s="169" t="s">
        <v>5624</v>
      </c>
      <c r="L186" s="183" t="s">
        <v>5625</v>
      </c>
      <c r="M186" s="48">
        <v>45540</v>
      </c>
      <c r="N186" s="128" t="str">
        <f>+VLOOKUP(B186,BOM!$A$8:$X$1078,22,0)</f>
        <v xml:space="preserve">2x3 + </v>
      </c>
    </row>
    <row r="187" spans="1:14" ht="15">
      <c r="A187" s="153">
        <v>185</v>
      </c>
      <c r="B187" s="107" t="s">
        <v>1280</v>
      </c>
      <c r="C187" s="126" t="s">
        <v>492</v>
      </c>
      <c r="D187" s="55">
        <v>2</v>
      </c>
      <c r="E187" s="56" t="s">
        <v>2394</v>
      </c>
      <c r="F187" s="126" t="s">
        <v>22</v>
      </c>
      <c r="G187" s="126" t="s">
        <v>1664</v>
      </c>
      <c r="H187" s="131">
        <v>96</v>
      </c>
      <c r="I187" s="49" t="s">
        <v>3706</v>
      </c>
      <c r="J187" s="52"/>
      <c r="K187" s="169" t="s">
        <v>5519</v>
      </c>
      <c r="L187" s="169" t="s">
        <v>5626</v>
      </c>
      <c r="M187" s="90">
        <v>45540</v>
      </c>
      <c r="N187" s="128">
        <f>+VLOOKUP(B187,BOM!$A$8:$X$1078,22,0)</f>
        <v>3</v>
      </c>
    </row>
    <row r="188" spans="1:14" ht="15">
      <c r="A188" s="153">
        <v>186</v>
      </c>
      <c r="B188" s="107" t="s">
        <v>1282</v>
      </c>
      <c r="C188" s="126" t="s">
        <v>492</v>
      </c>
      <c r="D188" s="127">
        <v>4</v>
      </c>
      <c r="E188" s="56" t="s">
        <v>2394</v>
      </c>
      <c r="F188" s="126" t="s">
        <v>22</v>
      </c>
      <c r="G188" s="126" t="s">
        <v>1664</v>
      </c>
      <c r="H188" s="131">
        <v>32</v>
      </c>
      <c r="I188" s="49" t="s">
        <v>3706</v>
      </c>
      <c r="J188" s="52"/>
      <c r="K188" s="169"/>
      <c r="L188" s="169" t="s">
        <v>5627</v>
      </c>
      <c r="M188" s="58">
        <v>45534</v>
      </c>
      <c r="N188" s="128">
        <f>+VLOOKUP(B188,BOM!$A$8:$X$1078,22,0)</f>
        <v>3</v>
      </c>
    </row>
    <row r="189" spans="1:14" ht="15">
      <c r="A189" s="153">
        <v>187</v>
      </c>
      <c r="B189" s="107" t="s">
        <v>1283</v>
      </c>
      <c r="C189" s="126" t="s">
        <v>1285</v>
      </c>
      <c r="D189" s="127"/>
      <c r="E189" s="56" t="s">
        <v>2394</v>
      </c>
      <c r="F189" s="126" t="s">
        <v>22</v>
      </c>
      <c r="G189" s="126" t="s">
        <v>1664</v>
      </c>
      <c r="H189" s="131">
        <v>64</v>
      </c>
      <c r="I189" s="49" t="s">
        <v>3706</v>
      </c>
      <c r="J189" s="52"/>
      <c r="K189" s="169"/>
      <c r="L189" s="169" t="s">
        <v>5628</v>
      </c>
      <c r="M189" s="58">
        <v>45534</v>
      </c>
      <c r="N189" s="128">
        <f>+VLOOKUP(B189,BOM!$A$8:$X$1078,22,0)</f>
        <v>3</v>
      </c>
    </row>
    <row r="190" spans="1:14" ht="15">
      <c r="A190" s="153">
        <v>188</v>
      </c>
      <c r="B190" s="107" t="s">
        <v>1286</v>
      </c>
      <c r="C190" s="126" t="s">
        <v>1285</v>
      </c>
      <c r="D190" s="127">
        <v>4</v>
      </c>
      <c r="E190" s="56" t="s">
        <v>2394</v>
      </c>
      <c r="F190" s="126" t="s">
        <v>22</v>
      </c>
      <c r="G190" s="126" t="s">
        <v>1664</v>
      </c>
      <c r="H190" s="131">
        <v>32</v>
      </c>
      <c r="I190" s="49" t="s">
        <v>3706</v>
      </c>
      <c r="J190" s="52"/>
      <c r="K190" s="169"/>
      <c r="L190" s="169" t="s">
        <v>5629</v>
      </c>
      <c r="M190" s="90">
        <v>45540</v>
      </c>
      <c r="N190" s="128">
        <f>+VLOOKUP(B190,BOM!$A$8:$X$1078,22,0)</f>
        <v>3</v>
      </c>
    </row>
    <row r="191" spans="1:14" ht="15">
      <c r="A191" s="153">
        <v>189</v>
      </c>
      <c r="B191" s="108" t="s">
        <v>1287</v>
      </c>
      <c r="C191" s="126" t="s">
        <v>489</v>
      </c>
      <c r="D191" s="127">
        <v>4</v>
      </c>
      <c r="E191" s="56" t="s">
        <v>2394</v>
      </c>
      <c r="F191" s="126" t="s">
        <v>22</v>
      </c>
      <c r="G191" s="126" t="s">
        <v>1664</v>
      </c>
      <c r="H191" s="131">
        <v>32</v>
      </c>
      <c r="I191" s="49" t="s">
        <v>3706</v>
      </c>
      <c r="J191" s="52"/>
      <c r="K191" s="169"/>
      <c r="L191" s="169" t="s">
        <v>5630</v>
      </c>
      <c r="M191" s="58">
        <v>45534</v>
      </c>
      <c r="N191" s="128">
        <f>+VLOOKUP(B191,BOM!$A$8:$X$1078,22,0)</f>
        <v>3</v>
      </c>
    </row>
    <row r="192" spans="1:14" ht="15">
      <c r="A192" s="153">
        <v>190</v>
      </c>
      <c r="B192" s="107" t="s">
        <v>250</v>
      </c>
      <c r="C192" s="126" t="s">
        <v>242</v>
      </c>
      <c r="D192" s="127">
        <v>1</v>
      </c>
      <c r="E192" s="56" t="s">
        <v>2427</v>
      </c>
      <c r="F192" s="126" t="s">
        <v>22</v>
      </c>
      <c r="G192" s="126" t="s">
        <v>1664</v>
      </c>
      <c r="H192" s="131">
        <v>6</v>
      </c>
      <c r="I192" s="49" t="s">
        <v>3706</v>
      </c>
      <c r="J192" s="52"/>
      <c r="K192" s="169" t="s">
        <v>5572</v>
      </c>
      <c r="L192" s="169" t="s">
        <v>5631</v>
      </c>
      <c r="M192" s="58">
        <v>45534</v>
      </c>
      <c r="N192" s="128" t="str">
        <f>+VLOOKUP(B192,BOM!$A$8:$X$1078,22,0)</f>
        <v>1x4 + 5xC</v>
      </c>
    </row>
    <row r="193" spans="1:14" ht="15">
      <c r="A193" s="153">
        <v>191</v>
      </c>
      <c r="B193" s="107" t="s">
        <v>496</v>
      </c>
      <c r="C193" s="126" t="s">
        <v>498</v>
      </c>
      <c r="D193" s="127">
        <v>4</v>
      </c>
      <c r="E193" s="56" t="s">
        <v>2427</v>
      </c>
      <c r="F193" s="126" t="s">
        <v>22</v>
      </c>
      <c r="G193" s="126" t="s">
        <v>1664</v>
      </c>
      <c r="H193" s="131">
        <v>32</v>
      </c>
      <c r="I193" s="49" t="s">
        <v>3706</v>
      </c>
      <c r="J193" s="52"/>
      <c r="K193" s="169" t="s">
        <v>5632</v>
      </c>
      <c r="L193" s="169" t="s">
        <v>5633</v>
      </c>
      <c r="M193" s="90">
        <v>45540</v>
      </c>
      <c r="N193" s="128">
        <f>+VLOOKUP(B193,BOM!$A$8:$X$1078,22,0)</f>
        <v>4</v>
      </c>
    </row>
    <row r="194" spans="1:14" ht="15">
      <c r="A194" s="153">
        <v>192</v>
      </c>
      <c r="B194" s="107" t="s">
        <v>1062</v>
      </c>
      <c r="C194" s="126" t="s">
        <v>1064</v>
      </c>
      <c r="D194" s="127">
        <v>20</v>
      </c>
      <c r="E194" s="56" t="s">
        <v>2427</v>
      </c>
      <c r="F194" s="126" t="s">
        <v>22</v>
      </c>
      <c r="G194" s="126" t="s">
        <v>1664</v>
      </c>
      <c r="H194" s="131">
        <v>160</v>
      </c>
      <c r="I194" s="49" t="s">
        <v>3706</v>
      </c>
      <c r="J194" s="52"/>
      <c r="K194" s="169"/>
      <c r="L194" s="169" t="s">
        <v>5634</v>
      </c>
      <c r="M194" s="58">
        <v>45534</v>
      </c>
      <c r="N194" s="128">
        <f>+VLOOKUP(B194,BOM!$A$8:$X$1078,22,0)</f>
        <v>4</v>
      </c>
    </row>
    <row r="195" spans="1:14" ht="15">
      <c r="A195" s="153">
        <v>193</v>
      </c>
      <c r="B195" s="107" t="s">
        <v>1151</v>
      </c>
      <c r="C195" s="126" t="s">
        <v>558</v>
      </c>
      <c r="D195" s="127">
        <v>1</v>
      </c>
      <c r="E195" s="56" t="s">
        <v>2427</v>
      </c>
      <c r="F195" s="126" t="s">
        <v>22</v>
      </c>
      <c r="G195" s="126" t="s">
        <v>1664</v>
      </c>
      <c r="H195" s="131">
        <v>8</v>
      </c>
      <c r="I195" s="49" t="s">
        <v>3706</v>
      </c>
      <c r="J195" s="52"/>
      <c r="K195" s="169"/>
      <c r="L195" s="169" t="s">
        <v>5635</v>
      </c>
      <c r="M195" s="58">
        <v>45534</v>
      </c>
      <c r="N195" s="128">
        <f>+VLOOKUP(B195,BOM!$A$8:$X$1078,22,0)</f>
        <v>4</v>
      </c>
    </row>
    <row r="196" spans="1:14" ht="15">
      <c r="A196" s="153">
        <v>194</v>
      </c>
      <c r="B196" s="107" t="s">
        <v>612</v>
      </c>
      <c r="C196" s="126" t="s">
        <v>614</v>
      </c>
      <c r="D196" s="127">
        <v>20</v>
      </c>
      <c r="E196" s="56" t="s">
        <v>2427</v>
      </c>
      <c r="F196" s="126" t="s">
        <v>22</v>
      </c>
      <c r="G196" s="126" t="s">
        <v>1686</v>
      </c>
      <c r="H196" s="131">
        <v>1072</v>
      </c>
      <c r="I196" s="49" t="s">
        <v>3706</v>
      </c>
      <c r="J196" s="52"/>
      <c r="K196" s="169" t="s">
        <v>5636</v>
      </c>
      <c r="L196" s="169" t="s">
        <v>5637</v>
      </c>
      <c r="M196" s="58">
        <v>45534</v>
      </c>
      <c r="N196" s="128" t="str">
        <f>+VLOOKUP(B196,BOM!$A$8:$X$1078,22,0)</f>
        <v xml:space="preserve">21x2 +20x4 + 9x5 + 22x6 + </v>
      </c>
    </row>
    <row r="197" spans="1:14" ht="15">
      <c r="A197" s="153">
        <v>195</v>
      </c>
      <c r="B197" s="107" t="s">
        <v>1198</v>
      </c>
      <c r="C197" s="126" t="s">
        <v>627</v>
      </c>
      <c r="D197" s="55">
        <v>2</v>
      </c>
      <c r="E197" s="56" t="s">
        <v>2427</v>
      </c>
      <c r="F197" s="126" t="s">
        <v>22</v>
      </c>
      <c r="G197" s="126" t="s">
        <v>1664</v>
      </c>
      <c r="H197" s="131">
        <v>24</v>
      </c>
      <c r="I197" s="49" t="s">
        <v>3706</v>
      </c>
      <c r="J197" s="52"/>
      <c r="K197" s="169" t="s">
        <v>5638</v>
      </c>
      <c r="L197" s="169" t="s">
        <v>5639</v>
      </c>
      <c r="M197" s="58"/>
      <c r="N197" s="128">
        <f>+VLOOKUP(B197,BOM!$A$8:$X$1078,22,0)</f>
        <v>4</v>
      </c>
    </row>
    <row r="198" spans="1:14" ht="15">
      <c r="A198" s="153">
        <v>196</v>
      </c>
      <c r="B198" s="107" t="s">
        <v>692</v>
      </c>
      <c r="C198" s="126" t="s">
        <v>693</v>
      </c>
      <c r="D198" s="55">
        <v>2</v>
      </c>
      <c r="E198" s="56" t="s">
        <v>2427</v>
      </c>
      <c r="F198" s="126" t="s">
        <v>22</v>
      </c>
      <c r="G198" s="126" t="s">
        <v>1664</v>
      </c>
      <c r="H198" s="131">
        <v>160</v>
      </c>
      <c r="I198" s="49" t="s">
        <v>3706</v>
      </c>
      <c r="J198" s="52"/>
      <c r="K198" s="169" t="s">
        <v>5632</v>
      </c>
      <c r="L198" s="169" t="s">
        <v>5640</v>
      </c>
      <c r="M198" s="90">
        <v>45540</v>
      </c>
      <c r="N198" s="128" t="str">
        <f>+VLOOKUP(B198,BOM!$A$8:$X$1078,22,0)</f>
        <v>8x0 + 2x4 + 10x5</v>
      </c>
    </row>
    <row r="199" spans="1:14" ht="15">
      <c r="A199" s="153">
        <v>197</v>
      </c>
      <c r="B199" s="107" t="s">
        <v>752</v>
      </c>
      <c r="C199" s="126" t="s">
        <v>489</v>
      </c>
      <c r="D199" s="55">
        <v>1</v>
      </c>
      <c r="E199" s="56" t="s">
        <v>2427</v>
      </c>
      <c r="F199" s="126" t="s">
        <v>22</v>
      </c>
      <c r="G199" s="126" t="s">
        <v>1664</v>
      </c>
      <c r="H199" s="131">
        <v>112</v>
      </c>
      <c r="I199" s="49" t="s">
        <v>3706</v>
      </c>
      <c r="J199" s="52"/>
      <c r="K199" s="169" t="s">
        <v>5555</v>
      </c>
      <c r="L199" s="169" t="s">
        <v>5641</v>
      </c>
      <c r="M199" s="90">
        <v>45540</v>
      </c>
      <c r="N199" s="128" t="str">
        <f>+VLOOKUP(B199,BOM!$A$8:$X$1078,22,0)</f>
        <v xml:space="preserve">1x0 + 5x3 + 1x4 + 1x6 + 4xB + </v>
      </c>
    </row>
    <row r="200" spans="1:14" ht="15">
      <c r="A200" s="153">
        <v>198</v>
      </c>
      <c r="B200" s="107" t="s">
        <v>1276</v>
      </c>
      <c r="C200" s="126" t="s">
        <v>492</v>
      </c>
      <c r="D200" s="127">
        <v>1</v>
      </c>
      <c r="E200" s="56" t="s">
        <v>2427</v>
      </c>
      <c r="F200" s="126" t="s">
        <v>22</v>
      </c>
      <c r="G200" s="126" t="s">
        <v>1664</v>
      </c>
      <c r="H200" s="131">
        <v>32</v>
      </c>
      <c r="I200" s="49" t="s">
        <v>3706</v>
      </c>
      <c r="J200" s="52"/>
      <c r="K200" s="169"/>
      <c r="L200" s="169" t="s">
        <v>5642</v>
      </c>
      <c r="M200" s="58">
        <v>45534</v>
      </c>
      <c r="N200" s="128">
        <f>+VLOOKUP(B200,BOM!$A$8:$X$1078,22,0)</f>
        <v>4</v>
      </c>
    </row>
    <row r="201" spans="1:14" ht="15">
      <c r="A201" s="153">
        <v>199</v>
      </c>
      <c r="B201" s="107" t="s">
        <v>251</v>
      </c>
      <c r="C201" s="126" t="s">
        <v>242</v>
      </c>
      <c r="D201" s="127">
        <v>1</v>
      </c>
      <c r="E201" s="56" t="s">
        <v>2437</v>
      </c>
      <c r="F201" s="126" t="s">
        <v>22</v>
      </c>
      <c r="G201" s="126" t="s">
        <v>1664</v>
      </c>
      <c r="H201" s="131">
        <v>1</v>
      </c>
      <c r="I201" s="49" t="s">
        <v>3706</v>
      </c>
      <c r="J201" s="52"/>
      <c r="K201" s="169"/>
      <c r="L201" s="186" t="s">
        <v>5643</v>
      </c>
      <c r="M201" s="58">
        <v>45534</v>
      </c>
      <c r="N201" s="128">
        <f>+VLOOKUP(B201,BOM!$A$8:$X$1078,22,0)</f>
        <v>5</v>
      </c>
    </row>
    <row r="202" spans="1:14" ht="15">
      <c r="A202" s="153">
        <v>200</v>
      </c>
      <c r="B202" s="132" t="s">
        <v>801</v>
      </c>
      <c r="C202" s="126" t="s">
        <v>485</v>
      </c>
      <c r="D202" s="55">
        <v>2</v>
      </c>
      <c r="E202" s="56" t="s">
        <v>2437</v>
      </c>
      <c r="F202" s="126" t="s">
        <v>22</v>
      </c>
      <c r="G202" s="126" t="s">
        <v>1664</v>
      </c>
      <c r="H202" s="57">
        <v>16</v>
      </c>
      <c r="I202" s="49" t="s">
        <v>3706</v>
      </c>
      <c r="J202" s="52"/>
      <c r="K202" s="169"/>
      <c r="L202" s="169" t="s">
        <v>5644</v>
      </c>
      <c r="M202" s="49"/>
    </row>
    <row r="203" spans="1:14" ht="15">
      <c r="A203" s="153">
        <v>201</v>
      </c>
      <c r="B203" s="107" t="s">
        <v>509</v>
      </c>
      <c r="C203" s="126" t="s">
        <v>21</v>
      </c>
      <c r="D203" s="55">
        <v>1</v>
      </c>
      <c r="E203" s="56" t="s">
        <v>2437</v>
      </c>
      <c r="F203" s="126" t="s">
        <v>22</v>
      </c>
      <c r="G203" s="126" t="s">
        <v>1664</v>
      </c>
      <c r="H203" s="131">
        <v>16</v>
      </c>
      <c r="I203" s="49" t="s">
        <v>3706</v>
      </c>
      <c r="J203" s="52"/>
      <c r="K203" s="169" t="s">
        <v>5645</v>
      </c>
      <c r="L203" s="169" t="s">
        <v>5646</v>
      </c>
      <c r="M203" s="58"/>
      <c r="N203" s="128">
        <f>+VLOOKUP(B203,BOM!$A$8:$X$1078,22,0)</f>
        <v>5</v>
      </c>
    </row>
    <row r="204" spans="1:14" ht="15">
      <c r="A204" s="153">
        <v>202</v>
      </c>
      <c r="B204" s="107" t="s">
        <v>1436</v>
      </c>
      <c r="C204" s="126" t="s">
        <v>1866</v>
      </c>
      <c r="D204" s="55">
        <v>1</v>
      </c>
      <c r="E204" s="56" t="s">
        <v>2437</v>
      </c>
      <c r="F204" s="126" t="s">
        <v>22</v>
      </c>
      <c r="G204" s="126" t="s">
        <v>1667</v>
      </c>
      <c r="H204" s="131">
        <v>1</v>
      </c>
      <c r="I204" s="49" t="s">
        <v>2438</v>
      </c>
      <c r="J204" s="52"/>
      <c r="K204" s="169"/>
      <c r="L204" s="169" t="s">
        <v>5647</v>
      </c>
      <c r="M204" s="90"/>
    </row>
    <row r="205" spans="1:14" ht="15">
      <c r="A205" s="153">
        <v>203</v>
      </c>
      <c r="B205" s="107" t="s">
        <v>991</v>
      </c>
      <c r="C205" s="126" t="s">
        <v>587</v>
      </c>
      <c r="D205" s="127">
        <v>4</v>
      </c>
      <c r="E205" s="56" t="s">
        <v>2437</v>
      </c>
      <c r="F205" s="126" t="s">
        <v>22</v>
      </c>
      <c r="G205" s="126" t="s">
        <v>1664</v>
      </c>
      <c r="H205" s="131">
        <v>32</v>
      </c>
      <c r="I205" s="49" t="s">
        <v>3706</v>
      </c>
      <c r="J205" s="52"/>
      <c r="K205" s="169"/>
      <c r="L205" s="169" t="s">
        <v>5648</v>
      </c>
      <c r="M205" s="58">
        <v>45534</v>
      </c>
      <c r="N205" s="128">
        <f>+VLOOKUP(B205,BOM!$A$8:$X$1078,22,0)</f>
        <v>5</v>
      </c>
    </row>
    <row r="206" spans="1:14" ht="15">
      <c r="A206" s="153">
        <v>204</v>
      </c>
      <c r="B206" s="107" t="s">
        <v>1117</v>
      </c>
      <c r="C206" s="126" t="s">
        <v>21</v>
      </c>
      <c r="D206" s="127">
        <v>2</v>
      </c>
      <c r="E206" s="56" t="s">
        <v>2437</v>
      </c>
      <c r="F206" s="126" t="s">
        <v>22</v>
      </c>
      <c r="G206" s="126" t="s">
        <v>1664</v>
      </c>
      <c r="H206" s="131">
        <v>24</v>
      </c>
      <c r="I206" s="49" t="s">
        <v>3706</v>
      </c>
      <c r="J206" s="52"/>
      <c r="K206" s="169"/>
      <c r="L206" s="169" t="s">
        <v>5649</v>
      </c>
      <c r="M206" s="58"/>
      <c r="N206" s="128">
        <f>+VLOOKUP(B206,BOM!$A$8:$X$1078,22,0)</f>
        <v>5</v>
      </c>
    </row>
    <row r="207" spans="1:14" ht="15">
      <c r="A207" s="153">
        <v>205</v>
      </c>
      <c r="B207" s="107" t="s">
        <v>1456</v>
      </c>
      <c r="C207" s="126" t="s">
        <v>2064</v>
      </c>
      <c r="D207" s="55">
        <v>2</v>
      </c>
      <c r="E207" s="56" t="s">
        <v>2437</v>
      </c>
      <c r="F207" s="126" t="s">
        <v>22</v>
      </c>
      <c r="G207" s="126" t="s">
        <v>1667</v>
      </c>
      <c r="H207" s="131">
        <v>8</v>
      </c>
      <c r="I207" s="49" t="s">
        <v>2438</v>
      </c>
      <c r="J207" s="52"/>
      <c r="K207" s="169" t="s">
        <v>5597</v>
      </c>
      <c r="L207" s="169" t="s">
        <v>5650</v>
      </c>
      <c r="M207" s="90">
        <v>45540</v>
      </c>
      <c r="N207" s="128" t="str">
        <f>+VLOOKUP(B207,BOM!$A$8:$X$1078,22,0)</f>
        <v xml:space="preserve"> 2x3 + 2x5 + 2xD + </v>
      </c>
    </row>
    <row r="208" spans="1:14" ht="15">
      <c r="A208" s="153">
        <v>206</v>
      </c>
      <c r="B208" s="107" t="s">
        <v>1149</v>
      </c>
      <c r="C208" s="126" t="s">
        <v>558</v>
      </c>
      <c r="D208" s="55">
        <v>9</v>
      </c>
      <c r="E208" s="56" t="s">
        <v>2437</v>
      </c>
      <c r="F208" s="126" t="s">
        <v>22</v>
      </c>
      <c r="G208" s="126" t="s">
        <v>1664</v>
      </c>
      <c r="H208" s="131">
        <v>72</v>
      </c>
      <c r="I208" s="49" t="s">
        <v>3706</v>
      </c>
      <c r="J208" s="52"/>
      <c r="K208" s="169"/>
      <c r="L208" s="169" t="s">
        <v>5651</v>
      </c>
      <c r="M208" s="58">
        <v>45534</v>
      </c>
      <c r="N208" s="128">
        <f>+VLOOKUP(B208,BOM!$A$8:$X$1078,22,0)</f>
        <v>5</v>
      </c>
    </row>
    <row r="209" spans="1:14" ht="15">
      <c r="A209" s="153">
        <v>207</v>
      </c>
      <c r="B209" s="107" t="s">
        <v>559</v>
      </c>
      <c r="C209" s="126" t="s">
        <v>560</v>
      </c>
      <c r="D209" s="127">
        <v>5</v>
      </c>
      <c r="E209" s="56" t="s">
        <v>2437</v>
      </c>
      <c r="F209" s="126" t="s">
        <v>22</v>
      </c>
      <c r="G209" s="126" t="s">
        <v>1686</v>
      </c>
      <c r="H209" s="131">
        <v>960</v>
      </c>
      <c r="I209" s="49" t="s">
        <v>3706</v>
      </c>
      <c r="J209" s="52"/>
      <c r="K209" s="169" t="s">
        <v>5555</v>
      </c>
      <c r="L209" s="169" t="s">
        <v>5652</v>
      </c>
      <c r="M209" s="90">
        <v>45540</v>
      </c>
      <c r="N209" s="128" t="str">
        <f>+VLOOKUP(B209,BOM!$A$8:$X$1078,22,0)</f>
        <v xml:space="preserve">32x2 + 5x5 + </v>
      </c>
    </row>
    <row r="210" spans="1:14" ht="15">
      <c r="A210" s="153">
        <v>208</v>
      </c>
      <c r="B210" s="107" t="s">
        <v>1158</v>
      </c>
      <c r="C210" s="126" t="s">
        <v>560</v>
      </c>
      <c r="D210" s="127">
        <v>1</v>
      </c>
      <c r="E210" s="56" t="s">
        <v>2437</v>
      </c>
      <c r="F210" s="126" t="s">
        <v>22</v>
      </c>
      <c r="G210" s="126" t="s">
        <v>1664</v>
      </c>
      <c r="H210" s="131">
        <v>8</v>
      </c>
      <c r="I210" s="49" t="s">
        <v>3706</v>
      </c>
      <c r="J210" s="52"/>
      <c r="K210" s="169"/>
      <c r="L210" s="169" t="s">
        <v>5653</v>
      </c>
      <c r="M210" s="58">
        <v>45534</v>
      </c>
      <c r="N210" s="128">
        <f>+VLOOKUP(B210,BOM!$A$8:$X$1078,22,0)</f>
        <v>5</v>
      </c>
    </row>
    <row r="211" spans="1:14" ht="15">
      <c r="A211" s="153">
        <v>209</v>
      </c>
      <c r="B211" s="107" t="s">
        <v>1165</v>
      </c>
      <c r="C211" s="126" t="s">
        <v>630</v>
      </c>
      <c r="D211" s="127">
        <v>4</v>
      </c>
      <c r="E211" s="56" t="s">
        <v>2437</v>
      </c>
      <c r="F211" s="126" t="s">
        <v>22</v>
      </c>
      <c r="G211" s="126" t="s">
        <v>1664</v>
      </c>
      <c r="H211" s="131">
        <v>32</v>
      </c>
      <c r="I211" s="49" t="s">
        <v>3706</v>
      </c>
      <c r="J211" s="52"/>
      <c r="K211" s="169"/>
      <c r="L211" s="169" t="s">
        <v>5654</v>
      </c>
      <c r="M211" s="90">
        <v>45540</v>
      </c>
      <c r="N211" s="128">
        <f>+VLOOKUP(B211,BOM!$A$8:$X$1078,22,0)</f>
        <v>5</v>
      </c>
    </row>
    <row r="212" spans="1:14" ht="15">
      <c r="A212" s="153">
        <v>210</v>
      </c>
      <c r="B212" s="107" t="s">
        <v>1171</v>
      </c>
      <c r="C212" s="126" t="s">
        <v>630</v>
      </c>
      <c r="D212" s="127">
        <v>1</v>
      </c>
      <c r="E212" s="56" t="s">
        <v>2437</v>
      </c>
      <c r="F212" s="126" t="s">
        <v>22</v>
      </c>
      <c r="G212" s="126" t="s">
        <v>1664</v>
      </c>
      <c r="H212" s="131">
        <v>8</v>
      </c>
      <c r="I212" s="49" t="s">
        <v>3706</v>
      </c>
      <c r="J212" s="52"/>
      <c r="K212" s="169"/>
      <c r="L212" s="169" t="s">
        <v>5655</v>
      </c>
      <c r="M212" s="58"/>
      <c r="N212" s="128">
        <f>+VLOOKUP(B212,BOM!$A$8:$X$1078,22,0)</f>
        <v>5</v>
      </c>
    </row>
    <row r="213" spans="1:14" ht="15">
      <c r="A213" s="153">
        <v>211</v>
      </c>
      <c r="B213" s="107" t="s">
        <v>1172</v>
      </c>
      <c r="C213" s="126" t="s">
        <v>630</v>
      </c>
      <c r="D213" s="127">
        <v>4</v>
      </c>
      <c r="E213" s="56" t="s">
        <v>2437</v>
      </c>
      <c r="F213" s="126" t="s">
        <v>22</v>
      </c>
      <c r="G213" s="126" t="s">
        <v>1664</v>
      </c>
      <c r="H213" s="131">
        <v>48</v>
      </c>
      <c r="I213" s="49" t="s">
        <v>3706</v>
      </c>
      <c r="J213" s="52"/>
      <c r="K213" s="169" t="s">
        <v>5555</v>
      </c>
      <c r="L213" s="169" t="s">
        <v>5656</v>
      </c>
      <c r="M213" s="58"/>
      <c r="N213" s="128">
        <f>+VLOOKUP(B213,BOM!$A$8:$X$1078,22,0)</f>
        <v>5</v>
      </c>
    </row>
    <row r="214" spans="1:14" ht="15">
      <c r="A214" s="153">
        <v>212</v>
      </c>
      <c r="B214" s="107" t="s">
        <v>1175</v>
      </c>
      <c r="C214" s="126" t="s">
        <v>587</v>
      </c>
      <c r="D214" s="127">
        <v>2</v>
      </c>
      <c r="E214" s="56" t="s">
        <v>2437</v>
      </c>
      <c r="F214" s="126" t="s">
        <v>22</v>
      </c>
      <c r="G214" s="126" t="s">
        <v>1664</v>
      </c>
      <c r="H214" s="131">
        <v>16</v>
      </c>
      <c r="I214" s="49" t="s">
        <v>3706</v>
      </c>
      <c r="J214" s="52"/>
      <c r="K214" s="169"/>
      <c r="L214" s="169" t="s">
        <v>5657</v>
      </c>
      <c r="M214" s="58"/>
      <c r="N214" s="128">
        <f>+VLOOKUP(B214,BOM!$A$8:$X$1078,22,0)</f>
        <v>5</v>
      </c>
    </row>
    <row r="215" spans="1:14" ht="15">
      <c r="A215" s="153">
        <v>213</v>
      </c>
      <c r="B215" s="107" t="s">
        <v>1180</v>
      </c>
      <c r="C215" s="126" t="s">
        <v>587</v>
      </c>
      <c r="D215" s="55">
        <v>1</v>
      </c>
      <c r="E215" s="56" t="s">
        <v>2437</v>
      </c>
      <c r="F215" s="126" t="s">
        <v>22</v>
      </c>
      <c r="G215" s="126" t="s">
        <v>1664</v>
      </c>
      <c r="H215" s="131">
        <v>32</v>
      </c>
      <c r="I215" s="49" t="s">
        <v>3706</v>
      </c>
      <c r="J215" s="52"/>
      <c r="K215" s="169" t="s">
        <v>5555</v>
      </c>
      <c r="L215" s="169" t="s">
        <v>5658</v>
      </c>
      <c r="M215" s="90">
        <v>45540</v>
      </c>
      <c r="N215" s="128" t="str">
        <f>+VLOOKUP(B215,BOM!$A$8:$X$1078,22,0)</f>
        <v>1x3 + 2x5</v>
      </c>
    </row>
    <row r="216" spans="1:14" ht="15">
      <c r="A216" s="153">
        <v>214</v>
      </c>
      <c r="B216" s="107" t="s">
        <v>612</v>
      </c>
      <c r="C216" s="126" t="s">
        <v>614</v>
      </c>
      <c r="D216" s="55">
        <v>9</v>
      </c>
      <c r="E216" s="56" t="s">
        <v>2437</v>
      </c>
      <c r="F216" s="126" t="s">
        <v>22</v>
      </c>
      <c r="G216" s="126" t="s">
        <v>1686</v>
      </c>
      <c r="H216" s="131">
        <v>1072</v>
      </c>
      <c r="I216" s="49" t="s">
        <v>3706</v>
      </c>
      <c r="J216" s="52"/>
      <c r="K216" s="169" t="s">
        <v>5555</v>
      </c>
      <c r="L216" s="183" t="s">
        <v>5659</v>
      </c>
      <c r="M216" s="48"/>
      <c r="N216" s="128" t="str">
        <f>+VLOOKUP(B216,BOM!$A$8:$X$1078,22,0)</f>
        <v xml:space="preserve">21x2 +20x4 + 9x5 + 22x6 + </v>
      </c>
    </row>
    <row r="217" spans="1:14" ht="15">
      <c r="A217" s="153">
        <v>215</v>
      </c>
      <c r="B217" s="107" t="s">
        <v>1183</v>
      </c>
      <c r="C217" s="126" t="s">
        <v>1185</v>
      </c>
      <c r="D217" s="127">
        <v>2</v>
      </c>
      <c r="E217" s="56" t="s">
        <v>2437</v>
      </c>
      <c r="F217" s="126" t="s">
        <v>22</v>
      </c>
      <c r="G217" s="126" t="s">
        <v>1664</v>
      </c>
      <c r="H217" s="131">
        <v>32</v>
      </c>
      <c r="I217" s="49" t="s">
        <v>3706</v>
      </c>
      <c r="J217" s="52"/>
      <c r="K217" s="169"/>
      <c r="L217" s="169" t="s">
        <v>5660</v>
      </c>
      <c r="M217" s="58">
        <v>45534</v>
      </c>
      <c r="N217" s="128">
        <f>+VLOOKUP(B217,BOM!$A$8:$X$1078,22,0)</f>
        <v>5</v>
      </c>
    </row>
    <row r="218" spans="1:14" ht="15">
      <c r="A218" s="153">
        <v>216</v>
      </c>
      <c r="B218" s="107" t="s">
        <v>1187</v>
      </c>
      <c r="C218" s="126" t="s">
        <v>1188</v>
      </c>
      <c r="D218" s="127">
        <v>2</v>
      </c>
      <c r="E218" s="56" t="s">
        <v>2437</v>
      </c>
      <c r="F218" s="126" t="s">
        <v>22</v>
      </c>
      <c r="G218" s="126" t="s">
        <v>1664</v>
      </c>
      <c r="H218" s="131">
        <v>88</v>
      </c>
      <c r="I218" s="49" t="s">
        <v>3706</v>
      </c>
      <c r="J218" s="52"/>
      <c r="K218" s="169" t="s">
        <v>5555</v>
      </c>
      <c r="L218" s="169" t="s">
        <v>5661</v>
      </c>
      <c r="M218" s="58">
        <v>45534</v>
      </c>
      <c r="N218" s="128" t="str">
        <f>+VLOOKUP(B218,BOM!$A$8:$X$1078,22,0)</f>
        <v>4x0 + 2x2 + 2x5 + 3xC</v>
      </c>
    </row>
    <row r="219" spans="1:14" ht="15">
      <c r="A219" s="153">
        <v>217</v>
      </c>
      <c r="B219" s="107" t="s">
        <v>637</v>
      </c>
      <c r="C219" s="126" t="s">
        <v>638</v>
      </c>
      <c r="D219" s="127">
        <v>2</v>
      </c>
      <c r="E219" s="56" t="s">
        <v>2437</v>
      </c>
      <c r="F219" s="126" t="s">
        <v>22</v>
      </c>
      <c r="G219" s="126" t="s">
        <v>1664</v>
      </c>
      <c r="H219" s="131">
        <v>240</v>
      </c>
      <c r="I219" s="49" t="s">
        <v>3706</v>
      </c>
      <c r="J219" s="52"/>
      <c r="K219" s="169" t="s">
        <v>5555</v>
      </c>
      <c r="L219" s="183" t="s">
        <v>5662</v>
      </c>
      <c r="M219" s="91">
        <v>45534</v>
      </c>
      <c r="N219" s="128" t="str">
        <f>+VLOOKUP(B219,BOM!$A$8:$X$1078,22,0)</f>
        <v xml:space="preserve">21x0 + 5x3 + 2x5 + </v>
      </c>
    </row>
    <row r="220" spans="1:14" ht="15">
      <c r="A220" s="153">
        <v>218</v>
      </c>
      <c r="B220" s="107" t="s">
        <v>692</v>
      </c>
      <c r="C220" s="126" t="s">
        <v>693</v>
      </c>
      <c r="D220" s="127">
        <v>10</v>
      </c>
      <c r="E220" s="56" t="s">
        <v>2437</v>
      </c>
      <c r="F220" s="126" t="s">
        <v>22</v>
      </c>
      <c r="G220" s="126" t="s">
        <v>1664</v>
      </c>
      <c r="H220" s="131">
        <v>160</v>
      </c>
      <c r="I220" s="49" t="s">
        <v>3706</v>
      </c>
      <c r="J220" s="52"/>
      <c r="K220" s="169" t="s">
        <v>5555</v>
      </c>
      <c r="L220" s="183" t="s">
        <v>5663</v>
      </c>
      <c r="M220" s="91">
        <v>45534</v>
      </c>
      <c r="N220" s="128" t="str">
        <f>+VLOOKUP(B220,BOM!$A$8:$X$1078,22,0)</f>
        <v>8x0 + 2x4 + 10x5</v>
      </c>
    </row>
    <row r="221" spans="1:14" ht="15">
      <c r="A221" s="153">
        <v>219</v>
      </c>
      <c r="B221" s="107" t="s">
        <v>750</v>
      </c>
      <c r="C221" s="126" t="s">
        <v>492</v>
      </c>
      <c r="D221" s="127">
        <v>4</v>
      </c>
      <c r="E221" s="56" t="s">
        <v>2437</v>
      </c>
      <c r="F221" s="126" t="s">
        <v>22</v>
      </c>
      <c r="G221" s="126" t="s">
        <v>1664</v>
      </c>
      <c r="H221" s="131">
        <v>128</v>
      </c>
      <c r="I221" s="49" t="s">
        <v>3706</v>
      </c>
      <c r="J221" s="52"/>
      <c r="K221" s="169" t="s">
        <v>5555</v>
      </c>
      <c r="L221" s="183" t="s">
        <v>5664</v>
      </c>
      <c r="M221" s="91">
        <v>45534</v>
      </c>
      <c r="N221" s="128" t="str">
        <f>+VLOOKUP(B221,BOM!$A$8:$X$1078,22,0)</f>
        <v xml:space="preserve">4x3 + 4x5 + 4xD + </v>
      </c>
    </row>
    <row r="222" spans="1:14" ht="15">
      <c r="A222" s="153">
        <v>220</v>
      </c>
      <c r="B222" s="107" t="s">
        <v>466</v>
      </c>
      <c r="C222" s="126" t="s">
        <v>468</v>
      </c>
      <c r="D222" s="55">
        <v>1</v>
      </c>
      <c r="E222" s="56" t="s">
        <v>2443</v>
      </c>
      <c r="F222" s="126" t="s">
        <v>22</v>
      </c>
      <c r="G222" s="126" t="s">
        <v>1664</v>
      </c>
      <c r="H222" s="131">
        <v>8</v>
      </c>
      <c r="I222" s="49" t="s">
        <v>3706</v>
      </c>
      <c r="J222" s="52"/>
      <c r="K222" s="169"/>
      <c r="L222" s="169" t="s">
        <v>5665</v>
      </c>
      <c r="M222" s="90">
        <v>45540</v>
      </c>
      <c r="N222" s="128">
        <f>+VLOOKUP(B222,BOM!$A$8:$X$1078,22,0)</f>
        <v>6</v>
      </c>
    </row>
    <row r="223" spans="1:14" ht="15">
      <c r="A223" s="153">
        <v>221</v>
      </c>
      <c r="B223" s="107" t="s">
        <v>1415</v>
      </c>
      <c r="C223" s="126" t="s">
        <v>1814</v>
      </c>
      <c r="D223" s="127">
        <v>2</v>
      </c>
      <c r="E223" s="56" t="s">
        <v>2443</v>
      </c>
      <c r="F223" s="126" t="s">
        <v>22</v>
      </c>
      <c r="G223" s="126" t="s">
        <v>1667</v>
      </c>
      <c r="H223" s="131">
        <v>2</v>
      </c>
      <c r="I223" s="49" t="s">
        <v>2444</v>
      </c>
      <c r="J223" s="52"/>
      <c r="K223" s="169"/>
      <c r="L223" s="169" t="s">
        <v>5666</v>
      </c>
      <c r="M223" s="58">
        <v>45534</v>
      </c>
      <c r="N223" s="128">
        <f>+VLOOKUP(B223,BOM!$A$8:$X$1078,22,0)</f>
        <v>6</v>
      </c>
    </row>
    <row r="224" spans="1:14" ht="15">
      <c r="A224" s="153">
        <v>222</v>
      </c>
      <c r="B224" s="107" t="s">
        <v>484</v>
      </c>
      <c r="C224" s="126" t="s">
        <v>485</v>
      </c>
      <c r="D224" s="127">
        <v>2</v>
      </c>
      <c r="E224" s="56" t="s">
        <v>2443</v>
      </c>
      <c r="F224" s="126" t="s">
        <v>22</v>
      </c>
      <c r="G224" s="126" t="s">
        <v>1664</v>
      </c>
      <c r="H224" s="131">
        <v>5</v>
      </c>
      <c r="I224" s="49" t="s">
        <v>3706</v>
      </c>
      <c r="J224" s="52"/>
      <c r="K224" s="169" t="s">
        <v>5555</v>
      </c>
      <c r="L224" s="183" t="s">
        <v>5667</v>
      </c>
      <c r="M224" s="91">
        <v>45534</v>
      </c>
      <c r="N224" s="128" t="str">
        <f>+VLOOKUP(B224,BOM!$A$8:$X$1078,22,0)</f>
        <v>2x6 + 3xC</v>
      </c>
    </row>
    <row r="225" spans="1:14" ht="15">
      <c r="A225" s="153">
        <v>223</v>
      </c>
      <c r="B225" s="107" t="s">
        <v>490</v>
      </c>
      <c r="C225" s="126" t="s">
        <v>485</v>
      </c>
      <c r="D225" s="55">
        <v>3</v>
      </c>
      <c r="E225" s="56" t="s">
        <v>2443</v>
      </c>
      <c r="F225" s="126" t="s">
        <v>22</v>
      </c>
      <c r="G225" s="126" t="s">
        <v>1664</v>
      </c>
      <c r="H225" s="131">
        <v>48</v>
      </c>
      <c r="I225" s="49" t="s">
        <v>3706</v>
      </c>
      <c r="J225" s="52"/>
      <c r="K225" s="169" t="s">
        <v>5572</v>
      </c>
      <c r="L225" s="183" t="s">
        <v>5668</v>
      </c>
      <c r="M225" s="48">
        <v>45540</v>
      </c>
      <c r="N225" s="128" t="str">
        <f>+VLOOKUP(B225,BOM!$A$8:$X$1078,22,0)</f>
        <v>2x0 + 1x3 + 3x6</v>
      </c>
    </row>
    <row r="226" spans="1:14" ht="15">
      <c r="A226" s="153">
        <v>224</v>
      </c>
      <c r="B226" s="107" t="s">
        <v>493</v>
      </c>
      <c r="C226" s="126" t="s">
        <v>495</v>
      </c>
      <c r="D226" s="127">
        <v>2</v>
      </c>
      <c r="E226" s="56" t="s">
        <v>2443</v>
      </c>
      <c r="F226" s="126" t="s">
        <v>22</v>
      </c>
      <c r="G226" s="126" t="s">
        <v>1664</v>
      </c>
      <c r="H226" s="131">
        <v>16</v>
      </c>
      <c r="I226" s="49" t="s">
        <v>3706</v>
      </c>
      <c r="J226" s="52"/>
      <c r="K226" s="169"/>
      <c r="L226" s="183" t="s">
        <v>5669</v>
      </c>
      <c r="M226" s="91">
        <v>45545</v>
      </c>
      <c r="N226" s="128">
        <f>+VLOOKUP(B226,BOM!$A$8:$X$1078,22,0)</f>
        <v>7</v>
      </c>
    </row>
    <row r="227" spans="1:14" ht="15">
      <c r="A227" s="153">
        <v>225</v>
      </c>
      <c r="B227" s="107" t="s">
        <v>863</v>
      </c>
      <c r="C227" s="126" t="s">
        <v>865</v>
      </c>
      <c r="D227" s="127">
        <v>1</v>
      </c>
      <c r="E227" s="56" t="s">
        <v>2443</v>
      </c>
      <c r="F227" s="126" t="s">
        <v>22</v>
      </c>
      <c r="G227" s="126" t="s">
        <v>1664</v>
      </c>
      <c r="H227" s="131">
        <v>16</v>
      </c>
      <c r="I227" s="49" t="s">
        <v>3706</v>
      </c>
      <c r="J227" s="52"/>
      <c r="K227" s="169" t="s">
        <v>5521</v>
      </c>
      <c r="L227" s="169" t="s">
        <v>5670</v>
      </c>
      <c r="M227" s="58">
        <v>45534</v>
      </c>
      <c r="N227" s="128">
        <f>+VLOOKUP(B227,BOM!$A$8:$X$1078,22,0)</f>
        <v>6</v>
      </c>
    </row>
    <row r="228" spans="1:14" ht="15">
      <c r="A228" s="153">
        <v>226</v>
      </c>
      <c r="B228" s="107" t="s">
        <v>1431</v>
      </c>
      <c r="C228" s="126" t="s">
        <v>492</v>
      </c>
      <c r="D228" s="127">
        <v>1</v>
      </c>
      <c r="E228" s="56" t="s">
        <v>2443</v>
      </c>
      <c r="F228" s="126" t="s">
        <v>22</v>
      </c>
      <c r="G228" s="126" t="s">
        <v>1664</v>
      </c>
      <c r="H228" s="131">
        <v>8</v>
      </c>
      <c r="I228" s="49" t="s">
        <v>3706</v>
      </c>
      <c r="J228" s="52"/>
      <c r="K228" s="169"/>
      <c r="L228" s="169" t="s">
        <v>5671</v>
      </c>
      <c r="M228" s="58">
        <v>45534</v>
      </c>
      <c r="N228" s="128">
        <f>+VLOOKUP(B228,BOM!$A$8:$X$1078,22,0)</f>
        <v>6</v>
      </c>
    </row>
    <row r="229" spans="1:14" ht="15">
      <c r="A229" s="153">
        <v>227</v>
      </c>
      <c r="B229" s="107" t="s">
        <v>513</v>
      </c>
      <c r="C229" s="126" t="s">
        <v>514</v>
      </c>
      <c r="D229" s="55">
        <v>1</v>
      </c>
      <c r="E229" s="56" t="s">
        <v>2443</v>
      </c>
      <c r="F229" s="126" t="s">
        <v>22</v>
      </c>
      <c r="G229" s="126" t="s">
        <v>1664</v>
      </c>
      <c r="H229" s="131">
        <v>8</v>
      </c>
      <c r="I229" s="49" t="s">
        <v>3706</v>
      </c>
      <c r="J229" s="52"/>
      <c r="K229" s="169" t="s">
        <v>5672</v>
      </c>
      <c r="L229" s="183" t="s">
        <v>5673</v>
      </c>
      <c r="M229" s="48">
        <v>45540</v>
      </c>
      <c r="N229" s="128">
        <f>+VLOOKUP(B229,BOM!$A$8:$X$1078,22,0)</f>
        <v>6</v>
      </c>
    </row>
    <row r="230" spans="1:14" ht="15">
      <c r="A230" s="153">
        <v>228</v>
      </c>
      <c r="B230" s="107" t="s">
        <v>533</v>
      </c>
      <c r="C230" s="126" t="s">
        <v>534</v>
      </c>
      <c r="D230" s="127">
        <v>2</v>
      </c>
      <c r="E230" s="56" t="s">
        <v>2443</v>
      </c>
      <c r="F230" s="126" t="s">
        <v>22</v>
      </c>
      <c r="G230" s="126" t="s">
        <v>1686</v>
      </c>
      <c r="H230" s="131">
        <v>112</v>
      </c>
      <c r="I230" s="49" t="s">
        <v>3706</v>
      </c>
      <c r="J230" s="52"/>
      <c r="K230" s="169"/>
      <c r="L230" s="169" t="s">
        <v>5674</v>
      </c>
      <c r="M230" s="58">
        <v>45534</v>
      </c>
      <c r="N230" s="128" t="str">
        <f>+VLOOKUP(B230,BOM!$A$8:$X$1078,22,0)</f>
        <v>1x2 + 2x6</v>
      </c>
    </row>
    <row r="231" spans="1:14" ht="15">
      <c r="A231" s="153">
        <v>229</v>
      </c>
      <c r="B231" s="107" t="s">
        <v>547</v>
      </c>
      <c r="C231" s="126" t="s">
        <v>548</v>
      </c>
      <c r="D231" s="127">
        <v>8</v>
      </c>
      <c r="E231" s="56" t="s">
        <v>2443</v>
      </c>
      <c r="F231" s="126" t="s">
        <v>22</v>
      </c>
      <c r="G231" s="126" t="s">
        <v>1664</v>
      </c>
      <c r="H231" s="131">
        <v>80</v>
      </c>
      <c r="I231" s="49" t="s">
        <v>3706</v>
      </c>
      <c r="J231" s="52"/>
      <c r="K231" s="169" t="s">
        <v>5555</v>
      </c>
      <c r="L231" s="169" t="s">
        <v>5675</v>
      </c>
      <c r="M231" s="90">
        <v>45540</v>
      </c>
      <c r="N231" s="128" t="str">
        <f>+VLOOKUP(B231,BOM!$A$8:$X$1078,22,0)</f>
        <v>2x2 + 8x6</v>
      </c>
    </row>
    <row r="232" spans="1:14" ht="15">
      <c r="A232" s="153">
        <v>230</v>
      </c>
      <c r="B232" s="107" t="s">
        <v>547</v>
      </c>
      <c r="C232" s="126" t="s">
        <v>548</v>
      </c>
      <c r="D232" s="55">
        <v>8</v>
      </c>
      <c r="E232" s="56" t="s">
        <v>2443</v>
      </c>
      <c r="F232" s="126" t="s">
        <v>22</v>
      </c>
      <c r="G232" s="126" t="s">
        <v>1664</v>
      </c>
      <c r="H232" s="131">
        <v>80</v>
      </c>
      <c r="I232" s="49" t="s">
        <v>3706</v>
      </c>
      <c r="J232" s="52"/>
      <c r="K232" s="169" t="s">
        <v>5555</v>
      </c>
      <c r="L232" s="183" t="s">
        <v>5676</v>
      </c>
      <c r="M232" s="48">
        <v>45540</v>
      </c>
      <c r="N232" s="128" t="str">
        <f>+VLOOKUP(B232,BOM!$A$8:$X$1078,22,0)</f>
        <v>2x2 + 8x6</v>
      </c>
    </row>
    <row r="233" spans="1:14" ht="15">
      <c r="A233" s="153">
        <v>231</v>
      </c>
      <c r="B233" s="107" t="s">
        <v>1465</v>
      </c>
      <c r="C233" s="126" t="s">
        <v>2156</v>
      </c>
      <c r="D233" s="127">
        <v>4</v>
      </c>
      <c r="E233" s="56" t="s">
        <v>2443</v>
      </c>
      <c r="F233" s="126" t="s">
        <v>22</v>
      </c>
      <c r="G233" s="126" t="s">
        <v>1667</v>
      </c>
      <c r="H233" s="131">
        <v>4</v>
      </c>
      <c r="I233" s="49" t="s">
        <v>2444</v>
      </c>
      <c r="J233" s="52"/>
      <c r="K233" s="169"/>
      <c r="L233" s="169" t="s">
        <v>5677</v>
      </c>
      <c r="M233" s="58">
        <v>45534</v>
      </c>
      <c r="N233" s="128">
        <f>+VLOOKUP(B233,BOM!$A$8:$X$1078,22,0)</f>
        <v>6</v>
      </c>
    </row>
    <row r="234" spans="1:14" ht="15">
      <c r="A234" s="153">
        <v>232</v>
      </c>
      <c r="B234" s="107" t="s">
        <v>556</v>
      </c>
      <c r="C234" s="126" t="s">
        <v>558</v>
      </c>
      <c r="D234" s="127">
        <v>2</v>
      </c>
      <c r="E234" s="56" t="s">
        <v>2443</v>
      </c>
      <c r="F234" s="126" t="s">
        <v>22</v>
      </c>
      <c r="G234" s="126" t="s">
        <v>1664</v>
      </c>
      <c r="H234" s="131">
        <v>160</v>
      </c>
      <c r="I234" s="49" t="s">
        <v>3706</v>
      </c>
      <c r="J234" s="52"/>
      <c r="K234" s="169" t="s">
        <v>5555</v>
      </c>
      <c r="L234" s="169" t="s">
        <v>5678</v>
      </c>
      <c r="M234" s="58">
        <v>45534</v>
      </c>
      <c r="N234" s="128" t="str">
        <f>+VLOOKUP(B234,BOM!$A$8:$X$1078,22,0)</f>
        <v>2x0 +8x3 + 2x6 +8xB</v>
      </c>
    </row>
    <row r="235" spans="1:14" ht="15">
      <c r="A235" s="153">
        <v>233</v>
      </c>
      <c r="B235" s="107" t="s">
        <v>556</v>
      </c>
      <c r="C235" s="126" t="s">
        <v>558</v>
      </c>
      <c r="D235" s="127">
        <v>2</v>
      </c>
      <c r="E235" s="56" t="s">
        <v>2443</v>
      </c>
      <c r="F235" s="126" t="s">
        <v>22</v>
      </c>
      <c r="G235" s="126" t="s">
        <v>1664</v>
      </c>
      <c r="H235" s="131">
        <v>160</v>
      </c>
      <c r="I235" s="49" t="s">
        <v>3706</v>
      </c>
      <c r="J235" s="52"/>
      <c r="K235" s="169"/>
      <c r="L235" s="169" t="s">
        <v>5679</v>
      </c>
      <c r="M235" s="58">
        <v>45534</v>
      </c>
      <c r="N235" s="128" t="str">
        <f>+VLOOKUP(B235,BOM!$A$8:$X$1078,22,0)</f>
        <v>2x0 +8x3 + 2x6 +8xB</v>
      </c>
    </row>
    <row r="236" spans="1:14" ht="15">
      <c r="A236" s="153">
        <v>234</v>
      </c>
      <c r="B236" s="107" t="s">
        <v>1160</v>
      </c>
      <c r="C236" s="126" t="s">
        <v>739</v>
      </c>
      <c r="D236" s="127">
        <v>1</v>
      </c>
      <c r="E236" s="56" t="s">
        <v>2443</v>
      </c>
      <c r="F236" s="126" t="s">
        <v>22</v>
      </c>
      <c r="G236" s="126" t="s">
        <v>1664</v>
      </c>
      <c r="H236" s="131">
        <v>16</v>
      </c>
      <c r="I236" s="49" t="s">
        <v>3706</v>
      </c>
      <c r="J236" s="52"/>
      <c r="K236" s="169" t="s">
        <v>5572</v>
      </c>
      <c r="L236" s="169" t="s">
        <v>5680</v>
      </c>
      <c r="M236" s="90">
        <v>45540</v>
      </c>
      <c r="N236" s="128" t="str">
        <f>+VLOOKUP(B236,BOM!$A$8:$X$1078,22,0)</f>
        <v>1x0+1x6</v>
      </c>
    </row>
    <row r="237" spans="1:14" ht="15">
      <c r="A237" s="153">
        <v>235</v>
      </c>
      <c r="B237" s="107" t="s">
        <v>1552</v>
      </c>
      <c r="C237" s="126" t="s">
        <v>2221</v>
      </c>
      <c r="D237" s="55">
        <v>1</v>
      </c>
      <c r="E237" s="56" t="s">
        <v>2443</v>
      </c>
      <c r="F237" s="126" t="s">
        <v>22</v>
      </c>
      <c r="G237" s="126" t="s">
        <v>1667</v>
      </c>
      <c r="H237" s="131">
        <v>1</v>
      </c>
      <c r="I237" s="49" t="s">
        <v>2444</v>
      </c>
      <c r="J237" s="52"/>
      <c r="K237" s="169"/>
      <c r="L237" s="169" t="s">
        <v>5681</v>
      </c>
      <c r="M237" s="90">
        <v>45540</v>
      </c>
      <c r="N237" s="128">
        <f>+VLOOKUP(B237,BOM!$A$8:$X$1078,22,0)</f>
        <v>6</v>
      </c>
    </row>
    <row r="238" spans="1:14" ht="15">
      <c r="A238" s="153">
        <v>236</v>
      </c>
      <c r="B238" s="107" t="s">
        <v>573</v>
      </c>
      <c r="C238" s="126" t="s">
        <v>575</v>
      </c>
      <c r="D238" s="55">
        <v>1</v>
      </c>
      <c r="E238" s="56" t="s">
        <v>2443</v>
      </c>
      <c r="F238" s="126" t="s">
        <v>22</v>
      </c>
      <c r="G238" s="126" t="s">
        <v>1664</v>
      </c>
      <c r="H238" s="131">
        <v>8</v>
      </c>
      <c r="I238" s="49" t="s">
        <v>3706</v>
      </c>
      <c r="J238" s="52"/>
      <c r="K238" s="169"/>
      <c r="L238" s="169" t="s">
        <v>5682</v>
      </c>
      <c r="M238" s="90">
        <v>45540</v>
      </c>
      <c r="N238" s="128">
        <f>+VLOOKUP(B238,BOM!$A$8:$X$1078,22,0)</f>
        <v>6</v>
      </c>
    </row>
    <row r="239" spans="1:14" ht="15">
      <c r="A239" s="153">
        <v>237</v>
      </c>
      <c r="B239" s="107" t="s">
        <v>1174</v>
      </c>
      <c r="C239" s="126" t="s">
        <v>582</v>
      </c>
      <c r="D239" s="55">
        <v>4</v>
      </c>
      <c r="E239" s="56" t="s">
        <v>2443</v>
      </c>
      <c r="F239" s="126" t="s">
        <v>22</v>
      </c>
      <c r="G239" s="126" t="s">
        <v>1664</v>
      </c>
      <c r="H239" s="131">
        <v>80</v>
      </c>
      <c r="I239" s="49" t="s">
        <v>3706</v>
      </c>
      <c r="J239" s="52"/>
      <c r="K239" s="169" t="s">
        <v>5683</v>
      </c>
      <c r="L239" s="169" t="s">
        <v>5684</v>
      </c>
      <c r="M239" s="90">
        <v>45540</v>
      </c>
      <c r="N239" s="128" t="str">
        <f>+VLOOKUP(B239,BOM!$A$8:$X$1078,22,0)</f>
        <v>1x0 + 4x6</v>
      </c>
    </row>
    <row r="240" spans="1:14" ht="15">
      <c r="A240" s="153">
        <v>238</v>
      </c>
      <c r="B240" s="107" t="s">
        <v>585</v>
      </c>
      <c r="C240" s="126" t="s">
        <v>587</v>
      </c>
      <c r="D240" s="55">
        <v>1</v>
      </c>
      <c r="E240" s="56" t="s">
        <v>2443</v>
      </c>
      <c r="F240" s="126" t="s">
        <v>22</v>
      </c>
      <c r="G240" s="126" t="s">
        <v>1664</v>
      </c>
      <c r="H240" s="131">
        <v>48</v>
      </c>
      <c r="I240" s="49" t="s">
        <v>3706</v>
      </c>
      <c r="J240" s="52"/>
      <c r="K240" s="169"/>
      <c r="L240" s="169" t="s">
        <v>5685</v>
      </c>
      <c r="M240" s="90">
        <v>45540</v>
      </c>
      <c r="N240" s="128">
        <f>+VLOOKUP(B240,BOM!$A$8:$X$1078,22,0)</f>
        <v>6</v>
      </c>
    </row>
    <row r="241" spans="1:14" ht="15">
      <c r="A241" s="153">
        <v>239</v>
      </c>
      <c r="B241" s="107" t="s">
        <v>1178</v>
      </c>
      <c r="C241" s="126" t="s">
        <v>587</v>
      </c>
      <c r="D241" s="127">
        <v>4</v>
      </c>
      <c r="E241" s="56" t="s">
        <v>2443</v>
      </c>
      <c r="F241" s="126" t="s">
        <v>22</v>
      </c>
      <c r="G241" s="126" t="s">
        <v>1664</v>
      </c>
      <c r="H241" s="131">
        <v>32</v>
      </c>
      <c r="I241" s="49" t="s">
        <v>3706</v>
      </c>
      <c r="J241" s="52"/>
      <c r="K241" s="169"/>
      <c r="L241" s="169" t="s">
        <v>5686</v>
      </c>
      <c r="M241" s="58">
        <v>45534</v>
      </c>
      <c r="N241" s="128">
        <f>+VLOOKUP(B241,BOM!$A$8:$X$1078,22,0)</f>
        <v>6</v>
      </c>
    </row>
    <row r="242" spans="1:14" ht="15">
      <c r="A242" s="153">
        <v>240</v>
      </c>
      <c r="B242" s="107" t="s">
        <v>1182</v>
      </c>
      <c r="C242" s="126" t="s">
        <v>587</v>
      </c>
      <c r="D242" s="127">
        <v>8</v>
      </c>
      <c r="E242" s="56" t="s">
        <v>2443</v>
      </c>
      <c r="F242" s="126" t="s">
        <v>22</v>
      </c>
      <c r="G242" s="126" t="s">
        <v>1664</v>
      </c>
      <c r="H242" s="131">
        <v>96</v>
      </c>
      <c r="I242" s="49" t="s">
        <v>3706</v>
      </c>
      <c r="J242" s="52"/>
      <c r="K242" s="170" t="s">
        <v>5683</v>
      </c>
      <c r="L242" s="170" t="s">
        <v>5687</v>
      </c>
      <c r="M242" s="58"/>
      <c r="N242" s="128" t="str">
        <f>+VLOOKUP(B242,BOM!$A$8:$X$1078,22,0)</f>
        <v>2x0 + 8x6</v>
      </c>
    </row>
    <row r="243" spans="1:14" ht="15">
      <c r="A243" s="153">
        <v>241</v>
      </c>
      <c r="B243" s="107" t="s">
        <v>608</v>
      </c>
      <c r="C243" s="126" t="s">
        <v>609</v>
      </c>
      <c r="D243" s="127">
        <v>2</v>
      </c>
      <c r="E243" s="56" t="s">
        <v>2443</v>
      </c>
      <c r="F243" s="126" t="s">
        <v>22</v>
      </c>
      <c r="G243" s="126" t="s">
        <v>1664</v>
      </c>
      <c r="H243" s="131">
        <v>32</v>
      </c>
      <c r="I243" s="49" t="s">
        <v>3706</v>
      </c>
      <c r="J243" s="52"/>
      <c r="K243" s="169"/>
      <c r="L243" s="169" t="s">
        <v>5688</v>
      </c>
      <c r="M243" s="58">
        <v>45534</v>
      </c>
      <c r="N243" s="128">
        <f>+VLOOKUP(B243,BOM!$A$8:$X$1078,22,0)</f>
        <v>6</v>
      </c>
    </row>
    <row r="244" spans="1:14" ht="15">
      <c r="A244" s="153">
        <v>242</v>
      </c>
      <c r="B244" s="107" t="s">
        <v>612</v>
      </c>
      <c r="C244" s="126" t="s">
        <v>614</v>
      </c>
      <c r="D244" s="127">
        <v>22</v>
      </c>
      <c r="E244" s="56" t="s">
        <v>2443</v>
      </c>
      <c r="F244" s="126" t="s">
        <v>22</v>
      </c>
      <c r="G244" s="126" t="s">
        <v>1686</v>
      </c>
      <c r="H244" s="131">
        <v>1072</v>
      </c>
      <c r="I244" s="49" t="s">
        <v>3706</v>
      </c>
      <c r="J244" s="52"/>
      <c r="K244" s="169" t="s">
        <v>5555</v>
      </c>
      <c r="L244" s="169" t="s">
        <v>5689</v>
      </c>
      <c r="M244" s="58">
        <v>45534</v>
      </c>
      <c r="N244" s="128" t="str">
        <f>+VLOOKUP(B244,BOM!$A$8:$X$1078,22,0)</f>
        <v xml:space="preserve">21x2 +20x4 + 9x5 + 22x6 + </v>
      </c>
    </row>
    <row r="245" spans="1:14" ht="15">
      <c r="A245" s="153">
        <v>243</v>
      </c>
      <c r="B245" s="107" t="s">
        <v>1579</v>
      </c>
      <c r="C245" s="126" t="s">
        <v>492</v>
      </c>
      <c r="D245" s="127">
        <v>1</v>
      </c>
      <c r="E245" s="56" t="s">
        <v>2443</v>
      </c>
      <c r="F245" s="126" t="s">
        <v>22</v>
      </c>
      <c r="G245" s="126" t="s">
        <v>1664</v>
      </c>
      <c r="H245" s="131">
        <v>8</v>
      </c>
      <c r="I245" s="49" t="s">
        <v>3706</v>
      </c>
      <c r="J245" s="52"/>
      <c r="K245" s="169" t="s">
        <v>5555</v>
      </c>
      <c r="L245" s="169" t="s">
        <v>5690</v>
      </c>
      <c r="M245" s="58">
        <v>45534</v>
      </c>
      <c r="N245" s="128">
        <f>+VLOOKUP(B245,BOM!$A$8:$X$1078,22,0)</f>
        <v>6</v>
      </c>
    </row>
    <row r="246" spans="1:14" ht="15">
      <c r="A246" s="153">
        <v>244</v>
      </c>
      <c r="B246" s="107" t="s">
        <v>624</v>
      </c>
      <c r="C246" s="126" t="s">
        <v>625</v>
      </c>
      <c r="D246" s="127">
        <v>2</v>
      </c>
      <c r="E246" s="56" t="s">
        <v>2443</v>
      </c>
      <c r="F246" s="126" t="s">
        <v>22</v>
      </c>
      <c r="G246" s="126" t="s">
        <v>1664</v>
      </c>
      <c r="H246" s="131">
        <v>88</v>
      </c>
      <c r="I246" s="49" t="s">
        <v>3706</v>
      </c>
      <c r="J246" s="52"/>
      <c r="K246" s="169" t="s">
        <v>5555</v>
      </c>
      <c r="L246" s="169" t="s">
        <v>5691</v>
      </c>
      <c r="M246" s="58">
        <v>45534</v>
      </c>
      <c r="N246" s="128" t="str">
        <f>+VLOOKUP(B246,BOM!$A$8:$X$1078,22,0)</f>
        <v>6x0 + 1x3 + 2x6</v>
      </c>
    </row>
    <row r="247" spans="1:14" ht="15">
      <c r="A247" s="153">
        <v>245</v>
      </c>
      <c r="B247" s="107" t="s">
        <v>694</v>
      </c>
      <c r="C247" s="126" t="s">
        <v>695</v>
      </c>
      <c r="D247" s="127">
        <v>4</v>
      </c>
      <c r="E247" s="56" t="s">
        <v>2443</v>
      </c>
      <c r="F247" s="126" t="s">
        <v>22</v>
      </c>
      <c r="G247" s="126" t="s">
        <v>1664</v>
      </c>
      <c r="H247" s="131">
        <v>32</v>
      </c>
      <c r="I247" s="49" t="s">
        <v>3706</v>
      </c>
      <c r="J247" s="52"/>
      <c r="K247" s="169" t="s">
        <v>5692</v>
      </c>
      <c r="L247" s="169" t="s">
        <v>5693</v>
      </c>
      <c r="M247" s="58">
        <v>45534</v>
      </c>
      <c r="N247" s="128">
        <f>+VLOOKUP(B247,BOM!$A$8:$X$1078,22,0)</f>
        <v>0</v>
      </c>
    </row>
    <row r="248" spans="1:14" ht="15">
      <c r="A248" s="153">
        <v>246</v>
      </c>
      <c r="B248" s="107" t="s">
        <v>1241</v>
      </c>
      <c r="C248" s="126" t="s">
        <v>1243</v>
      </c>
      <c r="D248" s="127">
        <v>1</v>
      </c>
      <c r="E248" s="56" t="s">
        <v>2443</v>
      </c>
      <c r="F248" s="126" t="s">
        <v>22</v>
      </c>
      <c r="G248" s="126" t="s">
        <v>1664</v>
      </c>
      <c r="H248" s="131">
        <v>24</v>
      </c>
      <c r="I248" s="49" t="s">
        <v>3706</v>
      </c>
      <c r="J248" s="52"/>
      <c r="K248" s="169"/>
      <c r="L248" s="169" t="s">
        <v>5694</v>
      </c>
      <c r="M248" s="58">
        <v>45534</v>
      </c>
      <c r="N248" s="128">
        <f>+VLOOKUP(B248,BOM!$A$8:$X$1078,22,0)</f>
        <v>6</v>
      </c>
    </row>
    <row r="249" spans="1:14" ht="15">
      <c r="A249" s="153">
        <v>247</v>
      </c>
      <c r="B249" s="107" t="s">
        <v>752</v>
      </c>
      <c r="C249" s="126" t="s">
        <v>489</v>
      </c>
      <c r="D249" s="127">
        <v>1</v>
      </c>
      <c r="E249" s="56" t="s">
        <v>2443</v>
      </c>
      <c r="F249" s="126" t="s">
        <v>22</v>
      </c>
      <c r="G249" s="126" t="s">
        <v>1664</v>
      </c>
      <c r="H249" s="131">
        <v>112</v>
      </c>
      <c r="I249" s="49" t="s">
        <v>3706</v>
      </c>
      <c r="J249" s="52"/>
      <c r="K249" s="169" t="s">
        <v>5555</v>
      </c>
      <c r="L249" s="169" t="s">
        <v>5695</v>
      </c>
      <c r="M249" s="58">
        <v>45534</v>
      </c>
      <c r="N249" s="128" t="str">
        <f>+VLOOKUP(B249,BOM!$A$8:$X$1078,22,0)</f>
        <v xml:space="preserve">1x0 + 5x3 + 1x4 + 1x6 + 4xB + </v>
      </c>
    </row>
    <row r="250" spans="1:14" ht="15">
      <c r="A250" s="153">
        <v>248</v>
      </c>
      <c r="B250" s="107" t="s">
        <v>240</v>
      </c>
      <c r="C250" s="126" t="s">
        <v>242</v>
      </c>
      <c r="D250" s="127">
        <v>4</v>
      </c>
      <c r="E250" s="56" t="s">
        <v>2388</v>
      </c>
      <c r="F250" s="126" t="s">
        <v>22</v>
      </c>
      <c r="G250" s="126" t="s">
        <v>1664</v>
      </c>
      <c r="H250" s="131">
        <v>16</v>
      </c>
      <c r="I250" s="49" t="s">
        <v>3706</v>
      </c>
      <c r="J250" s="52"/>
      <c r="K250" s="169" t="s">
        <v>5572</v>
      </c>
      <c r="L250" s="169" t="s">
        <v>5696</v>
      </c>
      <c r="M250" s="58">
        <v>45534</v>
      </c>
      <c r="N250" s="128" t="str">
        <f>+VLOOKUP(B250,BOM!$A$8:$X$1078,22,0)</f>
        <v>4xA + 12xC</v>
      </c>
    </row>
    <row r="251" spans="1:14" ht="15">
      <c r="A251" s="153">
        <v>249</v>
      </c>
      <c r="B251" s="107" t="s">
        <v>243</v>
      </c>
      <c r="C251" s="126" t="s">
        <v>242</v>
      </c>
      <c r="D251" s="127">
        <v>2</v>
      </c>
      <c r="E251" s="56" t="s">
        <v>2388</v>
      </c>
      <c r="F251" s="126" t="s">
        <v>22</v>
      </c>
      <c r="G251" s="126" t="s">
        <v>1664</v>
      </c>
      <c r="H251" s="131">
        <v>3</v>
      </c>
      <c r="I251" s="49" t="s">
        <v>3706</v>
      </c>
      <c r="J251" s="52"/>
      <c r="K251" s="169" t="s">
        <v>5572</v>
      </c>
      <c r="L251" s="169" t="s">
        <v>5697</v>
      </c>
      <c r="M251" s="58">
        <v>45534</v>
      </c>
      <c r="N251" s="128" t="str">
        <f>+VLOOKUP(B251,BOM!$A$8:$X$1078,22,0)</f>
        <v>2xA + 1xC</v>
      </c>
    </row>
    <row r="252" spans="1:14" ht="15">
      <c r="A252" s="153">
        <v>250</v>
      </c>
      <c r="B252" s="107" t="s">
        <v>252</v>
      </c>
      <c r="C252" s="126" t="s">
        <v>242</v>
      </c>
      <c r="D252" s="127">
        <v>2</v>
      </c>
      <c r="E252" s="56" t="s">
        <v>2388</v>
      </c>
      <c r="F252" s="126" t="s">
        <v>22</v>
      </c>
      <c r="G252" s="126" t="s">
        <v>1664</v>
      </c>
      <c r="H252" s="131">
        <v>4</v>
      </c>
      <c r="I252" s="49" t="s">
        <v>3706</v>
      </c>
      <c r="J252" s="52"/>
      <c r="K252" s="169" t="s">
        <v>5572</v>
      </c>
      <c r="L252" s="169" t="s">
        <v>5698</v>
      </c>
      <c r="M252" s="58"/>
      <c r="N252" s="128" t="str">
        <f>+VLOOKUP(B252,BOM!$A$8:$X$1078,22,0)</f>
        <v>2xA + 2xC</v>
      </c>
    </row>
    <row r="253" spans="1:14" ht="15">
      <c r="A253" s="153">
        <v>251</v>
      </c>
      <c r="B253" s="107" t="s">
        <v>501</v>
      </c>
      <c r="C253" s="126" t="s">
        <v>503</v>
      </c>
      <c r="D253" s="127">
        <v>1</v>
      </c>
      <c r="E253" s="56" t="s">
        <v>2388</v>
      </c>
      <c r="F253" s="126" t="s">
        <v>22</v>
      </c>
      <c r="G253" s="126" t="s">
        <v>1664</v>
      </c>
      <c r="H253" s="131">
        <v>8</v>
      </c>
      <c r="I253" s="49" t="s">
        <v>3706</v>
      </c>
      <c r="J253" s="52"/>
      <c r="K253" s="169"/>
      <c r="L253" s="169" t="s">
        <v>5699</v>
      </c>
      <c r="M253" s="58">
        <v>45534</v>
      </c>
      <c r="N253" s="128" t="str">
        <f>+VLOOKUP(B253,BOM!$A$8:$X$1078,22,0)</f>
        <v>A</v>
      </c>
    </row>
    <row r="254" spans="1:14" ht="15">
      <c r="A254" s="153">
        <v>252</v>
      </c>
      <c r="B254" s="107" t="s">
        <v>527</v>
      </c>
      <c r="C254" s="126" t="s">
        <v>529</v>
      </c>
      <c r="D254" s="127">
        <v>1</v>
      </c>
      <c r="E254" s="56" t="s">
        <v>2388</v>
      </c>
      <c r="F254" s="126" t="s">
        <v>22</v>
      </c>
      <c r="G254" s="126" t="s">
        <v>1664</v>
      </c>
      <c r="H254" s="131">
        <v>16</v>
      </c>
      <c r="I254" s="49" t="s">
        <v>3706</v>
      </c>
      <c r="J254" s="52"/>
      <c r="K254" s="169"/>
      <c r="L254" s="169" t="s">
        <v>5700</v>
      </c>
      <c r="M254" s="58">
        <v>45534</v>
      </c>
      <c r="N254" s="128" t="str">
        <f>+VLOOKUP(B254,BOM!$A$8:$X$1078,22,0)</f>
        <v>B</v>
      </c>
    </row>
    <row r="255" spans="1:14" ht="15">
      <c r="A255" s="153">
        <v>253</v>
      </c>
      <c r="B255" s="107" t="s">
        <v>552</v>
      </c>
      <c r="C255" s="126" t="s">
        <v>21</v>
      </c>
      <c r="D255" s="127">
        <v>1</v>
      </c>
      <c r="E255" s="56" t="s">
        <v>2388</v>
      </c>
      <c r="F255" s="126" t="s">
        <v>22</v>
      </c>
      <c r="G255" s="126" t="s">
        <v>1664</v>
      </c>
      <c r="H255" s="131">
        <v>8</v>
      </c>
      <c r="I255" s="49" t="s">
        <v>3706</v>
      </c>
      <c r="J255" s="52"/>
      <c r="K255" s="169"/>
      <c r="L255" s="169" t="s">
        <v>5701</v>
      </c>
      <c r="M255" s="58">
        <v>45534</v>
      </c>
      <c r="N255" s="128" t="str">
        <f>+VLOOKUP(B255,BOM!$A$8:$X$1078,22,0)</f>
        <v>A</v>
      </c>
    </row>
    <row r="256" spans="1:14" ht="15">
      <c r="A256" s="153">
        <v>254</v>
      </c>
      <c r="B256" s="107" t="s">
        <v>556</v>
      </c>
      <c r="C256" s="126" t="s">
        <v>558</v>
      </c>
      <c r="D256" s="127">
        <v>8</v>
      </c>
      <c r="E256" s="56" t="s">
        <v>2388</v>
      </c>
      <c r="F256" s="126" t="s">
        <v>22</v>
      </c>
      <c r="G256" s="126" t="s">
        <v>1664</v>
      </c>
      <c r="H256" s="131">
        <v>160</v>
      </c>
      <c r="I256" s="49" t="s">
        <v>3706</v>
      </c>
      <c r="J256" s="52"/>
      <c r="K256" s="169" t="s">
        <v>5555</v>
      </c>
      <c r="L256" s="169" t="s">
        <v>5702</v>
      </c>
      <c r="M256" s="58">
        <v>45534</v>
      </c>
      <c r="N256" s="128" t="str">
        <f>+VLOOKUP(B256,BOM!$A$8:$X$1078,22,0)</f>
        <v>2x0 +8x3 + 2x6 +8xB</v>
      </c>
    </row>
    <row r="257" spans="1:17" ht="15">
      <c r="A257" s="153">
        <v>255</v>
      </c>
      <c r="B257" s="107" t="s">
        <v>1153</v>
      </c>
      <c r="C257" s="126" t="s">
        <v>558</v>
      </c>
      <c r="D257" s="127">
        <v>16</v>
      </c>
      <c r="E257" s="56" t="s">
        <v>2388</v>
      </c>
      <c r="F257" s="126" t="s">
        <v>22</v>
      </c>
      <c r="G257" s="126" t="s">
        <v>1664</v>
      </c>
      <c r="H257" s="131">
        <v>688</v>
      </c>
      <c r="I257" s="49" t="s">
        <v>3706</v>
      </c>
      <c r="J257" s="52"/>
      <c r="K257" s="169" t="s">
        <v>5555</v>
      </c>
      <c r="L257" s="169" t="s">
        <v>5703</v>
      </c>
      <c r="M257" s="58">
        <v>45534</v>
      </c>
      <c r="N257" s="128" t="str">
        <f>+VLOOKUP(B257,BOM!$A$8:$X$1078,22,0)</f>
        <v xml:space="preserve">16x3 + 16xA + </v>
      </c>
    </row>
    <row r="258" spans="1:17" ht="15">
      <c r="A258" s="153">
        <v>256</v>
      </c>
      <c r="B258" s="107" t="s">
        <v>1154</v>
      </c>
      <c r="C258" s="126" t="s">
        <v>558</v>
      </c>
      <c r="D258" s="127">
        <v>8</v>
      </c>
      <c r="E258" s="56" t="s">
        <v>2388</v>
      </c>
      <c r="F258" s="126" t="s">
        <v>22</v>
      </c>
      <c r="G258" s="126" t="s">
        <v>1664</v>
      </c>
      <c r="H258" s="131">
        <v>96</v>
      </c>
      <c r="I258" s="49" t="s">
        <v>3706</v>
      </c>
      <c r="J258" s="52"/>
      <c r="K258" s="169"/>
      <c r="L258" s="169" t="s">
        <v>5704</v>
      </c>
      <c r="M258" s="90">
        <v>45540</v>
      </c>
      <c r="N258" s="128" t="str">
        <f>+VLOOKUP(B258,BOM!$A$8:$X$1078,22,0)</f>
        <v>4x3 + 8xB</v>
      </c>
    </row>
    <row r="259" spans="1:17" ht="15">
      <c r="A259" s="153">
        <v>257</v>
      </c>
      <c r="B259" s="107" t="s">
        <v>1155</v>
      </c>
      <c r="C259" s="126" t="s">
        <v>558</v>
      </c>
      <c r="D259" s="55">
        <v>8</v>
      </c>
      <c r="E259" s="56" t="s">
        <v>2388</v>
      </c>
      <c r="F259" s="126" t="s">
        <v>22</v>
      </c>
      <c r="G259" s="126" t="s">
        <v>1664</v>
      </c>
      <c r="H259" s="131">
        <v>64</v>
      </c>
      <c r="I259" s="49" t="s">
        <v>3706</v>
      </c>
      <c r="J259" s="52"/>
      <c r="K259" s="169"/>
      <c r="L259" s="169" t="s">
        <v>5705</v>
      </c>
      <c r="M259" s="90">
        <v>45540</v>
      </c>
      <c r="N259" s="128" t="str">
        <f>+VLOOKUP(B259,BOM!$A$8:$X$1078,22,0)</f>
        <v>A</v>
      </c>
    </row>
    <row r="260" spans="1:17" ht="15">
      <c r="A260" s="153">
        <v>258</v>
      </c>
      <c r="B260" s="107" t="s">
        <v>1245</v>
      </c>
      <c r="C260" s="126" t="s">
        <v>506</v>
      </c>
      <c r="D260" s="55">
        <v>2</v>
      </c>
      <c r="E260" s="56" t="s">
        <v>2388</v>
      </c>
      <c r="F260" s="126" t="s">
        <v>22</v>
      </c>
      <c r="G260" s="126" t="s">
        <v>1664</v>
      </c>
      <c r="H260" s="131">
        <v>16</v>
      </c>
      <c r="I260" s="49" t="s">
        <v>3706</v>
      </c>
      <c r="J260" s="52"/>
      <c r="K260" s="169" t="s">
        <v>5555</v>
      </c>
      <c r="L260" s="169" t="s">
        <v>5706</v>
      </c>
      <c r="M260" s="58">
        <v>45540</v>
      </c>
      <c r="N260" s="128" t="str">
        <f>+VLOOKUP(B260,BOM!$A$8:$X$1078,22,0)</f>
        <v>2x3 + 2xB</v>
      </c>
    </row>
    <row r="261" spans="1:17" ht="15">
      <c r="A261" s="153">
        <v>259</v>
      </c>
      <c r="B261" s="107" t="s">
        <v>752</v>
      </c>
      <c r="C261" s="126" t="s">
        <v>489</v>
      </c>
      <c r="D261" s="55">
        <v>4</v>
      </c>
      <c r="E261" s="56" t="s">
        <v>2388</v>
      </c>
      <c r="F261" s="126" t="s">
        <v>22</v>
      </c>
      <c r="G261" s="126" t="s">
        <v>1664</v>
      </c>
      <c r="H261" s="131">
        <v>112</v>
      </c>
      <c r="I261" s="49" t="s">
        <v>3706</v>
      </c>
      <c r="J261" s="52"/>
      <c r="K261" s="169" t="s">
        <v>5555</v>
      </c>
      <c r="L261" s="169" t="s">
        <v>5707</v>
      </c>
      <c r="M261" s="58">
        <v>45534</v>
      </c>
      <c r="N261" s="128" t="str">
        <f>+VLOOKUP(B261,BOM!$A$8:$X$1078,22,0)</f>
        <v xml:space="preserve">1x0 + 5x3 + 1x4 + 1x6 + 4xB + </v>
      </c>
    </row>
    <row r="262" spans="1:17" ht="15">
      <c r="A262" s="153">
        <v>260</v>
      </c>
      <c r="B262" s="107" t="s">
        <v>1274</v>
      </c>
      <c r="C262" s="126" t="s">
        <v>489</v>
      </c>
      <c r="D262" s="127">
        <v>8</v>
      </c>
      <c r="E262" s="56" t="s">
        <v>2388</v>
      </c>
      <c r="F262" s="126" t="s">
        <v>22</v>
      </c>
      <c r="G262" s="126" t="s">
        <v>1664</v>
      </c>
      <c r="H262" s="131">
        <v>144</v>
      </c>
      <c r="I262" s="49" t="s">
        <v>3706</v>
      </c>
      <c r="J262" s="52"/>
      <c r="K262" s="169" t="s">
        <v>5555</v>
      </c>
      <c r="L262" s="169" t="s">
        <v>5708</v>
      </c>
      <c r="M262" s="58">
        <v>45534</v>
      </c>
      <c r="N262" s="128" t="str">
        <f>+VLOOKUP(B262,BOM!$A$8:$X$1078,22,0)</f>
        <v xml:space="preserve">8x3 + 8xA + </v>
      </c>
    </row>
    <row r="263" spans="1:17" ht="15">
      <c r="A263" s="153">
        <v>261</v>
      </c>
      <c r="B263" s="107" t="s">
        <v>1277</v>
      </c>
      <c r="C263" s="126" t="s">
        <v>492</v>
      </c>
      <c r="D263" s="127">
        <v>4</v>
      </c>
      <c r="E263" s="56" t="s">
        <v>2388</v>
      </c>
      <c r="F263" s="126" t="s">
        <v>22</v>
      </c>
      <c r="G263" s="126" t="s">
        <v>1664</v>
      </c>
      <c r="H263" s="131">
        <v>32</v>
      </c>
      <c r="I263" s="49" t="s">
        <v>3706</v>
      </c>
      <c r="J263" s="52"/>
      <c r="K263" s="170" t="s">
        <v>5555</v>
      </c>
      <c r="L263" s="170" t="s">
        <v>5709</v>
      </c>
      <c r="M263" s="58"/>
      <c r="N263" s="128" t="str">
        <f>+VLOOKUP(B263,BOM!$A$8:$X$1078,22,0)</f>
        <v>4x3 + 4xB</v>
      </c>
    </row>
    <row r="264" spans="1:17" ht="15">
      <c r="A264" s="153">
        <v>262</v>
      </c>
      <c r="B264" s="107" t="s">
        <v>1277</v>
      </c>
      <c r="C264" s="126" t="s">
        <v>492</v>
      </c>
      <c r="D264" s="127">
        <v>4</v>
      </c>
      <c r="E264" s="56" t="s">
        <v>2388</v>
      </c>
      <c r="F264" s="126" t="s">
        <v>22</v>
      </c>
      <c r="G264" s="126" t="s">
        <v>1664</v>
      </c>
      <c r="H264" s="131">
        <v>32</v>
      </c>
      <c r="I264" s="49" t="s">
        <v>3706</v>
      </c>
      <c r="J264" s="52"/>
      <c r="K264" s="169" t="s">
        <v>5555</v>
      </c>
      <c r="L264" s="186" t="s">
        <v>5710</v>
      </c>
      <c r="M264" s="58">
        <v>45534</v>
      </c>
      <c r="N264" s="128" t="str">
        <f>+VLOOKUP(B264,BOM!$A$8:$X$1078,22,0)</f>
        <v>4x3 + 4xB</v>
      </c>
    </row>
    <row r="265" spans="1:17" ht="15">
      <c r="A265" s="153">
        <v>263</v>
      </c>
      <c r="B265" s="107" t="s">
        <v>1281</v>
      </c>
      <c r="C265" s="126" t="s">
        <v>492</v>
      </c>
      <c r="D265" s="127">
        <v>8</v>
      </c>
      <c r="E265" s="56" t="s">
        <v>2388</v>
      </c>
      <c r="F265" s="126" t="s">
        <v>22</v>
      </c>
      <c r="G265" s="126" t="s">
        <v>1664</v>
      </c>
      <c r="H265" s="131">
        <v>64</v>
      </c>
      <c r="I265" s="49" t="s">
        <v>3706</v>
      </c>
      <c r="J265" s="52"/>
      <c r="K265" s="169"/>
      <c r="L265" s="169" t="s">
        <v>5711</v>
      </c>
      <c r="M265" s="58">
        <v>45534</v>
      </c>
      <c r="N265" s="128" t="str">
        <f>+VLOOKUP(B265,BOM!$A$8:$X$1078,22,0)</f>
        <v>A</v>
      </c>
    </row>
    <row r="266" spans="1:17" ht="15">
      <c r="A266" s="153">
        <v>264</v>
      </c>
      <c r="B266" s="107" t="s">
        <v>1283</v>
      </c>
      <c r="C266" s="126" t="s">
        <v>1285</v>
      </c>
      <c r="D266" s="127"/>
      <c r="E266" s="56" t="s">
        <v>2388</v>
      </c>
      <c r="F266" s="126" t="s">
        <v>22</v>
      </c>
      <c r="G266" s="126" t="s">
        <v>1664</v>
      </c>
      <c r="H266" s="131">
        <v>64</v>
      </c>
      <c r="I266" s="49" t="s">
        <v>3706</v>
      </c>
      <c r="J266" s="52"/>
      <c r="K266" s="169" t="s">
        <v>5441</v>
      </c>
      <c r="L266" s="169" t="s">
        <v>5712</v>
      </c>
      <c r="M266" s="58">
        <v>45534</v>
      </c>
      <c r="N266" s="128">
        <f>+VLOOKUP(B266,BOM!$A$8:$X$1078,22,0)</f>
        <v>3</v>
      </c>
    </row>
    <row r="267" spans="1:17" ht="15">
      <c r="A267" s="153">
        <v>265</v>
      </c>
      <c r="B267" s="107" t="s">
        <v>1288</v>
      </c>
      <c r="C267" s="126" t="s">
        <v>489</v>
      </c>
      <c r="D267" s="127">
        <v>8</v>
      </c>
      <c r="E267" s="56" t="s">
        <v>2388</v>
      </c>
      <c r="F267" s="126" t="s">
        <v>22</v>
      </c>
      <c r="G267" s="126" t="s">
        <v>1664</v>
      </c>
      <c r="H267" s="131">
        <v>64</v>
      </c>
      <c r="I267" s="49" t="s">
        <v>3706</v>
      </c>
      <c r="J267" s="52"/>
      <c r="K267" s="169"/>
      <c r="L267" s="169" t="s">
        <v>5713</v>
      </c>
      <c r="M267" s="58">
        <v>45534</v>
      </c>
      <c r="N267" s="128" t="str">
        <f>+VLOOKUP(B267,BOM!$A$8:$X$1078,22,0)</f>
        <v>B</v>
      </c>
    </row>
    <row r="268" spans="1:17" s="62" customFormat="1" ht="15">
      <c r="A268" s="153">
        <v>266</v>
      </c>
      <c r="B268" s="107" t="s">
        <v>1289</v>
      </c>
      <c r="C268" s="126" t="s">
        <v>489</v>
      </c>
      <c r="D268" s="127">
        <v>8</v>
      </c>
      <c r="E268" s="56" t="s">
        <v>2388</v>
      </c>
      <c r="F268" s="126" t="s">
        <v>22</v>
      </c>
      <c r="G268" s="126" t="s">
        <v>1664</v>
      </c>
      <c r="H268" s="131">
        <v>64</v>
      </c>
      <c r="I268" s="49" t="s">
        <v>3706</v>
      </c>
      <c r="J268" s="52"/>
      <c r="K268" s="169"/>
      <c r="L268" s="169" t="s">
        <v>5714</v>
      </c>
      <c r="M268" s="58">
        <v>45534</v>
      </c>
      <c r="N268" s="128" t="str">
        <f>+VLOOKUP(B268,BOM!$A$8:$X$1078,22,0)</f>
        <v>A</v>
      </c>
      <c r="O268" s="10"/>
      <c r="P268" s="10"/>
      <c r="Q268" s="10"/>
    </row>
    <row r="269" spans="1:17" ht="15">
      <c r="A269" s="153">
        <v>267</v>
      </c>
      <c r="B269" s="107" t="s">
        <v>109</v>
      </c>
      <c r="C269" s="126" t="s">
        <v>111</v>
      </c>
      <c r="D269" s="127">
        <v>1</v>
      </c>
      <c r="E269" s="56" t="s">
        <v>2391</v>
      </c>
      <c r="F269" s="126" t="s">
        <v>22</v>
      </c>
      <c r="G269" s="126" t="s">
        <v>1664</v>
      </c>
      <c r="H269" s="131">
        <v>1</v>
      </c>
      <c r="I269" s="49" t="s">
        <v>3706</v>
      </c>
      <c r="J269" s="52"/>
      <c r="K269" s="169"/>
      <c r="L269" s="183" t="s">
        <v>5715</v>
      </c>
      <c r="M269" s="91">
        <v>45534</v>
      </c>
      <c r="N269" s="128" t="str">
        <f>+VLOOKUP(B269,BOM!$A$8:$X$1078,22,0)</f>
        <v>D</v>
      </c>
    </row>
    <row r="270" spans="1:17" ht="15">
      <c r="A270" s="153">
        <v>268</v>
      </c>
      <c r="B270" s="107" t="s">
        <v>240</v>
      </c>
      <c r="C270" s="126" t="s">
        <v>242</v>
      </c>
      <c r="D270" s="127">
        <v>12</v>
      </c>
      <c r="E270" s="56" t="s">
        <v>2391</v>
      </c>
      <c r="F270" s="126" t="s">
        <v>22</v>
      </c>
      <c r="G270" s="126" t="s">
        <v>1664</v>
      </c>
      <c r="H270" s="131">
        <v>16</v>
      </c>
      <c r="I270" s="49" t="s">
        <v>3706</v>
      </c>
      <c r="J270" s="52"/>
      <c r="K270" s="169" t="s">
        <v>5555</v>
      </c>
      <c r="L270" s="183" t="s">
        <v>5716</v>
      </c>
      <c r="M270" s="91">
        <v>45534</v>
      </c>
      <c r="N270" s="128" t="str">
        <f>+VLOOKUP(B270,BOM!$A$8:$X$1078,22,0)</f>
        <v>4xA + 12xC</v>
      </c>
    </row>
    <row r="271" spans="1:17" ht="15">
      <c r="A271" s="153">
        <v>269</v>
      </c>
      <c r="B271" s="107" t="s">
        <v>243</v>
      </c>
      <c r="C271" s="126" t="s">
        <v>242</v>
      </c>
      <c r="D271" s="127">
        <v>1</v>
      </c>
      <c r="E271" s="56" t="s">
        <v>2391</v>
      </c>
      <c r="F271" s="126" t="s">
        <v>22</v>
      </c>
      <c r="G271" s="126" t="s">
        <v>1664</v>
      </c>
      <c r="H271" s="131">
        <v>3</v>
      </c>
      <c r="I271" s="49" t="s">
        <v>3706</v>
      </c>
      <c r="J271" s="52"/>
      <c r="K271" s="169" t="s">
        <v>5572</v>
      </c>
      <c r="L271" s="186" t="s">
        <v>5717</v>
      </c>
      <c r="M271" s="58">
        <v>45534</v>
      </c>
      <c r="N271" s="128" t="str">
        <f>+VLOOKUP(B271,BOM!$A$8:$X$1078,22,0)</f>
        <v>2xA + 1xC</v>
      </c>
    </row>
    <row r="272" spans="1:17" ht="15">
      <c r="A272" s="153">
        <v>270</v>
      </c>
      <c r="B272" s="107" t="s">
        <v>246</v>
      </c>
      <c r="C272" s="126" t="s">
        <v>242</v>
      </c>
      <c r="D272" s="127">
        <v>3</v>
      </c>
      <c r="E272" s="56" t="s">
        <v>2391</v>
      </c>
      <c r="F272" s="126" t="s">
        <v>22</v>
      </c>
      <c r="G272" s="126" t="s">
        <v>1664</v>
      </c>
      <c r="H272" s="131">
        <v>3</v>
      </c>
      <c r="I272" s="49" t="s">
        <v>3706</v>
      </c>
      <c r="J272" s="52"/>
      <c r="K272" s="169"/>
      <c r="L272" s="183" t="s">
        <v>5718</v>
      </c>
      <c r="M272" s="91">
        <v>45534</v>
      </c>
      <c r="N272" s="128" t="str">
        <f>+VLOOKUP(B272,BOM!$A$8:$X$1078,22,0)</f>
        <v>C</v>
      </c>
      <c r="O272" s="62"/>
    </row>
    <row r="273" spans="1:17" ht="15">
      <c r="A273" s="153">
        <v>271</v>
      </c>
      <c r="B273" s="107" t="s">
        <v>250</v>
      </c>
      <c r="C273" s="126" t="s">
        <v>242</v>
      </c>
      <c r="D273" s="55">
        <v>5</v>
      </c>
      <c r="E273" s="52" t="s">
        <v>2391</v>
      </c>
      <c r="F273" s="126" t="s">
        <v>22</v>
      </c>
      <c r="G273" s="126" t="s">
        <v>1664</v>
      </c>
      <c r="H273" s="131">
        <v>6</v>
      </c>
      <c r="I273" s="49" t="s">
        <v>3706</v>
      </c>
      <c r="J273" s="52"/>
      <c r="K273" s="169" t="s">
        <v>5572</v>
      </c>
      <c r="L273" s="169" t="s">
        <v>5719</v>
      </c>
      <c r="M273" s="90">
        <v>45540</v>
      </c>
      <c r="N273" s="128" t="str">
        <f>+VLOOKUP(B273,BOM!$A$8:$X$1078,22,0)</f>
        <v>1x4 + 5xC</v>
      </c>
    </row>
    <row r="274" spans="1:17" ht="15">
      <c r="A274" s="153">
        <v>272</v>
      </c>
      <c r="B274" s="107" t="s">
        <v>252</v>
      </c>
      <c r="C274" s="126" t="s">
        <v>242</v>
      </c>
      <c r="D274" s="127">
        <v>2</v>
      </c>
      <c r="E274" s="56" t="s">
        <v>2391</v>
      </c>
      <c r="F274" s="126" t="s">
        <v>22</v>
      </c>
      <c r="G274" s="126" t="s">
        <v>1664</v>
      </c>
      <c r="H274" s="131">
        <v>4</v>
      </c>
      <c r="I274" s="49" t="s">
        <v>3706</v>
      </c>
      <c r="J274" s="52"/>
      <c r="K274" s="169" t="s">
        <v>5572</v>
      </c>
      <c r="L274" s="169" t="s">
        <v>5720</v>
      </c>
      <c r="M274" s="58">
        <v>45534</v>
      </c>
      <c r="N274" s="128" t="str">
        <f>+VLOOKUP(B274,BOM!$A$8:$X$1078,22,0)</f>
        <v>2xA + 2xC</v>
      </c>
    </row>
    <row r="275" spans="1:17" ht="15">
      <c r="A275" s="153">
        <v>273</v>
      </c>
      <c r="B275" s="107" t="s">
        <v>1407</v>
      </c>
      <c r="C275" s="126" t="s">
        <v>1811</v>
      </c>
      <c r="D275" s="127">
        <v>2</v>
      </c>
      <c r="E275" s="56" t="s">
        <v>2391</v>
      </c>
      <c r="F275" s="126" t="s">
        <v>22</v>
      </c>
      <c r="G275" s="126" t="s">
        <v>1664</v>
      </c>
      <c r="H275" s="131">
        <v>2</v>
      </c>
      <c r="I275" s="49" t="s">
        <v>3706</v>
      </c>
      <c r="J275" s="52"/>
      <c r="K275" s="169"/>
      <c r="L275" s="183" t="s">
        <v>5721</v>
      </c>
      <c r="M275" s="91">
        <v>45534</v>
      </c>
      <c r="N275" s="128" t="str">
        <f>+VLOOKUP(B275,BOM!$A$8:$X$1078,22,0)</f>
        <v>C</v>
      </c>
    </row>
    <row r="276" spans="1:17" ht="15">
      <c r="A276" s="153">
        <v>274</v>
      </c>
      <c r="B276" s="107" t="s">
        <v>469</v>
      </c>
      <c r="C276" s="126" t="s">
        <v>471</v>
      </c>
      <c r="D276" s="55">
        <v>2</v>
      </c>
      <c r="E276" s="56" t="s">
        <v>2391</v>
      </c>
      <c r="F276" s="126" t="s">
        <v>22</v>
      </c>
      <c r="G276" s="126" t="s">
        <v>1664</v>
      </c>
      <c r="H276" s="131">
        <v>2</v>
      </c>
      <c r="I276" s="49" t="s">
        <v>3706</v>
      </c>
      <c r="J276" s="52"/>
      <c r="K276" s="169"/>
      <c r="L276" s="169" t="s">
        <v>5722</v>
      </c>
      <c r="M276" s="90">
        <v>45540</v>
      </c>
      <c r="N276" s="128" t="str">
        <f>+VLOOKUP(B276,BOM!$A$8:$X$1078,22,0)</f>
        <v>C</v>
      </c>
    </row>
    <row r="277" spans="1:17" ht="15">
      <c r="A277" s="153">
        <v>275</v>
      </c>
      <c r="B277" s="107" t="s">
        <v>484</v>
      </c>
      <c r="C277" s="126" t="s">
        <v>485</v>
      </c>
      <c r="D277" s="55">
        <v>3</v>
      </c>
      <c r="E277" s="56" t="s">
        <v>2391</v>
      </c>
      <c r="F277" s="126" t="s">
        <v>22</v>
      </c>
      <c r="G277" s="126" t="s">
        <v>1664</v>
      </c>
      <c r="H277" s="131">
        <v>5</v>
      </c>
      <c r="I277" s="49" t="s">
        <v>3706</v>
      </c>
      <c r="J277" s="52"/>
      <c r="K277" s="169" t="s">
        <v>5555</v>
      </c>
      <c r="L277" s="169" t="s">
        <v>5723</v>
      </c>
      <c r="M277" s="90">
        <v>45540</v>
      </c>
      <c r="N277" s="128" t="str">
        <f>+VLOOKUP(B277,BOM!$A$8:$X$1078,22,0)</f>
        <v>2x6 + 3xC</v>
      </c>
    </row>
    <row r="278" spans="1:17" ht="15">
      <c r="A278" s="153">
        <v>276</v>
      </c>
      <c r="B278" s="107" t="s">
        <v>840</v>
      </c>
      <c r="C278" s="126" t="s">
        <v>842</v>
      </c>
      <c r="D278" s="55">
        <v>2</v>
      </c>
      <c r="E278" s="56" t="s">
        <v>2391</v>
      </c>
      <c r="F278" s="126" t="s">
        <v>22</v>
      </c>
      <c r="G278" s="126" t="s">
        <v>1664</v>
      </c>
      <c r="H278" s="131">
        <v>2</v>
      </c>
      <c r="I278" s="49" t="s">
        <v>3706</v>
      </c>
      <c r="J278" s="52"/>
      <c r="K278" s="169"/>
      <c r="L278" s="169" t="s">
        <v>5724</v>
      </c>
      <c r="M278" s="90">
        <v>45540</v>
      </c>
      <c r="N278" s="128" t="str">
        <f>+VLOOKUP(B278,BOM!$A$8:$X$1078,22,0)</f>
        <v>C</v>
      </c>
    </row>
    <row r="279" spans="1:17" ht="15">
      <c r="A279" s="153">
        <v>277</v>
      </c>
      <c r="B279" s="107" t="s">
        <v>860</v>
      </c>
      <c r="C279" s="126" t="s">
        <v>862</v>
      </c>
      <c r="D279" s="55">
        <v>2</v>
      </c>
      <c r="E279" s="56" t="s">
        <v>2391</v>
      </c>
      <c r="F279" s="126" t="s">
        <v>22</v>
      </c>
      <c r="G279" s="126" t="s">
        <v>1664</v>
      </c>
      <c r="H279" s="131">
        <v>24</v>
      </c>
      <c r="I279" s="49" t="s">
        <v>3706</v>
      </c>
      <c r="J279" s="52"/>
      <c r="K279" s="169"/>
      <c r="L279" s="169" t="s">
        <v>5725</v>
      </c>
      <c r="M279" s="90">
        <v>45540</v>
      </c>
      <c r="N279" s="128" t="str">
        <f>+VLOOKUP(B279,BOM!$A$8:$X$1078,22,0)</f>
        <v>C</v>
      </c>
    </row>
    <row r="280" spans="1:17" ht="15">
      <c r="A280" s="153">
        <v>278</v>
      </c>
      <c r="B280" s="107" t="s">
        <v>870</v>
      </c>
      <c r="C280" s="126" t="s">
        <v>21</v>
      </c>
      <c r="D280" s="127">
        <v>1</v>
      </c>
      <c r="E280" s="56" t="s">
        <v>2391</v>
      </c>
      <c r="F280" s="126" t="s">
        <v>22</v>
      </c>
      <c r="G280" s="126" t="s">
        <v>1664</v>
      </c>
      <c r="H280" s="131">
        <v>16</v>
      </c>
      <c r="I280" s="49" t="s">
        <v>3706</v>
      </c>
      <c r="J280" s="52"/>
      <c r="K280" s="169"/>
      <c r="L280" s="169" t="s">
        <v>5726</v>
      </c>
      <c r="M280" s="58">
        <v>45534</v>
      </c>
      <c r="N280" s="128" t="str">
        <f>+VLOOKUP(B280,BOM!$A$8:$X$1078,22,0)</f>
        <v>D</v>
      </c>
    </row>
    <row r="281" spans="1:17" ht="15">
      <c r="A281" s="153">
        <v>279</v>
      </c>
      <c r="B281" s="107" t="s">
        <v>978</v>
      </c>
      <c r="C281" s="126" t="s">
        <v>979</v>
      </c>
      <c r="D281" s="55">
        <v>1</v>
      </c>
      <c r="E281" s="56" t="s">
        <v>2391</v>
      </c>
      <c r="F281" s="126" t="s">
        <v>22</v>
      </c>
      <c r="G281" s="126" t="s">
        <v>1664</v>
      </c>
      <c r="H281" s="131">
        <v>1</v>
      </c>
      <c r="I281" s="49" t="s">
        <v>2511</v>
      </c>
      <c r="J281" s="52"/>
      <c r="K281" s="169"/>
      <c r="L281" s="169" t="s">
        <v>5727</v>
      </c>
      <c r="M281" s="90">
        <v>45540</v>
      </c>
      <c r="N281" s="128" t="str">
        <f>+VLOOKUP(B281,BOM!$A$8:$X$1078,22,0)</f>
        <v>C</v>
      </c>
    </row>
    <row r="282" spans="1:17" ht="15">
      <c r="A282" s="153">
        <v>280</v>
      </c>
      <c r="B282" s="107" t="s">
        <v>980</v>
      </c>
      <c r="C282" s="126" t="s">
        <v>979</v>
      </c>
      <c r="D282" s="127">
        <v>1</v>
      </c>
      <c r="E282" s="56" t="s">
        <v>2391</v>
      </c>
      <c r="F282" s="126" t="s">
        <v>22</v>
      </c>
      <c r="G282" s="126" t="s">
        <v>1664</v>
      </c>
      <c r="H282" s="131">
        <v>1</v>
      </c>
      <c r="I282" s="49" t="s">
        <v>2511</v>
      </c>
      <c r="J282" s="52"/>
      <c r="K282" s="169"/>
      <c r="L282" s="169" t="s">
        <v>5728</v>
      </c>
      <c r="M282" s="58">
        <v>45534</v>
      </c>
      <c r="N282" s="128" t="str">
        <f>+VLOOKUP(B282,BOM!$A$8:$X$1078,22,0)</f>
        <v>C</v>
      </c>
    </row>
    <row r="283" spans="1:17" ht="15">
      <c r="A283" s="153">
        <v>281</v>
      </c>
      <c r="B283" s="107" t="s">
        <v>538</v>
      </c>
      <c r="C283" s="126" t="s">
        <v>540</v>
      </c>
      <c r="D283" s="127">
        <v>3</v>
      </c>
      <c r="E283" s="56" t="s">
        <v>2391</v>
      </c>
      <c r="F283" s="126" t="s">
        <v>22</v>
      </c>
      <c r="G283" s="126" t="s">
        <v>1664</v>
      </c>
      <c r="H283" s="131">
        <v>24</v>
      </c>
      <c r="I283" s="49" t="s">
        <v>3706</v>
      </c>
      <c r="J283" s="52"/>
      <c r="K283" s="169"/>
      <c r="L283" s="169" t="s">
        <v>5729</v>
      </c>
      <c r="M283" s="58">
        <v>45534</v>
      </c>
      <c r="N283" s="128" t="str">
        <f>+VLOOKUP(B283,BOM!$A$8:$X$1078,22,0)</f>
        <v>C</v>
      </c>
    </row>
    <row r="284" spans="1:17" ht="15">
      <c r="A284" s="153">
        <v>282</v>
      </c>
      <c r="B284" s="107" t="s">
        <v>1456</v>
      </c>
      <c r="C284" s="126" t="s">
        <v>2064</v>
      </c>
      <c r="D284" s="127">
        <v>2</v>
      </c>
      <c r="E284" s="56" t="s">
        <v>2391</v>
      </c>
      <c r="F284" s="126" t="s">
        <v>22</v>
      </c>
      <c r="G284" s="126" t="s">
        <v>1667</v>
      </c>
      <c r="H284" s="131">
        <v>8</v>
      </c>
      <c r="I284" s="49" t="s">
        <v>2511</v>
      </c>
      <c r="J284" s="52"/>
      <c r="K284" s="169" t="s">
        <v>5730</v>
      </c>
      <c r="L284" s="169" t="s">
        <v>5731</v>
      </c>
      <c r="M284" s="58">
        <v>45534</v>
      </c>
      <c r="N284" s="128" t="str">
        <f>+VLOOKUP(B284,BOM!$A$8:$X$1078,22,0)</f>
        <v xml:space="preserve"> 2x3 + 2x5 + 2xD + </v>
      </c>
    </row>
    <row r="285" spans="1:17" ht="15">
      <c r="A285" s="153">
        <v>283</v>
      </c>
      <c r="B285" s="107" t="s">
        <v>1133</v>
      </c>
      <c r="C285" s="126" t="s">
        <v>1134</v>
      </c>
      <c r="D285" s="55">
        <v>2</v>
      </c>
      <c r="E285" s="56" t="s">
        <v>2391</v>
      </c>
      <c r="F285" s="126" t="s">
        <v>22</v>
      </c>
      <c r="G285" s="126" t="s">
        <v>1664</v>
      </c>
      <c r="H285" s="131">
        <v>32</v>
      </c>
      <c r="I285" s="49" t="s">
        <v>3706</v>
      </c>
      <c r="J285" s="52"/>
      <c r="K285" s="169"/>
      <c r="L285" s="169" t="s">
        <v>5732</v>
      </c>
      <c r="M285" s="90">
        <v>45540</v>
      </c>
      <c r="N285" s="128" t="str">
        <f>+VLOOKUP(B285,BOM!$A$8:$X$1078,22,0)</f>
        <v>C</v>
      </c>
    </row>
    <row r="286" spans="1:17" ht="15">
      <c r="A286" s="153">
        <v>284</v>
      </c>
      <c r="B286" s="107" t="s">
        <v>1135</v>
      </c>
      <c r="C286" s="126" t="s">
        <v>905</v>
      </c>
      <c r="D286" s="127">
        <v>2</v>
      </c>
      <c r="E286" s="56" t="s">
        <v>2391</v>
      </c>
      <c r="F286" s="126" t="s">
        <v>22</v>
      </c>
      <c r="G286" s="126" t="s">
        <v>1664</v>
      </c>
      <c r="H286" s="131">
        <v>32</v>
      </c>
      <c r="I286" s="49" t="s">
        <v>3706</v>
      </c>
      <c r="J286" s="52"/>
      <c r="K286" s="169"/>
      <c r="L286" s="169" t="s">
        <v>5733</v>
      </c>
      <c r="M286" s="58">
        <v>45534</v>
      </c>
      <c r="N286" s="128" t="str">
        <f>+VLOOKUP(B286,BOM!$A$8:$X$1078,22,0)</f>
        <v>C</v>
      </c>
    </row>
    <row r="287" spans="1:17" ht="15">
      <c r="A287" s="153">
        <v>285</v>
      </c>
      <c r="B287" s="107" t="s">
        <v>1145</v>
      </c>
      <c r="C287" s="126" t="s">
        <v>1134</v>
      </c>
      <c r="D287" s="127">
        <v>2</v>
      </c>
      <c r="E287" s="56" t="s">
        <v>2391</v>
      </c>
      <c r="F287" s="126" t="s">
        <v>22</v>
      </c>
      <c r="G287" s="126" t="s">
        <v>1664</v>
      </c>
      <c r="H287" s="131">
        <v>16</v>
      </c>
      <c r="I287" s="49" t="s">
        <v>3706</v>
      </c>
      <c r="J287" s="52"/>
      <c r="K287" s="169"/>
      <c r="L287" s="169" t="s">
        <v>5734</v>
      </c>
      <c r="M287" s="58">
        <v>45534</v>
      </c>
      <c r="N287" s="128" t="str">
        <f>+VLOOKUP(B287,BOM!$A$8:$X$1078,22,0)</f>
        <v>D</v>
      </c>
    </row>
    <row r="288" spans="1:17" s="62" customFormat="1" ht="15.75" customHeight="1">
      <c r="A288" s="153">
        <v>286</v>
      </c>
      <c r="B288" s="107" t="s">
        <v>1508</v>
      </c>
      <c r="C288" s="126" t="s">
        <v>2189</v>
      </c>
      <c r="D288" s="55">
        <v>1</v>
      </c>
      <c r="E288" s="56" t="s">
        <v>2391</v>
      </c>
      <c r="F288" s="126" t="s">
        <v>22</v>
      </c>
      <c r="G288" s="126" t="s">
        <v>1664</v>
      </c>
      <c r="H288" s="131">
        <v>8</v>
      </c>
      <c r="I288" s="49" t="s">
        <v>3706</v>
      </c>
      <c r="J288" s="52"/>
      <c r="K288" s="169" t="s">
        <v>5735</v>
      </c>
      <c r="L288" s="169" t="s">
        <v>5736</v>
      </c>
      <c r="M288" s="90">
        <v>45540</v>
      </c>
      <c r="N288" s="128">
        <f>+VLOOKUP(B288,BOM!$A$8:$X$1078,22,0)</f>
        <v>0</v>
      </c>
      <c r="O288" s="10"/>
      <c r="P288" s="10"/>
      <c r="Q288" s="10"/>
    </row>
    <row r="289" spans="1:14" ht="15">
      <c r="A289" s="153">
        <v>287</v>
      </c>
      <c r="B289" s="107" t="s">
        <v>1147</v>
      </c>
      <c r="C289" s="126" t="s">
        <v>1148</v>
      </c>
      <c r="D289" s="127">
        <v>1</v>
      </c>
      <c r="E289" s="56" t="s">
        <v>2391</v>
      </c>
      <c r="F289" s="126" t="s">
        <v>22</v>
      </c>
      <c r="G289" s="126" t="s">
        <v>1664</v>
      </c>
      <c r="H289" s="131">
        <v>8</v>
      </c>
      <c r="I289" s="49" t="s">
        <v>3706</v>
      </c>
      <c r="J289" s="52"/>
      <c r="K289" s="169"/>
      <c r="L289" s="169" t="s">
        <v>5737</v>
      </c>
      <c r="M289" s="58">
        <v>45534</v>
      </c>
      <c r="N289" s="128" t="str">
        <f>+VLOOKUP(B289,BOM!$A$8:$X$1078,22,0)</f>
        <v>C</v>
      </c>
    </row>
    <row r="290" spans="1:14" ht="15">
      <c r="A290" s="153">
        <v>288</v>
      </c>
      <c r="B290" s="107" t="s">
        <v>1166</v>
      </c>
      <c r="C290" s="126" t="s">
        <v>630</v>
      </c>
      <c r="D290" s="55">
        <v>6</v>
      </c>
      <c r="E290" s="56" t="s">
        <v>2391</v>
      </c>
      <c r="F290" s="126" t="s">
        <v>22</v>
      </c>
      <c r="G290" s="126" t="s">
        <v>1664</v>
      </c>
      <c r="H290" s="131">
        <v>56</v>
      </c>
      <c r="I290" s="49" t="s">
        <v>3706</v>
      </c>
      <c r="J290" s="52"/>
      <c r="K290" s="169" t="s">
        <v>5555</v>
      </c>
      <c r="L290" s="169" t="s">
        <v>5738</v>
      </c>
      <c r="M290" s="90">
        <v>45540</v>
      </c>
      <c r="N290" s="128" t="str">
        <f>+VLOOKUP(B290,BOM!$A$8:$X$1078,22,0)</f>
        <v xml:space="preserve">6xD + </v>
      </c>
    </row>
    <row r="291" spans="1:14" ht="15">
      <c r="A291" s="153">
        <v>289</v>
      </c>
      <c r="B291" s="107" t="s">
        <v>1181</v>
      </c>
      <c r="C291" s="126" t="s">
        <v>587</v>
      </c>
      <c r="D291" s="55">
        <v>6</v>
      </c>
      <c r="E291" s="56" t="s">
        <v>2391</v>
      </c>
      <c r="F291" s="126" t="s">
        <v>22</v>
      </c>
      <c r="G291" s="126" t="s">
        <v>1664</v>
      </c>
      <c r="H291" s="131">
        <v>48</v>
      </c>
      <c r="I291" s="49" t="s">
        <v>3706</v>
      </c>
      <c r="J291" s="52"/>
      <c r="K291" s="169"/>
      <c r="L291" s="169" t="s">
        <v>5739</v>
      </c>
      <c r="M291" s="90">
        <v>45540</v>
      </c>
      <c r="N291" s="128" t="str">
        <f>+VLOOKUP(B291,BOM!$A$8:$X$1078,22,0)</f>
        <v>D</v>
      </c>
    </row>
    <row r="292" spans="1:14" ht="15">
      <c r="A292" s="153">
        <v>290</v>
      </c>
      <c r="B292" s="108" t="s">
        <v>1187</v>
      </c>
      <c r="C292" s="126" t="s">
        <v>1188</v>
      </c>
      <c r="D292" s="127">
        <v>3</v>
      </c>
      <c r="E292" s="56" t="s">
        <v>2391</v>
      </c>
      <c r="F292" s="126" t="s">
        <v>22</v>
      </c>
      <c r="G292" s="126" t="s">
        <v>1664</v>
      </c>
      <c r="H292" s="131">
        <v>88</v>
      </c>
      <c r="I292" s="49" t="s">
        <v>3706</v>
      </c>
      <c r="J292" s="52"/>
      <c r="K292" s="169" t="s">
        <v>5555</v>
      </c>
      <c r="L292" s="169" t="s">
        <v>5740</v>
      </c>
      <c r="M292" s="58">
        <v>45534</v>
      </c>
      <c r="N292" s="128" t="str">
        <f>+VLOOKUP(B292,BOM!$A$8:$X$1078,22,0)</f>
        <v>4x0 + 2x2 + 2x5 + 3xC</v>
      </c>
    </row>
    <row r="293" spans="1:14" ht="15">
      <c r="A293" s="153">
        <v>291</v>
      </c>
      <c r="B293" s="107" t="s">
        <v>1210</v>
      </c>
      <c r="C293" s="126" t="s">
        <v>611</v>
      </c>
      <c r="D293" s="127">
        <v>3</v>
      </c>
      <c r="E293" s="56" t="s">
        <v>2391</v>
      </c>
      <c r="F293" s="126" t="s">
        <v>22</v>
      </c>
      <c r="G293" s="126" t="s">
        <v>1664</v>
      </c>
      <c r="H293" s="131">
        <v>24</v>
      </c>
      <c r="I293" s="49" t="s">
        <v>3706</v>
      </c>
      <c r="J293" s="52"/>
      <c r="K293" s="169" t="s">
        <v>5741</v>
      </c>
      <c r="L293" s="169" t="s">
        <v>5742</v>
      </c>
      <c r="M293" s="58">
        <v>45534</v>
      </c>
      <c r="N293" s="128" t="str">
        <f>+VLOOKUP(B293,BOM!$A$8:$X$1078,22,0)</f>
        <v>C</v>
      </c>
    </row>
    <row r="294" spans="1:14" ht="15">
      <c r="A294" s="153">
        <v>292</v>
      </c>
      <c r="B294" s="107" t="s">
        <v>750</v>
      </c>
      <c r="C294" s="126" t="s">
        <v>492</v>
      </c>
      <c r="D294" s="55">
        <v>4</v>
      </c>
      <c r="E294" s="56" t="s">
        <v>2391</v>
      </c>
      <c r="F294" s="126" t="s">
        <v>22</v>
      </c>
      <c r="G294" s="126" t="s">
        <v>1664</v>
      </c>
      <c r="H294" s="131">
        <v>128</v>
      </c>
      <c r="I294" s="49" t="s">
        <v>3706</v>
      </c>
      <c r="J294" s="52"/>
      <c r="K294" s="169" t="s">
        <v>5507</v>
      </c>
      <c r="L294" s="169" t="s">
        <v>5743</v>
      </c>
      <c r="M294" s="90">
        <v>45540</v>
      </c>
      <c r="N294" s="128" t="str">
        <f>+VLOOKUP(B294,BOM!$A$8:$X$1078,22,0)</f>
        <v xml:space="preserve">4x3 + 4x5 + 4xD + </v>
      </c>
    </row>
    <row r="295" spans="1:14" ht="15">
      <c r="A295" s="153">
        <v>293</v>
      </c>
      <c r="B295" s="107" t="s">
        <v>1290</v>
      </c>
      <c r="C295" s="126" t="s">
        <v>489</v>
      </c>
      <c r="D295" s="127">
        <v>2</v>
      </c>
      <c r="E295" s="56" t="s">
        <v>2391</v>
      </c>
      <c r="F295" s="126" t="s">
        <v>22</v>
      </c>
      <c r="G295" s="126" t="s">
        <v>1664</v>
      </c>
      <c r="H295" s="131">
        <v>16</v>
      </c>
      <c r="I295" s="49" t="s">
        <v>3706</v>
      </c>
      <c r="J295" s="52"/>
      <c r="K295" s="169"/>
      <c r="L295" s="169" t="s">
        <v>5744</v>
      </c>
      <c r="M295" s="58">
        <v>45534</v>
      </c>
      <c r="N295" s="128" t="str">
        <f>+VLOOKUP(B295,BOM!$A$8:$X$1078,22,0)</f>
        <v>C</v>
      </c>
    </row>
    <row r="296" spans="1:14" ht="15">
      <c r="A296" s="153">
        <v>294</v>
      </c>
      <c r="B296" s="107" t="s">
        <v>1418</v>
      </c>
      <c r="C296" s="126" t="s">
        <v>1838</v>
      </c>
      <c r="D296" s="127">
        <v>2</v>
      </c>
      <c r="E296" s="56" t="s">
        <v>2385</v>
      </c>
      <c r="F296" s="126" t="s">
        <v>1733</v>
      </c>
      <c r="G296" s="126" t="s">
        <v>1664</v>
      </c>
      <c r="H296" s="131">
        <v>16</v>
      </c>
      <c r="I296" s="49" t="s">
        <v>3706</v>
      </c>
      <c r="J296" s="52"/>
      <c r="K296" s="169"/>
      <c r="L296" s="169" t="s">
        <v>5745</v>
      </c>
      <c r="M296" s="58">
        <v>45534</v>
      </c>
      <c r="N296" s="128">
        <f>+VLOOKUP(B296,BOM!$A$8:$X$1078,22,0)</f>
        <v>1</v>
      </c>
    </row>
    <row r="297" spans="1:14" ht="15">
      <c r="A297" s="153">
        <v>295</v>
      </c>
      <c r="B297" s="107" t="s">
        <v>1452</v>
      </c>
      <c r="C297" s="126" t="s">
        <v>2060</v>
      </c>
      <c r="D297" s="127">
        <v>1</v>
      </c>
      <c r="E297" s="56" t="s">
        <v>2385</v>
      </c>
      <c r="F297" s="126" t="s">
        <v>1733</v>
      </c>
      <c r="G297" s="126" t="s">
        <v>1664</v>
      </c>
      <c r="H297" s="131">
        <v>8</v>
      </c>
      <c r="I297" s="49" t="s">
        <v>3706</v>
      </c>
      <c r="J297" s="52"/>
      <c r="K297" s="169" t="s">
        <v>5746</v>
      </c>
      <c r="L297" s="169" t="s">
        <v>5747</v>
      </c>
      <c r="M297" s="58">
        <v>45534</v>
      </c>
      <c r="N297" s="128">
        <f>+VLOOKUP(B297,BOM!$A$8:$X$1078,22,0)</f>
        <v>1</v>
      </c>
    </row>
    <row r="298" spans="1:14" ht="15">
      <c r="A298" s="153">
        <v>296</v>
      </c>
      <c r="B298" s="107" t="s">
        <v>1518</v>
      </c>
      <c r="C298" s="126" t="s">
        <v>1828</v>
      </c>
      <c r="D298" s="127">
        <v>1</v>
      </c>
      <c r="E298" s="56" t="s">
        <v>2385</v>
      </c>
      <c r="F298" s="126" t="s">
        <v>1733</v>
      </c>
      <c r="G298" s="126" t="s">
        <v>1664</v>
      </c>
      <c r="H298" s="131">
        <v>8</v>
      </c>
      <c r="I298" s="49" t="s">
        <v>3706</v>
      </c>
      <c r="J298" s="52"/>
      <c r="K298" s="169" t="s">
        <v>5748</v>
      </c>
      <c r="L298" s="169" t="s">
        <v>5749</v>
      </c>
      <c r="M298" s="58">
        <v>45534</v>
      </c>
      <c r="N298" s="128">
        <f>+VLOOKUP(B298,BOM!$A$8:$X$1078,22,0)</f>
        <v>4</v>
      </c>
    </row>
    <row r="299" spans="1:14" ht="15">
      <c r="A299" s="153">
        <v>297</v>
      </c>
      <c r="B299" s="107" t="s">
        <v>1520</v>
      </c>
      <c r="C299" s="126" t="s">
        <v>1828</v>
      </c>
      <c r="D299" s="127">
        <v>5</v>
      </c>
      <c r="E299" s="56" t="s">
        <v>2385</v>
      </c>
      <c r="F299" s="126" t="s">
        <v>1733</v>
      </c>
      <c r="G299" s="126" t="s">
        <v>1664</v>
      </c>
      <c r="H299" s="131">
        <v>40</v>
      </c>
      <c r="I299" s="49" t="s">
        <v>3706</v>
      </c>
      <c r="J299" s="52"/>
      <c r="K299" s="169" t="s">
        <v>5750</v>
      </c>
      <c r="L299" s="169" t="s">
        <v>5751</v>
      </c>
      <c r="M299" s="58">
        <v>45534</v>
      </c>
      <c r="N299" s="128">
        <f>+VLOOKUP(B299,BOM!$A$8:$X$1078,22,0)</f>
        <v>0</v>
      </c>
    </row>
    <row r="300" spans="1:14" ht="15">
      <c r="A300" s="153">
        <v>298</v>
      </c>
      <c r="B300" s="109" t="s">
        <v>1522</v>
      </c>
      <c r="C300" s="126" t="s">
        <v>1828</v>
      </c>
      <c r="D300" s="127">
        <v>2</v>
      </c>
      <c r="E300" s="56" t="s">
        <v>2385</v>
      </c>
      <c r="F300" s="126" t="s">
        <v>1733</v>
      </c>
      <c r="G300" s="126" t="s">
        <v>1664</v>
      </c>
      <c r="H300" s="131">
        <v>32</v>
      </c>
      <c r="I300" s="49" t="s">
        <v>3706</v>
      </c>
      <c r="J300" s="52"/>
      <c r="K300" s="169" t="s">
        <v>5555</v>
      </c>
      <c r="L300" s="169" t="s">
        <v>5752</v>
      </c>
      <c r="M300" s="58">
        <v>45534</v>
      </c>
      <c r="N300" s="128" t="str">
        <f>+VLOOKUP(B300,BOM!$A$8:$X$1078,22,0)</f>
        <v>2x0 +</v>
      </c>
    </row>
    <row r="301" spans="1:14" ht="15">
      <c r="A301" s="153">
        <v>299</v>
      </c>
      <c r="B301" s="107" t="s">
        <v>1527</v>
      </c>
      <c r="C301" s="126" t="s">
        <v>1828</v>
      </c>
      <c r="D301" s="127">
        <v>4</v>
      </c>
      <c r="E301" s="56" t="s">
        <v>2385</v>
      </c>
      <c r="F301" s="126" t="s">
        <v>1733</v>
      </c>
      <c r="G301" s="126" t="s">
        <v>1664</v>
      </c>
      <c r="H301" s="131">
        <v>32</v>
      </c>
      <c r="I301" s="49" t="s">
        <v>3706</v>
      </c>
      <c r="J301" s="52"/>
      <c r="K301" s="169" t="s">
        <v>5753</v>
      </c>
      <c r="L301" s="169" t="s">
        <v>5754</v>
      </c>
      <c r="M301" s="90">
        <v>45540</v>
      </c>
      <c r="N301" s="128">
        <f>+VLOOKUP(B301,BOM!$A$8:$X$1078,22,0)</f>
        <v>3</v>
      </c>
    </row>
    <row r="302" spans="1:14" ht="15">
      <c r="A302" s="153">
        <v>300</v>
      </c>
      <c r="B302" s="107" t="s">
        <v>1559</v>
      </c>
      <c r="C302" s="126" t="s">
        <v>2225</v>
      </c>
      <c r="D302" s="127">
        <v>2</v>
      </c>
      <c r="E302" s="56" t="s">
        <v>2385</v>
      </c>
      <c r="F302" s="126" t="s">
        <v>1733</v>
      </c>
      <c r="G302" s="126" t="s">
        <v>1664</v>
      </c>
      <c r="H302" s="131">
        <v>32</v>
      </c>
      <c r="I302" s="49" t="s">
        <v>3706</v>
      </c>
      <c r="J302" s="52"/>
      <c r="K302" s="169" t="s">
        <v>5555</v>
      </c>
      <c r="L302" s="169" t="s">
        <v>5755</v>
      </c>
      <c r="M302" s="58">
        <v>45534</v>
      </c>
      <c r="N302" s="128" t="str">
        <f>+VLOOKUP(B302,BOM!$A$8:$X$1078,22,0)</f>
        <v xml:space="preserve">2x0 + </v>
      </c>
    </row>
    <row r="303" spans="1:14" ht="15">
      <c r="A303" s="153">
        <v>301</v>
      </c>
      <c r="B303" s="107" t="s">
        <v>1561</v>
      </c>
      <c r="C303" s="126" t="s">
        <v>2225</v>
      </c>
      <c r="D303" s="127">
        <v>1</v>
      </c>
      <c r="E303" s="56" t="s">
        <v>2385</v>
      </c>
      <c r="F303" s="126" t="s">
        <v>1733</v>
      </c>
      <c r="G303" s="126" t="s">
        <v>1664</v>
      </c>
      <c r="H303" s="131">
        <v>24</v>
      </c>
      <c r="I303" s="49" t="s">
        <v>3706</v>
      </c>
      <c r="J303" s="52"/>
      <c r="K303" s="169" t="s">
        <v>5561</v>
      </c>
      <c r="L303" s="169" t="s">
        <v>5756</v>
      </c>
      <c r="M303" s="58">
        <v>45534</v>
      </c>
      <c r="N303" s="128">
        <f>+VLOOKUP(B303,BOM!$A$8:$X$1078,22,0)</f>
        <v>0</v>
      </c>
    </row>
    <row r="304" spans="1:14" ht="15">
      <c r="A304" s="153">
        <v>302</v>
      </c>
      <c r="B304" s="107" t="s">
        <v>1566</v>
      </c>
      <c r="C304" s="126" t="s">
        <v>2238</v>
      </c>
      <c r="D304" s="127">
        <v>2</v>
      </c>
      <c r="E304" s="56" t="s">
        <v>2385</v>
      </c>
      <c r="F304" s="126" t="s">
        <v>1733</v>
      </c>
      <c r="G304" s="126" t="s">
        <v>1664</v>
      </c>
      <c r="H304" s="131">
        <v>64</v>
      </c>
      <c r="I304" s="49" t="s">
        <v>3706</v>
      </c>
      <c r="J304" s="52"/>
      <c r="K304" s="169" t="s">
        <v>5555</v>
      </c>
      <c r="L304" s="169" t="s">
        <v>5757</v>
      </c>
      <c r="M304" s="58">
        <v>45534</v>
      </c>
      <c r="N304" s="128" t="str">
        <f>+VLOOKUP(B304,BOM!$A$8:$X$1078,22,0)</f>
        <v xml:space="preserve">2x0 + </v>
      </c>
    </row>
    <row r="305" spans="1:17" ht="15">
      <c r="A305" s="153">
        <v>303</v>
      </c>
      <c r="B305" s="107" t="s">
        <v>1606</v>
      </c>
      <c r="C305" s="126" t="s">
        <v>2066</v>
      </c>
      <c r="D305" s="127">
        <v>1</v>
      </c>
      <c r="E305" s="56" t="s">
        <v>2385</v>
      </c>
      <c r="F305" s="126" t="s">
        <v>1733</v>
      </c>
      <c r="G305" s="126" t="s">
        <v>1664</v>
      </c>
      <c r="H305" s="131">
        <v>32</v>
      </c>
      <c r="I305" s="49" t="s">
        <v>3706</v>
      </c>
      <c r="J305" s="52"/>
      <c r="K305" s="169" t="s">
        <v>5555</v>
      </c>
      <c r="L305" s="169" t="s">
        <v>5758</v>
      </c>
      <c r="M305" s="58">
        <v>45534</v>
      </c>
      <c r="N305" s="128" t="str">
        <f>+VLOOKUP(B305,BOM!$A$8:$X$1078,22,0)</f>
        <v xml:space="preserve">1x0 + 1x3 + </v>
      </c>
    </row>
    <row r="306" spans="1:17" ht="15">
      <c r="A306" s="153">
        <v>304</v>
      </c>
      <c r="B306" s="107" t="s">
        <v>1618</v>
      </c>
      <c r="C306" s="126" t="s">
        <v>1854</v>
      </c>
      <c r="D306" s="127">
        <v>2</v>
      </c>
      <c r="E306" s="56" t="s">
        <v>2385</v>
      </c>
      <c r="F306" s="126" t="s">
        <v>1733</v>
      </c>
      <c r="G306" s="126" t="s">
        <v>1664</v>
      </c>
      <c r="H306" s="131">
        <v>16</v>
      </c>
      <c r="I306" s="49" t="s">
        <v>3706</v>
      </c>
      <c r="J306" s="52"/>
      <c r="K306" s="169"/>
      <c r="L306" s="169" t="s">
        <v>5759</v>
      </c>
      <c r="M306" s="58">
        <v>45534</v>
      </c>
      <c r="N306" s="128">
        <f>+VLOOKUP(B306,BOM!$A$8:$X$1078,22,0)</f>
        <v>0</v>
      </c>
    </row>
    <row r="307" spans="1:17" ht="15">
      <c r="A307" s="153">
        <v>305</v>
      </c>
      <c r="B307" s="107" t="s">
        <v>1622</v>
      </c>
      <c r="C307" s="126" t="s">
        <v>1854</v>
      </c>
      <c r="D307" s="127">
        <v>1</v>
      </c>
      <c r="E307" s="56" t="s">
        <v>2385</v>
      </c>
      <c r="F307" s="126" t="s">
        <v>1733</v>
      </c>
      <c r="G307" s="126" t="s">
        <v>1664</v>
      </c>
      <c r="H307" s="131">
        <v>32</v>
      </c>
      <c r="I307" s="49" t="s">
        <v>3706</v>
      </c>
      <c r="J307" s="52"/>
      <c r="K307" s="169" t="s">
        <v>5555</v>
      </c>
      <c r="L307" s="169" t="s">
        <v>5760</v>
      </c>
      <c r="M307" s="58">
        <v>45534</v>
      </c>
      <c r="N307" s="128" t="str">
        <f>+VLOOKUP(B307,BOM!$A$8:$X$1078,22,0)</f>
        <v xml:space="preserve">1x0 + 1x3 + </v>
      </c>
    </row>
    <row r="308" spans="1:17" ht="15">
      <c r="A308" s="153">
        <v>306</v>
      </c>
      <c r="B308" s="107" t="s">
        <v>1623</v>
      </c>
      <c r="C308" s="126" t="s">
        <v>1854</v>
      </c>
      <c r="D308" s="127">
        <v>3</v>
      </c>
      <c r="E308" s="56" t="s">
        <v>2385</v>
      </c>
      <c r="F308" s="126" t="s">
        <v>1733</v>
      </c>
      <c r="G308" s="126" t="s">
        <v>1664</v>
      </c>
      <c r="H308" s="131">
        <v>24</v>
      </c>
      <c r="I308" s="49" t="s">
        <v>3706</v>
      </c>
      <c r="J308" s="52"/>
      <c r="K308" s="169" t="s">
        <v>5750</v>
      </c>
      <c r="L308" s="169" t="s">
        <v>5761</v>
      </c>
      <c r="M308" s="58">
        <v>45534</v>
      </c>
      <c r="N308" s="128">
        <f>+VLOOKUP(B308,BOM!$A$8:$X$1078,22,0)</f>
        <v>0</v>
      </c>
    </row>
    <row r="309" spans="1:17" ht="15">
      <c r="A309" s="153">
        <v>307</v>
      </c>
      <c r="B309" s="107" t="s">
        <v>1624</v>
      </c>
      <c r="C309" s="126" t="s">
        <v>1960</v>
      </c>
      <c r="D309" s="127">
        <v>2</v>
      </c>
      <c r="E309" s="56" t="s">
        <v>2417</v>
      </c>
      <c r="F309" s="126" t="s">
        <v>1733</v>
      </c>
      <c r="G309" s="126" t="s">
        <v>1664</v>
      </c>
      <c r="H309" s="131">
        <v>24</v>
      </c>
      <c r="I309" s="49" t="s">
        <v>3706</v>
      </c>
      <c r="J309" s="52"/>
      <c r="K309" s="169"/>
      <c r="L309" s="169" t="s">
        <v>5762</v>
      </c>
      <c r="M309" s="58">
        <v>45534</v>
      </c>
      <c r="N309" s="128" t="str">
        <f>+VLOOKUP(B309,BOM!$A$8:$X$1078,22,0)</f>
        <v>2x0 + 1x3</v>
      </c>
    </row>
    <row r="310" spans="1:17" ht="15">
      <c r="A310" s="153">
        <v>308</v>
      </c>
      <c r="B310" s="110" t="s">
        <v>1617</v>
      </c>
      <c r="C310" s="126" t="s">
        <v>1960</v>
      </c>
      <c r="D310" s="127">
        <v>2</v>
      </c>
      <c r="E310" s="56" t="s">
        <v>2394</v>
      </c>
      <c r="F310" s="126" t="s">
        <v>1733</v>
      </c>
      <c r="G310" s="126" t="s">
        <v>1664</v>
      </c>
      <c r="H310" s="131">
        <v>16</v>
      </c>
      <c r="I310" s="49" t="s">
        <v>3706</v>
      </c>
      <c r="J310" s="52"/>
      <c r="K310" s="169"/>
      <c r="L310" s="169" t="s">
        <v>5763</v>
      </c>
      <c r="M310" s="58">
        <v>45534</v>
      </c>
      <c r="N310" s="128">
        <f>+VLOOKUP(B310,BOM!$A$8:$X$1078,22,0)</f>
        <v>3</v>
      </c>
    </row>
    <row r="311" spans="1:17" ht="15">
      <c r="A311" s="153">
        <v>309</v>
      </c>
      <c r="B311" s="107" t="s">
        <v>1621</v>
      </c>
      <c r="C311" s="126" t="s">
        <v>1854</v>
      </c>
      <c r="D311" s="127">
        <v>2</v>
      </c>
      <c r="E311" s="56" t="s">
        <v>2394</v>
      </c>
      <c r="F311" s="126" t="s">
        <v>1733</v>
      </c>
      <c r="G311" s="126" t="s">
        <v>1664</v>
      </c>
      <c r="H311" s="131">
        <v>16</v>
      </c>
      <c r="I311" s="49" t="s">
        <v>3706</v>
      </c>
      <c r="J311" s="52"/>
      <c r="K311" s="169"/>
      <c r="L311" s="169" t="s">
        <v>5764</v>
      </c>
      <c r="M311" s="58">
        <v>45534</v>
      </c>
      <c r="N311" s="128">
        <f>+VLOOKUP(B311,BOM!$A$8:$X$1078,22,0)</f>
        <v>3</v>
      </c>
    </row>
    <row r="312" spans="1:17" ht="15">
      <c r="A312" s="153">
        <v>310</v>
      </c>
      <c r="B312" s="107" t="s">
        <v>1624</v>
      </c>
      <c r="C312" s="126" t="s">
        <v>1960</v>
      </c>
      <c r="D312" s="55">
        <v>1</v>
      </c>
      <c r="E312" s="56" t="s">
        <v>2394</v>
      </c>
      <c r="F312" s="126" t="s">
        <v>1733</v>
      </c>
      <c r="G312" s="126" t="s">
        <v>1664</v>
      </c>
      <c r="H312" s="131">
        <v>24</v>
      </c>
      <c r="I312" s="68" t="s">
        <v>3706</v>
      </c>
      <c r="J312" s="52"/>
      <c r="K312" s="169"/>
      <c r="L312" s="169" t="s">
        <v>5765</v>
      </c>
      <c r="M312" s="90">
        <v>45540</v>
      </c>
      <c r="N312" s="128" t="str">
        <f>+VLOOKUP(B312,BOM!$A$8:$X$1078,22,0)</f>
        <v>2x0 + 1x3</v>
      </c>
    </row>
    <row r="313" spans="1:17" ht="15">
      <c r="A313" s="153">
        <v>311</v>
      </c>
      <c r="B313" s="107" t="s">
        <v>1414</v>
      </c>
      <c r="C313" s="126" t="s">
        <v>1814</v>
      </c>
      <c r="D313" s="127">
        <v>1</v>
      </c>
      <c r="E313" s="56" t="s">
        <v>2437</v>
      </c>
      <c r="F313" s="126" t="s">
        <v>1733</v>
      </c>
      <c r="G313" s="126" t="s">
        <v>1664</v>
      </c>
      <c r="H313" s="131">
        <v>8</v>
      </c>
      <c r="I313" s="49" t="s">
        <v>3706</v>
      </c>
      <c r="J313" s="52"/>
      <c r="K313" s="169"/>
      <c r="L313" s="169" t="s">
        <v>5766</v>
      </c>
      <c r="M313" s="58">
        <v>45534</v>
      </c>
      <c r="N313" s="128">
        <f>+VLOOKUP(B313,BOM!$A$8:$X$1078,22,0)</f>
        <v>5</v>
      </c>
    </row>
    <row r="314" spans="1:17" s="62" customFormat="1" ht="15">
      <c r="A314" s="153">
        <v>312</v>
      </c>
      <c r="B314" s="106" t="s">
        <v>1454</v>
      </c>
      <c r="C314" s="126" t="s">
        <v>2062</v>
      </c>
      <c r="D314" s="127">
        <v>2</v>
      </c>
      <c r="E314" s="52" t="s">
        <v>2437</v>
      </c>
      <c r="F314" s="126" t="s">
        <v>1733</v>
      </c>
      <c r="G314" s="126" t="s">
        <v>1664</v>
      </c>
      <c r="H314" s="131">
        <v>16</v>
      </c>
      <c r="I314" s="49" t="s">
        <v>3706</v>
      </c>
      <c r="J314" s="52"/>
      <c r="K314" s="169"/>
      <c r="L314" s="183" t="s">
        <v>5767</v>
      </c>
      <c r="M314" s="91"/>
      <c r="N314" s="128">
        <f>+VLOOKUP(B314,BOM!$A$8:$X$1078,22,0)</f>
        <v>5</v>
      </c>
      <c r="O314" s="10"/>
      <c r="P314" s="10"/>
      <c r="Q314" s="10"/>
    </row>
    <row r="315" spans="1:17" s="62" customFormat="1" ht="15">
      <c r="A315" s="153">
        <v>313</v>
      </c>
      <c r="B315" s="106" t="s">
        <v>2223</v>
      </c>
      <c r="C315" s="126" t="s">
        <v>2146</v>
      </c>
      <c r="D315" s="127">
        <v>2</v>
      </c>
      <c r="E315" s="52" t="s">
        <v>2437</v>
      </c>
      <c r="F315" s="126" t="s">
        <v>1733</v>
      </c>
      <c r="G315" s="126" t="s">
        <v>1664</v>
      </c>
      <c r="H315" s="131">
        <v>16</v>
      </c>
      <c r="I315" s="49" t="s">
        <v>3706</v>
      </c>
      <c r="J315" s="52"/>
      <c r="K315" s="169"/>
      <c r="L315" s="183" t="s">
        <v>5768</v>
      </c>
      <c r="M315" s="91">
        <v>45545</v>
      </c>
      <c r="N315" s="128">
        <f>+VLOOKUP(B315,BOM!$A$8:$X$1078,22,0)</f>
        <v>5</v>
      </c>
      <c r="O315" s="10"/>
      <c r="P315" s="10"/>
      <c r="Q315" s="10"/>
    </row>
    <row r="316" spans="1:17" s="62" customFormat="1" ht="15">
      <c r="A316" s="153">
        <v>314</v>
      </c>
      <c r="B316" s="107" t="s">
        <v>1570</v>
      </c>
      <c r="C316" s="126" t="s">
        <v>1931</v>
      </c>
      <c r="D316" s="127">
        <v>1</v>
      </c>
      <c r="E316" s="52" t="s">
        <v>2437</v>
      </c>
      <c r="F316" s="126" t="s">
        <v>1733</v>
      </c>
      <c r="G316" s="126" t="s">
        <v>1664</v>
      </c>
      <c r="H316" s="131">
        <v>8</v>
      </c>
      <c r="I316" s="49" t="s">
        <v>3706</v>
      </c>
      <c r="J316" s="52"/>
      <c r="K316" s="169"/>
      <c r="L316" s="169" t="s">
        <v>5769</v>
      </c>
      <c r="M316" s="58">
        <v>45534</v>
      </c>
      <c r="N316" s="128">
        <f>+VLOOKUP(B316,BOM!$A$8:$X$1078,22,0)</f>
        <v>5</v>
      </c>
      <c r="O316" s="10"/>
      <c r="P316" s="10"/>
      <c r="Q316" s="10"/>
    </row>
    <row r="317" spans="1:17" ht="15">
      <c r="A317" s="153">
        <v>315</v>
      </c>
      <c r="B317" s="107" t="s">
        <v>1576</v>
      </c>
      <c r="C317" s="126" t="s">
        <v>2258</v>
      </c>
      <c r="D317" s="127">
        <v>1</v>
      </c>
      <c r="E317" s="56" t="s">
        <v>2437</v>
      </c>
      <c r="F317" s="126" t="s">
        <v>1733</v>
      </c>
      <c r="G317" s="126" t="s">
        <v>1664</v>
      </c>
      <c r="H317" s="131">
        <v>8</v>
      </c>
      <c r="I317" s="49" t="s">
        <v>3706</v>
      </c>
      <c r="J317" s="52"/>
      <c r="K317" s="169"/>
      <c r="L317" s="183" t="s">
        <v>5770</v>
      </c>
      <c r="M317" s="91">
        <v>45534</v>
      </c>
      <c r="N317" s="128">
        <f>+VLOOKUP(B317,BOM!$A$8:$X$1078,22,0)</f>
        <v>5</v>
      </c>
    </row>
    <row r="318" spans="1:17" ht="15">
      <c r="A318" s="153">
        <v>316</v>
      </c>
      <c r="B318" s="107" t="s">
        <v>1582</v>
      </c>
      <c r="C318" s="126" t="s">
        <v>2225</v>
      </c>
      <c r="D318" s="127">
        <v>1</v>
      </c>
      <c r="E318" s="56" t="s">
        <v>2437</v>
      </c>
      <c r="F318" s="126" t="s">
        <v>1733</v>
      </c>
      <c r="G318" s="126" t="s">
        <v>1664</v>
      </c>
      <c r="H318" s="131">
        <v>8</v>
      </c>
      <c r="I318" s="49" t="s">
        <v>3706</v>
      </c>
      <c r="J318" s="52"/>
      <c r="K318" s="169"/>
      <c r="L318" s="169" t="s">
        <v>5771</v>
      </c>
      <c r="M318" s="58">
        <v>45534</v>
      </c>
      <c r="N318" s="128">
        <f>+VLOOKUP(B318,BOM!$A$8:$X$1078,22,0)</f>
        <v>5</v>
      </c>
    </row>
    <row r="319" spans="1:17" ht="15">
      <c r="A319" s="153">
        <v>317</v>
      </c>
      <c r="B319" s="107" t="s">
        <v>1422</v>
      </c>
      <c r="C319" s="126" t="s">
        <v>1854</v>
      </c>
      <c r="D319" s="127">
        <v>4</v>
      </c>
      <c r="E319" s="56" t="s">
        <v>2443</v>
      </c>
      <c r="F319" s="126" t="s">
        <v>1733</v>
      </c>
      <c r="G319" s="126" t="s">
        <v>1664</v>
      </c>
      <c r="H319" s="131">
        <v>32</v>
      </c>
      <c r="I319" s="49" t="s">
        <v>3706</v>
      </c>
      <c r="J319" s="52"/>
      <c r="K319" s="169"/>
      <c r="L319" s="169" t="s">
        <v>5772</v>
      </c>
      <c r="M319" s="90">
        <v>45540</v>
      </c>
      <c r="N319" s="128">
        <f>+VLOOKUP(B319,BOM!$A$8:$X$1078,22,0)</f>
        <v>6</v>
      </c>
    </row>
    <row r="320" spans="1:17" ht="15">
      <c r="A320" s="153">
        <v>318</v>
      </c>
      <c r="B320" s="107" t="s">
        <v>1445</v>
      </c>
      <c r="C320" s="126" t="s">
        <v>1866</v>
      </c>
      <c r="D320" s="127">
        <v>2</v>
      </c>
      <c r="E320" s="56" t="s">
        <v>2443</v>
      </c>
      <c r="F320" s="126" t="s">
        <v>1733</v>
      </c>
      <c r="G320" s="126" t="s">
        <v>1664</v>
      </c>
      <c r="H320" s="131">
        <v>16</v>
      </c>
      <c r="I320" s="49" t="s">
        <v>3706</v>
      </c>
      <c r="J320" s="52"/>
      <c r="K320" s="169"/>
      <c r="L320" s="169" t="s">
        <v>5773</v>
      </c>
      <c r="M320" s="90">
        <v>45540</v>
      </c>
      <c r="N320" s="128">
        <f>+VLOOKUP(B320,BOM!$A$8:$X$1078,22,0)</f>
        <v>6</v>
      </c>
    </row>
    <row r="321" spans="1:17" ht="14.25" customHeight="1">
      <c r="A321" s="153">
        <v>319</v>
      </c>
      <c r="B321" s="107" t="s">
        <v>1467</v>
      </c>
      <c r="C321" s="126" t="s">
        <v>1866</v>
      </c>
      <c r="D321" s="127">
        <v>2</v>
      </c>
      <c r="E321" s="56" t="s">
        <v>2443</v>
      </c>
      <c r="F321" s="126" t="s">
        <v>1733</v>
      </c>
      <c r="G321" s="126" t="s">
        <v>1664</v>
      </c>
      <c r="H321" s="131">
        <v>16</v>
      </c>
      <c r="I321" s="49" t="s">
        <v>3706</v>
      </c>
      <c r="J321" s="52"/>
      <c r="K321" s="169"/>
      <c r="L321" s="169" t="s">
        <v>5774</v>
      </c>
      <c r="M321" s="58">
        <v>45534</v>
      </c>
      <c r="N321" s="128">
        <f>+VLOOKUP(B321,BOM!$A$8:$X$1078,22,0)</f>
        <v>6</v>
      </c>
    </row>
    <row r="322" spans="1:17" ht="14.25" customHeight="1">
      <c r="A322" s="153">
        <v>320</v>
      </c>
      <c r="B322" s="108" t="s">
        <v>1557</v>
      </c>
      <c r="C322" s="126" t="s">
        <v>1854</v>
      </c>
      <c r="D322" s="127">
        <v>2</v>
      </c>
      <c r="E322" s="52" t="s">
        <v>2443</v>
      </c>
      <c r="F322" s="126" t="s">
        <v>1733</v>
      </c>
      <c r="G322" s="126" t="s">
        <v>1664</v>
      </c>
      <c r="H322" s="131">
        <v>16</v>
      </c>
      <c r="I322" s="49" t="s">
        <v>3706</v>
      </c>
      <c r="J322" s="52"/>
      <c r="K322" s="169" t="s">
        <v>5692</v>
      </c>
      <c r="L322" s="169" t="s">
        <v>5775</v>
      </c>
      <c r="M322" s="58">
        <v>45534</v>
      </c>
      <c r="N322" s="128">
        <f>+VLOOKUP(B322,BOM!$A$8:$X$1078,22,0)</f>
        <v>0</v>
      </c>
    </row>
    <row r="323" spans="1:17" ht="15">
      <c r="A323" s="153">
        <v>321</v>
      </c>
      <c r="B323" s="107" t="s">
        <v>1562</v>
      </c>
      <c r="C323" s="126" t="s">
        <v>2225</v>
      </c>
      <c r="D323" s="127">
        <v>4</v>
      </c>
      <c r="E323" s="56" t="s">
        <v>2443</v>
      </c>
      <c r="F323" s="126" t="s">
        <v>1733</v>
      </c>
      <c r="G323" s="126" t="s">
        <v>1664</v>
      </c>
      <c r="H323" s="131">
        <v>32</v>
      </c>
      <c r="I323" s="49" t="s">
        <v>3706</v>
      </c>
      <c r="J323" s="52"/>
      <c r="K323" s="169"/>
      <c r="L323" s="183" t="s">
        <v>5776</v>
      </c>
      <c r="M323" s="91">
        <v>45534</v>
      </c>
      <c r="N323" s="128">
        <f>+VLOOKUP(B323,BOM!$A$8:$X$1078,22,0)</f>
        <v>6</v>
      </c>
    </row>
    <row r="324" spans="1:17" ht="15">
      <c r="A324" s="153">
        <v>322</v>
      </c>
      <c r="B324" s="107" t="s">
        <v>1563</v>
      </c>
      <c r="C324" s="126" t="s">
        <v>2230</v>
      </c>
      <c r="D324" s="127">
        <v>1</v>
      </c>
      <c r="E324" s="56" t="s">
        <v>2443</v>
      </c>
      <c r="F324" s="126" t="s">
        <v>1733</v>
      </c>
      <c r="G324" s="126" t="s">
        <v>1664</v>
      </c>
      <c r="H324" s="131">
        <v>8</v>
      </c>
      <c r="I324" s="49" t="s">
        <v>3706</v>
      </c>
      <c r="J324" s="52"/>
      <c r="K324" s="169"/>
      <c r="L324" s="169" t="s">
        <v>5777</v>
      </c>
      <c r="M324" s="58">
        <v>45534</v>
      </c>
      <c r="N324" s="128">
        <f>+VLOOKUP(B324,BOM!$A$8:$X$1078,22,0)</f>
        <v>6</v>
      </c>
    </row>
    <row r="325" spans="1:17" s="62" customFormat="1" ht="15">
      <c r="A325" s="153">
        <v>323</v>
      </c>
      <c r="B325" s="107" t="s">
        <v>1572</v>
      </c>
      <c r="C325" s="126" t="s">
        <v>2250</v>
      </c>
      <c r="D325" s="127">
        <v>2</v>
      </c>
      <c r="E325" s="56" t="s">
        <v>2443</v>
      </c>
      <c r="F325" s="126" t="s">
        <v>1733</v>
      </c>
      <c r="G325" s="126" t="s">
        <v>1664</v>
      </c>
      <c r="H325" s="131">
        <v>16</v>
      </c>
      <c r="I325" s="49" t="s">
        <v>3706</v>
      </c>
      <c r="J325" s="52"/>
      <c r="K325" s="169" t="s">
        <v>5692</v>
      </c>
      <c r="L325" s="169" t="s">
        <v>5778</v>
      </c>
      <c r="M325" s="58">
        <v>45534</v>
      </c>
      <c r="N325" s="128">
        <f>+VLOOKUP(B325,BOM!$A$8:$X$1078,22,0)</f>
        <v>0</v>
      </c>
      <c r="O325" s="10"/>
      <c r="P325" s="10"/>
      <c r="Q325" s="10"/>
    </row>
    <row r="326" spans="1:17" ht="15">
      <c r="A326" s="153">
        <v>324</v>
      </c>
      <c r="B326" s="107" t="s">
        <v>1574</v>
      </c>
      <c r="C326" s="126" t="s">
        <v>1882</v>
      </c>
      <c r="D326" s="127">
        <v>2</v>
      </c>
      <c r="E326" s="56" t="s">
        <v>2443</v>
      </c>
      <c r="F326" s="126" t="s">
        <v>1733</v>
      </c>
      <c r="G326" s="126" t="s">
        <v>1664</v>
      </c>
      <c r="H326" s="131">
        <v>16</v>
      </c>
      <c r="I326" s="49" t="s">
        <v>3706</v>
      </c>
      <c r="J326" s="52"/>
      <c r="K326" s="169"/>
      <c r="L326" s="169" t="s">
        <v>5779</v>
      </c>
      <c r="M326" s="58">
        <v>45534</v>
      </c>
      <c r="N326" s="128">
        <f>+VLOOKUP(B326,BOM!$A$8:$X$1078,22,0)</f>
        <v>6</v>
      </c>
    </row>
    <row r="327" spans="1:17" ht="15">
      <c r="A327" s="153">
        <v>325</v>
      </c>
      <c r="B327" s="107" t="s">
        <v>1578</v>
      </c>
      <c r="C327" s="126" t="s">
        <v>2238</v>
      </c>
      <c r="D327" s="127">
        <v>2</v>
      </c>
      <c r="E327" s="56" t="s">
        <v>2443</v>
      </c>
      <c r="F327" s="126" t="s">
        <v>1733</v>
      </c>
      <c r="G327" s="126" t="s">
        <v>1664</v>
      </c>
      <c r="H327" s="131">
        <v>24</v>
      </c>
      <c r="I327" s="49" t="s">
        <v>3706</v>
      </c>
      <c r="J327" s="52"/>
      <c r="K327" s="169"/>
      <c r="L327" s="169" t="s">
        <v>5780</v>
      </c>
      <c r="M327" s="58">
        <v>45534</v>
      </c>
      <c r="N327" s="128">
        <f>+VLOOKUP(B327,BOM!$A$8:$X$1078,22,0)</f>
        <v>6</v>
      </c>
    </row>
    <row r="328" spans="1:17" ht="15">
      <c r="A328" s="153">
        <v>326</v>
      </c>
      <c r="B328" s="107" t="s">
        <v>1613</v>
      </c>
      <c r="C328" s="126" t="s">
        <v>1960</v>
      </c>
      <c r="D328" s="127">
        <v>1</v>
      </c>
      <c r="E328" s="56" t="s">
        <v>2443</v>
      </c>
      <c r="F328" s="126" t="s">
        <v>1733</v>
      </c>
      <c r="G328" s="126" t="s">
        <v>1664</v>
      </c>
      <c r="H328" s="131">
        <v>8</v>
      </c>
      <c r="I328" s="49" t="s">
        <v>3706</v>
      </c>
      <c r="J328" s="52"/>
      <c r="K328" s="169" t="s">
        <v>5781</v>
      </c>
      <c r="L328" s="169" t="s">
        <v>5782</v>
      </c>
      <c r="M328" s="58">
        <v>45534</v>
      </c>
      <c r="N328" s="128">
        <f>+VLOOKUP(B328,BOM!$A$8:$X$1078,22,0)</f>
        <v>6</v>
      </c>
    </row>
    <row r="329" spans="1:17" ht="15">
      <c r="A329" s="153">
        <v>327</v>
      </c>
      <c r="B329" s="107" t="s">
        <v>1510</v>
      </c>
      <c r="C329" s="126" t="s">
        <v>1965</v>
      </c>
      <c r="D329" s="127">
        <v>2</v>
      </c>
      <c r="E329" s="56" t="s">
        <v>2388</v>
      </c>
      <c r="F329" s="126" t="s">
        <v>1733</v>
      </c>
      <c r="G329" s="126" t="s">
        <v>1664</v>
      </c>
      <c r="H329" s="131">
        <v>16</v>
      </c>
      <c r="I329" s="49" t="s">
        <v>3706</v>
      </c>
      <c r="J329" s="52"/>
      <c r="K329" s="169" t="s">
        <v>5783</v>
      </c>
      <c r="L329" s="169" t="s">
        <v>5784</v>
      </c>
      <c r="M329" s="58">
        <v>45534</v>
      </c>
      <c r="N329" s="128" t="str">
        <f>+VLOOKUP(B329,BOM!$A$8:$X$1078,22,0)</f>
        <v>B</v>
      </c>
    </row>
    <row r="330" spans="1:17" ht="15">
      <c r="A330" s="153">
        <v>328</v>
      </c>
      <c r="B330" s="107" t="s">
        <v>1401</v>
      </c>
      <c r="C330" s="126" t="s">
        <v>1732</v>
      </c>
      <c r="D330" s="127">
        <v>1</v>
      </c>
      <c r="E330" s="56" t="s">
        <v>2391</v>
      </c>
      <c r="F330" s="126" t="s">
        <v>1733</v>
      </c>
      <c r="G330" s="126" t="s">
        <v>1664</v>
      </c>
      <c r="H330" s="131">
        <v>1</v>
      </c>
      <c r="I330" s="49" t="s">
        <v>3706</v>
      </c>
      <c r="J330" s="52"/>
      <c r="K330" s="169"/>
      <c r="L330" s="169" t="s">
        <v>5785</v>
      </c>
      <c r="M330" s="58">
        <v>45534</v>
      </c>
      <c r="N330" s="128" t="str">
        <f>+VLOOKUP(B330,BOM!$A$8:$X$1078,22,0)</f>
        <v>C</v>
      </c>
    </row>
    <row r="331" spans="1:17" ht="15">
      <c r="A331" s="153">
        <v>329</v>
      </c>
      <c r="B331" s="107" t="s">
        <v>1403</v>
      </c>
      <c r="C331" s="126" t="s">
        <v>1732</v>
      </c>
      <c r="D331" s="55">
        <v>1</v>
      </c>
      <c r="E331" s="56" t="s">
        <v>2391</v>
      </c>
      <c r="F331" s="126" t="s">
        <v>1733</v>
      </c>
      <c r="G331" s="126" t="s">
        <v>1664</v>
      </c>
      <c r="H331" s="131">
        <v>1</v>
      </c>
      <c r="I331" s="49" t="s">
        <v>3706</v>
      </c>
      <c r="J331" s="52"/>
      <c r="K331" s="169"/>
      <c r="L331" s="169" t="s">
        <v>5786</v>
      </c>
      <c r="M331" s="90">
        <v>45540</v>
      </c>
      <c r="N331" s="128" t="str">
        <f>+VLOOKUP(B331,BOM!$A$8:$X$1078,22,0)</f>
        <v>C</v>
      </c>
    </row>
    <row r="332" spans="1:17" ht="15">
      <c r="A332" s="153">
        <v>330</v>
      </c>
      <c r="B332" s="107" t="s">
        <v>1509</v>
      </c>
      <c r="C332" s="126" t="s">
        <v>2060</v>
      </c>
      <c r="D332" s="127">
        <v>1</v>
      </c>
      <c r="E332" s="56" t="s">
        <v>2391</v>
      </c>
      <c r="F332" s="126" t="s">
        <v>1733</v>
      </c>
      <c r="G332" s="126" t="s">
        <v>1664</v>
      </c>
      <c r="H332" s="131">
        <v>8</v>
      </c>
      <c r="I332" s="49" t="s">
        <v>3706</v>
      </c>
      <c r="J332" s="52"/>
      <c r="K332" s="169"/>
      <c r="L332" s="169" t="s">
        <v>5787</v>
      </c>
      <c r="M332" s="58">
        <v>45534</v>
      </c>
      <c r="N332" s="128" t="str">
        <f>+VLOOKUP(B332,BOM!$A$8:$X$1078,22,0)</f>
        <v>C</v>
      </c>
    </row>
    <row r="333" spans="1:17" ht="15">
      <c r="A333" s="153">
        <v>331</v>
      </c>
      <c r="B333" s="107" t="s">
        <v>1511</v>
      </c>
      <c r="C333" s="126" t="s">
        <v>1965</v>
      </c>
      <c r="D333" s="55">
        <v>2</v>
      </c>
      <c r="E333" s="56" t="s">
        <v>2391</v>
      </c>
      <c r="F333" s="126" t="s">
        <v>1733</v>
      </c>
      <c r="G333" s="126" t="s">
        <v>1664</v>
      </c>
      <c r="H333" s="131">
        <v>16</v>
      </c>
      <c r="I333" s="49" t="s">
        <v>3706</v>
      </c>
      <c r="J333" s="52"/>
      <c r="K333" s="169"/>
      <c r="L333" s="169" t="s">
        <v>5788</v>
      </c>
      <c r="M333" s="90">
        <v>45540</v>
      </c>
      <c r="N333" s="128" t="str">
        <f>+VLOOKUP(B333,BOM!$A$8:$X$1078,22,0)</f>
        <v>C</v>
      </c>
    </row>
    <row r="334" spans="1:17" ht="15">
      <c r="A334" s="153">
        <v>332</v>
      </c>
      <c r="B334" s="107" t="s">
        <v>1513</v>
      </c>
      <c r="C334" s="126" t="s">
        <v>2060</v>
      </c>
      <c r="D334" s="127">
        <v>1</v>
      </c>
      <c r="E334" s="52" t="s">
        <v>2391</v>
      </c>
      <c r="F334" s="126" t="s">
        <v>1733</v>
      </c>
      <c r="G334" s="126" t="s">
        <v>1664</v>
      </c>
      <c r="H334" s="131">
        <v>8</v>
      </c>
      <c r="I334" s="49" t="s">
        <v>3706</v>
      </c>
      <c r="J334" s="52"/>
      <c r="K334" s="169"/>
      <c r="L334" s="183" t="s">
        <v>5789</v>
      </c>
      <c r="M334" s="48">
        <v>45540</v>
      </c>
      <c r="N334" s="128" t="str">
        <f>+VLOOKUP(B334,BOM!$A$8:$X$1078,22,0)</f>
        <v>C</v>
      </c>
    </row>
    <row r="335" spans="1:17" ht="15">
      <c r="A335" s="153">
        <v>333</v>
      </c>
      <c r="B335" s="107" t="s">
        <v>849</v>
      </c>
      <c r="C335" s="126" t="s">
        <v>852</v>
      </c>
      <c r="D335" s="127">
        <v>4.5</v>
      </c>
      <c r="E335" s="56" t="s">
        <v>2417</v>
      </c>
      <c r="F335" s="126" t="s">
        <v>853</v>
      </c>
      <c r="G335" s="126" t="s">
        <v>1664</v>
      </c>
      <c r="H335" s="131">
        <v>92192</v>
      </c>
      <c r="I335" s="49" t="s">
        <v>3706</v>
      </c>
      <c r="J335" s="52"/>
      <c r="K335" s="169" t="s">
        <v>5555</v>
      </c>
      <c r="L335" s="169" t="s">
        <v>5790</v>
      </c>
      <c r="M335" s="58">
        <v>45534</v>
      </c>
      <c r="N335" s="128" t="str">
        <f>+VLOOKUP(B335,BOM!$A$8:$X$1078,22,0)</f>
        <v xml:space="preserve">4,35x2 + </v>
      </c>
    </row>
    <row r="336" spans="1:17" ht="15">
      <c r="A336" s="153">
        <v>334</v>
      </c>
      <c r="B336" s="107" t="s">
        <v>2162</v>
      </c>
      <c r="C336" s="126" t="e">
        <v>#N/A</v>
      </c>
      <c r="D336" s="55">
        <v>1</v>
      </c>
      <c r="E336" s="56" t="s">
        <v>2443</v>
      </c>
      <c r="F336" s="126" t="e">
        <v>#N/A</v>
      </c>
      <c r="G336" s="126" t="e">
        <v>#N/A</v>
      </c>
      <c r="H336" s="131">
        <v>1</v>
      </c>
      <c r="I336" s="49" t="s">
        <v>2444</v>
      </c>
      <c r="J336" s="52"/>
      <c r="K336" s="169"/>
      <c r="L336" s="169" t="s">
        <v>5791</v>
      </c>
      <c r="M336" s="90">
        <v>45540</v>
      </c>
      <c r="N336" s="128">
        <f>+VLOOKUP(B336,BOM!$A$8:$X$1078,22,0)</f>
        <v>0</v>
      </c>
    </row>
    <row r="337" spans="1:14" ht="15">
      <c r="A337" s="153">
        <v>335</v>
      </c>
      <c r="B337" s="35" t="s">
        <v>1146</v>
      </c>
      <c r="C337" s="126" t="e">
        <v>#N/A</v>
      </c>
      <c r="D337" s="127" t="e">
        <v>#N/A</v>
      </c>
      <c r="E337" s="52" t="s">
        <v>2391</v>
      </c>
      <c r="F337" s="126" t="e">
        <v>#N/A</v>
      </c>
      <c r="G337" s="126" t="e">
        <v>#N/A</v>
      </c>
      <c r="H337" s="131" t="e">
        <v>#N/A</v>
      </c>
      <c r="I337" s="49" t="s">
        <v>2449</v>
      </c>
      <c r="J337" s="52"/>
      <c r="K337" s="169" t="s">
        <v>3365</v>
      </c>
      <c r="L337" s="10" t="s">
        <v>5792</v>
      </c>
      <c r="M337" s="118">
        <v>45545</v>
      </c>
      <c r="N337" s="128" t="str">
        <f>+VLOOKUP(B337,BOM!$A$8:$X$1078,22,0)</f>
        <v>C</v>
      </c>
    </row>
    <row r="338" spans="1:14">
      <c r="A338" s="52"/>
      <c r="B338" s="176"/>
      <c r="C338" s="177"/>
      <c r="D338" s="178"/>
      <c r="E338" s="179"/>
      <c r="F338" s="180"/>
      <c r="G338" s="180"/>
      <c r="H338" s="181"/>
      <c r="I338" s="180"/>
      <c r="J338" s="182"/>
      <c r="K338" s="180"/>
    </row>
    <row r="339" spans="1:14">
      <c r="A339" s="52"/>
      <c r="B339" s="53"/>
      <c r="C339" s="54"/>
      <c r="D339" s="55"/>
      <c r="E339" s="56"/>
      <c r="F339" s="49"/>
      <c r="G339" s="49"/>
      <c r="H339" s="57"/>
      <c r="I339" s="49"/>
      <c r="J339" s="52"/>
      <c r="K339" s="49"/>
    </row>
    <row r="340" spans="1:14">
      <c r="A340" s="52"/>
      <c r="B340" s="111"/>
      <c r="C340" s="54"/>
      <c r="D340" s="55"/>
      <c r="E340" s="52"/>
      <c r="F340" s="49"/>
      <c r="G340" s="49"/>
      <c r="H340" s="57"/>
      <c r="I340" s="49"/>
      <c r="J340" s="52"/>
      <c r="K340" s="49"/>
    </row>
    <row r="341" spans="1:14">
      <c r="A341" s="52"/>
      <c r="B341" s="53"/>
      <c r="C341" s="54"/>
      <c r="D341" s="55"/>
      <c r="E341" s="52"/>
      <c r="F341" s="49"/>
      <c r="G341" s="49"/>
      <c r="H341" s="57"/>
      <c r="I341" s="49"/>
      <c r="J341" s="52"/>
      <c r="K341" s="49"/>
    </row>
    <row r="342" spans="1:14">
      <c r="A342" s="52"/>
      <c r="B342" s="53"/>
      <c r="C342" s="54"/>
      <c r="D342" s="55"/>
      <c r="E342" s="56"/>
      <c r="F342" s="49"/>
      <c r="G342" s="49"/>
      <c r="H342" s="57"/>
      <c r="I342" s="49"/>
      <c r="J342" s="52"/>
      <c r="K342" s="49"/>
    </row>
    <row r="343" spans="1:14">
      <c r="A343" s="52"/>
      <c r="B343" s="111"/>
      <c r="C343" s="54"/>
      <c r="D343" s="55"/>
      <c r="E343" s="52"/>
      <c r="F343" s="49"/>
      <c r="G343" s="49"/>
      <c r="H343" s="57"/>
      <c r="I343" s="49"/>
      <c r="J343" s="52"/>
      <c r="K343" s="49"/>
    </row>
    <row r="344" spans="1:14">
      <c r="A344" s="52"/>
      <c r="B344" s="111"/>
      <c r="C344" s="54"/>
      <c r="D344" s="55"/>
      <c r="E344" s="52"/>
      <c r="F344" s="49"/>
      <c r="G344" s="49"/>
      <c r="H344" s="57"/>
      <c r="I344" s="49"/>
      <c r="J344" s="52"/>
      <c r="K344" s="49"/>
    </row>
    <row r="345" spans="1:14">
      <c r="A345" s="52"/>
      <c r="B345" s="111"/>
      <c r="C345" s="54"/>
      <c r="D345" s="55"/>
      <c r="E345" s="52"/>
      <c r="F345" s="49"/>
      <c r="G345" s="49"/>
      <c r="H345" s="57"/>
      <c r="I345" s="49"/>
      <c r="J345" s="52"/>
      <c r="K345" s="49"/>
    </row>
    <row r="346" spans="1:14">
      <c r="A346" s="52"/>
      <c r="B346" s="111"/>
      <c r="C346" s="54"/>
      <c r="D346" s="55"/>
      <c r="E346" s="52"/>
      <c r="F346" s="49"/>
      <c r="G346" s="49"/>
      <c r="H346" s="57"/>
      <c r="I346" s="49"/>
      <c r="J346" s="52"/>
      <c r="K346" s="49"/>
    </row>
    <row r="347" spans="1:14">
      <c r="A347" s="52"/>
      <c r="B347" s="111"/>
      <c r="C347" s="54"/>
      <c r="D347" s="55"/>
      <c r="E347" s="52"/>
      <c r="F347" s="49"/>
      <c r="G347" s="49"/>
      <c r="H347" s="57"/>
      <c r="I347" s="49"/>
      <c r="J347" s="52"/>
      <c r="K347" s="49"/>
    </row>
    <row r="348" spans="1:14">
      <c r="A348" s="52"/>
      <c r="B348" s="111"/>
      <c r="C348" s="54"/>
      <c r="D348" s="55"/>
      <c r="E348" s="52"/>
      <c r="F348" s="49"/>
      <c r="G348" s="49"/>
      <c r="H348" s="57"/>
      <c r="I348" s="49"/>
      <c r="J348" s="52"/>
      <c r="K348" s="49"/>
    </row>
    <row r="349" spans="1:14">
      <c r="A349" s="52"/>
      <c r="B349" s="111"/>
      <c r="C349" s="54"/>
      <c r="D349" s="55"/>
      <c r="E349" s="52"/>
      <c r="F349" s="49"/>
      <c r="G349" s="49"/>
      <c r="H349" s="57"/>
      <c r="I349" s="49"/>
      <c r="J349" s="52"/>
      <c r="K349" s="49"/>
    </row>
    <row r="350" spans="1:14">
      <c r="A350" s="52"/>
      <c r="B350" s="111"/>
      <c r="C350" s="54"/>
      <c r="D350" s="55"/>
      <c r="E350" s="52"/>
      <c r="F350" s="49"/>
      <c r="G350" s="49"/>
      <c r="H350" s="57"/>
      <c r="I350" s="49"/>
      <c r="J350" s="52"/>
      <c r="K350" s="49"/>
    </row>
    <row r="351" spans="1:14">
      <c r="A351" s="52"/>
      <c r="B351" s="111"/>
      <c r="C351" s="54"/>
      <c r="D351" s="55"/>
      <c r="E351" s="56"/>
      <c r="F351" s="49"/>
      <c r="G351" s="49"/>
      <c r="H351" s="57"/>
      <c r="I351" s="49"/>
      <c r="J351" s="52"/>
      <c r="K351" s="49"/>
    </row>
    <row r="352" spans="1:14">
      <c r="A352" s="52"/>
      <c r="B352" s="111"/>
      <c r="C352" s="54"/>
      <c r="D352" s="55"/>
      <c r="E352" s="52"/>
      <c r="F352" s="49"/>
      <c r="G352" s="49"/>
      <c r="H352" s="57"/>
      <c r="I352" s="49"/>
      <c r="J352" s="52"/>
      <c r="K352" s="49"/>
    </row>
    <row r="353" spans="1:16">
      <c r="A353" s="52"/>
      <c r="B353" s="111"/>
      <c r="C353" s="54"/>
      <c r="D353" s="55"/>
      <c r="E353" s="52"/>
      <c r="F353" s="49"/>
      <c r="G353" s="49"/>
      <c r="H353" s="57"/>
      <c r="I353" s="49"/>
      <c r="J353" s="52"/>
      <c r="K353" s="49"/>
    </row>
    <row r="354" spans="1:16">
      <c r="A354" s="52"/>
      <c r="B354" s="111"/>
      <c r="C354" s="54"/>
      <c r="D354" s="55"/>
      <c r="E354" s="52"/>
      <c r="F354" s="49"/>
      <c r="G354" s="49"/>
      <c r="H354" s="57"/>
      <c r="I354" s="49"/>
      <c r="J354" s="52"/>
      <c r="K354" s="49"/>
    </row>
    <row r="355" spans="1:16">
      <c r="A355" s="52"/>
      <c r="B355" s="107"/>
      <c r="C355" s="54"/>
      <c r="D355" s="55"/>
      <c r="E355" s="52"/>
      <c r="F355" s="49"/>
      <c r="G355" s="49"/>
      <c r="H355" s="57"/>
      <c r="I355" s="49"/>
      <c r="J355" s="52"/>
      <c r="K355" s="49"/>
    </row>
    <row r="356" spans="1:16">
      <c r="A356" s="52"/>
      <c r="B356" s="108"/>
      <c r="C356" s="54"/>
      <c r="D356" s="55"/>
      <c r="E356" s="52"/>
      <c r="F356" s="49"/>
      <c r="G356" s="49"/>
      <c r="H356" s="57"/>
      <c r="I356" s="49"/>
      <c r="J356" s="52"/>
      <c r="K356" s="49"/>
    </row>
    <row r="357" spans="1:16">
      <c r="A357" s="52"/>
      <c r="B357" s="107"/>
      <c r="C357" s="54"/>
      <c r="D357" s="55"/>
      <c r="E357" s="52"/>
      <c r="F357" s="49"/>
      <c r="G357" s="49"/>
      <c r="H357" s="57"/>
      <c r="I357" s="49"/>
      <c r="J357" s="52"/>
      <c r="K357" s="49"/>
    </row>
    <row r="358" spans="1:16" ht="23.45" customHeight="1">
      <c r="A358" s="52"/>
      <c r="B358" s="107"/>
      <c r="C358" s="54"/>
      <c r="D358" s="55"/>
      <c r="E358" s="52"/>
      <c r="F358" s="49"/>
      <c r="G358" s="49"/>
      <c r="H358" s="57"/>
      <c r="I358" s="49"/>
      <c r="J358" s="52"/>
      <c r="K358" s="49"/>
    </row>
    <row r="359" spans="1:16">
      <c r="A359" s="52"/>
      <c r="B359" s="107"/>
      <c r="C359" s="54"/>
      <c r="D359" s="55"/>
      <c r="E359" s="52"/>
      <c r="F359" s="49"/>
      <c r="G359" s="49"/>
      <c r="H359" s="57"/>
      <c r="I359" s="49"/>
      <c r="J359" s="52"/>
      <c r="K359" s="49"/>
    </row>
    <row r="360" spans="1:16" s="62" customFormat="1">
      <c r="A360" s="52"/>
      <c r="B360" s="107"/>
      <c r="C360" s="54"/>
      <c r="D360" s="55"/>
      <c r="E360" s="52"/>
      <c r="F360" s="49"/>
      <c r="G360" s="49"/>
      <c r="H360" s="57"/>
      <c r="I360" s="49"/>
      <c r="J360" s="52"/>
      <c r="K360" s="49"/>
      <c r="O360" s="10"/>
      <c r="P360" s="10"/>
    </row>
    <row r="361" spans="1:16" s="62" customFormat="1">
      <c r="A361" s="52"/>
      <c r="B361" s="107"/>
      <c r="C361" s="54"/>
      <c r="D361" s="55"/>
      <c r="E361" s="52"/>
      <c r="F361" s="49"/>
      <c r="G361" s="49"/>
      <c r="H361" s="57"/>
      <c r="I361" s="49"/>
      <c r="J361" s="52"/>
      <c r="K361" s="49"/>
      <c r="O361" s="10"/>
      <c r="P361" s="10"/>
    </row>
    <row r="362" spans="1:16">
      <c r="A362" s="52"/>
      <c r="B362" s="107"/>
      <c r="C362" s="54"/>
      <c r="D362" s="55"/>
      <c r="E362" s="52"/>
      <c r="F362" s="49"/>
      <c r="G362" s="49"/>
      <c r="H362" s="57"/>
      <c r="I362" s="49"/>
      <c r="J362" s="52"/>
      <c r="K362" s="49"/>
    </row>
    <row r="363" spans="1:16">
      <c r="A363" s="52"/>
      <c r="B363" s="107"/>
      <c r="C363" s="54"/>
      <c r="D363" s="55"/>
      <c r="E363" s="52"/>
      <c r="F363" s="49"/>
      <c r="G363" s="49"/>
      <c r="H363" s="57"/>
      <c r="I363" s="49"/>
      <c r="J363" s="52"/>
      <c r="K363" s="49"/>
    </row>
    <row r="364" spans="1:16">
      <c r="A364" s="52"/>
      <c r="B364" s="107"/>
      <c r="C364" s="54"/>
      <c r="D364" s="55"/>
      <c r="E364" s="52"/>
      <c r="F364" s="49"/>
      <c r="G364" s="49"/>
      <c r="H364" s="57"/>
      <c r="I364" s="49"/>
      <c r="J364" s="52"/>
      <c r="K364" s="49"/>
    </row>
    <row r="365" spans="1:16">
      <c r="A365" s="52"/>
      <c r="B365" s="107"/>
      <c r="C365" s="54"/>
      <c r="D365" s="55"/>
      <c r="E365" s="52"/>
      <c r="F365" s="49"/>
      <c r="G365" s="49"/>
      <c r="H365" s="57"/>
      <c r="I365" s="49"/>
      <c r="J365" s="52"/>
      <c r="K365" s="49"/>
    </row>
    <row r="366" spans="1:16">
      <c r="A366" s="52"/>
      <c r="B366" s="107"/>
      <c r="C366" s="54"/>
      <c r="D366" s="55"/>
      <c r="E366" s="52"/>
      <c r="F366" s="49"/>
      <c r="G366" s="49"/>
      <c r="H366" s="57"/>
      <c r="I366" s="49"/>
      <c r="J366" s="52"/>
      <c r="K366" s="49"/>
    </row>
    <row r="367" spans="1:16">
      <c r="A367" s="52"/>
      <c r="B367" s="107"/>
      <c r="C367" s="54"/>
      <c r="D367" s="55"/>
      <c r="E367" s="52"/>
      <c r="F367" s="49"/>
      <c r="G367" s="49"/>
      <c r="H367" s="57"/>
      <c r="I367" s="49"/>
      <c r="J367" s="52"/>
      <c r="K367" s="49"/>
    </row>
    <row r="368" spans="1:16">
      <c r="A368" s="52"/>
      <c r="B368" s="107"/>
      <c r="C368" s="54"/>
      <c r="D368" s="55"/>
      <c r="E368" s="52"/>
      <c r="F368" s="49"/>
      <c r="G368" s="49"/>
      <c r="H368" s="57"/>
      <c r="I368" s="49"/>
      <c r="J368" s="52"/>
      <c r="K368" s="49"/>
    </row>
    <row r="369" spans="1:11">
      <c r="A369" s="52"/>
      <c r="B369" s="107"/>
      <c r="C369" s="54"/>
      <c r="D369" s="55"/>
      <c r="E369" s="52"/>
      <c r="F369" s="49"/>
      <c r="G369" s="49"/>
      <c r="H369" s="57"/>
      <c r="I369" s="49"/>
      <c r="J369" s="52"/>
      <c r="K369" s="49"/>
    </row>
    <row r="370" spans="1:11">
      <c r="A370" s="52"/>
      <c r="B370" s="108"/>
      <c r="C370" s="54"/>
      <c r="D370" s="55"/>
      <c r="E370" s="52"/>
      <c r="F370" s="49"/>
      <c r="G370" s="49"/>
      <c r="H370" s="57"/>
      <c r="I370" s="49"/>
      <c r="J370" s="52"/>
      <c r="K370" s="49"/>
    </row>
    <row r="371" spans="1:11">
      <c r="A371" s="52"/>
      <c r="B371" s="107"/>
      <c r="C371" s="54"/>
      <c r="D371" s="55"/>
      <c r="E371" s="52"/>
      <c r="F371" s="49"/>
      <c r="G371" s="49"/>
      <c r="H371" s="57"/>
      <c r="I371" s="49"/>
      <c r="J371" s="52"/>
      <c r="K371" s="49"/>
    </row>
    <row r="372" spans="1:11">
      <c r="A372" s="52"/>
      <c r="B372" s="107"/>
      <c r="C372" s="54"/>
      <c r="D372" s="55"/>
      <c r="E372" s="52"/>
      <c r="F372" s="49"/>
      <c r="G372" s="49"/>
      <c r="H372" s="57"/>
      <c r="I372" s="49"/>
      <c r="J372" s="52"/>
      <c r="K372" s="49"/>
    </row>
    <row r="373" spans="1:11">
      <c r="A373" s="52"/>
      <c r="B373" s="107"/>
      <c r="C373" s="54"/>
      <c r="D373" s="55"/>
      <c r="E373" s="52"/>
      <c r="F373" s="49"/>
      <c r="G373" s="49"/>
      <c r="H373" s="57"/>
      <c r="I373" s="49"/>
      <c r="J373" s="52"/>
      <c r="K373" s="49"/>
    </row>
    <row r="374" spans="1:11">
      <c r="A374" s="52"/>
      <c r="B374" s="107"/>
      <c r="C374" s="54"/>
      <c r="D374" s="55"/>
      <c r="E374" s="52"/>
      <c r="F374" s="49"/>
      <c r="G374" s="49"/>
      <c r="H374" s="57"/>
      <c r="I374" s="49"/>
      <c r="J374" s="52"/>
      <c r="K374" s="49"/>
    </row>
    <row r="375" spans="1:11">
      <c r="A375" s="52"/>
      <c r="B375" s="107"/>
      <c r="C375" s="54"/>
      <c r="D375" s="55"/>
      <c r="E375" s="52"/>
      <c r="F375" s="49"/>
      <c r="G375" s="49"/>
      <c r="H375" s="57"/>
      <c r="I375" s="49"/>
      <c r="J375" s="52"/>
      <c r="K375" s="49"/>
    </row>
    <row r="376" spans="1:11">
      <c r="A376" s="52"/>
      <c r="B376" s="109"/>
      <c r="C376" s="54"/>
      <c r="D376" s="55"/>
      <c r="E376" s="52"/>
      <c r="F376" s="49"/>
      <c r="G376" s="49"/>
      <c r="H376" s="57"/>
      <c r="I376" s="49"/>
      <c r="J376" s="52"/>
      <c r="K376" s="49"/>
    </row>
    <row r="377" spans="1:11">
      <c r="A377" s="52"/>
      <c r="B377" s="107"/>
      <c r="C377" s="54"/>
      <c r="D377" s="55"/>
      <c r="E377" s="52"/>
      <c r="F377" s="49"/>
      <c r="G377" s="49"/>
      <c r="H377" s="57"/>
      <c r="I377" s="49"/>
      <c r="J377" s="52"/>
      <c r="K377" s="49"/>
    </row>
    <row r="378" spans="1:11">
      <c r="A378" s="52"/>
      <c r="B378" s="107"/>
      <c r="C378" s="54"/>
      <c r="D378" s="55"/>
      <c r="E378" s="52"/>
      <c r="F378" s="49"/>
      <c r="G378" s="49"/>
      <c r="H378" s="57"/>
      <c r="I378" s="49"/>
      <c r="J378" s="52"/>
      <c r="K378" s="49"/>
    </row>
    <row r="379" spans="1:11">
      <c r="A379" s="52"/>
      <c r="B379" s="107"/>
      <c r="C379" s="54"/>
      <c r="D379" s="55"/>
      <c r="E379" s="52"/>
      <c r="F379" s="49"/>
      <c r="G379" s="49"/>
      <c r="H379" s="57"/>
      <c r="I379" s="49"/>
      <c r="J379" s="52"/>
      <c r="K379" s="49"/>
    </row>
    <row r="380" spans="1:11">
      <c r="A380" s="52"/>
      <c r="B380" s="107"/>
      <c r="C380" s="54"/>
      <c r="D380" s="55"/>
      <c r="E380" s="52"/>
      <c r="F380" s="49"/>
      <c r="G380" s="49"/>
      <c r="H380" s="57"/>
      <c r="I380" s="49"/>
      <c r="J380" s="52"/>
      <c r="K380" s="49"/>
    </row>
    <row r="381" spans="1:11">
      <c r="A381" s="52"/>
      <c r="B381" s="107"/>
      <c r="C381" s="54"/>
      <c r="D381" s="55"/>
      <c r="E381" s="52"/>
      <c r="F381" s="49"/>
      <c r="G381" s="49"/>
      <c r="H381" s="57"/>
      <c r="I381" s="49"/>
      <c r="J381" s="52"/>
      <c r="K381" s="49"/>
    </row>
    <row r="382" spans="1:11">
      <c r="A382" s="52"/>
      <c r="B382" s="107"/>
      <c r="C382" s="54"/>
      <c r="D382" s="55"/>
      <c r="E382" s="52"/>
      <c r="F382" s="49"/>
      <c r="G382" s="49"/>
      <c r="H382" s="57"/>
      <c r="I382" s="49"/>
      <c r="J382" s="52"/>
      <c r="K382" s="49"/>
    </row>
    <row r="383" spans="1:11">
      <c r="A383" s="52"/>
      <c r="B383" s="107"/>
      <c r="C383" s="54"/>
      <c r="D383" s="55"/>
      <c r="E383" s="52"/>
      <c r="F383" s="49"/>
      <c r="G383" s="49"/>
      <c r="H383" s="57"/>
      <c r="I383" s="49"/>
      <c r="J383" s="52"/>
      <c r="K383" s="49"/>
    </row>
    <row r="384" spans="1:11">
      <c r="A384" s="52"/>
      <c r="B384" s="107"/>
      <c r="C384" s="54"/>
      <c r="D384" s="55"/>
      <c r="E384" s="52"/>
      <c r="F384" s="49"/>
      <c r="G384" s="49"/>
      <c r="H384" s="57"/>
      <c r="I384" s="49"/>
      <c r="J384" s="52"/>
      <c r="K384" s="49"/>
    </row>
    <row r="385" spans="1:11">
      <c r="A385" s="52"/>
      <c r="B385" s="107"/>
      <c r="C385" s="54"/>
      <c r="D385" s="55"/>
      <c r="E385" s="52"/>
      <c r="F385" s="49"/>
      <c r="G385" s="49"/>
      <c r="H385" s="57"/>
      <c r="I385" s="49"/>
      <c r="J385" s="52"/>
      <c r="K385" s="49"/>
    </row>
    <row r="386" spans="1:11">
      <c r="A386" s="52"/>
      <c r="B386" s="107"/>
      <c r="C386" s="54"/>
      <c r="D386" s="55"/>
      <c r="E386" s="52"/>
      <c r="F386" s="49"/>
      <c r="G386" s="49"/>
      <c r="H386" s="57"/>
      <c r="I386" s="49"/>
      <c r="J386" s="52"/>
      <c r="K386" s="49"/>
    </row>
    <row r="387" spans="1:11">
      <c r="A387" s="52"/>
      <c r="B387" s="107"/>
      <c r="C387" s="54"/>
      <c r="D387" s="55"/>
      <c r="E387" s="52"/>
      <c r="F387" s="49"/>
      <c r="G387" s="49"/>
      <c r="H387" s="57"/>
      <c r="I387" s="49"/>
      <c r="J387" s="52"/>
      <c r="K387" s="49"/>
    </row>
    <row r="388" spans="1:11">
      <c r="A388" s="52"/>
      <c r="B388" s="107"/>
      <c r="C388" s="54"/>
      <c r="D388" s="55"/>
      <c r="E388" s="52"/>
      <c r="F388" s="49"/>
      <c r="G388" s="49"/>
      <c r="H388" s="57"/>
      <c r="I388" s="49"/>
      <c r="J388" s="52"/>
      <c r="K388" s="49"/>
    </row>
    <row r="389" spans="1:11">
      <c r="A389" s="52"/>
      <c r="B389" s="107"/>
      <c r="C389" s="54"/>
      <c r="D389" s="55"/>
      <c r="E389" s="52"/>
      <c r="F389" s="49"/>
      <c r="G389" s="49"/>
      <c r="H389" s="57"/>
      <c r="I389" s="49"/>
      <c r="J389" s="52"/>
      <c r="K389" s="49"/>
    </row>
    <row r="390" spans="1:11">
      <c r="A390" s="52"/>
      <c r="B390" s="107"/>
      <c r="C390" s="54"/>
      <c r="D390" s="55"/>
      <c r="E390" s="52"/>
      <c r="F390" s="49"/>
      <c r="G390" s="49"/>
      <c r="H390" s="57"/>
      <c r="I390" s="49"/>
      <c r="J390" s="52"/>
      <c r="K390" s="49"/>
    </row>
    <row r="391" spans="1:11">
      <c r="A391" s="52"/>
      <c r="B391" s="107"/>
      <c r="C391" s="54"/>
      <c r="D391" s="55"/>
      <c r="E391" s="52"/>
      <c r="F391" s="49"/>
      <c r="G391" s="49"/>
      <c r="H391" s="57"/>
      <c r="I391" s="49"/>
      <c r="J391" s="52"/>
      <c r="K391" s="49"/>
    </row>
    <row r="392" spans="1:11">
      <c r="A392" s="52"/>
      <c r="B392" s="107"/>
      <c r="C392" s="54"/>
      <c r="D392" s="55"/>
      <c r="E392" s="52"/>
      <c r="F392" s="49"/>
      <c r="G392" s="49"/>
      <c r="H392" s="57"/>
      <c r="I392" s="49"/>
      <c r="J392" s="52"/>
      <c r="K392" s="49"/>
    </row>
    <row r="393" spans="1:11">
      <c r="A393" s="52"/>
      <c r="B393" s="107"/>
      <c r="C393" s="54"/>
      <c r="D393" s="55"/>
      <c r="E393" s="52"/>
      <c r="F393" s="49"/>
      <c r="G393" s="49"/>
      <c r="H393" s="57"/>
      <c r="I393" s="49"/>
      <c r="J393" s="52"/>
      <c r="K393" s="49"/>
    </row>
    <row r="394" spans="1:11">
      <c r="A394" s="52"/>
      <c r="B394" s="107"/>
      <c r="C394" s="54"/>
      <c r="D394" s="55"/>
      <c r="E394" s="52"/>
      <c r="F394" s="49"/>
      <c r="G394" s="49"/>
      <c r="H394" s="57"/>
      <c r="I394" s="49"/>
      <c r="J394" s="52"/>
      <c r="K394" s="49"/>
    </row>
    <row r="395" spans="1:11">
      <c r="A395" s="52"/>
      <c r="B395" s="107"/>
      <c r="C395" s="54"/>
      <c r="D395" s="55"/>
      <c r="E395" s="52"/>
      <c r="F395" s="49"/>
      <c r="G395" s="49"/>
      <c r="H395" s="57"/>
      <c r="I395" s="49"/>
      <c r="J395" s="52"/>
      <c r="K395" s="49"/>
    </row>
    <row r="396" spans="1:11">
      <c r="A396" s="52"/>
      <c r="B396" s="107"/>
      <c r="C396" s="54"/>
      <c r="D396" s="55"/>
      <c r="E396" s="52"/>
      <c r="F396" s="49"/>
      <c r="G396" s="49"/>
      <c r="H396" s="57"/>
      <c r="I396" s="49"/>
      <c r="J396" s="52"/>
      <c r="K396" s="49"/>
    </row>
    <row r="397" spans="1:11">
      <c r="A397" s="52"/>
      <c r="B397" s="107"/>
      <c r="C397" s="54"/>
      <c r="D397" s="55"/>
      <c r="E397" s="52"/>
      <c r="F397" s="49"/>
      <c r="G397" s="49"/>
      <c r="H397" s="57"/>
      <c r="I397" s="49"/>
      <c r="J397" s="52"/>
      <c r="K397" s="49"/>
    </row>
    <row r="398" spans="1:11">
      <c r="A398" s="52"/>
      <c r="B398" s="107"/>
      <c r="C398" s="54"/>
      <c r="D398" s="55"/>
      <c r="E398" s="52"/>
      <c r="F398" s="49"/>
      <c r="G398" s="49"/>
      <c r="H398" s="57"/>
      <c r="I398" s="49"/>
      <c r="J398" s="52"/>
      <c r="K398" s="49"/>
    </row>
    <row r="399" spans="1:11">
      <c r="A399" s="52"/>
      <c r="B399" s="107"/>
      <c r="C399" s="54"/>
      <c r="D399" s="55"/>
      <c r="E399" s="52"/>
      <c r="F399" s="49"/>
      <c r="G399" s="49"/>
      <c r="H399" s="57"/>
      <c r="I399" s="49"/>
      <c r="J399" s="52"/>
      <c r="K399" s="49"/>
    </row>
    <row r="400" spans="1:11">
      <c r="A400" s="52"/>
      <c r="B400" s="107"/>
      <c r="C400" s="54"/>
      <c r="D400" s="55"/>
      <c r="E400" s="52"/>
      <c r="F400" s="49"/>
      <c r="G400" s="49"/>
      <c r="H400" s="57"/>
      <c r="I400" s="49"/>
      <c r="J400" s="52"/>
      <c r="K400" s="49"/>
    </row>
    <row r="401" spans="1:11">
      <c r="A401" s="52"/>
      <c r="B401" s="107"/>
      <c r="C401" s="54"/>
      <c r="D401" s="55"/>
      <c r="E401" s="52"/>
      <c r="F401" s="49"/>
      <c r="G401" s="49"/>
      <c r="H401" s="57"/>
      <c r="I401" s="49"/>
      <c r="J401" s="52"/>
      <c r="K401" s="49"/>
    </row>
    <row r="402" spans="1:11">
      <c r="A402" s="52"/>
      <c r="B402" s="107"/>
      <c r="C402" s="54"/>
      <c r="D402" s="55"/>
      <c r="E402" s="52"/>
      <c r="F402" s="49"/>
      <c r="G402" s="49"/>
      <c r="H402" s="57"/>
      <c r="I402" s="49"/>
      <c r="J402" s="52"/>
      <c r="K402" s="49"/>
    </row>
    <row r="403" spans="1:11">
      <c r="A403" s="52"/>
      <c r="B403" s="107"/>
      <c r="C403" s="54"/>
      <c r="D403" s="55"/>
      <c r="E403" s="52"/>
      <c r="F403" s="49"/>
      <c r="G403" s="49"/>
      <c r="H403" s="57"/>
      <c r="I403" s="49"/>
      <c r="J403" s="52"/>
      <c r="K403" s="49"/>
    </row>
    <row r="404" spans="1:11">
      <c r="A404" s="52"/>
      <c r="B404" s="107"/>
      <c r="C404" s="54"/>
      <c r="D404" s="55"/>
      <c r="E404" s="52"/>
      <c r="F404" s="49"/>
      <c r="G404" s="49"/>
      <c r="H404" s="57"/>
      <c r="I404" s="49"/>
      <c r="J404" s="52"/>
      <c r="K404" s="49"/>
    </row>
    <row r="405" spans="1:11">
      <c r="A405" s="52"/>
      <c r="B405" s="107"/>
      <c r="C405" s="54"/>
      <c r="D405" s="55"/>
      <c r="E405" s="52"/>
      <c r="F405" s="49"/>
      <c r="G405" s="49"/>
      <c r="H405" s="57"/>
      <c r="I405" s="49"/>
      <c r="J405" s="52"/>
      <c r="K405" s="49"/>
    </row>
    <row r="406" spans="1:11">
      <c r="A406" s="52"/>
      <c r="B406" s="107"/>
      <c r="C406" s="54"/>
      <c r="D406" s="55"/>
      <c r="E406" s="52"/>
      <c r="F406" s="49"/>
      <c r="G406" s="49"/>
      <c r="H406" s="57"/>
      <c r="I406" s="49"/>
      <c r="J406" s="52"/>
      <c r="K406" s="49"/>
    </row>
    <row r="407" spans="1:11">
      <c r="A407" s="52"/>
      <c r="B407" s="107"/>
      <c r="C407" s="54"/>
      <c r="D407" s="55"/>
      <c r="E407" s="52"/>
      <c r="F407" s="49"/>
      <c r="G407" s="49"/>
      <c r="H407" s="57"/>
      <c r="I407" s="49"/>
      <c r="J407" s="52"/>
      <c r="K407" s="49"/>
    </row>
    <row r="408" spans="1:11">
      <c r="A408" s="52"/>
      <c r="B408" s="59"/>
      <c r="C408" s="54"/>
      <c r="D408" s="55"/>
      <c r="E408" s="52"/>
      <c r="F408" s="49"/>
      <c r="G408" s="49"/>
      <c r="H408" s="57"/>
      <c r="I408" s="49"/>
      <c r="J408" s="52"/>
      <c r="K408" s="49"/>
    </row>
    <row r="409" spans="1:11">
      <c r="A409" s="52"/>
      <c r="B409" s="111"/>
      <c r="C409" s="54"/>
      <c r="D409" s="55"/>
      <c r="E409" s="52"/>
      <c r="F409" s="49"/>
      <c r="G409" s="49"/>
      <c r="H409" s="57"/>
      <c r="I409" s="49"/>
      <c r="J409" s="52"/>
      <c r="K409" s="49"/>
    </row>
    <row r="410" spans="1:11">
      <c r="A410" s="52"/>
      <c r="B410" s="53"/>
      <c r="C410" s="54"/>
      <c r="D410" s="55"/>
      <c r="E410" s="56"/>
      <c r="F410" s="49"/>
      <c r="G410" s="49"/>
      <c r="H410" s="57"/>
      <c r="I410" s="49"/>
      <c r="J410" s="52"/>
      <c r="K410" s="49"/>
    </row>
    <row r="411" spans="1:11">
      <c r="A411" s="52"/>
      <c r="B411" s="111"/>
      <c r="C411" s="54"/>
      <c r="D411" s="55"/>
      <c r="E411" s="52"/>
      <c r="F411" s="49"/>
      <c r="G411" s="49"/>
      <c r="H411" s="57"/>
      <c r="I411" s="49"/>
      <c r="J411" s="52"/>
      <c r="K411" s="49"/>
    </row>
    <row r="412" spans="1:11">
      <c r="A412" s="52"/>
      <c r="B412" s="53"/>
      <c r="C412" s="54"/>
      <c r="D412" s="55"/>
      <c r="E412" s="52"/>
      <c r="F412" s="49"/>
      <c r="G412" s="49"/>
      <c r="H412" s="57"/>
      <c r="I412" s="49"/>
      <c r="J412" s="52"/>
      <c r="K412" s="49"/>
    </row>
    <row r="413" spans="1:11">
      <c r="A413" s="52"/>
      <c r="B413" s="59"/>
      <c r="C413" s="54"/>
      <c r="D413" s="55"/>
      <c r="E413" s="52"/>
      <c r="F413" s="49"/>
      <c r="G413" s="49"/>
      <c r="H413" s="57"/>
      <c r="I413" s="49"/>
      <c r="J413" s="52"/>
      <c r="K413" s="49"/>
    </row>
    <row r="414" spans="1:11">
      <c r="A414" s="52"/>
      <c r="B414" s="111"/>
      <c r="C414" s="54"/>
      <c r="D414" s="55"/>
      <c r="E414" s="52"/>
      <c r="F414" s="49"/>
      <c r="G414" s="49"/>
      <c r="H414" s="57"/>
      <c r="I414" s="49"/>
      <c r="J414" s="52"/>
      <c r="K414" s="49"/>
    </row>
    <row r="415" spans="1:11">
      <c r="A415" s="52"/>
      <c r="B415" s="111"/>
      <c r="C415" s="54"/>
      <c r="D415" s="55"/>
      <c r="E415" s="52"/>
      <c r="F415" s="49"/>
      <c r="G415" s="49"/>
      <c r="H415" s="57"/>
      <c r="I415" s="49"/>
      <c r="J415" s="52"/>
      <c r="K415" s="49"/>
    </row>
    <row r="416" spans="1:11">
      <c r="A416" s="52"/>
      <c r="B416" s="111"/>
      <c r="C416" s="54"/>
      <c r="D416" s="55"/>
      <c r="E416" s="52"/>
      <c r="F416" s="49"/>
      <c r="G416" s="49"/>
      <c r="H416" s="57"/>
      <c r="I416" s="49"/>
      <c r="J416" s="52"/>
      <c r="K416" s="49"/>
    </row>
    <row r="417" spans="1:11">
      <c r="A417" s="52"/>
      <c r="B417" s="111"/>
      <c r="C417" s="54"/>
      <c r="D417" s="55"/>
      <c r="E417" s="52"/>
      <c r="F417" s="49"/>
      <c r="G417" s="49"/>
      <c r="H417" s="57"/>
      <c r="I417" s="49"/>
      <c r="J417" s="52"/>
      <c r="K417" s="49"/>
    </row>
    <row r="418" spans="1:11">
      <c r="A418" s="52"/>
      <c r="B418" s="111"/>
      <c r="C418" s="54"/>
      <c r="D418" s="55"/>
      <c r="E418" s="52"/>
      <c r="F418" s="49"/>
      <c r="G418" s="49"/>
      <c r="H418" s="57"/>
      <c r="I418" s="49"/>
      <c r="J418" s="52"/>
      <c r="K418" s="49"/>
    </row>
    <row r="419" spans="1:11">
      <c r="A419" s="52"/>
      <c r="B419" s="111"/>
      <c r="C419" s="54"/>
      <c r="D419" s="55"/>
      <c r="E419" s="52"/>
      <c r="F419" s="49"/>
      <c r="G419" s="49"/>
      <c r="H419" s="57"/>
      <c r="I419" s="49"/>
      <c r="J419" s="52"/>
      <c r="K419" s="49"/>
    </row>
    <row r="420" spans="1:11">
      <c r="A420" s="52"/>
      <c r="B420" s="111"/>
      <c r="C420" s="54"/>
      <c r="D420" s="55"/>
      <c r="E420" s="56"/>
      <c r="F420" s="49"/>
      <c r="G420" s="49"/>
      <c r="H420" s="57"/>
      <c r="I420" s="49"/>
      <c r="J420" s="52"/>
      <c r="K420" s="49"/>
    </row>
    <row r="421" spans="1:11">
      <c r="A421" s="52"/>
      <c r="B421" s="111"/>
      <c r="C421" s="54"/>
      <c r="D421" s="55"/>
      <c r="E421" s="52"/>
      <c r="F421" s="49"/>
      <c r="G421" s="49"/>
      <c r="H421" s="57"/>
      <c r="I421" s="49"/>
      <c r="J421" s="52"/>
      <c r="K421" s="49"/>
    </row>
    <row r="422" spans="1:11">
      <c r="A422" s="52"/>
      <c r="B422" s="111"/>
      <c r="C422" s="54"/>
      <c r="D422" s="55"/>
      <c r="E422" s="52"/>
      <c r="F422" s="49"/>
      <c r="G422" s="49"/>
      <c r="H422" s="57"/>
      <c r="I422" s="49"/>
      <c r="J422" s="52"/>
      <c r="K422" s="49"/>
    </row>
    <row r="423" spans="1:11">
      <c r="A423" s="52"/>
      <c r="B423" s="111"/>
      <c r="C423" s="54"/>
      <c r="D423" s="55"/>
      <c r="E423" s="52"/>
      <c r="F423" s="49"/>
      <c r="G423" s="49"/>
      <c r="H423" s="57"/>
      <c r="I423" s="49"/>
      <c r="J423" s="52"/>
      <c r="K423" s="49"/>
    </row>
    <row r="424" spans="1:11">
      <c r="A424" s="52"/>
      <c r="B424" s="59"/>
      <c r="C424" s="54"/>
      <c r="D424" s="55"/>
      <c r="E424" s="52"/>
      <c r="F424" s="49"/>
      <c r="G424" s="49"/>
      <c r="H424" s="57"/>
      <c r="I424" s="49"/>
      <c r="J424" s="52"/>
      <c r="K424" s="49"/>
    </row>
    <row r="425" spans="1:11">
      <c r="A425" s="52"/>
      <c r="B425" s="111"/>
      <c r="C425" s="54"/>
      <c r="D425" s="55"/>
      <c r="E425" s="52"/>
      <c r="F425" s="49"/>
      <c r="G425" s="49"/>
      <c r="H425" s="57"/>
      <c r="I425" s="49"/>
      <c r="J425" s="52"/>
      <c r="K425" s="49"/>
    </row>
    <row r="426" spans="1:11">
      <c r="A426" s="52"/>
      <c r="B426" s="111"/>
      <c r="C426" s="54"/>
      <c r="D426" s="55"/>
      <c r="E426" s="56"/>
      <c r="F426" s="49"/>
      <c r="G426" s="49"/>
      <c r="H426" s="57"/>
      <c r="I426" s="49"/>
      <c r="J426" s="52"/>
      <c r="K426" s="49"/>
    </row>
    <row r="427" spans="1:11" ht="14.25" customHeight="1">
      <c r="A427" s="52"/>
      <c r="B427" s="111"/>
      <c r="C427" s="54"/>
      <c r="D427" s="55"/>
      <c r="E427" s="52"/>
      <c r="F427" s="49"/>
      <c r="G427" s="49"/>
      <c r="H427" s="57"/>
      <c r="I427" s="49"/>
      <c r="J427" s="52"/>
      <c r="K427" s="49"/>
    </row>
    <row r="428" spans="1:11">
      <c r="A428" s="52"/>
      <c r="B428" s="111"/>
      <c r="C428" s="54"/>
      <c r="D428" s="55"/>
      <c r="E428" s="52"/>
      <c r="F428" s="49"/>
      <c r="G428" s="49"/>
      <c r="H428" s="57"/>
      <c r="I428" s="49"/>
      <c r="J428" s="52"/>
      <c r="K428" s="49"/>
    </row>
    <row r="429" spans="1:11">
      <c r="A429" s="52"/>
      <c r="B429" s="111"/>
      <c r="C429" s="54"/>
      <c r="D429" s="55"/>
      <c r="E429" s="56"/>
      <c r="F429" s="49"/>
      <c r="G429" s="49"/>
      <c r="H429" s="57"/>
      <c r="I429" s="49"/>
      <c r="J429" s="52"/>
      <c r="K429" s="49"/>
    </row>
    <row r="430" spans="1:11">
      <c r="A430" s="52"/>
      <c r="B430" s="111"/>
      <c r="C430" s="54"/>
      <c r="D430" s="55"/>
      <c r="E430" s="52"/>
      <c r="F430" s="49"/>
      <c r="G430" s="49"/>
      <c r="H430" s="57"/>
      <c r="I430" s="49"/>
      <c r="J430" s="52"/>
      <c r="K430" s="49"/>
    </row>
    <row r="431" spans="1:11">
      <c r="A431" s="52"/>
      <c r="B431" s="111"/>
      <c r="C431" s="54"/>
      <c r="D431" s="55"/>
      <c r="E431" s="52"/>
      <c r="F431" s="49"/>
      <c r="G431" s="49"/>
      <c r="H431" s="57"/>
      <c r="I431" s="49"/>
      <c r="J431" s="52"/>
      <c r="K431" s="49"/>
    </row>
    <row r="432" spans="1:11">
      <c r="A432" s="52"/>
      <c r="B432" s="111"/>
      <c r="C432" s="54"/>
      <c r="D432" s="55"/>
      <c r="E432" s="52"/>
      <c r="F432" s="49"/>
      <c r="G432" s="49"/>
      <c r="H432" s="57"/>
      <c r="I432" s="49"/>
      <c r="J432" s="52"/>
      <c r="K432" s="49"/>
    </row>
    <row r="433" spans="1:11">
      <c r="A433" s="52"/>
      <c r="B433" s="111"/>
      <c r="C433" s="54"/>
      <c r="D433" s="55"/>
      <c r="E433" s="52"/>
      <c r="F433" s="49"/>
      <c r="G433" s="49"/>
      <c r="H433" s="57"/>
      <c r="I433" s="49"/>
      <c r="J433" s="52"/>
      <c r="K433" s="49"/>
    </row>
    <row r="434" spans="1:11">
      <c r="A434" s="52"/>
      <c r="B434" s="53"/>
      <c r="C434" s="54"/>
      <c r="D434" s="55"/>
      <c r="E434" s="52"/>
      <c r="F434" s="49"/>
      <c r="G434" s="49"/>
      <c r="H434" s="57"/>
      <c r="I434" s="49"/>
      <c r="J434" s="52"/>
      <c r="K434" s="49"/>
    </row>
    <row r="435" spans="1:11">
      <c r="A435" s="52"/>
      <c r="B435" s="59"/>
      <c r="C435" s="54"/>
      <c r="D435" s="55"/>
      <c r="E435" s="52"/>
      <c r="F435" s="49"/>
      <c r="G435" s="49"/>
      <c r="H435" s="57"/>
      <c r="I435" s="49"/>
      <c r="J435" s="52"/>
      <c r="K435" s="49"/>
    </row>
    <row r="436" spans="1:11">
      <c r="A436" s="52"/>
      <c r="B436" s="111"/>
      <c r="C436" s="54"/>
      <c r="D436" s="55"/>
      <c r="E436" s="52"/>
      <c r="F436" s="49"/>
      <c r="G436" s="49"/>
      <c r="H436" s="57"/>
      <c r="I436" s="49"/>
      <c r="J436" s="52"/>
      <c r="K436" s="49"/>
    </row>
    <row r="437" spans="1:11">
      <c r="A437" s="52"/>
      <c r="B437" s="111"/>
      <c r="C437" s="54"/>
      <c r="D437" s="55"/>
      <c r="E437" s="52"/>
      <c r="F437" s="49"/>
      <c r="G437" s="49"/>
      <c r="H437" s="57"/>
      <c r="I437" s="49"/>
      <c r="J437" s="52"/>
      <c r="K437" s="49"/>
    </row>
    <row r="438" spans="1:11">
      <c r="A438" s="52"/>
      <c r="B438" s="53"/>
      <c r="C438" s="54"/>
      <c r="D438" s="55"/>
      <c r="E438" s="52"/>
      <c r="F438" s="49"/>
      <c r="G438" s="49"/>
      <c r="H438" s="57"/>
      <c r="I438" s="49"/>
      <c r="J438" s="52"/>
      <c r="K438" s="49"/>
    </row>
    <row r="439" spans="1:11">
      <c r="A439" s="52"/>
      <c r="B439" s="53"/>
      <c r="C439" s="54"/>
      <c r="D439" s="55"/>
      <c r="E439" s="52"/>
      <c r="F439" s="49"/>
      <c r="G439" s="49"/>
      <c r="H439" s="57"/>
      <c r="I439" s="49"/>
      <c r="J439" s="52"/>
      <c r="K439" s="49"/>
    </row>
    <row r="440" spans="1:11">
      <c r="A440" s="52"/>
      <c r="B440" s="111"/>
      <c r="C440" s="54"/>
      <c r="D440" s="55"/>
      <c r="E440" s="52"/>
      <c r="F440" s="49"/>
      <c r="G440" s="49"/>
      <c r="H440" s="57"/>
      <c r="I440" s="49"/>
      <c r="J440" s="52"/>
      <c r="K440" s="49"/>
    </row>
    <row r="441" spans="1:11">
      <c r="A441" s="52"/>
      <c r="B441" s="111"/>
      <c r="C441" s="54"/>
      <c r="D441" s="55"/>
      <c r="E441" s="52"/>
      <c r="F441" s="49"/>
      <c r="G441" s="49"/>
      <c r="H441" s="57"/>
      <c r="I441" s="49"/>
      <c r="J441" s="52"/>
      <c r="K441" s="49"/>
    </row>
    <row r="442" spans="1:11">
      <c r="A442" s="52"/>
      <c r="B442" s="111"/>
      <c r="C442" s="54"/>
      <c r="D442" s="55"/>
      <c r="E442" s="52"/>
      <c r="F442" s="49"/>
      <c r="G442" s="49"/>
      <c r="H442" s="57"/>
      <c r="I442" s="49"/>
      <c r="J442" s="52"/>
      <c r="K442" s="49"/>
    </row>
    <row r="443" spans="1:11">
      <c r="A443" s="52"/>
      <c r="B443" s="53"/>
      <c r="C443" s="54"/>
      <c r="D443" s="55"/>
      <c r="E443" s="52"/>
      <c r="F443" s="49"/>
      <c r="G443" s="49"/>
      <c r="H443" s="57"/>
      <c r="I443" s="49"/>
      <c r="J443" s="52"/>
      <c r="K443" s="49"/>
    </row>
    <row r="444" spans="1:11">
      <c r="A444" s="52"/>
      <c r="B444" s="111"/>
      <c r="C444" s="54"/>
      <c r="D444" s="55"/>
      <c r="E444" s="65"/>
      <c r="F444" s="49"/>
      <c r="G444" s="49"/>
      <c r="H444" s="57"/>
      <c r="I444" s="49"/>
      <c r="J444" s="52"/>
      <c r="K444" s="49"/>
    </row>
    <row r="445" spans="1:11">
      <c r="A445" s="52"/>
      <c r="B445" s="111"/>
      <c r="C445" s="54"/>
      <c r="D445" s="55"/>
      <c r="E445" s="52"/>
      <c r="F445" s="49"/>
      <c r="G445" s="49"/>
      <c r="H445" s="57"/>
      <c r="I445" s="49"/>
      <c r="J445" s="52"/>
      <c r="K445" s="49"/>
    </row>
    <row r="446" spans="1:11">
      <c r="A446" s="52"/>
      <c r="B446" s="111"/>
      <c r="C446" s="54"/>
      <c r="D446" s="55"/>
      <c r="E446" s="52"/>
      <c r="F446" s="49"/>
      <c r="G446" s="49"/>
      <c r="H446" s="57"/>
      <c r="I446" s="49"/>
      <c r="J446" s="52"/>
      <c r="K446" s="49"/>
    </row>
  </sheetData>
  <sheetProtection formatColumns="0" formatRows="0" insertColumns="0" insertRows="0" insertHyperlinks="0" deleteColumns="0" deleteRows="0"/>
  <conditionalFormatting sqref="B4">
    <cfRule type="cellIs" dxfId="155" priority="141" operator="equal">
      <formula>$B$3</formula>
    </cfRule>
  </conditionalFormatting>
  <conditionalFormatting sqref="B19">
    <cfRule type="duplicateValues" dxfId="154" priority="140"/>
  </conditionalFormatting>
  <conditionalFormatting sqref="B39">
    <cfRule type="duplicateValues" dxfId="153" priority="29"/>
    <cfRule type="duplicateValues" dxfId="152" priority="30"/>
  </conditionalFormatting>
  <conditionalFormatting sqref="B40">
    <cfRule type="duplicateValues" dxfId="151" priority="144"/>
  </conditionalFormatting>
  <conditionalFormatting sqref="B42">
    <cfRule type="duplicateValues" dxfId="150" priority="37"/>
    <cfRule type="duplicateValues" dxfId="149" priority="38"/>
  </conditionalFormatting>
  <conditionalFormatting sqref="B43">
    <cfRule type="duplicateValues" dxfId="148" priority="39"/>
    <cfRule type="duplicateValues" dxfId="147" priority="40"/>
  </conditionalFormatting>
  <conditionalFormatting sqref="B45">
    <cfRule type="duplicateValues" dxfId="146" priority="83"/>
    <cfRule type="duplicateValues" dxfId="145" priority="84"/>
  </conditionalFormatting>
  <conditionalFormatting sqref="B51">
    <cfRule type="duplicateValues" dxfId="144" priority="49"/>
    <cfRule type="duplicateValues" dxfId="143" priority="50"/>
  </conditionalFormatting>
  <conditionalFormatting sqref="B52">
    <cfRule type="duplicateValues" dxfId="142" priority="145"/>
  </conditionalFormatting>
  <conditionalFormatting sqref="B58">
    <cfRule type="duplicateValues" dxfId="141" priority="81"/>
    <cfRule type="duplicateValues" dxfId="140" priority="82"/>
  </conditionalFormatting>
  <conditionalFormatting sqref="B66">
    <cfRule type="duplicateValues" dxfId="139" priority="73"/>
    <cfRule type="duplicateValues" dxfId="138" priority="74"/>
  </conditionalFormatting>
  <conditionalFormatting sqref="B69:B71">
    <cfRule type="duplicateValues" dxfId="137" priority="146"/>
  </conditionalFormatting>
  <conditionalFormatting sqref="B84">
    <cfRule type="duplicateValues" dxfId="136" priority="13"/>
    <cfRule type="duplicateValues" dxfId="135" priority="14"/>
  </conditionalFormatting>
  <conditionalFormatting sqref="B93">
    <cfRule type="duplicateValues" dxfId="134" priority="79"/>
    <cfRule type="duplicateValues" dxfId="133" priority="80"/>
  </conditionalFormatting>
  <conditionalFormatting sqref="B111">
    <cfRule type="duplicateValues" dxfId="132" priority="27"/>
    <cfRule type="duplicateValues" dxfId="131" priority="28"/>
  </conditionalFormatting>
  <conditionalFormatting sqref="B113">
    <cfRule type="duplicateValues" dxfId="130" priority="11"/>
    <cfRule type="duplicateValues" dxfId="129" priority="12"/>
  </conditionalFormatting>
  <conditionalFormatting sqref="B114">
    <cfRule type="duplicateValues" dxfId="128" priority="134"/>
    <cfRule type="duplicateValues" dxfId="127" priority="135"/>
  </conditionalFormatting>
  <conditionalFormatting sqref="B124">
    <cfRule type="duplicateValues" dxfId="126" priority="143"/>
  </conditionalFormatting>
  <conditionalFormatting sqref="B127">
    <cfRule type="duplicateValues" dxfId="125" priority="147"/>
  </conditionalFormatting>
  <conditionalFormatting sqref="B134">
    <cfRule type="duplicateValues" dxfId="124" priority="7"/>
    <cfRule type="duplicateValues" dxfId="123" priority="8"/>
  </conditionalFormatting>
  <conditionalFormatting sqref="B135">
    <cfRule type="duplicateValues" dxfId="122" priority="5"/>
    <cfRule type="duplicateValues" dxfId="121" priority="6"/>
  </conditionalFormatting>
  <conditionalFormatting sqref="B136">
    <cfRule type="duplicateValues" dxfId="120" priority="9"/>
    <cfRule type="duplicateValues" dxfId="119" priority="10"/>
  </conditionalFormatting>
  <conditionalFormatting sqref="B137">
    <cfRule type="duplicateValues" dxfId="118" priority="35"/>
    <cfRule type="duplicateValues" dxfId="117" priority="36"/>
  </conditionalFormatting>
  <conditionalFormatting sqref="B181">
    <cfRule type="duplicateValues" dxfId="116" priority="25"/>
    <cfRule type="duplicateValues" dxfId="115" priority="26"/>
  </conditionalFormatting>
  <conditionalFormatting sqref="B202">
    <cfRule type="duplicateValues" dxfId="114" priority="47"/>
    <cfRule type="duplicateValues" dxfId="113" priority="48"/>
  </conditionalFormatting>
  <conditionalFormatting sqref="B204">
    <cfRule type="duplicateValues" dxfId="112" priority="1"/>
    <cfRule type="duplicateValues" dxfId="111" priority="2"/>
  </conditionalFormatting>
  <conditionalFormatting sqref="B217">
    <cfRule type="duplicateValues" dxfId="110" priority="123"/>
    <cfRule type="duplicateValues" dxfId="109" priority="124"/>
  </conditionalFormatting>
  <conditionalFormatting sqref="B218">
    <cfRule type="duplicateValues" dxfId="108" priority="125"/>
    <cfRule type="duplicateValues" dxfId="107" priority="126"/>
  </conditionalFormatting>
  <conditionalFormatting sqref="B219">
    <cfRule type="duplicateValues" dxfId="106" priority="3"/>
    <cfRule type="duplicateValues" dxfId="105" priority="4"/>
  </conditionalFormatting>
  <conditionalFormatting sqref="B220">
    <cfRule type="duplicateValues" dxfId="104" priority="127"/>
    <cfRule type="duplicateValues" dxfId="103" priority="128"/>
  </conditionalFormatting>
  <conditionalFormatting sqref="B269">
    <cfRule type="duplicateValues" dxfId="102" priority="23"/>
    <cfRule type="duplicateValues" dxfId="101" priority="24"/>
  </conditionalFormatting>
  <conditionalFormatting sqref="B301">
    <cfRule type="duplicateValues" dxfId="100" priority="19"/>
    <cfRule type="duplicateValues" dxfId="99" priority="20"/>
  </conditionalFormatting>
  <conditionalFormatting sqref="B302">
    <cfRule type="duplicateValues" dxfId="98" priority="21"/>
    <cfRule type="duplicateValues" dxfId="97" priority="22"/>
  </conditionalFormatting>
  <conditionalFormatting sqref="B303">
    <cfRule type="duplicateValues" dxfId="96" priority="31"/>
    <cfRule type="duplicateValues" dxfId="95" priority="32"/>
  </conditionalFormatting>
  <conditionalFormatting sqref="B304">
    <cfRule type="duplicateValues" dxfId="94" priority="17"/>
    <cfRule type="duplicateValues" dxfId="93" priority="18"/>
  </conditionalFormatting>
  <conditionalFormatting sqref="B305">
    <cfRule type="duplicateValues" dxfId="92" priority="33"/>
    <cfRule type="duplicateValues" dxfId="91" priority="34"/>
  </conditionalFormatting>
  <conditionalFormatting sqref="B314">
    <cfRule type="duplicateValues" dxfId="90" priority="15"/>
    <cfRule type="duplicateValues" dxfId="89" priority="16"/>
  </conditionalFormatting>
  <conditionalFormatting sqref="B322">
    <cfRule type="duplicateValues" dxfId="88" priority="45"/>
    <cfRule type="duplicateValues" dxfId="87" priority="46"/>
  </conditionalFormatting>
  <conditionalFormatting sqref="B341">
    <cfRule type="duplicateValues" dxfId="86" priority="77"/>
    <cfRule type="duplicateValues" dxfId="85" priority="78"/>
  </conditionalFormatting>
  <conditionalFormatting sqref="B347">
    <cfRule type="duplicateValues" dxfId="84" priority="138"/>
    <cfRule type="duplicateValues" dxfId="83" priority="139"/>
  </conditionalFormatting>
  <conditionalFormatting sqref="B348">
    <cfRule type="duplicateValues" dxfId="82" priority="136"/>
    <cfRule type="duplicateValues" dxfId="81" priority="137"/>
  </conditionalFormatting>
  <conditionalFormatting sqref="B356">
    <cfRule type="duplicateValues" dxfId="80" priority="121"/>
    <cfRule type="duplicateValues" dxfId="79" priority="122"/>
  </conditionalFormatting>
  <conditionalFormatting sqref="B357">
    <cfRule type="duplicateValues" dxfId="78" priority="129"/>
  </conditionalFormatting>
  <conditionalFormatting sqref="B411">
    <cfRule type="duplicateValues" dxfId="77" priority="132"/>
    <cfRule type="duplicateValues" dxfId="76" priority="133"/>
  </conditionalFormatting>
  <conditionalFormatting sqref="B412">
    <cfRule type="duplicateValues" dxfId="75" priority="130"/>
    <cfRule type="duplicateValues" dxfId="74" priority="131"/>
  </conditionalFormatting>
  <conditionalFormatting sqref="B428">
    <cfRule type="duplicateValues" dxfId="73" priority="119"/>
    <cfRule type="duplicateValues" dxfId="72" priority="120"/>
  </conditionalFormatting>
  <conditionalFormatting sqref="B429">
    <cfRule type="duplicateValues" dxfId="71" priority="117"/>
    <cfRule type="duplicateValues" dxfId="70" priority="118"/>
  </conditionalFormatting>
  <conditionalFormatting sqref="B430">
    <cfRule type="duplicateValues" dxfId="69" priority="115"/>
    <cfRule type="duplicateValues" dxfId="68" priority="116"/>
  </conditionalFormatting>
  <conditionalFormatting sqref="B431">
    <cfRule type="duplicateValues" dxfId="67" priority="113"/>
    <cfRule type="duplicateValues" dxfId="66" priority="114"/>
  </conditionalFormatting>
  <conditionalFormatting sqref="B432">
    <cfRule type="duplicateValues" dxfId="65" priority="111"/>
    <cfRule type="duplicateValues" dxfId="64" priority="112"/>
  </conditionalFormatting>
  <conditionalFormatting sqref="B433">
    <cfRule type="duplicateValues" dxfId="63" priority="109"/>
    <cfRule type="duplicateValues" dxfId="62" priority="110"/>
  </conditionalFormatting>
  <conditionalFormatting sqref="B434">
    <cfRule type="duplicateValues" dxfId="61" priority="107"/>
    <cfRule type="duplicateValues" dxfId="60" priority="108"/>
  </conditionalFormatting>
  <conditionalFormatting sqref="B435">
    <cfRule type="duplicateValues" dxfId="59" priority="105"/>
    <cfRule type="duplicateValues" dxfId="58" priority="106"/>
  </conditionalFormatting>
  <conditionalFormatting sqref="B436">
    <cfRule type="duplicateValues" dxfId="57" priority="103"/>
    <cfRule type="duplicateValues" dxfId="56" priority="104"/>
  </conditionalFormatting>
  <conditionalFormatting sqref="B437">
    <cfRule type="duplicateValues" dxfId="55" priority="101"/>
    <cfRule type="duplicateValues" dxfId="54" priority="102"/>
  </conditionalFormatting>
  <conditionalFormatting sqref="B438">
    <cfRule type="duplicateValues" dxfId="53" priority="99"/>
    <cfRule type="duplicateValues" dxfId="52" priority="100"/>
  </conditionalFormatting>
  <conditionalFormatting sqref="B439">
    <cfRule type="duplicateValues" dxfId="51" priority="97"/>
    <cfRule type="duplicateValues" dxfId="50" priority="98"/>
  </conditionalFormatting>
  <conditionalFormatting sqref="B440">
    <cfRule type="duplicateValues" dxfId="49" priority="95"/>
    <cfRule type="duplicateValues" dxfId="48" priority="96"/>
  </conditionalFormatting>
  <conditionalFormatting sqref="B441">
    <cfRule type="duplicateValues" dxfId="47" priority="93"/>
    <cfRule type="duplicateValues" dxfId="46" priority="94"/>
  </conditionalFormatting>
  <conditionalFormatting sqref="B442">
    <cfRule type="duplicateValues" dxfId="45" priority="91"/>
    <cfRule type="duplicateValues" dxfId="44" priority="92"/>
  </conditionalFormatting>
  <conditionalFormatting sqref="B443">
    <cfRule type="duplicateValues" dxfId="43" priority="89"/>
    <cfRule type="duplicateValues" dxfId="42" priority="90"/>
  </conditionalFormatting>
  <conditionalFormatting sqref="B444">
    <cfRule type="duplicateValues" dxfId="41" priority="87"/>
    <cfRule type="duplicateValues" dxfId="40" priority="88"/>
  </conditionalFormatting>
  <conditionalFormatting sqref="B445">
    <cfRule type="duplicateValues" dxfId="39" priority="85"/>
    <cfRule type="duplicateValues" dxfId="38" priority="86"/>
  </conditionalFormatting>
  <conditionalFormatting sqref="B446">
    <cfRule type="duplicateValues" dxfId="37" priority="69"/>
    <cfRule type="duplicateValues" dxfId="36" priority="70"/>
  </conditionalFormatting>
  <conditionalFormatting sqref="B447">
    <cfRule type="duplicateValues" dxfId="35" priority="67"/>
    <cfRule type="duplicateValues" dxfId="34" priority="68"/>
  </conditionalFormatting>
  <conditionalFormatting sqref="B448">
    <cfRule type="duplicateValues" dxfId="33" priority="65"/>
    <cfRule type="duplicateValues" dxfId="32" priority="66"/>
  </conditionalFormatting>
  <conditionalFormatting sqref="B449">
    <cfRule type="duplicateValues" dxfId="31" priority="63"/>
    <cfRule type="duplicateValues" dxfId="30" priority="64"/>
  </conditionalFormatting>
  <conditionalFormatting sqref="B450">
    <cfRule type="duplicateValues" dxfId="29" priority="61"/>
    <cfRule type="duplicateValues" dxfId="28" priority="62"/>
  </conditionalFormatting>
  <conditionalFormatting sqref="B451">
    <cfRule type="duplicateValues" dxfId="27" priority="59"/>
    <cfRule type="duplicateValues" dxfId="26" priority="60"/>
  </conditionalFormatting>
  <conditionalFormatting sqref="B452">
    <cfRule type="duplicateValues" dxfId="25" priority="57"/>
    <cfRule type="duplicateValues" dxfId="24" priority="58"/>
  </conditionalFormatting>
  <conditionalFormatting sqref="B453">
    <cfRule type="duplicateValues" dxfId="23" priority="55"/>
    <cfRule type="duplicateValues" dxfId="22" priority="56"/>
  </conditionalFormatting>
  <conditionalFormatting sqref="B454">
    <cfRule type="duplicateValues" dxfId="21" priority="53"/>
    <cfRule type="duplicateValues" dxfId="20" priority="54"/>
  </conditionalFormatting>
  <conditionalFormatting sqref="B455">
    <cfRule type="duplicateValues" dxfId="19" priority="51"/>
    <cfRule type="duplicateValues" dxfId="18" priority="52"/>
  </conditionalFormatting>
  <conditionalFormatting sqref="B456">
    <cfRule type="duplicateValues" dxfId="17" priority="43"/>
    <cfRule type="duplicateValues" dxfId="16" priority="44"/>
  </conditionalFormatting>
  <conditionalFormatting sqref="B457:B1048576 B413:B427 B20:B38 B1:B18 B349:B355 B358:B410 B115:B116 B221:B268 B46:B50 B59:B65 B94:B110 B342:B346 B67:B83 B118:B133 B52:B57 B203 B323:B336 B44 B138:B180 B306:B313 B40:B41 B112 B182:B201 B270:B300 B315:B321 B85:B92 B205:B216 B338:B340">
    <cfRule type="duplicateValues" dxfId="15" priority="142"/>
  </conditionalFormatting>
  <conditionalFormatting sqref="B457:B1048576 B413:B427 B72:B83 B53:B57 B41 B125:B126 B20:B38 B115:B116 B2:B18 B349:B355 B358:B410 B128:B133 B221:B268 B46:B50 B59:B65 B94:B110 B342:B346 B67:B68 B118:B123 B203 B323:B336 B44 B138:B180 B306:B313 B112 B182:B201 B270:B300 B315:B321 B85:B92 B205:B216 B338:B340">
    <cfRule type="duplicateValues" dxfId="14" priority="148"/>
  </conditionalFormatting>
  <pageMargins left="0.70866141732283472" right="0.70866141732283472" top="0.74803149606299213" bottom="0.74803149606299213" header="0.31496062992125984" footer="0.31496062992125984"/>
  <pageSetup scale="61" fitToHeight="26" orientation="landscape" r:id="rId1"/>
  <headerFooter>
    <oddHeader>&amp;L&amp;"Arial"&amp;8&amp;K000000INTERNAL&amp;1#</oddHeader>
    <oddFooter>&amp;CFecha rev – Planeamiento – CC:8760 – KSU: 4.2- Interno
&amp;R&amp;N</oddFooter>
  </headerFooter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E6:E37"/>
  <sheetViews>
    <sheetView topLeftCell="A4" workbookViewId="0">
      <selection activeCell="E38" sqref="E38"/>
    </sheetView>
  </sheetViews>
  <sheetFormatPr defaultColWidth="11.42578125" defaultRowHeight="14.45"/>
  <sheetData>
    <row r="6" spans="5:5">
      <c r="E6" t="s">
        <v>5793</v>
      </c>
    </row>
    <row r="7" spans="5:5">
      <c r="E7" t="s">
        <v>5794</v>
      </c>
    </row>
    <row r="8" spans="5:5">
      <c r="E8" t="s">
        <v>5795</v>
      </c>
    </row>
    <row r="9" spans="5:5">
      <c r="E9" t="s">
        <v>5796</v>
      </c>
    </row>
    <row r="10" spans="5:5">
      <c r="E10" t="s">
        <v>5797</v>
      </c>
    </row>
    <row r="11" spans="5:5">
      <c r="E11" t="s">
        <v>5798</v>
      </c>
    </row>
    <row r="12" spans="5:5">
      <c r="E12" t="s">
        <v>5799</v>
      </c>
    </row>
    <row r="13" spans="5:5">
      <c r="E13" t="s">
        <v>5800</v>
      </c>
    </row>
    <row r="14" spans="5:5">
      <c r="E14" t="s">
        <v>4437</v>
      </c>
    </row>
    <row r="15" spans="5:5">
      <c r="E15" t="s">
        <v>4440</v>
      </c>
    </row>
    <row r="16" spans="5:5">
      <c r="E16" t="s">
        <v>3382</v>
      </c>
    </row>
    <row r="17" spans="5:5">
      <c r="E17" t="s">
        <v>3384</v>
      </c>
    </row>
    <row r="18" spans="5:5">
      <c r="E18" t="s">
        <v>5801</v>
      </c>
    </row>
    <row r="19" spans="5:5">
      <c r="E19" t="s">
        <v>5802</v>
      </c>
    </row>
    <row r="20" spans="5:5">
      <c r="E20" t="s">
        <v>5803</v>
      </c>
    </row>
    <row r="21" spans="5:5">
      <c r="E21" t="s">
        <v>5804</v>
      </c>
    </row>
    <row r="22" spans="5:5">
      <c r="E22" t="s">
        <v>5805</v>
      </c>
    </row>
    <row r="23" spans="5:5">
      <c r="E23" t="s">
        <v>5806</v>
      </c>
    </row>
    <row r="24" spans="5:5">
      <c r="E24" t="s">
        <v>5807</v>
      </c>
    </row>
    <row r="25" spans="5:5">
      <c r="E25" t="s">
        <v>5808</v>
      </c>
    </row>
    <row r="26" spans="5:5">
      <c r="E26" t="s">
        <v>5809</v>
      </c>
    </row>
    <row r="27" spans="5:5">
      <c r="E27" t="s">
        <v>5810</v>
      </c>
    </row>
    <row r="28" spans="5:5">
      <c r="E28" t="s">
        <v>5811</v>
      </c>
    </row>
    <row r="29" spans="5:5">
      <c r="E29" t="s">
        <v>5812</v>
      </c>
    </row>
    <row r="30" spans="5:5">
      <c r="E30" t="s">
        <v>5813</v>
      </c>
    </row>
    <row r="31" spans="5:5">
      <c r="E31" t="s">
        <v>2855</v>
      </c>
    </row>
    <row r="32" spans="5:5">
      <c r="E32" t="s">
        <v>5814</v>
      </c>
    </row>
    <row r="33" spans="5:5">
      <c r="E33" t="s">
        <v>5815</v>
      </c>
    </row>
    <row r="34" spans="5:5">
      <c r="E34" t="s">
        <v>5816</v>
      </c>
    </row>
    <row r="35" spans="5:5">
      <c r="E35" t="s">
        <v>5817</v>
      </c>
    </row>
    <row r="36" spans="5:5">
      <c r="E36" t="s">
        <v>5818</v>
      </c>
    </row>
    <row r="37" spans="5:5">
      <c r="E37" t="s">
        <v>3009</v>
      </c>
    </row>
  </sheetData>
  <phoneticPr fontId="2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DAF06E9BD78E747B28865C0DD1AE99E" ma:contentTypeVersion="17" ma:contentTypeDescription="Crear nuevo documento." ma:contentTypeScope="" ma:versionID="a5175cccdb7e8a13ad84e1f698fc5166">
  <xsd:schema xmlns:xsd="http://www.w3.org/2001/XMLSchema" xmlns:xs="http://www.w3.org/2001/XMLSchema" xmlns:p="http://schemas.microsoft.com/office/2006/metadata/properties" xmlns:ns2="d52f9283-50e2-4f5d-89e4-47f4b7ab1385" xmlns:ns3="9b5ff872-7480-41f6-810d-4e069a4ccea7" targetNamespace="http://schemas.microsoft.com/office/2006/metadata/properties" ma:root="true" ma:fieldsID="4ecdc61a9b594d405c30709deeb4e198" ns2:_="" ns3:_="">
    <xsd:import namespace="d52f9283-50e2-4f5d-89e4-47f4b7ab1385"/>
    <xsd:import namespace="9b5ff872-7480-41f6-810d-4e069a4cce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2f9283-50e2-4f5d-89e4-47f4b7ab13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9cec1cc2-5b8e-42fe-ad3b-746beff284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5ff872-7480-41f6-810d-4e069a4ccea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94485a1-0353-49fa-95b7-420473b729c1}" ma:internalName="TaxCatchAll" ma:showField="CatchAllData" ma:web="9b5ff872-7480-41f6-810d-4e069a4cce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5ff872-7480-41f6-810d-4e069a4ccea7" xsi:nil="true"/>
    <lcf76f155ced4ddcb4097134ff3c332f xmlns="d52f9283-50e2-4f5d-89e4-47f4b7ab138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056E78-8EE4-476B-91D6-A8B88996FC26}"/>
</file>

<file path=customXml/itemProps2.xml><?xml version="1.0" encoding="utf-8"?>
<ds:datastoreItem xmlns:ds="http://schemas.openxmlformats.org/officeDocument/2006/customXml" ds:itemID="{30AF1DF5-5224-4700-B6E0-C35B28492169}"/>
</file>

<file path=customXml/itemProps3.xml><?xml version="1.0" encoding="utf-8"?>
<ds:datastoreItem xmlns:ds="http://schemas.openxmlformats.org/officeDocument/2006/customXml" ds:itemID="{4CFA05F6-8AB9-4180-9CDC-57A8FDE4E73A}"/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Volkswagen AG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Tatiana Kelly Maia de Jesus</dc:creator>
  <cp:keywords/>
  <dc:description/>
  <cp:lastModifiedBy>Vico, Gino</cp:lastModifiedBy>
  <cp:revision/>
  <dcterms:created xsi:type="dcterms:W3CDTF">2020-06-09T13:46:12Z</dcterms:created>
  <dcterms:modified xsi:type="dcterms:W3CDTF">2026-01-08T16:58:41Z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0x0101006DAF06E9BD78E747B28865C0DD1AE99E</vt:lpwstr>
  </property>
  <property fmtid="{D5CDD505-2E9C-101B-9397-08002B2CF9AE}" pid="3" name="MSIP_Label_b1c9b508-7c6e-42bd-bedf-808292653d6c_Enabled">
    <vt:lpwstr>true</vt:lpwstr>
  </property>
  <property fmtid="{D5CDD505-2E9C-101B-9397-08002B2CF9AE}" pid="4" name="MSIP_Label_b1c9b508-7c6e-42bd-bedf-808292653d6c_SetDate">
    <vt:lpwstr>2024-01-15T15:07:41Z</vt:lpwstr>
  </property>
  <property fmtid="{D5CDD505-2E9C-101B-9397-08002B2CF9AE}" pid="5" name="MSIP_Label_b1c9b508-7c6e-42bd-bedf-808292653d6c_Method">
    <vt:lpwstr>Standard</vt:lpwstr>
  </property>
  <property fmtid="{D5CDD505-2E9C-101B-9397-08002B2CF9AE}" pid="6" name="MSIP_Label_b1c9b508-7c6e-42bd-bedf-808292653d6c_Name">
    <vt:lpwstr>b1c9b508-7c6e-42bd-bedf-808292653d6c</vt:lpwstr>
  </property>
  <property fmtid="{D5CDD505-2E9C-101B-9397-08002B2CF9AE}" pid="7" name="MSIP_Label_b1c9b508-7c6e-42bd-bedf-808292653d6c_SiteId">
    <vt:lpwstr>2882be50-2012-4d88-ac86-544124e120c8</vt:lpwstr>
  </property>
  <property fmtid="{D5CDD505-2E9C-101B-9397-08002B2CF9AE}" pid="8" name="MSIP_Label_b1c9b508-7c6e-42bd-bedf-808292653d6c_ActionId">
    <vt:lpwstr>a45e94b6-6003-486a-b4df-8f7b54fba5bc</vt:lpwstr>
  </property>
  <property fmtid="{D5CDD505-2E9C-101B-9397-08002B2CF9AE}" pid="9" name="MSIP_Label_b1c9b508-7c6e-42bd-bedf-808292653d6c_ContentBits">
    <vt:lpwstr>3</vt:lpwstr>
  </property>
  <property fmtid="{D5CDD505-2E9C-101B-9397-08002B2CF9AE}" pid="10" name="RevIMBCS">
    <vt:lpwstr>2;#7.1 Production planning|0b1244b0-82f9-4618-8d99-d108866581f3</vt:lpwstr>
  </property>
  <property fmtid="{D5CDD505-2E9C-101B-9397-08002B2CF9AE}" pid="11" name="LegalHoldTag">
    <vt:lpwstr/>
  </property>
  <property fmtid="{D5CDD505-2E9C-101B-9397-08002B2CF9AE}" pid="12" name="MediaServiceImageTags">
    <vt:lpwstr/>
  </property>
</Properties>
</file>